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68A90DF6-EEA4-456F-B4C3-99A994C8E95A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A199" i="1" l="1"/>
  <c r="JQ199" i="1"/>
  <c r="JQ237" i="1"/>
  <c r="JQ235" i="1"/>
  <c r="JQ228" i="1"/>
  <c r="JQ209" i="1"/>
  <c r="JQ207" i="1"/>
  <c r="JQ204" i="1"/>
  <c r="JQ202" i="1"/>
  <c r="JL237" i="1"/>
  <c r="JL235" i="1"/>
  <c r="JL228" i="1"/>
  <c r="JL209" i="1"/>
  <c r="JL207" i="1"/>
  <c r="JL204" i="1"/>
  <c r="JL202" i="1"/>
  <c r="JL199" i="1"/>
  <c r="JG199" i="1"/>
  <c r="AF73" i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JG240" i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V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<sst xmlns="http://schemas.openxmlformats.org/spreadsheetml/2006/main" count="1836" uniqueCount="789">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</sst>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2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JO1" zoomScale="130" zoomScaleNormal="130" workbookViewId="0">
      <selection activeCell="JZ246" sqref="JZ246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44" t="s">
        <v>0</v>
      </c>
      <c r="B1" s="45"/>
      <c r="C1" s="45"/>
      <c r="D1" s="45"/>
      <c r="E1" s="46"/>
      <c r="F1" s="93" t="s">
        <v>1</v>
      </c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  <c r="U1" s="101" t="s">
        <v>2</v>
      </c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3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6" t="s">
        <v>4</v>
      </c>
      <c r="CF1" s="106"/>
      <c r="CG1" s="106"/>
      <c r="CH1" s="106"/>
      <c r="CI1" s="106"/>
      <c r="CJ1" s="105" t="s">
        <v>5</v>
      </c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  <c r="EL1" s="105"/>
      <c r="EM1" s="105"/>
      <c r="EN1" s="105"/>
      <c r="EO1" s="105"/>
      <c r="EP1" s="105"/>
      <c r="EQ1" s="105"/>
      <c r="ER1" s="107"/>
      <c r="ES1" s="105"/>
      <c r="ET1" s="105"/>
      <c r="EU1" s="105"/>
      <c r="EV1" s="105"/>
      <c r="EW1" s="105"/>
      <c r="EX1" s="105"/>
      <c r="EY1" s="105"/>
      <c r="EZ1" s="105"/>
      <c r="FA1" s="105"/>
      <c r="FB1" s="105"/>
      <c r="FC1" s="105"/>
      <c r="FD1" s="105"/>
      <c r="FE1" s="105"/>
      <c r="FF1" s="105"/>
      <c r="FG1" s="105"/>
      <c r="FH1" s="105"/>
      <c r="FI1" s="105"/>
      <c r="FJ1" s="105"/>
      <c r="FK1" s="105"/>
      <c r="FL1" s="105"/>
      <c r="FM1" s="105"/>
      <c r="FN1" s="105"/>
      <c r="FO1" s="105"/>
      <c r="FP1" s="105"/>
      <c r="FQ1" s="105"/>
      <c r="FR1" s="105"/>
      <c r="FS1" s="105"/>
      <c r="FT1" s="105"/>
      <c r="FU1" s="105"/>
      <c r="FV1" s="105"/>
      <c r="FW1" s="105"/>
      <c r="FX1" s="105"/>
      <c r="FY1" s="105"/>
      <c r="FZ1" s="105"/>
      <c r="GA1" s="105"/>
      <c r="GB1" s="105"/>
      <c r="GC1" s="105"/>
      <c r="GD1" s="105"/>
      <c r="GE1" s="105"/>
      <c r="GF1" s="105"/>
      <c r="GG1" s="105"/>
      <c r="GH1" s="105"/>
      <c r="GI1" s="105"/>
      <c r="GJ1" s="105"/>
      <c r="GK1" s="127"/>
      <c r="GL1" s="128"/>
      <c r="GM1" s="128"/>
      <c r="GN1" s="128"/>
      <c r="GO1" s="128"/>
      <c r="GP1" s="129" t="s">
        <v>6</v>
      </c>
      <c r="GQ1" s="130"/>
      <c r="GR1" s="130"/>
      <c r="GS1" s="130"/>
      <c r="GT1" s="130"/>
      <c r="GU1" s="130"/>
      <c r="GV1" s="130"/>
      <c r="GW1" s="130"/>
      <c r="GX1" s="130"/>
      <c r="GY1" s="130"/>
      <c r="GZ1" s="130"/>
      <c r="HA1" s="130"/>
      <c r="HB1" s="130"/>
      <c r="HC1" s="130"/>
      <c r="HD1" s="130"/>
      <c r="HE1" s="130"/>
      <c r="HF1" s="130"/>
      <c r="HG1" s="130"/>
      <c r="HH1" s="130"/>
      <c r="HI1" s="131"/>
      <c r="HJ1" s="85" t="s">
        <v>7</v>
      </c>
      <c r="HK1" s="86"/>
      <c r="HL1" s="86"/>
      <c r="HM1" s="86"/>
      <c r="HN1" s="87"/>
      <c r="HO1" s="88" t="s">
        <v>8</v>
      </c>
      <c r="HP1" s="89"/>
      <c r="HQ1" s="89"/>
      <c r="HR1" s="89"/>
      <c r="HS1" s="90"/>
      <c r="HT1" s="91" t="s">
        <v>9</v>
      </c>
      <c r="HU1" s="91"/>
      <c r="HV1" s="91"/>
      <c r="HW1" s="91"/>
      <c r="HX1" s="91"/>
      <c r="HY1" s="91"/>
      <c r="HZ1" s="91"/>
      <c r="IA1" s="91"/>
      <c r="IB1" s="91"/>
      <c r="IC1" s="91"/>
      <c r="ID1" s="92" t="s">
        <v>10</v>
      </c>
      <c r="IE1" s="92"/>
      <c r="IF1" s="92"/>
      <c r="IG1" s="92"/>
      <c r="IH1" s="92"/>
      <c r="II1" s="121" t="s">
        <v>11</v>
      </c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2" t="s">
        <v>12</v>
      </c>
      <c r="JD1" s="123"/>
      <c r="JE1" s="123"/>
      <c r="JF1" s="123"/>
      <c r="JG1" s="123"/>
      <c r="JH1" s="123"/>
      <c r="JI1" s="123"/>
      <c r="JJ1" s="123"/>
      <c r="JK1" s="123"/>
      <c r="JL1" s="123"/>
      <c r="JM1" s="123"/>
      <c r="JN1" s="123"/>
      <c r="JO1" s="123"/>
      <c r="JP1" s="123"/>
      <c r="JQ1" s="123"/>
      <c r="JR1" s="123"/>
      <c r="JS1" s="123"/>
      <c r="JT1" s="123"/>
      <c r="JU1" s="123"/>
      <c r="JV1" s="124"/>
      <c r="JW1" s="122"/>
      <c r="JX1" s="123"/>
      <c r="JY1" s="123"/>
      <c r="JZ1" s="123"/>
      <c r="KA1" s="124"/>
      <c r="KB1" s="47" t="s">
        <v>13</v>
      </c>
      <c r="KC1" s="48"/>
      <c r="KD1" s="48"/>
      <c r="KE1" s="48"/>
      <c r="KF1" s="48"/>
      <c r="KG1" s="48"/>
      <c r="KH1" s="48"/>
      <c r="KI1" s="48"/>
      <c r="KJ1" s="48"/>
      <c r="KK1" s="49"/>
      <c r="KL1" s="39" t="s">
        <v>14</v>
      </c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125" t="s">
        <v>15</v>
      </c>
      <c r="LL1" s="125"/>
      <c r="LM1" s="125"/>
      <c r="LN1" s="125"/>
      <c r="LO1" s="125"/>
      <c r="LP1" s="125"/>
      <c r="LQ1" s="125"/>
      <c r="LR1" s="125"/>
      <c r="LS1" s="125"/>
      <c r="LT1" s="126"/>
      <c r="LU1" s="116" t="s">
        <v>16</v>
      </c>
      <c r="LV1" s="116"/>
      <c r="LW1" s="116"/>
      <c r="LX1" s="116"/>
      <c r="LY1" s="116"/>
      <c r="LZ1" s="116"/>
      <c r="MA1" s="116"/>
      <c r="MB1" s="116"/>
      <c r="MC1" s="116"/>
      <c r="MD1" s="116"/>
      <c r="ME1" s="116"/>
      <c r="MF1" s="116"/>
      <c r="MG1" s="116"/>
      <c r="MH1" s="116"/>
      <c r="MI1" s="116"/>
      <c r="MJ1" s="116"/>
      <c r="MK1" s="116"/>
      <c r="ML1" s="116"/>
      <c r="MM1" s="116"/>
      <c r="MN1" s="116"/>
      <c r="MO1" s="56" t="s">
        <v>17</v>
      </c>
      <c r="MP1" s="57"/>
      <c r="MQ1" s="57"/>
      <c r="MR1" s="57"/>
      <c r="MS1" s="57"/>
      <c r="MT1" s="57"/>
      <c r="MU1" s="57"/>
      <c r="MV1" s="57"/>
      <c r="MW1" s="57"/>
      <c r="MX1" s="58"/>
      <c r="MY1" s="117" t="s">
        <v>18</v>
      </c>
      <c r="MZ1" s="117"/>
      <c r="NA1" s="117"/>
      <c r="NB1" s="117"/>
      <c r="NC1" s="117"/>
      <c r="ND1" s="117"/>
      <c r="NE1" s="117"/>
      <c r="NF1" s="117"/>
      <c r="NG1" s="117"/>
      <c r="NH1" s="117"/>
      <c r="NI1" s="118" t="s">
        <v>19</v>
      </c>
      <c r="NJ1" s="118"/>
      <c r="NK1" s="118"/>
      <c r="NL1" s="118"/>
      <c r="NM1" s="118"/>
      <c r="NN1" s="118"/>
      <c r="NO1" s="118"/>
      <c r="NP1" s="118"/>
      <c r="NQ1" s="118"/>
      <c r="NR1" s="118"/>
      <c r="NS1" s="118"/>
      <c r="NT1" s="118"/>
      <c r="NU1" s="118"/>
      <c r="NV1" s="118"/>
      <c r="NW1" s="118"/>
      <c r="NX1" s="119" t="s">
        <v>20</v>
      </c>
      <c r="NY1" s="120"/>
      <c r="NZ1" s="120"/>
      <c r="OA1" s="120"/>
      <c r="OB1" s="120"/>
      <c r="OC1" s="120"/>
      <c r="OD1" s="120"/>
      <c r="OE1" s="120"/>
      <c r="OF1" s="120"/>
      <c r="OG1" s="120"/>
      <c r="OH1" s="39" t="s">
        <v>21</v>
      </c>
      <c r="OI1" s="40"/>
      <c r="OJ1" s="40"/>
      <c r="OK1" s="40"/>
      <c r="OL1" s="40"/>
      <c r="OM1" s="40"/>
      <c r="ON1" s="40"/>
      <c r="OO1" s="40"/>
      <c r="OP1" s="40"/>
      <c r="OQ1" s="40"/>
      <c r="OR1" s="109" t="s">
        <v>22</v>
      </c>
      <c r="OS1" s="109"/>
      <c r="OT1" s="109"/>
      <c r="OU1" s="109"/>
      <c r="OV1" s="109"/>
      <c r="OW1" s="109"/>
      <c r="OX1" s="109"/>
      <c r="OY1" s="109"/>
      <c r="OZ1" s="109"/>
      <c r="PA1" s="109"/>
      <c r="PB1" s="109"/>
      <c r="PC1" s="109"/>
      <c r="PD1" s="109"/>
      <c r="PE1" s="109"/>
      <c r="PF1" s="109"/>
      <c r="PG1" s="109"/>
      <c r="PH1" s="109"/>
      <c r="PI1" s="109"/>
      <c r="PJ1" s="109"/>
      <c r="PK1" s="109"/>
      <c r="PL1" s="109"/>
      <c r="PM1" s="109"/>
      <c r="PN1" s="109"/>
      <c r="PO1" s="109"/>
      <c r="PP1" s="109"/>
      <c r="PQ1" s="109"/>
      <c r="PR1" s="109"/>
      <c r="PS1" s="109"/>
      <c r="PT1" s="109"/>
      <c r="PU1" s="109"/>
      <c r="PV1" s="109"/>
      <c r="PW1" s="109"/>
      <c r="PX1" s="109"/>
      <c r="PY1" s="109"/>
      <c r="PZ1" s="109"/>
    </row>
    <row r="2" spans="1:442" s="36" customFormat="1" ht="37.799999999999997" customHeight="1" thickTop="1" thickBot="1" x14ac:dyDescent="0.35">
      <c r="A2" s="110" t="s">
        <v>23</v>
      </c>
      <c r="B2" s="110" t="s">
        <v>705</v>
      </c>
      <c r="C2" s="112" t="s">
        <v>704</v>
      </c>
      <c r="D2" s="113" t="s">
        <v>24</v>
      </c>
      <c r="E2" s="114" t="s">
        <v>25</v>
      </c>
      <c r="F2" s="96" t="s">
        <v>26</v>
      </c>
      <c r="G2" s="96"/>
      <c r="H2" s="96"/>
      <c r="I2" s="96"/>
      <c r="J2" s="96"/>
      <c r="K2" s="96" t="s">
        <v>27</v>
      </c>
      <c r="L2" s="96"/>
      <c r="M2" s="96"/>
      <c r="N2" s="96"/>
      <c r="O2" s="96"/>
      <c r="P2" s="96" t="s">
        <v>28</v>
      </c>
      <c r="Q2" s="96"/>
      <c r="R2" s="96"/>
      <c r="S2" s="96"/>
      <c r="T2" s="96"/>
      <c r="U2" s="98" t="s">
        <v>29</v>
      </c>
      <c r="V2" s="99"/>
      <c r="W2" s="99"/>
      <c r="X2" s="99"/>
      <c r="Y2" s="99"/>
      <c r="Z2" s="100"/>
      <c r="AA2" s="98" t="s">
        <v>30</v>
      </c>
      <c r="AB2" s="99"/>
      <c r="AC2" s="99"/>
      <c r="AD2" s="99"/>
      <c r="AE2" s="99"/>
      <c r="AF2" s="100"/>
      <c r="AG2" s="78" t="s">
        <v>5</v>
      </c>
      <c r="AH2" s="78"/>
      <c r="AI2" s="78"/>
      <c r="AJ2" s="78"/>
      <c r="AK2" s="78"/>
      <c r="AL2" s="78" t="s">
        <v>31</v>
      </c>
      <c r="AM2" s="78"/>
      <c r="AN2" s="78"/>
      <c r="AO2" s="78"/>
      <c r="AP2" s="78"/>
      <c r="AQ2" s="78" t="s">
        <v>32</v>
      </c>
      <c r="AR2" s="78"/>
      <c r="AS2" s="78"/>
      <c r="AT2" s="78"/>
      <c r="AU2" s="78"/>
      <c r="AV2" s="78" t="s">
        <v>33</v>
      </c>
      <c r="AW2" s="78"/>
      <c r="AX2" s="78"/>
      <c r="AY2" s="78"/>
      <c r="AZ2" s="78"/>
      <c r="BA2" s="78" t="s">
        <v>34</v>
      </c>
      <c r="BB2" s="78"/>
      <c r="BC2" s="78"/>
      <c r="BD2" s="78"/>
      <c r="BE2" s="78"/>
      <c r="BF2" s="78" t="s">
        <v>35</v>
      </c>
      <c r="BG2" s="78"/>
      <c r="BH2" s="78"/>
      <c r="BI2" s="78"/>
      <c r="BJ2" s="78"/>
      <c r="BK2" s="78" t="s">
        <v>36</v>
      </c>
      <c r="BL2" s="78"/>
      <c r="BM2" s="78"/>
      <c r="BN2" s="78"/>
      <c r="BO2" s="78"/>
      <c r="BP2" s="78" t="s">
        <v>37</v>
      </c>
      <c r="BQ2" s="78"/>
      <c r="BR2" s="78"/>
      <c r="BS2" s="78"/>
      <c r="BT2" s="78"/>
      <c r="BU2" s="78" t="s">
        <v>38</v>
      </c>
      <c r="BV2" s="78"/>
      <c r="BW2" s="78"/>
      <c r="BX2" s="78"/>
      <c r="BY2" s="78"/>
      <c r="BZ2" s="78" t="s">
        <v>39</v>
      </c>
      <c r="CA2" s="78"/>
      <c r="CB2" s="78"/>
      <c r="CC2" s="78"/>
      <c r="CD2" s="97"/>
      <c r="CE2" s="108" t="s">
        <v>40</v>
      </c>
      <c r="CF2" s="108"/>
      <c r="CG2" s="108"/>
      <c r="CH2" s="108"/>
      <c r="CI2" s="108"/>
      <c r="CJ2" s="82" t="s">
        <v>41</v>
      </c>
      <c r="CK2" s="78"/>
      <c r="CL2" s="78"/>
      <c r="CM2" s="78"/>
      <c r="CN2" s="78"/>
      <c r="CO2" s="78" t="s">
        <v>42</v>
      </c>
      <c r="CP2" s="78"/>
      <c r="CQ2" s="78"/>
      <c r="CR2" s="78"/>
      <c r="CS2" s="78"/>
      <c r="CT2" s="78" t="s">
        <v>43</v>
      </c>
      <c r="CU2" s="78"/>
      <c r="CV2" s="78"/>
      <c r="CW2" s="78"/>
      <c r="CX2" s="78"/>
      <c r="CY2" s="78" t="s">
        <v>44</v>
      </c>
      <c r="CZ2" s="78"/>
      <c r="DA2" s="78"/>
      <c r="DB2" s="78"/>
      <c r="DC2" s="78"/>
      <c r="DD2" s="78" t="s">
        <v>45</v>
      </c>
      <c r="DE2" s="78"/>
      <c r="DF2" s="78"/>
      <c r="DG2" s="78"/>
      <c r="DH2" s="78"/>
      <c r="DI2" s="78" t="s">
        <v>46</v>
      </c>
      <c r="DJ2" s="78"/>
      <c r="DK2" s="78"/>
      <c r="DL2" s="78"/>
      <c r="DM2" s="78"/>
      <c r="DN2" s="78" t="s">
        <v>47</v>
      </c>
      <c r="DO2" s="78"/>
      <c r="DP2" s="78"/>
      <c r="DQ2" s="78"/>
      <c r="DR2" s="78"/>
      <c r="DS2" s="78" t="s">
        <v>48</v>
      </c>
      <c r="DT2" s="78"/>
      <c r="DU2" s="78"/>
      <c r="DV2" s="78"/>
      <c r="DW2" s="78"/>
      <c r="DX2" s="78" t="s">
        <v>49</v>
      </c>
      <c r="DY2" s="78"/>
      <c r="DZ2" s="78"/>
      <c r="EA2" s="78"/>
      <c r="EB2" s="78"/>
      <c r="EC2" s="78" t="s">
        <v>50</v>
      </c>
      <c r="ED2" s="78"/>
      <c r="EE2" s="78"/>
      <c r="EF2" s="78"/>
      <c r="EG2" s="78"/>
      <c r="EH2" s="83" t="s">
        <v>51</v>
      </c>
      <c r="EI2" s="83"/>
      <c r="EJ2" s="83"/>
      <c r="EK2" s="83"/>
      <c r="EL2" s="82"/>
      <c r="EM2" s="78" t="s">
        <v>52</v>
      </c>
      <c r="EN2" s="78"/>
      <c r="EO2" s="78"/>
      <c r="EP2" s="78"/>
      <c r="EQ2" s="78"/>
      <c r="ER2" s="84" t="s">
        <v>53</v>
      </c>
      <c r="ES2" s="78"/>
      <c r="ET2" s="78"/>
      <c r="EU2" s="78"/>
      <c r="EV2" s="78"/>
      <c r="EW2" s="78" t="s">
        <v>54</v>
      </c>
      <c r="EX2" s="78"/>
      <c r="EY2" s="78"/>
      <c r="EZ2" s="78"/>
      <c r="FA2" s="78"/>
      <c r="FB2" s="78" t="s">
        <v>55</v>
      </c>
      <c r="FC2" s="78"/>
      <c r="FD2" s="78"/>
      <c r="FE2" s="78"/>
      <c r="FF2" s="78"/>
      <c r="FG2" s="78" t="s">
        <v>56</v>
      </c>
      <c r="FH2" s="78"/>
      <c r="FI2" s="78"/>
      <c r="FJ2" s="78"/>
      <c r="FK2" s="78"/>
      <c r="FL2" s="78" t="s">
        <v>57</v>
      </c>
      <c r="FM2" s="78"/>
      <c r="FN2" s="78"/>
      <c r="FO2" s="78"/>
      <c r="FP2" s="78"/>
      <c r="FQ2" s="78" t="s">
        <v>58</v>
      </c>
      <c r="FR2" s="78"/>
      <c r="FS2" s="78"/>
      <c r="FT2" s="78"/>
      <c r="FU2" s="78"/>
      <c r="FV2" s="78" t="s">
        <v>59</v>
      </c>
      <c r="FW2" s="78"/>
      <c r="FX2" s="78"/>
      <c r="FY2" s="78"/>
      <c r="FZ2" s="78"/>
      <c r="GA2" s="78" t="s">
        <v>60</v>
      </c>
      <c r="GB2" s="78"/>
      <c r="GC2" s="78"/>
      <c r="GD2" s="78"/>
      <c r="GE2" s="78"/>
      <c r="GF2" s="78" t="s">
        <v>61</v>
      </c>
      <c r="GG2" s="78"/>
      <c r="GH2" s="78"/>
      <c r="GI2" s="78"/>
      <c r="GJ2" s="78"/>
      <c r="GK2" s="78" t="s">
        <v>62</v>
      </c>
      <c r="GL2" s="78"/>
      <c r="GM2" s="78"/>
      <c r="GN2" s="78"/>
      <c r="GO2" s="78"/>
      <c r="GP2" s="77" t="s">
        <v>711</v>
      </c>
      <c r="GQ2" s="77"/>
      <c r="GR2" s="77"/>
      <c r="GS2" s="77"/>
      <c r="GT2" s="77"/>
      <c r="GU2" s="77" t="s">
        <v>712</v>
      </c>
      <c r="GV2" s="77"/>
      <c r="GW2" s="77"/>
      <c r="GX2" s="77"/>
      <c r="GY2" s="77"/>
      <c r="GZ2" s="77" t="s">
        <v>713</v>
      </c>
      <c r="HA2" s="77"/>
      <c r="HB2" s="77"/>
      <c r="HC2" s="77"/>
      <c r="HD2" s="77"/>
      <c r="HE2" s="77" t="s">
        <v>714</v>
      </c>
      <c r="HF2" s="77"/>
      <c r="HG2" s="77"/>
      <c r="HH2" s="77"/>
      <c r="HI2" s="77"/>
      <c r="HJ2" s="78" t="s">
        <v>715</v>
      </c>
      <c r="HK2" s="78"/>
      <c r="HL2" s="78"/>
      <c r="HM2" s="78"/>
      <c r="HN2" s="78"/>
      <c r="HO2" s="79" t="s">
        <v>716</v>
      </c>
      <c r="HP2" s="79"/>
      <c r="HQ2" s="79"/>
      <c r="HR2" s="79"/>
      <c r="HS2" s="79"/>
      <c r="HT2" s="80" t="s">
        <v>717</v>
      </c>
      <c r="HU2" s="80"/>
      <c r="HV2" s="80"/>
      <c r="HW2" s="80"/>
      <c r="HX2" s="80"/>
      <c r="HY2" s="80" t="s">
        <v>718</v>
      </c>
      <c r="HZ2" s="80"/>
      <c r="IA2" s="80"/>
      <c r="IB2" s="80"/>
      <c r="IC2" s="80"/>
      <c r="ID2" s="81" t="s">
        <v>719</v>
      </c>
      <c r="IE2" s="81"/>
      <c r="IF2" s="81"/>
      <c r="IG2" s="81"/>
      <c r="IH2" s="81"/>
      <c r="II2" s="76" t="s">
        <v>720</v>
      </c>
      <c r="IJ2" s="76"/>
      <c r="IK2" s="76"/>
      <c r="IL2" s="76"/>
      <c r="IM2" s="76"/>
      <c r="IN2" s="76" t="s">
        <v>721</v>
      </c>
      <c r="IO2" s="76"/>
      <c r="IP2" s="76"/>
      <c r="IQ2" s="76"/>
      <c r="IR2" s="76"/>
      <c r="IS2" s="76" t="s">
        <v>722</v>
      </c>
      <c r="IT2" s="76"/>
      <c r="IU2" s="76"/>
      <c r="IV2" s="76"/>
      <c r="IW2" s="76"/>
      <c r="IX2" s="76" t="s">
        <v>723</v>
      </c>
      <c r="IY2" s="76"/>
      <c r="IZ2" s="76"/>
      <c r="JA2" s="76"/>
      <c r="JB2" s="76"/>
      <c r="JC2" s="72" t="s">
        <v>724</v>
      </c>
      <c r="JD2" s="72"/>
      <c r="JE2" s="72"/>
      <c r="JF2" s="72"/>
      <c r="JG2" s="72"/>
      <c r="JH2" s="72" t="s">
        <v>725</v>
      </c>
      <c r="JI2" s="72"/>
      <c r="JJ2" s="72"/>
      <c r="JK2" s="72"/>
      <c r="JL2" s="72"/>
      <c r="JM2" s="72" t="s">
        <v>726</v>
      </c>
      <c r="JN2" s="72"/>
      <c r="JO2" s="72"/>
      <c r="JP2" s="72"/>
      <c r="JQ2" s="72"/>
      <c r="JR2" s="72" t="s">
        <v>727</v>
      </c>
      <c r="JS2" s="72"/>
      <c r="JT2" s="72"/>
      <c r="JU2" s="72"/>
      <c r="JV2" s="72"/>
      <c r="JW2" s="73" t="s">
        <v>728</v>
      </c>
      <c r="JX2" s="74"/>
      <c r="JY2" s="74"/>
      <c r="JZ2" s="74"/>
      <c r="KA2" s="75"/>
      <c r="KB2" s="50" t="s">
        <v>729</v>
      </c>
      <c r="KC2" s="51"/>
      <c r="KD2" s="51"/>
      <c r="KE2" s="51"/>
      <c r="KF2" s="52"/>
      <c r="KG2" s="50" t="s">
        <v>730</v>
      </c>
      <c r="KH2" s="51"/>
      <c r="KI2" s="51"/>
      <c r="KJ2" s="51"/>
      <c r="KK2" s="52"/>
      <c r="KL2" s="53" t="s">
        <v>731</v>
      </c>
      <c r="KM2" s="54"/>
      <c r="KN2" s="54"/>
      <c r="KO2" s="54"/>
      <c r="KP2" s="55"/>
      <c r="KQ2" s="53" t="s">
        <v>732</v>
      </c>
      <c r="KR2" s="54"/>
      <c r="KS2" s="54"/>
      <c r="KT2" s="54"/>
      <c r="KU2" s="55"/>
      <c r="KV2" s="66" t="s">
        <v>733</v>
      </c>
      <c r="KW2" s="66"/>
      <c r="KX2" s="66"/>
      <c r="KY2" s="66"/>
      <c r="KZ2" s="66"/>
      <c r="LA2" s="53" t="s">
        <v>734</v>
      </c>
      <c r="LB2" s="54"/>
      <c r="LC2" s="54"/>
      <c r="LD2" s="54"/>
      <c r="LE2" s="55"/>
      <c r="LF2" s="66" t="s">
        <v>735</v>
      </c>
      <c r="LG2" s="70"/>
      <c r="LH2" s="70"/>
      <c r="LI2" s="66"/>
      <c r="LJ2" s="66"/>
      <c r="LK2" s="71" t="s">
        <v>736</v>
      </c>
      <c r="LL2" s="71"/>
      <c r="LM2" s="71"/>
      <c r="LN2" s="71"/>
      <c r="LO2" s="71"/>
      <c r="LP2" s="71" t="s">
        <v>737</v>
      </c>
      <c r="LQ2" s="71"/>
      <c r="LR2" s="71"/>
      <c r="LS2" s="71"/>
      <c r="LT2" s="71"/>
      <c r="LU2" s="68" t="s">
        <v>738</v>
      </c>
      <c r="LV2" s="69"/>
      <c r="LW2" s="69"/>
      <c r="LX2" s="68"/>
      <c r="LY2" s="68"/>
      <c r="LZ2" s="68" t="s">
        <v>741</v>
      </c>
      <c r="MA2" s="69"/>
      <c r="MB2" s="69"/>
      <c r="MC2" s="68"/>
      <c r="MD2" s="68"/>
      <c r="ME2" s="68" t="s">
        <v>740</v>
      </c>
      <c r="MF2" s="68"/>
      <c r="MG2" s="68"/>
      <c r="MH2" s="68"/>
      <c r="MI2" s="68"/>
      <c r="MJ2" s="68" t="s">
        <v>739</v>
      </c>
      <c r="MK2" s="68"/>
      <c r="ML2" s="68"/>
      <c r="MM2" s="68"/>
      <c r="MN2" s="68"/>
      <c r="MO2" s="59" t="s">
        <v>742</v>
      </c>
      <c r="MP2" s="59"/>
      <c r="MQ2" s="59"/>
      <c r="MR2" s="59"/>
      <c r="MS2" s="59"/>
      <c r="MT2" s="60" t="s">
        <v>743</v>
      </c>
      <c r="MU2" s="61"/>
      <c r="MV2" s="61"/>
      <c r="MW2" s="61"/>
      <c r="MX2" s="62"/>
      <c r="MY2" s="67" t="s">
        <v>744</v>
      </c>
      <c r="MZ2" s="67"/>
      <c r="NA2" s="67"/>
      <c r="NB2" s="67"/>
      <c r="NC2" s="67"/>
      <c r="ND2" s="67" t="s">
        <v>745</v>
      </c>
      <c r="NE2" s="67"/>
      <c r="NF2" s="67"/>
      <c r="NG2" s="67"/>
      <c r="NH2" s="67"/>
      <c r="NI2" s="59" t="s">
        <v>746</v>
      </c>
      <c r="NJ2" s="59"/>
      <c r="NK2" s="59"/>
      <c r="NL2" s="59"/>
      <c r="NM2" s="59"/>
      <c r="NN2" s="59" t="s">
        <v>747</v>
      </c>
      <c r="NO2" s="59"/>
      <c r="NP2" s="59"/>
      <c r="NQ2" s="59"/>
      <c r="NR2" s="59"/>
      <c r="NS2" s="59" t="s">
        <v>748</v>
      </c>
      <c r="NT2" s="59"/>
      <c r="NU2" s="59"/>
      <c r="NV2" s="59"/>
      <c r="NW2" s="59"/>
      <c r="NX2" s="64" t="s">
        <v>749</v>
      </c>
      <c r="NY2" s="64"/>
      <c r="NZ2" s="64"/>
      <c r="OA2" s="64"/>
      <c r="OB2" s="64"/>
      <c r="OC2" s="64" t="s">
        <v>750</v>
      </c>
      <c r="OD2" s="64"/>
      <c r="OE2" s="64"/>
      <c r="OF2" s="64"/>
      <c r="OG2" s="64"/>
      <c r="OH2" s="65" t="s">
        <v>751</v>
      </c>
      <c r="OI2" s="65"/>
      <c r="OJ2" s="65"/>
      <c r="OK2" s="65"/>
      <c r="OL2" s="65"/>
      <c r="OM2" s="66" t="s">
        <v>752</v>
      </c>
      <c r="ON2" s="66"/>
      <c r="OO2" s="66"/>
      <c r="OP2" s="66"/>
      <c r="OQ2" s="66"/>
      <c r="OR2" s="63" t="s">
        <v>753</v>
      </c>
      <c r="OS2" s="63"/>
      <c r="OT2" s="63"/>
      <c r="OU2" s="63"/>
      <c r="OV2" s="63"/>
      <c r="OW2" s="63" t="s">
        <v>754</v>
      </c>
      <c r="OX2" s="63"/>
      <c r="OY2" s="63"/>
      <c r="OZ2" s="63"/>
      <c r="PA2" s="63"/>
      <c r="PB2" s="63" t="s">
        <v>755</v>
      </c>
      <c r="PC2" s="63"/>
      <c r="PD2" s="63"/>
      <c r="PE2" s="63"/>
      <c r="PF2" s="63"/>
      <c r="PG2" s="63" t="s">
        <v>756</v>
      </c>
      <c r="PH2" s="63"/>
      <c r="PI2" s="63"/>
      <c r="PJ2" s="63"/>
      <c r="PK2" s="63"/>
      <c r="PL2" s="41" t="s">
        <v>757</v>
      </c>
      <c r="PM2" s="42"/>
      <c r="PN2" s="42"/>
      <c r="PO2" s="42"/>
      <c r="PP2" s="43"/>
      <c r="PQ2" s="63" t="s">
        <v>758</v>
      </c>
      <c r="PR2" s="63"/>
      <c r="PS2" s="63"/>
      <c r="PT2" s="63"/>
      <c r="PU2" s="63"/>
      <c r="PV2" s="41" t="s">
        <v>759</v>
      </c>
      <c r="PW2" s="42"/>
      <c r="PX2" s="42"/>
      <c r="PY2" s="42"/>
      <c r="PZ2" s="43"/>
    </row>
    <row r="3" spans="1:442" ht="15.6" thickTop="1" thickBot="1" x14ac:dyDescent="0.35">
      <c r="A3" s="111"/>
      <c r="B3" s="111"/>
      <c r="C3" s="111"/>
      <c r="D3" s="110"/>
      <c r="E3" s="115"/>
      <c r="F3" s="1" t="s">
        <v>706</v>
      </c>
      <c r="G3" s="1" t="s">
        <v>707</v>
      </c>
      <c r="H3" s="1" t="s">
        <v>708</v>
      </c>
      <c r="I3" s="1" t="s">
        <v>709</v>
      </c>
      <c r="J3" s="1" t="s">
        <v>710</v>
      </c>
      <c r="K3" s="1" t="s">
        <v>706</v>
      </c>
      <c r="L3" s="1" t="s">
        <v>707</v>
      </c>
      <c r="M3" s="1" t="s">
        <v>708</v>
      </c>
      <c r="N3" s="1" t="s">
        <v>709</v>
      </c>
      <c r="O3" s="1" t="s">
        <v>710</v>
      </c>
      <c r="P3" s="1" t="s">
        <v>706</v>
      </c>
      <c r="Q3" s="1" t="s">
        <v>707</v>
      </c>
      <c r="R3" s="1" t="s">
        <v>708</v>
      </c>
      <c r="S3" s="1" t="s">
        <v>709</v>
      </c>
      <c r="T3" s="1" t="s">
        <v>710</v>
      </c>
      <c r="U3" s="11" t="s">
        <v>706</v>
      </c>
      <c r="V3" s="11" t="s">
        <v>784</v>
      </c>
      <c r="W3" s="11" t="s">
        <v>707</v>
      </c>
      <c r="X3" s="11" t="s">
        <v>708</v>
      </c>
      <c r="Y3" s="12" t="s">
        <v>709</v>
      </c>
      <c r="Z3" s="11" t="s">
        <v>710</v>
      </c>
      <c r="AA3" s="11" t="s">
        <v>706</v>
      </c>
      <c r="AB3" s="11" t="s">
        <v>784</v>
      </c>
      <c r="AC3" s="11" t="s">
        <v>707</v>
      </c>
      <c r="AD3" s="11" t="s">
        <v>708</v>
      </c>
      <c r="AE3" s="11" t="s">
        <v>709</v>
      </c>
      <c r="AF3" s="11" t="s">
        <v>710</v>
      </c>
      <c r="AG3" s="1" t="s">
        <v>706</v>
      </c>
      <c r="AH3" s="1" t="s">
        <v>707</v>
      </c>
      <c r="AI3" s="1" t="s">
        <v>708</v>
      </c>
      <c r="AJ3" s="1" t="s">
        <v>709</v>
      </c>
      <c r="AK3" s="1" t="s">
        <v>710</v>
      </c>
      <c r="AL3" s="1" t="s">
        <v>706</v>
      </c>
      <c r="AM3" s="1" t="s">
        <v>707</v>
      </c>
      <c r="AN3" s="1" t="s">
        <v>708</v>
      </c>
      <c r="AO3" s="1" t="s">
        <v>709</v>
      </c>
      <c r="AP3" s="1" t="s">
        <v>710</v>
      </c>
      <c r="AQ3" s="1" t="s">
        <v>706</v>
      </c>
      <c r="AR3" s="1" t="s">
        <v>707</v>
      </c>
      <c r="AS3" s="1" t="s">
        <v>708</v>
      </c>
      <c r="AT3" s="1" t="s">
        <v>709</v>
      </c>
      <c r="AU3" s="1" t="s">
        <v>710</v>
      </c>
      <c r="AV3" s="1" t="s">
        <v>706</v>
      </c>
      <c r="AW3" s="1" t="s">
        <v>707</v>
      </c>
      <c r="AX3" s="1" t="s">
        <v>708</v>
      </c>
      <c r="AY3" s="1" t="s">
        <v>709</v>
      </c>
      <c r="AZ3" s="1" t="s">
        <v>710</v>
      </c>
      <c r="BA3" s="1" t="s">
        <v>706</v>
      </c>
      <c r="BB3" s="1" t="s">
        <v>707</v>
      </c>
      <c r="BC3" s="1" t="s">
        <v>708</v>
      </c>
      <c r="BD3" s="1" t="s">
        <v>709</v>
      </c>
      <c r="BE3" s="1" t="s">
        <v>710</v>
      </c>
      <c r="BF3" s="1" t="s">
        <v>706</v>
      </c>
      <c r="BG3" s="1" t="s">
        <v>707</v>
      </c>
      <c r="BH3" s="1" t="s">
        <v>708</v>
      </c>
      <c r="BI3" s="1" t="s">
        <v>709</v>
      </c>
      <c r="BJ3" s="1" t="s">
        <v>710</v>
      </c>
      <c r="BK3" s="1" t="s">
        <v>706</v>
      </c>
      <c r="BL3" s="1" t="s">
        <v>707</v>
      </c>
      <c r="BM3" s="1" t="s">
        <v>708</v>
      </c>
      <c r="BN3" s="1" t="s">
        <v>709</v>
      </c>
      <c r="BO3" s="1" t="s">
        <v>710</v>
      </c>
      <c r="BP3" s="1" t="s">
        <v>706</v>
      </c>
      <c r="BQ3" s="1" t="s">
        <v>707</v>
      </c>
      <c r="BR3" s="1" t="s">
        <v>708</v>
      </c>
      <c r="BS3" s="1" t="s">
        <v>709</v>
      </c>
      <c r="BT3" s="1" t="s">
        <v>710</v>
      </c>
      <c r="BU3" s="1" t="s">
        <v>706</v>
      </c>
      <c r="BV3" s="1" t="s">
        <v>707</v>
      </c>
      <c r="BW3" s="1" t="s">
        <v>708</v>
      </c>
      <c r="BX3" s="1" t="s">
        <v>709</v>
      </c>
      <c r="BY3" s="1" t="s">
        <v>710</v>
      </c>
      <c r="BZ3" s="1" t="s">
        <v>706</v>
      </c>
      <c r="CA3" s="1" t="s">
        <v>707</v>
      </c>
      <c r="CB3" s="1" t="s">
        <v>708</v>
      </c>
      <c r="CC3" s="1" t="s">
        <v>709</v>
      </c>
      <c r="CD3" s="1" t="s">
        <v>710</v>
      </c>
      <c r="CE3" s="35" t="s">
        <v>706</v>
      </c>
      <c r="CF3" s="35" t="s">
        <v>707</v>
      </c>
      <c r="CG3" s="35" t="s">
        <v>708</v>
      </c>
      <c r="CH3" s="35" t="s">
        <v>709</v>
      </c>
      <c r="CI3" s="35" t="s">
        <v>710</v>
      </c>
      <c r="CJ3" s="1" t="s">
        <v>706</v>
      </c>
      <c r="CK3" s="1" t="s">
        <v>707</v>
      </c>
      <c r="CL3" s="1" t="s">
        <v>708</v>
      </c>
      <c r="CM3" s="1" t="s">
        <v>709</v>
      </c>
      <c r="CN3" s="1" t="s">
        <v>710</v>
      </c>
      <c r="CO3" s="1" t="s">
        <v>706</v>
      </c>
      <c r="CP3" s="1" t="s">
        <v>707</v>
      </c>
      <c r="CQ3" s="1" t="s">
        <v>708</v>
      </c>
      <c r="CR3" s="1" t="s">
        <v>709</v>
      </c>
      <c r="CS3" s="1" t="s">
        <v>710</v>
      </c>
      <c r="CT3" s="1" t="s">
        <v>706</v>
      </c>
      <c r="CU3" s="1" t="s">
        <v>707</v>
      </c>
      <c r="CV3" s="1" t="s">
        <v>708</v>
      </c>
      <c r="CW3" s="1" t="s">
        <v>709</v>
      </c>
      <c r="CX3" s="1" t="s">
        <v>710</v>
      </c>
      <c r="CY3" s="1" t="s">
        <v>706</v>
      </c>
      <c r="CZ3" s="1" t="s">
        <v>707</v>
      </c>
      <c r="DA3" s="1" t="s">
        <v>708</v>
      </c>
      <c r="DB3" s="1" t="s">
        <v>709</v>
      </c>
      <c r="DC3" s="1" t="s">
        <v>710</v>
      </c>
      <c r="DD3" s="1" t="s">
        <v>706</v>
      </c>
      <c r="DE3" s="1" t="s">
        <v>707</v>
      </c>
      <c r="DF3" s="1" t="s">
        <v>708</v>
      </c>
      <c r="DG3" s="1" t="s">
        <v>709</v>
      </c>
      <c r="DH3" s="1" t="s">
        <v>710</v>
      </c>
      <c r="DI3" s="1" t="s">
        <v>706</v>
      </c>
      <c r="DJ3" s="1" t="s">
        <v>707</v>
      </c>
      <c r="DK3" s="1" t="s">
        <v>708</v>
      </c>
      <c r="DL3" s="1" t="s">
        <v>709</v>
      </c>
      <c r="DM3" s="1" t="s">
        <v>710</v>
      </c>
      <c r="DN3" s="1" t="s">
        <v>706</v>
      </c>
      <c r="DO3" s="1" t="s">
        <v>707</v>
      </c>
      <c r="DP3" s="1" t="s">
        <v>708</v>
      </c>
      <c r="DQ3" s="1" t="s">
        <v>709</v>
      </c>
      <c r="DR3" s="1" t="s">
        <v>710</v>
      </c>
      <c r="DS3" s="1" t="s">
        <v>706</v>
      </c>
      <c r="DT3" s="1" t="s">
        <v>707</v>
      </c>
      <c r="DU3" s="1" t="s">
        <v>708</v>
      </c>
      <c r="DV3" s="1" t="s">
        <v>709</v>
      </c>
      <c r="DW3" s="1" t="s">
        <v>710</v>
      </c>
      <c r="DX3" s="1" t="s">
        <v>706</v>
      </c>
      <c r="DY3" s="1" t="s">
        <v>707</v>
      </c>
      <c r="DZ3" s="1" t="s">
        <v>708</v>
      </c>
      <c r="EA3" s="1" t="s">
        <v>709</v>
      </c>
      <c r="EB3" s="1" t="s">
        <v>710</v>
      </c>
      <c r="EC3" s="1" t="s">
        <v>706</v>
      </c>
      <c r="ED3" s="1" t="s">
        <v>707</v>
      </c>
      <c r="EE3" s="1" t="s">
        <v>708</v>
      </c>
      <c r="EF3" s="1" t="s">
        <v>709</v>
      </c>
      <c r="EG3" s="1" t="s">
        <v>710</v>
      </c>
      <c r="EH3" s="1" t="s">
        <v>706</v>
      </c>
      <c r="EI3" s="1" t="s">
        <v>707</v>
      </c>
      <c r="EJ3" s="1" t="s">
        <v>708</v>
      </c>
      <c r="EK3" s="1" t="s">
        <v>709</v>
      </c>
      <c r="EL3" s="1" t="s">
        <v>710</v>
      </c>
      <c r="EM3" s="1" t="s">
        <v>706</v>
      </c>
      <c r="EN3" s="1" t="s">
        <v>707</v>
      </c>
      <c r="EO3" s="1" t="s">
        <v>708</v>
      </c>
      <c r="EP3" s="1" t="s">
        <v>709</v>
      </c>
      <c r="EQ3" s="1" t="s">
        <v>710</v>
      </c>
      <c r="ER3" s="1" t="s">
        <v>706</v>
      </c>
      <c r="ES3" s="1" t="s">
        <v>707</v>
      </c>
      <c r="ET3" s="1" t="s">
        <v>708</v>
      </c>
      <c r="EU3" s="1" t="s">
        <v>709</v>
      </c>
      <c r="EV3" s="1" t="s">
        <v>710</v>
      </c>
      <c r="EW3" s="1" t="s">
        <v>706</v>
      </c>
      <c r="EX3" s="1" t="s">
        <v>707</v>
      </c>
      <c r="EY3" s="1" t="s">
        <v>708</v>
      </c>
      <c r="EZ3" s="1" t="s">
        <v>709</v>
      </c>
      <c r="FA3" s="1" t="s">
        <v>710</v>
      </c>
      <c r="FB3" s="1" t="s">
        <v>706</v>
      </c>
      <c r="FC3" s="1" t="s">
        <v>707</v>
      </c>
      <c r="FD3" s="1" t="s">
        <v>708</v>
      </c>
      <c r="FE3" s="1" t="s">
        <v>709</v>
      </c>
      <c r="FF3" s="1" t="s">
        <v>710</v>
      </c>
      <c r="FG3" s="1" t="s">
        <v>706</v>
      </c>
      <c r="FH3" s="1" t="s">
        <v>707</v>
      </c>
      <c r="FI3" s="1" t="s">
        <v>708</v>
      </c>
      <c r="FJ3" s="1" t="s">
        <v>709</v>
      </c>
      <c r="FK3" s="1" t="s">
        <v>710</v>
      </c>
      <c r="FL3" s="1" t="s">
        <v>706</v>
      </c>
      <c r="FM3" s="1" t="s">
        <v>707</v>
      </c>
      <c r="FN3" s="1" t="s">
        <v>708</v>
      </c>
      <c r="FO3" s="1" t="s">
        <v>709</v>
      </c>
      <c r="FP3" s="1" t="s">
        <v>710</v>
      </c>
      <c r="FQ3" s="1" t="s">
        <v>706</v>
      </c>
      <c r="FR3" s="1" t="s">
        <v>707</v>
      </c>
      <c r="FS3" s="1" t="s">
        <v>708</v>
      </c>
      <c r="FT3" s="1" t="s">
        <v>709</v>
      </c>
      <c r="FU3" s="1" t="s">
        <v>710</v>
      </c>
      <c r="FV3" s="1" t="s">
        <v>706</v>
      </c>
      <c r="FW3" s="1" t="s">
        <v>707</v>
      </c>
      <c r="FX3" s="1" t="s">
        <v>708</v>
      </c>
      <c r="FY3" s="1" t="s">
        <v>709</v>
      </c>
      <c r="FZ3" s="1" t="s">
        <v>710</v>
      </c>
      <c r="GA3" s="1" t="s">
        <v>706</v>
      </c>
      <c r="GB3" s="1" t="s">
        <v>707</v>
      </c>
      <c r="GC3" s="1" t="s">
        <v>708</v>
      </c>
      <c r="GD3" s="1" t="s">
        <v>709</v>
      </c>
      <c r="GE3" s="1" t="s">
        <v>710</v>
      </c>
      <c r="GF3" s="1" t="s">
        <v>706</v>
      </c>
      <c r="GG3" s="1" t="s">
        <v>707</v>
      </c>
      <c r="GH3" s="1" t="s">
        <v>708</v>
      </c>
      <c r="GI3" s="1" t="s">
        <v>709</v>
      </c>
      <c r="GJ3" s="1" t="s">
        <v>710</v>
      </c>
      <c r="GK3" s="1" t="s">
        <v>706</v>
      </c>
      <c r="GL3" s="1" t="s">
        <v>707</v>
      </c>
      <c r="GM3" s="1" t="s">
        <v>708</v>
      </c>
      <c r="GN3" s="1" t="s">
        <v>709</v>
      </c>
      <c r="GO3" s="1" t="s">
        <v>710</v>
      </c>
      <c r="GP3" s="13" t="s">
        <v>706</v>
      </c>
      <c r="GQ3" s="14" t="s">
        <v>707</v>
      </c>
      <c r="GR3" s="14" t="s">
        <v>708</v>
      </c>
      <c r="GS3" s="14" t="s">
        <v>709</v>
      </c>
      <c r="GT3" s="14" t="s">
        <v>710</v>
      </c>
      <c r="GU3" s="13" t="s">
        <v>706</v>
      </c>
      <c r="GV3" s="14" t="s">
        <v>707</v>
      </c>
      <c r="GW3" s="14" t="s">
        <v>708</v>
      </c>
      <c r="GX3" s="14" t="s">
        <v>709</v>
      </c>
      <c r="GY3" s="14" t="s">
        <v>710</v>
      </c>
      <c r="GZ3" s="13" t="s">
        <v>706</v>
      </c>
      <c r="HA3" s="14" t="s">
        <v>707</v>
      </c>
      <c r="HB3" s="14" t="s">
        <v>708</v>
      </c>
      <c r="HC3" s="14" t="s">
        <v>709</v>
      </c>
      <c r="HD3" s="14" t="s">
        <v>710</v>
      </c>
      <c r="HE3" s="13" t="s">
        <v>706</v>
      </c>
      <c r="HF3" s="14" t="s">
        <v>707</v>
      </c>
      <c r="HG3" s="14" t="s">
        <v>708</v>
      </c>
      <c r="HH3" s="14" t="s">
        <v>709</v>
      </c>
      <c r="HI3" s="14" t="s">
        <v>710</v>
      </c>
      <c r="HJ3" s="13" t="s">
        <v>706</v>
      </c>
      <c r="HK3" s="14" t="s">
        <v>707</v>
      </c>
      <c r="HL3" s="14" t="s">
        <v>708</v>
      </c>
      <c r="HM3" s="14" t="s">
        <v>709</v>
      </c>
      <c r="HN3" s="14" t="s">
        <v>710</v>
      </c>
      <c r="HO3" s="13" t="s">
        <v>706</v>
      </c>
      <c r="HP3" s="14" t="s">
        <v>707</v>
      </c>
      <c r="HQ3" s="14" t="s">
        <v>708</v>
      </c>
      <c r="HR3" s="14" t="s">
        <v>709</v>
      </c>
      <c r="HS3" s="14" t="s">
        <v>710</v>
      </c>
      <c r="HT3" s="13" t="s">
        <v>706</v>
      </c>
      <c r="HU3" s="14" t="s">
        <v>707</v>
      </c>
      <c r="HV3" s="14" t="s">
        <v>708</v>
      </c>
      <c r="HW3" s="14" t="s">
        <v>709</v>
      </c>
      <c r="HX3" s="14" t="s">
        <v>710</v>
      </c>
      <c r="HY3" s="13" t="s">
        <v>706</v>
      </c>
      <c r="HZ3" s="14" t="s">
        <v>707</v>
      </c>
      <c r="IA3" s="14" t="s">
        <v>708</v>
      </c>
      <c r="IB3" s="14" t="s">
        <v>709</v>
      </c>
      <c r="IC3" s="14" t="s">
        <v>710</v>
      </c>
      <c r="ID3" s="13" t="s">
        <v>706</v>
      </c>
      <c r="IE3" s="14" t="s">
        <v>707</v>
      </c>
      <c r="IF3" s="14" t="s">
        <v>708</v>
      </c>
      <c r="IG3" s="14" t="s">
        <v>709</v>
      </c>
      <c r="IH3" s="14" t="s">
        <v>710</v>
      </c>
      <c r="II3" s="13" t="s">
        <v>706</v>
      </c>
      <c r="IJ3" s="14" t="s">
        <v>707</v>
      </c>
      <c r="IK3" s="14" t="s">
        <v>708</v>
      </c>
      <c r="IL3" s="14" t="s">
        <v>709</v>
      </c>
      <c r="IM3" s="14" t="s">
        <v>710</v>
      </c>
      <c r="IN3" s="13" t="s">
        <v>706</v>
      </c>
      <c r="IO3" s="14" t="s">
        <v>707</v>
      </c>
      <c r="IP3" s="14" t="s">
        <v>708</v>
      </c>
      <c r="IQ3" s="14" t="s">
        <v>709</v>
      </c>
      <c r="IR3" s="14" t="s">
        <v>710</v>
      </c>
      <c r="IS3" s="13" t="s">
        <v>706</v>
      </c>
      <c r="IT3" s="14" t="s">
        <v>707</v>
      </c>
      <c r="IU3" s="14" t="s">
        <v>708</v>
      </c>
      <c r="IV3" s="14" t="s">
        <v>709</v>
      </c>
      <c r="IW3" s="14" t="s">
        <v>710</v>
      </c>
      <c r="IX3" s="13" t="s">
        <v>706</v>
      </c>
      <c r="IY3" s="14" t="s">
        <v>707</v>
      </c>
      <c r="IZ3" s="14" t="s">
        <v>708</v>
      </c>
      <c r="JA3" s="14" t="s">
        <v>709</v>
      </c>
      <c r="JB3" s="14" t="s">
        <v>710</v>
      </c>
      <c r="JC3" s="16" t="s">
        <v>706</v>
      </c>
      <c r="JD3" s="16" t="s">
        <v>707</v>
      </c>
      <c r="JE3" s="16" t="s">
        <v>708</v>
      </c>
      <c r="JF3" s="16" t="s">
        <v>709</v>
      </c>
      <c r="JG3" s="16" t="s">
        <v>710</v>
      </c>
      <c r="JH3" s="16" t="s">
        <v>706</v>
      </c>
      <c r="JI3" s="16" t="s">
        <v>707</v>
      </c>
      <c r="JJ3" s="16" t="s">
        <v>708</v>
      </c>
      <c r="JK3" s="16" t="s">
        <v>709</v>
      </c>
      <c r="JL3" s="16" t="s">
        <v>710</v>
      </c>
      <c r="JM3" s="16" t="s">
        <v>706</v>
      </c>
      <c r="JN3" s="16" t="s">
        <v>707</v>
      </c>
      <c r="JO3" s="16" t="s">
        <v>708</v>
      </c>
      <c r="JP3" s="16" t="s">
        <v>709</v>
      </c>
      <c r="JQ3" s="16" t="s">
        <v>710</v>
      </c>
      <c r="JR3" s="16" t="s">
        <v>706</v>
      </c>
      <c r="JS3" s="16" t="s">
        <v>707</v>
      </c>
      <c r="JT3" s="16" t="s">
        <v>708</v>
      </c>
      <c r="JU3" s="16" t="s">
        <v>709</v>
      </c>
      <c r="JV3" s="16" t="s">
        <v>710</v>
      </c>
      <c r="JW3" s="16" t="s">
        <v>706</v>
      </c>
      <c r="JX3" s="16" t="s">
        <v>707</v>
      </c>
      <c r="JY3" s="16" t="s">
        <v>708</v>
      </c>
      <c r="JZ3" s="16" t="s">
        <v>709</v>
      </c>
      <c r="KA3" s="16" t="s">
        <v>710</v>
      </c>
      <c r="KB3" s="17" t="s">
        <v>706</v>
      </c>
      <c r="KC3" s="17" t="s">
        <v>707</v>
      </c>
      <c r="KD3" s="17" t="s">
        <v>708</v>
      </c>
      <c r="KE3" s="17" t="s">
        <v>709</v>
      </c>
      <c r="KF3" s="17" t="s">
        <v>710</v>
      </c>
      <c r="KG3" s="17" t="s">
        <v>706</v>
      </c>
      <c r="KH3" s="17" t="s">
        <v>707</v>
      </c>
      <c r="KI3" s="17" t="s">
        <v>708</v>
      </c>
      <c r="KJ3" s="17" t="s">
        <v>709</v>
      </c>
      <c r="KK3" s="17" t="s">
        <v>710</v>
      </c>
      <c r="KL3" s="18" t="s">
        <v>706</v>
      </c>
      <c r="KM3" s="18" t="s">
        <v>707</v>
      </c>
      <c r="KN3" s="18" t="s">
        <v>708</v>
      </c>
      <c r="KO3" s="18" t="s">
        <v>709</v>
      </c>
      <c r="KP3" s="18" t="s">
        <v>710</v>
      </c>
      <c r="KQ3" s="18" t="s">
        <v>706</v>
      </c>
      <c r="KR3" s="18" t="s">
        <v>707</v>
      </c>
      <c r="KS3" s="18" t="s">
        <v>708</v>
      </c>
      <c r="KT3" s="18" t="s">
        <v>709</v>
      </c>
      <c r="KU3" s="18" t="s">
        <v>710</v>
      </c>
      <c r="KV3" s="18" t="s">
        <v>706</v>
      </c>
      <c r="KW3" s="18" t="s">
        <v>707</v>
      </c>
      <c r="KX3" s="18" t="s">
        <v>708</v>
      </c>
      <c r="KY3" s="18" t="s">
        <v>709</v>
      </c>
      <c r="KZ3" s="18" t="s">
        <v>710</v>
      </c>
      <c r="LA3" s="18" t="s">
        <v>706</v>
      </c>
      <c r="LB3" s="18" t="s">
        <v>707</v>
      </c>
      <c r="LC3" s="18" t="s">
        <v>708</v>
      </c>
      <c r="LD3" s="18" t="s">
        <v>709</v>
      </c>
      <c r="LE3" s="18" t="s">
        <v>710</v>
      </c>
      <c r="LF3" s="18" t="s">
        <v>706</v>
      </c>
      <c r="LG3" s="18" t="s">
        <v>707</v>
      </c>
      <c r="LH3" s="18" t="s">
        <v>708</v>
      </c>
      <c r="LI3" s="18" t="s">
        <v>709</v>
      </c>
      <c r="LJ3" s="18" t="s">
        <v>710</v>
      </c>
      <c r="LK3" s="37" t="s">
        <v>706</v>
      </c>
      <c r="LL3" s="37" t="s">
        <v>707</v>
      </c>
      <c r="LM3" s="37" t="s">
        <v>708</v>
      </c>
      <c r="LN3" s="37" t="s">
        <v>709</v>
      </c>
      <c r="LO3" s="37" t="s">
        <v>710</v>
      </c>
      <c r="LP3" s="37" t="s">
        <v>706</v>
      </c>
      <c r="LQ3" s="37" t="s">
        <v>707</v>
      </c>
      <c r="LR3" s="37" t="s">
        <v>708</v>
      </c>
      <c r="LS3" s="37" t="s">
        <v>709</v>
      </c>
      <c r="LT3" s="37" t="s">
        <v>710</v>
      </c>
      <c r="LU3" s="37" t="s">
        <v>706</v>
      </c>
      <c r="LV3" s="37" t="s">
        <v>707</v>
      </c>
      <c r="LW3" s="37" t="s">
        <v>708</v>
      </c>
      <c r="LX3" s="37" t="s">
        <v>709</v>
      </c>
      <c r="LY3" s="37" t="s">
        <v>710</v>
      </c>
      <c r="LZ3" s="37" t="s">
        <v>706</v>
      </c>
      <c r="MA3" s="37" t="s">
        <v>707</v>
      </c>
      <c r="MB3" s="37" t="s">
        <v>708</v>
      </c>
      <c r="MC3" s="37" t="s">
        <v>709</v>
      </c>
      <c r="MD3" s="37" t="s">
        <v>710</v>
      </c>
      <c r="ME3" s="37" t="s">
        <v>706</v>
      </c>
      <c r="MF3" s="37" t="s">
        <v>707</v>
      </c>
      <c r="MG3" s="37" t="s">
        <v>708</v>
      </c>
      <c r="MH3" s="37" t="s">
        <v>709</v>
      </c>
      <c r="MI3" s="37" t="s">
        <v>710</v>
      </c>
      <c r="MJ3" s="37" t="s">
        <v>706</v>
      </c>
      <c r="MK3" s="37" t="s">
        <v>707</v>
      </c>
      <c r="ML3" s="37" t="s">
        <v>708</v>
      </c>
      <c r="MM3" s="37" t="s">
        <v>709</v>
      </c>
      <c r="MN3" s="37" t="s">
        <v>710</v>
      </c>
      <c r="MO3" s="14" t="s">
        <v>706</v>
      </c>
      <c r="MP3" s="14" t="s">
        <v>707</v>
      </c>
      <c r="MQ3" s="14" t="s">
        <v>708</v>
      </c>
      <c r="MR3" s="14" t="s">
        <v>709</v>
      </c>
      <c r="MS3" s="14" t="s">
        <v>710</v>
      </c>
      <c r="MT3" s="14" t="s">
        <v>706</v>
      </c>
      <c r="MU3" s="14" t="s">
        <v>707</v>
      </c>
      <c r="MV3" s="14" t="s">
        <v>708</v>
      </c>
      <c r="MW3" s="14" t="s">
        <v>709</v>
      </c>
      <c r="MX3" s="14" t="s">
        <v>710</v>
      </c>
      <c r="MY3" s="1" t="s">
        <v>706</v>
      </c>
      <c r="MZ3" s="1" t="s">
        <v>707</v>
      </c>
      <c r="NA3" s="1" t="s">
        <v>708</v>
      </c>
      <c r="NB3" s="1" t="s">
        <v>709</v>
      </c>
      <c r="NC3" s="1" t="s">
        <v>710</v>
      </c>
      <c r="ND3" s="1" t="s">
        <v>706</v>
      </c>
      <c r="NE3" s="1" t="s">
        <v>707</v>
      </c>
      <c r="NF3" s="1" t="s">
        <v>708</v>
      </c>
      <c r="NG3" s="1" t="s">
        <v>709</v>
      </c>
      <c r="NH3" s="1" t="s">
        <v>710</v>
      </c>
      <c r="NI3" s="19" t="s">
        <v>706</v>
      </c>
      <c r="NJ3" s="19" t="s">
        <v>707</v>
      </c>
      <c r="NK3" s="19" t="s">
        <v>708</v>
      </c>
      <c r="NL3" s="19" t="s">
        <v>709</v>
      </c>
      <c r="NM3" s="19" t="s">
        <v>710</v>
      </c>
      <c r="NN3" s="19" t="s">
        <v>706</v>
      </c>
      <c r="NO3" s="19" t="s">
        <v>707</v>
      </c>
      <c r="NP3" s="19" t="s">
        <v>708</v>
      </c>
      <c r="NQ3" s="19" t="s">
        <v>709</v>
      </c>
      <c r="NR3" s="19" t="s">
        <v>710</v>
      </c>
      <c r="NS3" s="19" t="s">
        <v>706</v>
      </c>
      <c r="NT3" s="19" t="s">
        <v>707</v>
      </c>
      <c r="NU3" s="19" t="s">
        <v>708</v>
      </c>
      <c r="NV3" s="19" t="s">
        <v>709</v>
      </c>
      <c r="NW3" s="19" t="s">
        <v>710</v>
      </c>
      <c r="NX3" s="20" t="s">
        <v>706</v>
      </c>
      <c r="NY3" s="20" t="s">
        <v>707</v>
      </c>
      <c r="NZ3" s="20" t="s">
        <v>708</v>
      </c>
      <c r="OA3" s="20" t="s">
        <v>709</v>
      </c>
      <c r="OB3" s="20" t="s">
        <v>710</v>
      </c>
      <c r="OC3" s="20" t="s">
        <v>706</v>
      </c>
      <c r="OD3" s="20" t="s">
        <v>707</v>
      </c>
      <c r="OE3" s="20" t="s">
        <v>708</v>
      </c>
      <c r="OF3" s="20" t="s">
        <v>709</v>
      </c>
      <c r="OG3" s="20" t="s">
        <v>710</v>
      </c>
      <c r="OH3" s="18" t="s">
        <v>706</v>
      </c>
      <c r="OI3" s="18" t="s">
        <v>707</v>
      </c>
      <c r="OJ3" s="18" t="s">
        <v>708</v>
      </c>
      <c r="OK3" s="18" t="s">
        <v>709</v>
      </c>
      <c r="OL3" s="18" t="s">
        <v>710</v>
      </c>
      <c r="OM3" s="18" t="s">
        <v>706</v>
      </c>
      <c r="ON3" s="18" t="s">
        <v>707</v>
      </c>
      <c r="OO3" s="18" t="s">
        <v>708</v>
      </c>
      <c r="OP3" s="18" t="s">
        <v>709</v>
      </c>
      <c r="OQ3" s="18" t="s">
        <v>710</v>
      </c>
      <c r="OR3" s="15" t="s">
        <v>706</v>
      </c>
      <c r="OS3" s="15" t="s">
        <v>707</v>
      </c>
      <c r="OT3" s="15" t="s">
        <v>708</v>
      </c>
      <c r="OU3" s="15" t="s">
        <v>709</v>
      </c>
      <c r="OV3" s="15" t="s">
        <v>710</v>
      </c>
      <c r="OW3" s="15" t="s">
        <v>706</v>
      </c>
      <c r="OX3" s="15" t="s">
        <v>707</v>
      </c>
      <c r="OY3" s="15" t="s">
        <v>708</v>
      </c>
      <c r="OZ3" s="15" t="s">
        <v>709</v>
      </c>
      <c r="PA3" s="15" t="s">
        <v>710</v>
      </c>
      <c r="PB3" s="15" t="s">
        <v>706</v>
      </c>
      <c r="PC3" s="15" t="s">
        <v>707</v>
      </c>
      <c r="PD3" s="15" t="s">
        <v>708</v>
      </c>
      <c r="PE3" s="15" t="s">
        <v>709</v>
      </c>
      <c r="PF3" s="15" t="s">
        <v>710</v>
      </c>
      <c r="PG3" s="15" t="s">
        <v>706</v>
      </c>
      <c r="PH3" s="15" t="s">
        <v>707</v>
      </c>
      <c r="PI3" s="15" t="s">
        <v>708</v>
      </c>
      <c r="PJ3" s="15" t="s">
        <v>709</v>
      </c>
      <c r="PK3" s="15" t="s">
        <v>710</v>
      </c>
      <c r="PL3" s="15" t="s">
        <v>706</v>
      </c>
      <c r="PM3" s="15" t="s">
        <v>707</v>
      </c>
      <c r="PN3" s="15" t="s">
        <v>708</v>
      </c>
      <c r="PO3" s="15" t="s">
        <v>709</v>
      </c>
      <c r="PP3" s="15" t="s">
        <v>710</v>
      </c>
      <c r="PQ3" s="15" t="s">
        <v>706</v>
      </c>
      <c r="PR3" s="15" t="s">
        <v>707</v>
      </c>
      <c r="PS3" s="15" t="s">
        <v>708</v>
      </c>
      <c r="PT3" s="15" t="s">
        <v>709</v>
      </c>
      <c r="PU3" s="15" t="s">
        <v>710</v>
      </c>
      <c r="PV3" s="15" t="s">
        <v>706</v>
      </c>
      <c r="PW3" s="15" t="s">
        <v>707</v>
      </c>
      <c r="PX3" s="15" t="s">
        <v>708</v>
      </c>
      <c r="PY3" s="15" t="s">
        <v>709</v>
      </c>
      <c r="PZ3" s="15" t="s">
        <v>710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 t="s">
        <v>68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760</v>
      </c>
      <c r="D5" s="30" t="s">
        <v>69</v>
      </c>
      <c r="E5" s="31" t="s">
        <v>70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71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72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 t="s">
        <v>73</v>
      </c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74</v>
      </c>
      <c r="D6" s="30" t="s">
        <v>69</v>
      </c>
      <c r="E6" s="31" t="s">
        <v>75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76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77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 t="s">
        <v>73</v>
      </c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78</v>
      </c>
      <c r="D7" s="30" t="s">
        <v>69</v>
      </c>
      <c r="E7" s="31" t="s">
        <v>79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80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81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539</v>
      </c>
      <c r="CD7" s="5" t="str">
        <f t="shared" ca="1" si="28"/>
        <v>VIGENTE</v>
      </c>
      <c r="CE7" s="6" t="s">
        <v>73</v>
      </c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82</v>
      </c>
      <c r="D8" s="30" t="s">
        <v>64</v>
      </c>
      <c r="E8" s="31" t="s">
        <v>83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84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85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506</v>
      </c>
      <c r="CD8" s="5" t="str">
        <f t="shared" ca="1" si="28"/>
        <v>VIGENTE</v>
      </c>
      <c r="CE8" s="6" t="s">
        <v>68</v>
      </c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761</v>
      </c>
      <c r="D9" s="30" t="s">
        <v>64</v>
      </c>
      <c r="E9" s="31" t="s">
        <v>83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86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87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581</v>
      </c>
      <c r="CD9" s="5" t="str">
        <f t="shared" ca="1" si="28"/>
        <v>VIGENTE</v>
      </c>
      <c r="CE9" s="6" t="s">
        <v>73</v>
      </c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88</v>
      </c>
      <c r="D10" s="30" t="s">
        <v>69</v>
      </c>
      <c r="E10" s="31" t="s">
        <v>75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89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90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324</v>
      </c>
      <c r="CD10" s="5" t="str">
        <f t="shared" ca="1" si="28"/>
        <v>VIGENTE</v>
      </c>
      <c r="CE10" s="6" t="s">
        <v>73</v>
      </c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91</v>
      </c>
      <c r="D11" s="30" t="s">
        <v>69</v>
      </c>
      <c r="E11" s="31" t="s">
        <v>75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8"/>
        <v>VIGENTE</v>
      </c>
      <c r="U11" s="5"/>
      <c r="V11" s="2" t="s">
        <v>92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93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 t="s">
        <v>73</v>
      </c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94</v>
      </c>
      <c r="D12" s="30" t="s">
        <v>69</v>
      </c>
      <c r="E12" s="31" t="s">
        <v>95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96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97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539</v>
      </c>
      <c r="CD12" s="5" t="str">
        <f t="shared" ca="1" si="28"/>
        <v>VIGENTE</v>
      </c>
      <c r="CE12" s="6" t="s">
        <v>73</v>
      </c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98</v>
      </c>
      <c r="D13" s="30" t="s">
        <v>69</v>
      </c>
      <c r="E13" s="31" t="s">
        <v>75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99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100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660</v>
      </c>
      <c r="CD13" s="5" t="str">
        <f t="shared" ca="1" si="28"/>
        <v>VIGENTE</v>
      </c>
      <c r="CE13" s="6" t="s">
        <v>73</v>
      </c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101</v>
      </c>
      <c r="D14" s="30" t="s">
        <v>64</v>
      </c>
      <c r="E14" s="31" t="s">
        <v>102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8"/>
        <v>VIGENTE</v>
      </c>
      <c r="U14" s="5"/>
      <c r="V14" s="2" t="s">
        <v>103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104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506</v>
      </c>
      <c r="CD14" s="5" t="str">
        <f t="shared" ca="1" si="28"/>
        <v>VIGENTE</v>
      </c>
      <c r="CE14" s="6" t="s">
        <v>73</v>
      </c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105</v>
      </c>
      <c r="D15" s="30" t="s">
        <v>69</v>
      </c>
      <c r="E15" s="31" t="s">
        <v>75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8"/>
        <v>VIGENTE</v>
      </c>
      <c r="U15" s="5"/>
      <c r="V15" s="2" t="s">
        <v>106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107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365</v>
      </c>
      <c r="CD15" s="5" t="str">
        <f t="shared" ca="1" si="28"/>
        <v>VIGENTE</v>
      </c>
      <c r="CE15" s="6" t="s">
        <v>73</v>
      </c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108</v>
      </c>
      <c r="D16" s="30" t="s">
        <v>69</v>
      </c>
      <c r="E16" s="31" t="s">
        <v>70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109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110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549</v>
      </c>
      <c r="CD16" s="5" t="str">
        <f t="shared" ca="1" si="28"/>
        <v>VIGENTE</v>
      </c>
      <c r="CE16" s="6" t="s">
        <v>73</v>
      </c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111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8"/>
        <v>VIGENTE</v>
      </c>
      <c r="U17" s="5"/>
      <c r="V17" s="2" t="s">
        <v>112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113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539</v>
      </c>
      <c r="CD17" s="5" t="str">
        <f t="shared" ca="1" si="28"/>
        <v>VIGENTE</v>
      </c>
      <c r="CE17" s="6" t="s">
        <v>73</v>
      </c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356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114</v>
      </c>
      <c r="D18" s="30" t="s">
        <v>115</v>
      </c>
      <c r="E18" s="31" t="s">
        <v>116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117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365</v>
      </c>
      <c r="CD18" s="5" t="str">
        <f t="shared" ca="1" si="28"/>
        <v>VIGENTE</v>
      </c>
      <c r="CE18" s="6" t="s">
        <v>68</v>
      </c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356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118</v>
      </c>
      <c r="D19" s="30" t="s">
        <v>119</v>
      </c>
      <c r="E19" s="31" t="s">
        <v>120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121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122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 t="s">
        <v>73</v>
      </c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356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123</v>
      </c>
      <c r="D20" s="30" t="s">
        <v>69</v>
      </c>
      <c r="E20" s="31" t="s">
        <v>124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125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126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 t="s">
        <v>73</v>
      </c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127</v>
      </c>
      <c r="D21" s="30" t="s">
        <v>115</v>
      </c>
      <c r="E21" s="31" t="s">
        <v>128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129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413</v>
      </c>
      <c r="CD21" s="5" t="str">
        <f t="shared" ca="1" si="28"/>
        <v>VIGENTE</v>
      </c>
      <c r="CE21" s="6" t="s">
        <v>68</v>
      </c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130</v>
      </c>
      <c r="D22" s="30" t="s">
        <v>69</v>
      </c>
      <c r="E22" s="31" t="s">
        <v>131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132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133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539</v>
      </c>
      <c r="CD22" s="5" t="str">
        <f t="shared" ca="1" si="28"/>
        <v>VIGENTE</v>
      </c>
      <c r="CE22" s="6" t="s">
        <v>73</v>
      </c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134</v>
      </c>
      <c r="D23" s="30" t="s">
        <v>64</v>
      </c>
      <c r="E23" s="31" t="s">
        <v>135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8"/>
        <v>VIGENTE</v>
      </c>
      <c r="U23" s="5"/>
      <c r="V23" s="2" t="s">
        <v>136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137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539</v>
      </c>
      <c r="CD23" s="5" t="str">
        <f t="shared" ca="1" si="28"/>
        <v>VIGENTE</v>
      </c>
      <c r="CE23" s="6" t="s">
        <v>68</v>
      </c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138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8"/>
        <v>VIGENTE</v>
      </c>
      <c r="U24" s="5"/>
      <c r="V24" s="2" t="s">
        <v>139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140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539</v>
      </c>
      <c r="CD24" s="5" t="str">
        <f t="shared" ca="1" si="28"/>
        <v>VIGENTE</v>
      </c>
      <c r="CE24" s="6" t="s">
        <v>73</v>
      </c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141</v>
      </c>
      <c r="D25" s="30" t="s">
        <v>69</v>
      </c>
      <c r="E25" s="31" t="s">
        <v>75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142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143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549</v>
      </c>
      <c r="CD25" s="5" t="str">
        <f t="shared" ca="1" si="28"/>
        <v>VIGENTE</v>
      </c>
      <c r="CE25" s="6" t="s">
        <v>73</v>
      </c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144</v>
      </c>
      <c r="D26" s="30" t="s">
        <v>115</v>
      </c>
      <c r="E26" s="31" t="s">
        <v>128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145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 t="s">
        <v>146</v>
      </c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147</v>
      </c>
      <c r="D27" s="30" t="s">
        <v>69</v>
      </c>
      <c r="E27" s="31" t="s">
        <v>79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148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149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 t="s">
        <v>73</v>
      </c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150</v>
      </c>
      <c r="D28" s="30" t="s">
        <v>115</v>
      </c>
      <c r="E28" s="31" t="s">
        <v>151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152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 t="s">
        <v>68</v>
      </c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153</v>
      </c>
      <c r="D29" s="30" t="s">
        <v>115</v>
      </c>
      <c r="E29" s="31" t="s">
        <v>128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154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 t="s">
        <v>68</v>
      </c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155</v>
      </c>
      <c r="D30" s="30" t="s">
        <v>69</v>
      </c>
      <c r="E30" s="31" t="s">
        <v>156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8"/>
        <v>VIGENTE</v>
      </c>
      <c r="U30" s="5"/>
      <c r="V30" s="2" t="s">
        <v>157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 t="s">
        <v>73</v>
      </c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1095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159</v>
      </c>
      <c r="D31" s="30" t="s">
        <v>160</v>
      </c>
      <c r="E31" s="31" t="s">
        <v>161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162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163</v>
      </c>
      <c r="AC31" s="4">
        <v>45192</v>
      </c>
      <c r="AD31" s="4">
        <f t="shared" si="196"/>
        <v>47019</v>
      </c>
      <c r="AE31" s="8">
        <f t="shared" ca="1" si="197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 t="s">
        <v>68</v>
      </c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647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780</v>
      </c>
      <c r="D32" s="30" t="s">
        <v>64</v>
      </c>
      <c r="E32" s="31" t="s">
        <v>164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8"/>
        <v>VIGENTE</v>
      </c>
      <c r="U32" s="5"/>
      <c r="V32" s="2" t="s">
        <v>165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166</v>
      </c>
      <c r="AC32" s="4">
        <v>45190</v>
      </c>
      <c r="AD32" s="4">
        <f t="shared" si="196"/>
        <v>47017</v>
      </c>
      <c r="AE32" s="8">
        <f t="shared" ca="1" si="197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 t="s">
        <v>73</v>
      </c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786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762</v>
      </c>
      <c r="D33" s="30" t="s">
        <v>69</v>
      </c>
      <c r="E33" s="31" t="s">
        <v>167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168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169</v>
      </c>
      <c r="AC33" s="4">
        <v>44824</v>
      </c>
      <c r="AD33" s="4">
        <f t="shared" si="196"/>
        <v>46650</v>
      </c>
      <c r="AE33" s="8">
        <f t="shared" ca="1" si="197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 t="s">
        <v>73</v>
      </c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553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170</v>
      </c>
      <c r="D34" s="30" t="s">
        <v>69</v>
      </c>
      <c r="E34" s="31" t="s">
        <v>156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171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172</v>
      </c>
      <c r="AC34" s="4">
        <v>44988</v>
      </c>
      <c r="AD34" s="4">
        <f t="shared" si="196"/>
        <v>46815</v>
      </c>
      <c r="AE34" s="8">
        <f t="shared" ca="1" si="197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539</v>
      </c>
      <c r="CD34" s="5" t="str">
        <f t="shared" ca="1" si="28"/>
        <v>VIGENTE</v>
      </c>
      <c r="CE34" s="6" t="s">
        <v>73</v>
      </c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786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173</v>
      </c>
      <c r="D35" s="30" t="s">
        <v>64</v>
      </c>
      <c r="E35" s="31" t="s">
        <v>83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8"/>
        <v>VIGENTE</v>
      </c>
      <c r="U35" s="5"/>
      <c r="V35" s="2" t="s">
        <v>174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175</v>
      </c>
      <c r="AC35" s="4">
        <v>45233</v>
      </c>
      <c r="AD35" s="4">
        <f t="shared" si="196"/>
        <v>47060</v>
      </c>
      <c r="AE35" s="8">
        <f t="shared" ca="1" si="197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581</v>
      </c>
      <c r="CD35" s="5" t="str">
        <f t="shared" ca="1" si="28"/>
        <v>VIGENTE</v>
      </c>
      <c r="CE35" s="6" t="s">
        <v>73</v>
      </c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1009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176</v>
      </c>
      <c r="D36" s="30" t="s">
        <v>115</v>
      </c>
      <c r="E36" s="31" t="s">
        <v>177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178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549</v>
      </c>
      <c r="CD36" s="5" t="str">
        <f t="shared" ca="1" si="28"/>
        <v>VIGENTE</v>
      </c>
      <c r="CE36" s="6" t="s">
        <v>68</v>
      </c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179</v>
      </c>
      <c r="D37" s="30" t="s">
        <v>64</v>
      </c>
      <c r="E37" s="31" t="s">
        <v>83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8"/>
        <v>VIGENTE</v>
      </c>
      <c r="U37" s="5"/>
      <c r="V37" s="2" t="s">
        <v>180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181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413</v>
      </c>
      <c r="CD37" s="5" t="str">
        <f t="shared" ca="1" si="28"/>
        <v>VIGENTE</v>
      </c>
      <c r="CE37" s="6" t="s">
        <v>73</v>
      </c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888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182</v>
      </c>
      <c r="D38" s="30" t="s">
        <v>64</v>
      </c>
      <c r="E38" s="31" t="s">
        <v>164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8"/>
        <v>VIGENTE</v>
      </c>
      <c r="U38" s="5"/>
      <c r="V38" s="2" t="s">
        <v>183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184</v>
      </c>
      <c r="AC38" s="4">
        <v>45190</v>
      </c>
      <c r="AD38" s="4">
        <f t="shared" si="212"/>
        <v>47017</v>
      </c>
      <c r="AE38" s="8">
        <f t="shared" ca="1" si="213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539</v>
      </c>
      <c r="CD38" s="5" t="str">
        <f t="shared" ca="1" si="28"/>
        <v>VIGENTE</v>
      </c>
      <c r="CE38" s="6" t="s">
        <v>73</v>
      </c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1187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185</v>
      </c>
      <c r="D39" s="30" t="s">
        <v>64</v>
      </c>
      <c r="E39" s="31" t="s">
        <v>83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8"/>
        <v>VIGENTE</v>
      </c>
      <c r="U39" s="5"/>
      <c r="V39" s="2" t="s">
        <v>186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187</v>
      </c>
      <c r="AC39" s="4">
        <v>45192</v>
      </c>
      <c r="AD39" s="4">
        <f t="shared" si="212"/>
        <v>47019</v>
      </c>
      <c r="AE39" s="8">
        <f t="shared" ca="1" si="213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 t="s">
        <v>68</v>
      </c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712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763</v>
      </c>
      <c r="D40" s="30" t="s">
        <v>69</v>
      </c>
      <c r="E40" s="31" t="s">
        <v>188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189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190</v>
      </c>
      <c r="AC40" s="4">
        <v>44824</v>
      </c>
      <c r="AD40" s="4">
        <f t="shared" si="212"/>
        <v>46650</v>
      </c>
      <c r="AE40" s="8">
        <f t="shared" ca="1" si="213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 t="s">
        <v>73</v>
      </c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842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191</v>
      </c>
      <c r="D41" s="30" t="s">
        <v>69</v>
      </c>
      <c r="E41" s="31" t="s">
        <v>192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193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194</v>
      </c>
      <c r="AC41" s="4">
        <v>44824</v>
      </c>
      <c r="AD41" s="4">
        <f t="shared" si="212"/>
        <v>46650</v>
      </c>
      <c r="AE41" s="8">
        <f t="shared" ca="1" si="213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 t="s">
        <v>73</v>
      </c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567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764</v>
      </c>
      <c r="D42" s="30" t="s">
        <v>69</v>
      </c>
      <c r="E42" s="31" t="s">
        <v>195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196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197</v>
      </c>
      <c r="AC42" s="4">
        <v>44824</v>
      </c>
      <c r="AD42" s="4">
        <f t="shared" si="212"/>
        <v>46650</v>
      </c>
      <c r="AE42" s="8">
        <f t="shared" ca="1" si="213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 t="s">
        <v>73</v>
      </c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553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198</v>
      </c>
      <c r="D43" s="30" t="s">
        <v>69</v>
      </c>
      <c r="E43" s="31" t="s">
        <v>70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199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200</v>
      </c>
      <c r="AC43" s="4">
        <v>44391</v>
      </c>
      <c r="AD43" s="4">
        <f t="shared" si="212"/>
        <v>46217</v>
      </c>
      <c r="AE43" s="8">
        <f t="shared" ca="1" si="213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 t="s">
        <v>73</v>
      </c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647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201</v>
      </c>
      <c r="D44" s="30" t="s">
        <v>115</v>
      </c>
      <c r="E44" s="31" t="s">
        <v>128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202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 t="s">
        <v>73</v>
      </c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203</v>
      </c>
      <c r="D45" s="30" t="s">
        <v>69</v>
      </c>
      <c r="E45" s="31" t="s">
        <v>75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204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205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 t="s">
        <v>73</v>
      </c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206</v>
      </c>
      <c r="D46" s="30" t="s">
        <v>69</v>
      </c>
      <c r="E46" s="31" t="s">
        <v>79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207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208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 t="s">
        <v>73</v>
      </c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209</v>
      </c>
      <c r="D47" s="30" t="s">
        <v>115</v>
      </c>
      <c r="E47" s="31" t="s">
        <v>151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210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 t="s">
        <v>68</v>
      </c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211</v>
      </c>
      <c r="D48" s="30" t="s">
        <v>69</v>
      </c>
      <c r="E48" s="31" t="s">
        <v>131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212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213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 t="s">
        <v>73</v>
      </c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214</v>
      </c>
      <c r="D49" s="30" t="s">
        <v>69</v>
      </c>
      <c r="E49" s="31" t="s">
        <v>156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215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216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 t="s">
        <v>73</v>
      </c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217</v>
      </c>
      <c r="D50" s="30" t="s">
        <v>69</v>
      </c>
      <c r="E50" s="31" t="s">
        <v>188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218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219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 t="s">
        <v>73</v>
      </c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220</v>
      </c>
      <c r="D51" s="30" t="s">
        <v>64</v>
      </c>
      <c r="E51" s="31" t="s">
        <v>135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8"/>
        <v>VIGENTE</v>
      </c>
      <c r="U51" s="5"/>
      <c r="V51" s="2" t="s">
        <v>221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222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 t="s">
        <v>73</v>
      </c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223</v>
      </c>
      <c r="D52" s="30" t="s">
        <v>115</v>
      </c>
      <c r="E52" s="31" t="s">
        <v>151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224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 t="s">
        <v>68</v>
      </c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225</v>
      </c>
      <c r="D53" s="30" t="s">
        <v>115</v>
      </c>
      <c r="E53" s="31" t="s">
        <v>128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226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 t="s">
        <v>73</v>
      </c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227</v>
      </c>
      <c r="D54" s="30" t="s">
        <v>69</v>
      </c>
      <c r="E54" s="31" t="s">
        <v>70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228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229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183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 t="s">
        <v>73</v>
      </c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230</v>
      </c>
      <c r="D55" s="30" t="s">
        <v>115</v>
      </c>
      <c r="E55" s="31" t="s">
        <v>128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231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274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 t="s">
        <v>68</v>
      </c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232</v>
      </c>
      <c r="D56" s="30" t="s">
        <v>69</v>
      </c>
      <c r="E56" s="31" t="s">
        <v>195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8"/>
        <v>VIGENTE</v>
      </c>
      <c r="U56" s="5"/>
      <c r="V56" s="2" t="s">
        <v>233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234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183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 t="s">
        <v>73</v>
      </c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235</v>
      </c>
      <c r="D57" s="30" t="s">
        <v>69</v>
      </c>
      <c r="E57" s="31" t="s">
        <v>95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236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237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183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 t="s">
        <v>73</v>
      </c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238</v>
      </c>
      <c r="D58" s="30" t="s">
        <v>69</v>
      </c>
      <c r="E58" s="31" t="s">
        <v>156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239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240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203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 t="s">
        <v>73</v>
      </c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765</v>
      </c>
      <c r="D59" s="30" t="s">
        <v>69</v>
      </c>
      <c r="E59" s="31" t="s">
        <v>124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241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242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188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 t="s">
        <v>73</v>
      </c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781</v>
      </c>
      <c r="D60" s="30" t="s">
        <v>69</v>
      </c>
      <c r="E60" s="31" t="s">
        <v>70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243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244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 t="s">
        <v>73</v>
      </c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245</v>
      </c>
      <c r="D61" s="30" t="s">
        <v>115</v>
      </c>
      <c r="E61" s="31" t="s">
        <v>151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246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 t="s">
        <v>73</v>
      </c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247</v>
      </c>
      <c r="D62" s="30" t="s">
        <v>69</v>
      </c>
      <c r="E62" s="31" t="s">
        <v>75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8"/>
        <v>VIGENTE</v>
      </c>
      <c r="U62" s="5"/>
      <c r="V62" s="2" t="s">
        <v>248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249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 t="s">
        <v>73</v>
      </c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250</v>
      </c>
      <c r="D63" s="30" t="s">
        <v>69</v>
      </c>
      <c r="E63" s="31" t="s">
        <v>95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251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252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 t="s">
        <v>73</v>
      </c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253</v>
      </c>
      <c r="D64" s="30" t="s">
        <v>69</v>
      </c>
      <c r="E64" s="31" t="s">
        <v>95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254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255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569</v>
      </c>
      <c r="CD64" s="5" t="str">
        <f t="shared" ca="1" si="28"/>
        <v>VIGENTE</v>
      </c>
      <c r="CE64" s="6" t="s">
        <v>73</v>
      </c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256</v>
      </c>
      <c r="D65" s="30" t="s">
        <v>69</v>
      </c>
      <c r="E65" s="31" t="s">
        <v>195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8"/>
        <v>VIGENTE</v>
      </c>
      <c r="U65" s="5"/>
      <c r="V65" s="2" t="s">
        <v>257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258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539</v>
      </c>
      <c r="CD65" s="5" t="str">
        <f t="shared" ca="1" si="28"/>
        <v>VIGENTE</v>
      </c>
      <c r="CE65" s="6" t="s">
        <v>73</v>
      </c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259</v>
      </c>
      <c r="D66" s="30" t="s">
        <v>64</v>
      </c>
      <c r="E66" s="31" t="s">
        <v>135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8"/>
        <v>VIGENTE</v>
      </c>
      <c r="U66" s="5"/>
      <c r="V66" s="2" t="s">
        <v>260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261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365</v>
      </c>
      <c r="CD66" s="5" t="str">
        <f t="shared" ca="1" si="28"/>
        <v>VIGENTE</v>
      </c>
      <c r="CE66" s="6" t="s">
        <v>73</v>
      </c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262</v>
      </c>
      <c r="D67" s="30" t="s">
        <v>115</v>
      </c>
      <c r="E67" s="31" t="s">
        <v>151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263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549</v>
      </c>
      <c r="CD67" s="5" t="str">
        <f t="shared" ca="1" si="28"/>
        <v>VIGENTE</v>
      </c>
      <c r="CE67" s="6" t="s">
        <v>68</v>
      </c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766</v>
      </c>
      <c r="D68" s="30" t="s">
        <v>115</v>
      </c>
      <c r="E68" s="31" t="s">
        <v>128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264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529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487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575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591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522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336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199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293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295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330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549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73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942</v>
      </c>
      <c r="CI68" s="5" t="str">
        <f t="shared" ref="CI68:CI109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372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278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638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595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317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570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641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337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364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363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315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265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271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512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526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514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264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341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556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309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325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281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764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675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695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265</v>
      </c>
      <c r="D69" s="30" t="s">
        <v>69</v>
      </c>
      <c r="E69" s="31" t="s">
        <v>124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266</v>
      </c>
      <c r="W69" s="4">
        <v>44829</v>
      </c>
      <c r="X69" s="4">
        <f t="shared" si="248"/>
        <v>46655</v>
      </c>
      <c r="Y69" s="8">
        <f t="shared" ca="1" si="249"/>
        <v>520</v>
      </c>
      <c r="Z69" s="5" t="str">
        <f t="shared" ca="1" si="250"/>
        <v>VIGENTE</v>
      </c>
      <c r="AA69" s="5"/>
      <c r="AB69" s="2" t="s">
        <v>267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183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521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562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585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538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563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651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72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545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539</v>
      </c>
      <c r="CD69" s="5" t="str">
        <f t="shared" ca="1" si="270"/>
        <v>VIGENTE</v>
      </c>
      <c r="CE69" s="6" t="s">
        <v>73</v>
      </c>
      <c r="CF69" s="4">
        <v>45241</v>
      </c>
      <c r="CG69" s="4">
        <f t="shared" si="271"/>
        <v>46702</v>
      </c>
      <c r="CH69" s="8">
        <f t="shared" ca="1" si="272"/>
        <v>567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490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477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239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259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283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550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114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613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276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268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38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265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594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548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546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527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528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629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609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520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580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540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987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944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943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268</v>
      </c>
      <c r="D70" s="30" t="s">
        <v>115</v>
      </c>
      <c r="E70" s="31" t="s">
        <v>128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269</v>
      </c>
      <c r="W70" s="4">
        <v>45282</v>
      </c>
      <c r="X70" s="4">
        <f t="shared" si="248"/>
        <v>47109</v>
      </c>
      <c r="Y70" s="8">
        <f t="shared" ca="1" si="249"/>
        <v>974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497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532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499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522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336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292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293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215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205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506</v>
      </c>
      <c r="CD70" s="5" t="str">
        <f t="shared" ca="1" si="270"/>
        <v>VIGENTE</v>
      </c>
      <c r="CE70" s="6" t="s">
        <v>68</v>
      </c>
      <c r="CF70" s="4">
        <v>45828</v>
      </c>
      <c r="CG70" s="4">
        <f t="shared" si="271"/>
        <v>47289</v>
      </c>
      <c r="CH70" s="8">
        <f t="shared" ca="1" si="272"/>
        <v>1154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282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278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500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430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317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494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577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337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257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268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315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331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271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512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526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527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182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341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588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309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325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209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764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675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695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270</v>
      </c>
      <c r="D71" s="30" t="s">
        <v>115</v>
      </c>
      <c r="E71" s="31" t="s">
        <v>128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271</v>
      </c>
      <c r="W71" s="4">
        <v>46069</v>
      </c>
      <c r="X71" s="4">
        <f t="shared" si="248"/>
        <v>47895</v>
      </c>
      <c r="Y71" s="8">
        <f t="shared" ca="1" si="249"/>
        <v>1760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497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498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499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522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336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292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651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645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162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506</v>
      </c>
      <c r="CD71" s="5" t="str">
        <f t="shared" ca="1" si="270"/>
        <v>VIGENTE</v>
      </c>
      <c r="CE71" s="6" t="s">
        <v>68</v>
      </c>
      <c r="CF71" s="4">
        <v>45723</v>
      </c>
      <c r="CG71" s="4">
        <f t="shared" si="271"/>
        <v>47184</v>
      </c>
      <c r="CH71" s="8">
        <f t="shared" ca="1" si="272"/>
        <v>1049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195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364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638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694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671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570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577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202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257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324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315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696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169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512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526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527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170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672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536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261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631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281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705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643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708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272</v>
      </c>
      <c r="D72" s="30" t="s">
        <v>69</v>
      </c>
      <c r="E72" s="31" t="s">
        <v>79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273</v>
      </c>
      <c r="W72" s="4">
        <v>45401</v>
      </c>
      <c r="X72" s="4">
        <f t="shared" si="248"/>
        <v>47227</v>
      </c>
      <c r="Y72" s="8">
        <f t="shared" ca="1" si="249"/>
        <v>1092</v>
      </c>
      <c r="Z72" s="5" t="str">
        <f t="shared" ca="1" si="250"/>
        <v>VIGENTE</v>
      </c>
      <c r="AA72" s="5"/>
      <c r="AB72" s="2" t="s">
        <v>274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274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554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499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567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48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662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660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41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658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74</v>
      </c>
      <c r="CD72" s="5" t="str">
        <f t="shared" ca="1" si="270"/>
        <v>POR VENCER</v>
      </c>
      <c r="CE72" s="6" t="s">
        <v>73</v>
      </c>
      <c r="CF72" s="4">
        <v>45227</v>
      </c>
      <c r="CG72" s="4">
        <f t="shared" si="271"/>
        <v>46688</v>
      </c>
      <c r="CH72" s="8">
        <f t="shared" ca="1" si="272"/>
        <v>553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524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107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225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255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190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374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577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648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257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268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38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254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61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288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226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317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170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272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181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63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310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518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916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643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943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578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275</v>
      </c>
      <c r="D73" s="30" t="s">
        <v>69</v>
      </c>
      <c r="E73" s="31" t="s">
        <v>75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62"/>
        <v>VIGENTE</v>
      </c>
      <c r="U73" s="5"/>
      <c r="V73" s="6" t="s">
        <v>276</v>
      </c>
      <c r="W73" s="4">
        <v>45693</v>
      </c>
      <c r="X73" s="4">
        <f t="shared" si="248"/>
        <v>47519</v>
      </c>
      <c r="Y73" s="8">
        <f t="shared" ca="1" si="249"/>
        <v>1384</v>
      </c>
      <c r="Z73" s="5" t="str">
        <f t="shared" ca="1" si="250"/>
        <v>VIGENTE</v>
      </c>
      <c r="AA73" s="5"/>
      <c r="AB73" s="6"/>
      <c r="AC73" s="6"/>
      <c r="AD73" s="4"/>
      <c r="AE73" s="8"/>
      <c r="AF73" s="5" t="str">
        <f t="shared" si="251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203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196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234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238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197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237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293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295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289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324</v>
      </c>
      <c r="CD73" s="5" t="str">
        <f t="shared" ca="1" si="270"/>
        <v>VIGENTE</v>
      </c>
      <c r="CE73" s="6" t="s">
        <v>68</v>
      </c>
      <c r="CF73" s="4">
        <v>45723</v>
      </c>
      <c r="CG73" s="4">
        <f t="shared" si="271"/>
        <v>47184</v>
      </c>
      <c r="CH73" s="8">
        <f t="shared" ca="1" si="272"/>
        <v>1049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282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278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233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240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283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290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325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213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257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236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38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206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271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204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205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262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231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199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210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220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266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202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767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62"/>
        <v>VIGENTE</v>
      </c>
      <c r="U74" s="5"/>
      <c r="V74" s="2" t="s">
        <v>277</v>
      </c>
      <c r="W74" s="4">
        <v>45282</v>
      </c>
      <c r="X74" s="4">
        <f t="shared" si="248"/>
        <v>47109</v>
      </c>
      <c r="Y74" s="8">
        <f t="shared" ca="1" si="249"/>
        <v>974</v>
      </c>
      <c r="Z74" s="5" t="str">
        <f t="shared" ca="1" si="250"/>
        <v>VIGENTE</v>
      </c>
      <c r="AA74" s="5"/>
      <c r="AB74" s="2" t="s">
        <v>278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882</v>
      </c>
      <c r="AF74" s="5" t="str">
        <f t="shared" ca="1" si="251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497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196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334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296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197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292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194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295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162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539</v>
      </c>
      <c r="CD74" s="5" t="str">
        <f t="shared" ca="1" si="270"/>
        <v>VIGENTE</v>
      </c>
      <c r="CE74" s="6" t="s">
        <v>68</v>
      </c>
      <c r="CF74" s="4">
        <v>45828</v>
      </c>
      <c r="CG74" s="4">
        <f t="shared" si="271"/>
        <v>47289</v>
      </c>
      <c r="CH74" s="8">
        <f t="shared" ca="1" si="272"/>
        <v>1154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195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278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321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259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356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328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325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202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176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363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337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178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169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512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526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514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182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318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536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261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347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227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643</v>
      </c>
      <c r="GT74" s="5" t="str">
        <f t="shared" ref="GT74:GT108" ca="1" si="387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791</v>
      </c>
      <c r="GY74" s="5" t="str">
        <f t="shared" ref="GY74:GY105" ca="1" si="388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960</v>
      </c>
      <c r="HD74" s="5" t="str">
        <f t="shared" ref="HD74:HD98" ca="1" si="389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647</v>
      </c>
      <c r="HI74" s="5" t="str">
        <f t="shared" ref="HI74:HI84" ca="1" si="39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279</v>
      </c>
      <c r="D75" s="30" t="s">
        <v>69</v>
      </c>
      <c r="E75" s="31" t="s">
        <v>156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280</v>
      </c>
      <c r="W75" s="4">
        <v>44786</v>
      </c>
      <c r="X75" s="4">
        <f t="shared" si="248"/>
        <v>46612</v>
      </c>
      <c r="Y75" s="8">
        <f t="shared" ca="1" si="249"/>
        <v>477</v>
      </c>
      <c r="Z75" s="5" t="str">
        <f t="shared" ca="1" si="250"/>
        <v>VIGENTE</v>
      </c>
      <c r="AA75" s="5"/>
      <c r="AB75" s="2" t="s">
        <v>281</v>
      </c>
      <c r="AC75" s="4">
        <v>45499</v>
      </c>
      <c r="AD75" s="4">
        <f t="shared" si="385"/>
        <v>47325</v>
      </c>
      <c r="AE75" s="8">
        <f t="shared" ca="1" si="386"/>
        <v>1190</v>
      </c>
      <c r="AF75" s="5" t="str">
        <f t="shared" ca="1" si="251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188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521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566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567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336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582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630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664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49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569</v>
      </c>
      <c r="CD75" s="5" t="str">
        <f t="shared" ca="1" si="270"/>
        <v>VIGENTE</v>
      </c>
      <c r="CE75" s="6" t="s">
        <v>73</v>
      </c>
      <c r="CF75" s="4">
        <v>45227</v>
      </c>
      <c r="CG75" s="4">
        <f t="shared" si="271"/>
        <v>46688</v>
      </c>
      <c r="CH75" s="8">
        <f t="shared" ca="1" si="272"/>
        <v>553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98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320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233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259</v>
      </c>
      <c r="DC75" s="5" t="str">
        <f t="shared" ca="1" si="281"/>
        <v>VIGENTE</v>
      </c>
      <c r="DD75" s="4"/>
      <c r="DE75" s="4">
        <v>45689</v>
      </c>
      <c r="DF75" s="4">
        <f t="shared" ref="DF75:DF80" si="391">DATE(YEAR(DE75)+2,MONTH(DE75),DAY(DE75)-1)</f>
        <v>46418</v>
      </c>
      <c r="DG75" s="8">
        <f t="shared" ca="1" si="282"/>
        <v>283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290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641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322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303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268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315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265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349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559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583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564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332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272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588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335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346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443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856</v>
      </c>
      <c r="GT75" s="5" t="str">
        <f t="shared" ca="1" si="387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892</v>
      </c>
      <c r="GY75" s="5" t="str">
        <f t="shared" ca="1" si="388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855</v>
      </c>
      <c r="HD75" s="5" t="str">
        <f t="shared" ca="1" si="389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556</v>
      </c>
      <c r="HI75" s="5" t="str">
        <f t="shared" ca="1" si="39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282</v>
      </c>
      <c r="D76" s="30" t="s">
        <v>69</v>
      </c>
      <c r="E76" s="31" t="s">
        <v>167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283</v>
      </c>
      <c r="W76" s="4">
        <v>44801</v>
      </c>
      <c r="X76" s="4">
        <f t="shared" si="248"/>
        <v>46627</v>
      </c>
      <c r="Y76" s="8">
        <f t="shared" ca="1" si="249"/>
        <v>492</v>
      </c>
      <c r="Z76" s="5" t="str">
        <f t="shared" ca="1" si="250"/>
        <v>VIGENTE</v>
      </c>
      <c r="AA76" s="5"/>
      <c r="AB76" s="2" t="s">
        <v>284</v>
      </c>
      <c r="AC76" s="4">
        <v>44831</v>
      </c>
      <c r="AD76" s="4">
        <f t="shared" si="385"/>
        <v>46657</v>
      </c>
      <c r="AE76" s="8">
        <f t="shared" ca="1" si="386"/>
        <v>522</v>
      </c>
      <c r="AF76" s="5" t="str">
        <f t="shared" ca="1" si="251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601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532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562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547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666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582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646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72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49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549</v>
      </c>
      <c r="CD76" s="5" t="str">
        <f t="shared" ca="1" si="270"/>
        <v>VIGENTE</v>
      </c>
      <c r="CE76" s="6" t="s">
        <v>73</v>
      </c>
      <c r="CF76" s="4">
        <v>45262</v>
      </c>
      <c r="CG76" s="4">
        <f t="shared" si="271"/>
        <v>46723</v>
      </c>
      <c r="CH76" s="8">
        <f t="shared" ca="1" si="272"/>
        <v>588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98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111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225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259</v>
      </c>
      <c r="DC76" s="5" t="str">
        <f t="shared" ca="1" si="281"/>
        <v>VIGENTE</v>
      </c>
      <c r="DD76" s="3"/>
      <c r="DE76" s="4">
        <v>45689</v>
      </c>
      <c r="DF76" s="4">
        <f t="shared" si="391"/>
        <v>46418</v>
      </c>
      <c r="DG76" s="8">
        <f t="shared" ca="1" si="282"/>
        <v>283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624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67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648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68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56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245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54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61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548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546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557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280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60</v>
      </c>
      <c r="FU76" s="5" t="str">
        <f t="shared" ca="1" si="309"/>
        <v>POR VENCER</v>
      </c>
      <c r="FV76" s="4"/>
      <c r="FW76" s="4">
        <v>45587</v>
      </c>
      <c r="FX76" s="4">
        <f t="shared" ref="FX76:FX81" si="392">DATE(YEAR(FW76)+2,MONTH(FW76),DAY(FW76)-1)</f>
        <v>46316</v>
      </c>
      <c r="FY76" s="8">
        <f t="shared" ca="1" si="310"/>
        <v>181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625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66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518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936</v>
      </c>
      <c r="GT76" s="5" t="str">
        <f t="shared" ca="1" si="387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937</v>
      </c>
      <c r="GY76" s="5" t="str">
        <f t="shared" ca="1" si="388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943</v>
      </c>
      <c r="HD76" s="5" t="str">
        <f t="shared" ca="1" si="389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553</v>
      </c>
      <c r="HI76" s="5" t="str">
        <f t="shared" ca="1" si="39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285</v>
      </c>
      <c r="D77" s="30" t="s">
        <v>69</v>
      </c>
      <c r="E77" s="31" t="s">
        <v>75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286</v>
      </c>
      <c r="W77" s="4">
        <v>45500</v>
      </c>
      <c r="X77" s="4">
        <f t="shared" si="248"/>
        <v>47326</v>
      </c>
      <c r="Y77" s="8">
        <f t="shared" ca="1" si="249"/>
        <v>1191</v>
      </c>
      <c r="Z77" s="5" t="str">
        <f t="shared" ca="1" si="250"/>
        <v>VIGENTE</v>
      </c>
      <c r="AA77" s="5"/>
      <c r="AB77" s="2" t="s">
        <v>287</v>
      </c>
      <c r="AC77" s="4">
        <v>44988</v>
      </c>
      <c r="AD77" s="4">
        <f t="shared" si="385"/>
        <v>46815</v>
      </c>
      <c r="AE77" s="8">
        <f t="shared" ca="1" si="386"/>
        <v>680</v>
      </c>
      <c r="AF77" s="5" t="str">
        <f t="shared" ca="1" si="251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211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112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679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665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48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662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646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72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658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74</v>
      </c>
      <c r="CD77" s="5" t="str">
        <f t="shared" ca="1" si="270"/>
        <v>POR VENCER</v>
      </c>
      <c r="CE77" s="6" t="s">
        <v>73</v>
      </c>
      <c r="CF77" s="4">
        <v>45241</v>
      </c>
      <c r="CG77" s="4">
        <f t="shared" si="271"/>
        <v>46702</v>
      </c>
      <c r="CH77" s="8">
        <f t="shared" ca="1" si="272"/>
        <v>567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105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75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239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259</v>
      </c>
      <c r="DC77" s="5" t="str">
        <f t="shared" ca="1" si="281"/>
        <v>VIGENTE</v>
      </c>
      <c r="DD77" s="3"/>
      <c r="DE77" s="4">
        <v>45689</v>
      </c>
      <c r="DF77" s="4">
        <f t="shared" si="391"/>
        <v>46418</v>
      </c>
      <c r="DG77" s="8">
        <f t="shared" ca="1" si="282"/>
        <v>283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103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114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667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104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700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42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62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690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96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76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661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634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77</v>
      </c>
      <c r="FU77" s="5" t="str">
        <f t="shared" ca="1" si="309"/>
        <v>POR VENCER</v>
      </c>
      <c r="FV77" s="4"/>
      <c r="FW77" s="4">
        <v>45574</v>
      </c>
      <c r="FX77" s="4">
        <f t="shared" si="392"/>
        <v>46303</v>
      </c>
      <c r="FY77" s="8">
        <f t="shared" ca="1" si="310"/>
        <v>168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625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688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87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1150</v>
      </c>
      <c r="GT77" s="5" t="str">
        <f t="shared" ca="1" si="387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1198</v>
      </c>
      <c r="GY77" s="5" t="str">
        <f t="shared" ca="1" si="388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1170</v>
      </c>
      <c r="HD77" s="5" t="str">
        <f t="shared" ca="1" si="389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570</v>
      </c>
      <c r="HI77" s="5" t="str">
        <f t="shared" ca="1" si="39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288</v>
      </c>
      <c r="D78" s="30" t="s">
        <v>64</v>
      </c>
      <c r="E78" s="31" t="s">
        <v>83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62"/>
        <v>VIGENTE</v>
      </c>
      <c r="U78" s="5"/>
      <c r="V78" s="2" t="s">
        <v>289</v>
      </c>
      <c r="W78" s="4">
        <v>44701</v>
      </c>
      <c r="X78" s="4">
        <f t="shared" si="248"/>
        <v>46527</v>
      </c>
      <c r="Y78" s="8">
        <f t="shared" ca="1" si="249"/>
        <v>392</v>
      </c>
      <c r="Z78" s="5" t="str">
        <f t="shared" ca="1" si="250"/>
        <v>VIGENTE</v>
      </c>
      <c r="AA78" s="5"/>
      <c r="AB78" s="2" t="s">
        <v>290</v>
      </c>
      <c r="AC78" s="4">
        <v>45162</v>
      </c>
      <c r="AD78" s="4">
        <f t="shared" si="385"/>
        <v>46989</v>
      </c>
      <c r="AE78" s="8">
        <f t="shared" ca="1" si="386"/>
        <v>854</v>
      </c>
      <c r="AF78" s="5" t="str">
        <f t="shared" ca="1" si="251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274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196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499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522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636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622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194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295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43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223</v>
      </c>
      <c r="CD78" s="5" t="str">
        <f t="shared" ca="1" si="270"/>
        <v>VIGENTE</v>
      </c>
      <c r="CE78" s="6" t="s">
        <v>68</v>
      </c>
      <c r="CF78" s="4">
        <v>45832</v>
      </c>
      <c r="CG78" s="4">
        <f t="shared" si="271"/>
        <v>47293</v>
      </c>
      <c r="CH78" s="8">
        <f t="shared" ca="1" si="272"/>
        <v>1158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195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320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500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595</v>
      </c>
      <c r="DC78" s="5" t="str">
        <f t="shared" ca="1" si="281"/>
        <v>VIGENTE</v>
      </c>
      <c r="DD78" s="3"/>
      <c r="DE78" s="4">
        <v>45596</v>
      </c>
      <c r="DF78" s="4">
        <f t="shared" si="391"/>
        <v>46325</v>
      </c>
      <c r="DG78" s="8">
        <f t="shared" ca="1" si="282"/>
        <v>190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570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602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648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206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324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337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178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637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204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205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262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182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258</v>
      </c>
      <c r="FU78" s="5" t="str">
        <f t="shared" ca="1" si="309"/>
        <v>VIGENTE</v>
      </c>
      <c r="FV78" s="3"/>
      <c r="FW78" s="4">
        <v>45700</v>
      </c>
      <c r="FX78" s="4">
        <f t="shared" si="392"/>
        <v>46429</v>
      </c>
      <c r="FY78" s="8">
        <f t="shared" ca="1" si="310"/>
        <v>294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625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266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202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657</v>
      </c>
      <c r="GT78" s="5" t="str">
        <f t="shared" ca="1" si="387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643</v>
      </c>
      <c r="GY78" s="5" t="str">
        <f t="shared" ca="1" si="388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671</v>
      </c>
      <c r="HD78" s="5" t="str">
        <f t="shared" ca="1" si="389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647</v>
      </c>
      <c r="HI78" s="5" t="str">
        <f t="shared" ca="1" si="390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291</v>
      </c>
      <c r="D79" s="30" t="s">
        <v>69</v>
      </c>
      <c r="E79" s="31" t="s">
        <v>75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292</v>
      </c>
      <c r="W79" s="4">
        <v>45159</v>
      </c>
      <c r="X79" s="4">
        <f t="shared" si="248"/>
        <v>46986</v>
      </c>
      <c r="Y79" s="8">
        <f t="shared" ca="1" si="249"/>
        <v>851</v>
      </c>
      <c r="Z79" s="5" t="str">
        <f t="shared" ca="1" si="250"/>
        <v>VIGENTE</v>
      </c>
      <c r="AA79" s="5"/>
      <c r="AB79" s="6" t="s">
        <v>293</v>
      </c>
      <c r="AC79" s="4">
        <v>45161</v>
      </c>
      <c r="AD79" s="4">
        <f t="shared" si="385"/>
        <v>46988</v>
      </c>
      <c r="AE79" s="8">
        <f t="shared" ca="1" si="386"/>
        <v>853</v>
      </c>
      <c r="AF79" s="5" t="str">
        <f t="shared" ca="1" si="251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203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304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234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238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216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237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293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215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289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223</v>
      </c>
      <c r="CD79" s="5" t="str">
        <f t="shared" ca="1" si="270"/>
        <v>VIGENTE</v>
      </c>
      <c r="CE79" s="6" t="s">
        <v>68</v>
      </c>
      <c r="CF79" s="4">
        <v>45723</v>
      </c>
      <c r="CG79" s="4">
        <f t="shared" si="271"/>
        <v>47184</v>
      </c>
      <c r="CH79" s="8">
        <f t="shared" ca="1" si="272"/>
        <v>1049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282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278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233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275</v>
      </c>
      <c r="DC79" s="5" t="str">
        <f t="shared" ca="1" si="281"/>
        <v>VIGENTE</v>
      </c>
      <c r="DD79" s="4"/>
      <c r="DE79" s="4">
        <v>45689</v>
      </c>
      <c r="DF79" s="4">
        <f t="shared" si="391"/>
        <v>46418</v>
      </c>
      <c r="DG79" s="8">
        <f t="shared" ca="1" si="282"/>
        <v>283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290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325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322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303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236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38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254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217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204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260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351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231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199</v>
      </c>
      <c r="FU79" s="5" t="str">
        <f t="shared" ca="1" si="309"/>
        <v>VIGENTE</v>
      </c>
      <c r="FV79" s="4"/>
      <c r="FW79" s="4">
        <v>45616</v>
      </c>
      <c r="FX79" s="4">
        <f t="shared" si="392"/>
        <v>46345</v>
      </c>
      <c r="FY79" s="8">
        <f t="shared" ca="1" si="310"/>
        <v>210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220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266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202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3">GR79-TODAY()</f>
        <v>1368</v>
      </c>
      <c r="GT79" s="5" t="str">
        <f t="shared" ca="1" si="387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1371</v>
      </c>
      <c r="GY79" s="5" t="str">
        <f t="shared" ca="1" si="388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1369</v>
      </c>
      <c r="HD79" s="5" t="str">
        <f t="shared" ca="1" si="389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1370</v>
      </c>
      <c r="HI79" s="5" t="str">
        <f t="shared" ca="1" si="390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294</v>
      </c>
      <c r="D80" s="30" t="s">
        <v>69</v>
      </c>
      <c r="E80" s="31" t="s">
        <v>156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295</v>
      </c>
      <c r="W80" s="4">
        <v>44918</v>
      </c>
      <c r="X80" s="4">
        <f t="shared" si="248"/>
        <v>46744</v>
      </c>
      <c r="Y80" s="8">
        <f t="shared" ca="1" si="249"/>
        <v>609</v>
      </c>
      <c r="Z80" s="5" t="str">
        <f t="shared" ca="1" si="250"/>
        <v>VIGENTE</v>
      </c>
      <c r="AA80" s="5"/>
      <c r="AB80" s="2" t="s">
        <v>296</v>
      </c>
      <c r="AC80" s="4">
        <v>44988</v>
      </c>
      <c r="AD80" s="4">
        <f t="shared" si="385"/>
        <v>46815</v>
      </c>
      <c r="AE80" s="8">
        <f t="shared" ca="1" si="386"/>
        <v>680</v>
      </c>
      <c r="AF80" s="5" t="str">
        <f t="shared" ca="1" si="251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183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342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123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108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70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82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113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295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78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660</v>
      </c>
      <c r="CD80" s="5" t="str">
        <f t="shared" ca="1" si="270"/>
        <v>VIGENTE</v>
      </c>
      <c r="CE80" s="6" t="s">
        <v>73</v>
      </c>
      <c r="CF80" s="4">
        <v>45262</v>
      </c>
      <c r="CG80" s="4">
        <f t="shared" si="271"/>
        <v>46723</v>
      </c>
      <c r="CH80" s="8">
        <f t="shared" ca="1" si="272"/>
        <v>588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94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278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239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259</v>
      </c>
      <c r="DC80" s="5" t="str">
        <f t="shared" ca="1" si="281"/>
        <v>VIGENTE</v>
      </c>
      <c r="DD80" s="3"/>
      <c r="DE80" s="4">
        <v>45689</v>
      </c>
      <c r="DF80" s="4">
        <f t="shared" si="391"/>
        <v>46418</v>
      </c>
      <c r="DG80" s="8">
        <f t="shared" ca="1" si="282"/>
        <v>283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163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114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213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176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268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178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254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133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204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260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262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122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150</v>
      </c>
      <c r="FU80" s="5" t="str">
        <f t="shared" ca="1" si="309"/>
        <v>VIGENTE</v>
      </c>
      <c r="FV80" s="4"/>
      <c r="FW80" s="4">
        <v>45574</v>
      </c>
      <c r="FX80" s="4">
        <f t="shared" si="392"/>
        <v>46303</v>
      </c>
      <c r="FY80" s="8">
        <f t="shared" ca="1" si="310"/>
        <v>168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154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164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151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3"/>
        <v>603</v>
      </c>
      <c r="GT80" s="5" t="str">
        <f t="shared" ca="1" si="387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670</v>
      </c>
      <c r="GY80" s="5" t="str">
        <f t="shared" ca="1" si="388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602</v>
      </c>
      <c r="HD80" s="5" t="str">
        <f t="shared" ca="1" si="389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647</v>
      </c>
      <c r="HI80" s="5" t="str">
        <f t="shared" ca="1" si="39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297</v>
      </c>
      <c r="D81" s="30" t="s">
        <v>69</v>
      </c>
      <c r="E81" s="31" t="s">
        <v>75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298</v>
      </c>
      <c r="W81" s="4">
        <v>45097</v>
      </c>
      <c r="X81" s="4">
        <f t="shared" si="248"/>
        <v>46924</v>
      </c>
      <c r="Y81" s="8">
        <f t="shared" ca="1" si="249"/>
        <v>789</v>
      </c>
      <c r="Z81" s="5" t="str">
        <f t="shared" ca="1" si="250"/>
        <v>VIGENTE</v>
      </c>
      <c r="AA81" s="5"/>
      <c r="AB81" s="2" t="s">
        <v>299</v>
      </c>
      <c r="AC81" s="4">
        <v>45113</v>
      </c>
      <c r="AD81" s="4">
        <f t="shared" si="385"/>
        <v>46940</v>
      </c>
      <c r="AE81" s="8">
        <f t="shared" ca="1" si="386"/>
        <v>805</v>
      </c>
      <c r="AF81" s="5" t="str">
        <f t="shared" ca="1" si="251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497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342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370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314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311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475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353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367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371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365</v>
      </c>
      <c r="CD81" s="5" t="str">
        <f t="shared" ca="1" si="270"/>
        <v>VIGENTE</v>
      </c>
      <c r="CE81" s="6" t="s">
        <v>73</v>
      </c>
      <c r="CF81" s="4">
        <v>45301</v>
      </c>
      <c r="CG81" s="4">
        <f t="shared" si="271"/>
        <v>46762</v>
      </c>
      <c r="CH81" s="8">
        <f t="shared" ca="1" si="272"/>
        <v>627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317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364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321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380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356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328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452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395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345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424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315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331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343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512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517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385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445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441</v>
      </c>
      <c r="FU81" s="5" t="str">
        <f t="shared" ca="1" si="309"/>
        <v>VIGENTE</v>
      </c>
      <c r="FV81" s="4"/>
      <c r="FW81" s="4">
        <v>45758</v>
      </c>
      <c r="FX81" s="4">
        <f t="shared" si="392"/>
        <v>46487</v>
      </c>
      <c r="FY81" s="8">
        <f t="shared" ca="1" si="310"/>
        <v>352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351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444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443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3"/>
        <v>851</v>
      </c>
      <c r="GT81" s="5" t="str">
        <f t="shared" ca="1" si="387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809</v>
      </c>
      <c r="GY81" s="5" t="str">
        <f t="shared" ca="1" si="388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852</v>
      </c>
      <c r="HD81" s="5" t="str">
        <f t="shared" ca="1" si="389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914</v>
      </c>
      <c r="HI81" s="5" t="str">
        <f t="shared" ca="1" si="39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300</v>
      </c>
      <c r="D82" s="30" t="s">
        <v>69</v>
      </c>
      <c r="E82" s="31" t="s">
        <v>75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301</v>
      </c>
      <c r="W82" s="4">
        <v>45156</v>
      </c>
      <c r="X82" s="4">
        <f t="shared" si="248"/>
        <v>46983</v>
      </c>
      <c r="Y82" s="8">
        <f t="shared" ca="1" si="249"/>
        <v>848</v>
      </c>
      <c r="Z82" s="5" t="str">
        <f t="shared" ca="1" si="250"/>
        <v>VIGENTE</v>
      </c>
      <c r="AA82" s="5"/>
      <c r="AB82" s="2" t="s">
        <v>302</v>
      </c>
      <c r="AC82" s="4">
        <v>45162</v>
      </c>
      <c r="AD82" s="4">
        <f t="shared" si="385"/>
        <v>46989</v>
      </c>
      <c r="AE82" s="8">
        <f t="shared" ca="1" si="386"/>
        <v>854</v>
      </c>
      <c r="AF82" s="5" t="str">
        <f t="shared" ca="1" si="251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497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498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415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547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450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563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571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576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545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539</v>
      </c>
      <c r="CD82" s="5" t="str">
        <f t="shared" ca="1" si="270"/>
        <v>VIGENTE</v>
      </c>
      <c r="CE82" s="6" t="s">
        <v>73</v>
      </c>
      <c r="CF82" s="4">
        <v>45164</v>
      </c>
      <c r="CG82" s="4">
        <f t="shared" si="271"/>
        <v>46625</v>
      </c>
      <c r="CH82" s="8">
        <f t="shared" ca="1" si="272"/>
        <v>490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490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574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534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473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661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374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468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613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627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424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245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561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419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548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517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527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445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441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556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520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507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443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3"/>
        <v>873</v>
      </c>
      <c r="GT82" s="5" t="str">
        <f t="shared" ca="1" si="387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937</v>
      </c>
      <c r="GY82" s="5" t="str">
        <f t="shared" ca="1" si="388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943</v>
      </c>
      <c r="HD82" s="5" t="str">
        <f t="shared" ca="1" si="389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1009</v>
      </c>
      <c r="HI82" s="5" t="str">
        <f t="shared" ca="1" si="39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303</v>
      </c>
      <c r="D83" s="30" t="s">
        <v>64</v>
      </c>
      <c r="E83" s="31" t="s">
        <v>83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62"/>
        <v>VIGENTE</v>
      </c>
      <c r="U83" s="5"/>
      <c r="V83" s="2" t="s">
        <v>304</v>
      </c>
      <c r="W83" s="4">
        <v>45142</v>
      </c>
      <c r="X83" s="4">
        <f t="shared" si="248"/>
        <v>46969</v>
      </c>
      <c r="Y83" s="8">
        <f t="shared" ca="1" si="249"/>
        <v>834</v>
      </c>
      <c r="Z83" s="5" t="str">
        <f t="shared" ca="1" si="250"/>
        <v>VIGENTE</v>
      </c>
      <c r="AA83" s="5"/>
      <c r="AB83" s="2" t="s">
        <v>305</v>
      </c>
      <c r="AC83" s="4">
        <v>45192</v>
      </c>
      <c r="AD83" s="4">
        <f t="shared" si="385"/>
        <v>47019</v>
      </c>
      <c r="AE83" s="8">
        <f t="shared" ca="1" si="386"/>
        <v>884</v>
      </c>
      <c r="AF83" s="5" t="str">
        <f t="shared" ca="1" si="251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531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532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499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522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636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592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612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583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626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581</v>
      </c>
      <c r="CD83" s="5" t="str">
        <f t="shared" ca="1" si="270"/>
        <v>VIGENTE</v>
      </c>
      <c r="CE83" s="6" t="s">
        <v>73</v>
      </c>
      <c r="CF83" s="4">
        <v>45164</v>
      </c>
      <c r="CG83" s="4">
        <f t="shared" si="271"/>
        <v>46625</v>
      </c>
      <c r="CH83" s="8">
        <f t="shared" ca="1" si="272"/>
        <v>490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613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589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500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595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591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570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602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604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627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580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245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590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594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632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605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557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634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629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599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520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555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93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3"/>
        <v>991</v>
      </c>
      <c r="GT83" s="5" t="str">
        <f t="shared" ca="1" si="387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1021</v>
      </c>
      <c r="GY83" s="5" t="str">
        <f t="shared" ca="1" si="388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1035</v>
      </c>
      <c r="HD83" s="5" t="str">
        <f t="shared" ca="1" si="389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1009</v>
      </c>
      <c r="HI83" s="5" t="str">
        <f t="shared" ca="1" si="390"/>
        <v>VIGENTE</v>
      </c>
      <c r="HJ83" s="2"/>
      <c r="HK83" s="6"/>
      <c r="HL83" s="4"/>
      <c r="HM83" s="8"/>
      <c r="HN83" s="5" t="str">
        <f t="shared" ref="HN83:HN105" si="39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306</v>
      </c>
      <c r="D84" s="30" t="s">
        <v>115</v>
      </c>
      <c r="E84" s="31" t="s">
        <v>128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307</v>
      </c>
      <c r="W84" s="4">
        <v>44801</v>
      </c>
      <c r="X84" s="4">
        <f t="shared" si="248"/>
        <v>46627</v>
      </c>
      <c r="Y84" s="8">
        <f t="shared" ca="1" si="249"/>
        <v>492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251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497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554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499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522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311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292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686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41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205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506</v>
      </c>
      <c r="CD84" s="5" t="str">
        <f t="shared" ca="1" si="270"/>
        <v>VIGENTE</v>
      </c>
      <c r="CE84" s="6" t="s">
        <v>73</v>
      </c>
      <c r="CF84" s="4">
        <v>45616</v>
      </c>
      <c r="CG84" s="4">
        <f t="shared" si="271"/>
        <v>47077</v>
      </c>
      <c r="CH84" s="8">
        <f t="shared" ca="1" si="272"/>
        <v>942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372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412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500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623</v>
      </c>
      <c r="DC84" s="5" t="str">
        <f t="shared" ca="1" si="281"/>
        <v>VIGENTE</v>
      </c>
      <c r="DD84" s="3"/>
      <c r="DE84" s="4">
        <v>45463</v>
      </c>
      <c r="DF84" s="4">
        <f t="shared" ref="DF84:DF90" si="395">DATE(YEAR(DE84)+2,MONTH(DE84),DAY(DE84)-1)</f>
        <v>46192</v>
      </c>
      <c r="DG84" s="8">
        <f t="shared" ca="1" si="282"/>
        <v>57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624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602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322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257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268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315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59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271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512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526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527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332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60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609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351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66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281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3"/>
        <v>740</v>
      </c>
      <c r="GT84" s="5" t="str">
        <f t="shared" ca="1" si="387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781</v>
      </c>
      <c r="GY84" s="5" t="str">
        <f t="shared" ca="1" si="388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765</v>
      </c>
      <c r="HD84" s="5" t="str">
        <f t="shared" ca="1" si="389"/>
        <v>VIGENTE</v>
      </c>
      <c r="HE84" s="6"/>
      <c r="HF84" s="6"/>
      <c r="HG84" s="4"/>
      <c r="HH84" s="8"/>
      <c r="HI84" s="5" t="str">
        <f t="shared" si="390"/>
        <v>NO APLICA</v>
      </c>
      <c r="HJ84" s="2"/>
      <c r="HK84" s="6"/>
      <c r="HL84" s="4"/>
      <c r="HM84" s="8"/>
      <c r="HN84" s="5" t="str">
        <f t="shared" si="394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308</v>
      </c>
      <c r="D85" s="30" t="s">
        <v>69</v>
      </c>
      <c r="E85" s="31" t="s">
        <v>309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310</v>
      </c>
      <c r="W85" s="4">
        <v>45693</v>
      </c>
      <c r="X85" s="4">
        <f t="shared" si="248"/>
        <v>47519</v>
      </c>
      <c r="Y85" s="8">
        <f t="shared" ca="1" si="249"/>
        <v>1384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251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188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112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99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108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197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125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194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126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121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140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120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111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218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255</v>
      </c>
      <c r="DC85" s="5" t="str">
        <f t="shared" ca="1" si="281"/>
        <v>VIGENTE</v>
      </c>
      <c r="DD85" s="3"/>
      <c r="DE85" s="4">
        <v>45535</v>
      </c>
      <c r="DF85" s="4">
        <f t="shared" si="395"/>
        <v>46264</v>
      </c>
      <c r="DG85" s="8">
        <f t="shared" ca="1" si="282"/>
        <v>129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103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325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213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176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196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42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254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271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658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687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262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264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180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168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189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173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161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3"/>
        <v>1186</v>
      </c>
      <c r="GT85" s="5" t="str">
        <f t="shared" ca="1" si="387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1198</v>
      </c>
      <c r="GY85" s="5" t="str">
        <f t="shared" ca="1" si="388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602</v>
      </c>
      <c r="HD85" s="5" t="str">
        <f t="shared" ca="1" si="38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4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311</v>
      </c>
      <c r="D86" s="30" t="s">
        <v>119</v>
      </c>
      <c r="E86" s="31" t="s">
        <v>120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312</v>
      </c>
      <c r="W86" s="4">
        <v>45320</v>
      </c>
      <c r="X86" s="4">
        <f t="shared" si="248"/>
        <v>47147</v>
      </c>
      <c r="Y86" s="8">
        <f t="shared" ca="1" si="249"/>
        <v>1012</v>
      </c>
      <c r="Z86" s="5" t="str">
        <f t="shared" ca="1" si="250"/>
        <v>VIGENTE</v>
      </c>
      <c r="AA86" s="5"/>
      <c r="AB86" s="6" t="s">
        <v>313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51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183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112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99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108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128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125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194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126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162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119</v>
      </c>
      <c r="CD86" s="5" t="str">
        <f t="shared" ca="1" si="270"/>
        <v>VIGENTE</v>
      </c>
      <c r="CE86" s="6" t="s">
        <v>73</v>
      </c>
      <c r="CF86" s="4">
        <v>45616</v>
      </c>
      <c r="CG86" s="4">
        <f t="shared" ref="CG86:CG108" si="396">DATE(YEAR(CF86)+4,MONTH(CF86),DAY(CF86))</f>
        <v>47077</v>
      </c>
      <c r="CH86" s="8">
        <f t="shared" ref="CH86:CH108" ca="1" si="397">CG86-TODAY()</f>
        <v>942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105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191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201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187</v>
      </c>
      <c r="DC86" s="5" t="str">
        <f t="shared" ca="1" si="281"/>
        <v>VIGENTE</v>
      </c>
      <c r="DD86" s="4"/>
      <c r="DE86" s="4">
        <v>45596</v>
      </c>
      <c r="DF86" s="4">
        <f t="shared" si="395"/>
        <v>46325</v>
      </c>
      <c r="DG86" s="8">
        <f t="shared" ca="1" si="282"/>
        <v>190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163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171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134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176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177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337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178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169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96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132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136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182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180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175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189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173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161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3"/>
        <v>1186</v>
      </c>
      <c r="GT86" s="5" t="str">
        <f t="shared" ca="1" si="387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1198</v>
      </c>
      <c r="GY86" s="5" t="str">
        <f t="shared" ca="1" si="388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1188</v>
      </c>
      <c r="HD86" s="5" t="str">
        <f t="shared" ca="1" si="38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9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4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314</v>
      </c>
      <c r="D87" s="30" t="s">
        <v>69</v>
      </c>
      <c r="E87" s="31" t="s">
        <v>79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315</v>
      </c>
      <c r="W87" s="4">
        <v>44801</v>
      </c>
      <c r="X87" s="4">
        <f t="shared" si="248"/>
        <v>46627</v>
      </c>
      <c r="Y87" s="8">
        <f t="shared" ca="1" si="249"/>
        <v>492</v>
      </c>
      <c r="Z87" s="5" t="str">
        <f t="shared" ca="1" si="250"/>
        <v>VIGENTE</v>
      </c>
      <c r="AA87" s="5"/>
      <c r="AB87" s="2" t="s">
        <v>316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51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203</v>
      </c>
      <c r="AK87" s="5" t="str">
        <f t="shared" ca="1" si="224"/>
        <v>VIGENTE</v>
      </c>
      <c r="AL87" s="3"/>
      <c r="AM87" s="4">
        <v>46062</v>
      </c>
      <c r="AN87" s="4">
        <f t="shared" ref="AN87:AN97" si="399">DATE(YEAR(AM87)+2,MONTH(AM87),DAY(AM87))</f>
        <v>46792</v>
      </c>
      <c r="AO87" s="8">
        <f t="shared" ca="1" si="253"/>
        <v>657</v>
      </c>
      <c r="AP87" s="5" t="str">
        <f t="shared" ca="1" si="254"/>
        <v>VIGENTE</v>
      </c>
      <c r="AQ87" s="3"/>
      <c r="AR87" s="4">
        <v>45967</v>
      </c>
      <c r="AS87" s="4">
        <f t="shared" ref="AS87:AS95" si="400">DATE(YEAR(AR87)+2,MONTH(AR87),DAY(AR87))</f>
        <v>46697</v>
      </c>
      <c r="AT87" s="8">
        <f t="shared" ca="1" si="255"/>
        <v>562</v>
      </c>
      <c r="AU87" s="5" t="str">
        <f t="shared" ca="1" si="256"/>
        <v>VIGENTE</v>
      </c>
      <c r="AV87" s="3"/>
      <c r="AW87" s="4">
        <v>45972</v>
      </c>
      <c r="AX87" s="4">
        <f t="shared" ref="AX87:AX95" si="401">DATE(YEAR(AW87)+2,MONTH(AW87),DAY(AW87))</f>
        <v>46702</v>
      </c>
      <c r="AY87" s="8">
        <f t="shared" ca="1" si="257"/>
        <v>567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666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662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651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64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49</v>
      </c>
      <c r="BY87" s="5" t="str">
        <f t="shared" ca="1" si="268"/>
        <v>POR VENCER</v>
      </c>
      <c r="BZ87" s="3"/>
      <c r="CA87" s="4">
        <v>45954</v>
      </c>
      <c r="CB87" s="4">
        <f t="shared" ref="CB87:CB97" si="402">DATE(YEAR(CA87)+2,MONTH(CA87),DAY(CA87))</f>
        <v>46684</v>
      </c>
      <c r="CC87" s="8">
        <f t="shared" ca="1" si="269"/>
        <v>549</v>
      </c>
      <c r="CD87" s="5" t="str">
        <f t="shared" ca="1" si="270"/>
        <v>VIGENTE</v>
      </c>
      <c r="CE87" s="6" t="s">
        <v>73</v>
      </c>
      <c r="CF87" s="4">
        <v>45211</v>
      </c>
      <c r="CG87" s="4">
        <f t="shared" si="396"/>
        <v>46672</v>
      </c>
      <c r="CH87" s="8">
        <f t="shared" ca="1" si="397"/>
        <v>537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615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493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225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255</v>
      </c>
      <c r="DC87" s="5" t="str">
        <f t="shared" ca="1" si="281"/>
        <v>VIGENTE</v>
      </c>
      <c r="DD87" s="3"/>
      <c r="DE87" s="4">
        <v>45689</v>
      </c>
      <c r="DF87" s="4">
        <f t="shared" si="395"/>
        <v>46418</v>
      </c>
      <c r="DG87" s="8">
        <f t="shared" ca="1" si="282"/>
        <v>283</v>
      </c>
      <c r="DH87" s="5" t="str">
        <f t="shared" ca="1" si="283"/>
        <v>VIGENTE</v>
      </c>
      <c r="DI87" s="3"/>
      <c r="DJ87" s="4">
        <v>45955</v>
      </c>
      <c r="DK87" s="4">
        <f t="shared" ref="DK87:DK92" si="403">DATE(YEAR(DJ87)+2,MONTH(DJ87),DAY(DJ87))</f>
        <v>46685</v>
      </c>
      <c r="DL87" s="8">
        <f t="shared" ca="1" si="284"/>
        <v>550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171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613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529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533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178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561</v>
      </c>
      <c r="EQ87" s="5" t="str">
        <f t="shared" ca="1" si="297"/>
        <v>VIGENTE</v>
      </c>
      <c r="ER87" s="3"/>
      <c r="ES87" s="4">
        <v>45993</v>
      </c>
      <c r="ET87" s="4">
        <f t="shared" ref="ET87:ET92" si="404">DATE(YEAR(ES87)+2,MONTH(ES87),DAY(ES87))</f>
        <v>46723</v>
      </c>
      <c r="EU87" s="8">
        <f t="shared" ca="1" si="298"/>
        <v>588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548</v>
      </c>
      <c r="FA87" s="5" t="str">
        <f t="shared" ca="1" si="301"/>
        <v>VIGENTE</v>
      </c>
      <c r="FB87" s="3"/>
      <c r="FC87" s="4">
        <v>45988</v>
      </c>
      <c r="FD87" s="4">
        <f t="shared" ref="FD87:FD97" si="405">DATE(YEAR(FC87)+2,MONTH(FC87),DAY(FC87))</f>
        <v>46718</v>
      </c>
      <c r="FE87" s="8">
        <f t="shared" ca="1" si="302"/>
        <v>583</v>
      </c>
      <c r="FF87" s="5" t="str">
        <f t="shared" ca="1" si="303"/>
        <v>VIGENTE</v>
      </c>
      <c r="FG87" s="3"/>
      <c r="FH87" s="4">
        <v>45992</v>
      </c>
      <c r="FI87" s="4">
        <f t="shared" ref="FI87:FI98" si="406">DATE(YEAR(FH87)+2,MONTH(FH87),DAY(FH87))</f>
        <v>46722</v>
      </c>
      <c r="FJ87" s="8">
        <f t="shared" ca="1" si="304"/>
        <v>587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698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629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181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625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507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518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3"/>
        <v>657</v>
      </c>
      <c r="GT87" s="5" t="str">
        <f t="shared" ca="1" si="387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675</v>
      </c>
      <c r="GY87" s="5" t="str">
        <f t="shared" ca="1" si="388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1022</v>
      </c>
      <c r="HD87" s="5" t="str">
        <f t="shared" ca="1" si="38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98"/>
        <v>VIGENTE</v>
      </c>
      <c r="HJ87" s="2"/>
      <c r="HK87" s="6"/>
      <c r="HL87" s="4"/>
      <c r="HM87" s="8"/>
      <c r="HN87" s="5" t="str">
        <f t="shared" si="394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317</v>
      </c>
      <c r="D88" s="30" t="s">
        <v>115</v>
      </c>
      <c r="E88" s="31" t="s">
        <v>116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318</v>
      </c>
      <c r="W88" s="4">
        <v>45693</v>
      </c>
      <c r="X88" s="4">
        <f t="shared" si="248"/>
        <v>47519</v>
      </c>
      <c r="Y88" s="8">
        <f t="shared" ca="1" si="249"/>
        <v>1384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251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497</v>
      </c>
      <c r="AK88" s="5" t="str">
        <f t="shared" ca="1" si="224"/>
        <v>VIGENTE</v>
      </c>
      <c r="AL88" s="3"/>
      <c r="AM88" s="4">
        <v>45937</v>
      </c>
      <c r="AN88" s="4">
        <f t="shared" si="399"/>
        <v>46667</v>
      </c>
      <c r="AO88" s="8">
        <f t="shared" ca="1" si="253"/>
        <v>532</v>
      </c>
      <c r="AP88" s="5" t="str">
        <f t="shared" ca="1" si="254"/>
        <v>VIGENTE</v>
      </c>
      <c r="AQ88" s="3"/>
      <c r="AR88" s="4">
        <v>45971</v>
      </c>
      <c r="AS88" s="4">
        <f t="shared" si="400"/>
        <v>46701</v>
      </c>
      <c r="AT88" s="8">
        <f t="shared" ca="1" si="255"/>
        <v>566</v>
      </c>
      <c r="AU88" s="5" t="str">
        <f t="shared" ca="1" si="256"/>
        <v>VIGENTE</v>
      </c>
      <c r="AV88" s="3"/>
      <c r="AW88" s="4">
        <v>45990</v>
      </c>
      <c r="AX88" s="4">
        <f t="shared" si="401"/>
        <v>46720</v>
      </c>
      <c r="AY88" s="8">
        <f t="shared" ca="1" si="257"/>
        <v>585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311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292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392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295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330</v>
      </c>
      <c r="BY88" s="5" t="str">
        <f t="shared" ca="1" si="268"/>
        <v>VIGENTE</v>
      </c>
      <c r="BZ88" s="3"/>
      <c r="CA88" s="4">
        <v>45944</v>
      </c>
      <c r="CB88" s="4">
        <f t="shared" si="402"/>
        <v>46674</v>
      </c>
      <c r="CC88" s="8">
        <f t="shared" ca="1" si="269"/>
        <v>539</v>
      </c>
      <c r="CD88" s="5" t="str">
        <f t="shared" ca="1" si="270"/>
        <v>VIGENTE</v>
      </c>
      <c r="CE88" s="6" t="s">
        <v>73</v>
      </c>
      <c r="CF88" s="4">
        <v>45616</v>
      </c>
      <c r="CG88" s="4">
        <f t="shared" si="396"/>
        <v>47077</v>
      </c>
      <c r="CH88" s="8">
        <f t="shared" ca="1" si="397"/>
        <v>942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282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278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500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595</v>
      </c>
      <c r="DC88" s="5" t="str">
        <f t="shared" ca="1" si="281"/>
        <v>VIGENTE</v>
      </c>
      <c r="DD88" s="3"/>
      <c r="DE88" s="4">
        <v>45689</v>
      </c>
      <c r="DF88" s="4">
        <f t="shared" si="395"/>
        <v>46418</v>
      </c>
      <c r="DG88" s="8">
        <f t="shared" ca="1" si="282"/>
        <v>283</v>
      </c>
      <c r="DH88" s="5" t="str">
        <f t="shared" ca="1" si="283"/>
        <v>VIGENTE</v>
      </c>
      <c r="DI88" s="3"/>
      <c r="DJ88" s="4">
        <v>45975</v>
      </c>
      <c r="DK88" s="4">
        <f t="shared" si="403"/>
        <v>46705</v>
      </c>
      <c r="DL88" s="8">
        <f t="shared" ca="1" si="284"/>
        <v>570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577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279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257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268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315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265</v>
      </c>
      <c r="EQ88" s="5" t="str">
        <f t="shared" ca="1" si="297"/>
        <v>VIGENTE</v>
      </c>
      <c r="ER88" s="3"/>
      <c r="ES88" s="4">
        <v>45796</v>
      </c>
      <c r="ET88" s="4">
        <f t="shared" si="404"/>
        <v>46526</v>
      </c>
      <c r="EU88" s="8">
        <f t="shared" ca="1" si="298"/>
        <v>391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512</v>
      </c>
      <c r="FA88" s="5" t="str">
        <f t="shared" ca="1" si="301"/>
        <v>VIGENTE</v>
      </c>
      <c r="FB88" s="3"/>
      <c r="FC88" s="4">
        <v>45931</v>
      </c>
      <c r="FD88" s="4">
        <f t="shared" si="405"/>
        <v>46661</v>
      </c>
      <c r="FE88" s="8">
        <f t="shared" ca="1" si="302"/>
        <v>526</v>
      </c>
      <c r="FF88" s="5" t="str">
        <f t="shared" ca="1" si="303"/>
        <v>VIGENTE</v>
      </c>
      <c r="FG88" s="3"/>
      <c r="FH88" s="4">
        <v>45932</v>
      </c>
      <c r="FI88" s="4">
        <f t="shared" si="406"/>
        <v>46662</v>
      </c>
      <c r="FJ88" s="8">
        <f t="shared" ca="1" si="304"/>
        <v>527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332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341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536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261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266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359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3"/>
        <v>709</v>
      </c>
      <c r="GT88" s="5" t="str">
        <f t="shared" ca="1" si="387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670</v>
      </c>
      <c r="GY88" s="5" t="str">
        <f t="shared" ca="1" si="388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708</v>
      </c>
      <c r="HD88" s="5" t="str">
        <f t="shared" ca="1" si="389"/>
        <v>VIGENTE</v>
      </c>
      <c r="HE88" s="6"/>
      <c r="HF88" s="6"/>
      <c r="HG88" s="4"/>
      <c r="HH88" s="8"/>
      <c r="HI88" s="5" t="str">
        <f t="shared" si="398"/>
        <v>NO APLICA</v>
      </c>
      <c r="HJ88" s="2"/>
      <c r="HK88" s="6"/>
      <c r="HL88" s="4"/>
      <c r="HM88" s="8"/>
      <c r="HN88" s="5" t="str">
        <f t="shared" si="394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319</v>
      </c>
      <c r="D89" s="30" t="s">
        <v>69</v>
      </c>
      <c r="E89" s="31" t="s">
        <v>320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321</v>
      </c>
      <c r="W89" s="4">
        <v>45426</v>
      </c>
      <c r="X89" s="4">
        <f t="shared" si="248"/>
        <v>47252</v>
      </c>
      <c r="Y89" s="8">
        <f t="shared" ca="1" si="249"/>
        <v>1117</v>
      </c>
      <c r="Z89" s="5" t="str">
        <f t="shared" ca="1" si="250"/>
        <v>VIGENTE</v>
      </c>
      <c r="AA89" s="5"/>
      <c r="AB89" s="2" t="s">
        <v>322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51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497</v>
      </c>
      <c r="AK89" s="5" t="str">
        <f t="shared" ca="1" si="224"/>
        <v>VIGENTE</v>
      </c>
      <c r="AL89" s="4"/>
      <c r="AM89" s="4">
        <v>45926</v>
      </c>
      <c r="AN89" s="4">
        <f t="shared" si="399"/>
        <v>46656</v>
      </c>
      <c r="AO89" s="8">
        <f t="shared" ca="1" si="253"/>
        <v>521</v>
      </c>
      <c r="AP89" s="5" t="str">
        <f t="shared" ca="1" si="254"/>
        <v>VIGENTE</v>
      </c>
      <c r="AQ89" s="4"/>
      <c r="AR89" s="4">
        <v>45904</v>
      </c>
      <c r="AS89" s="4">
        <f t="shared" si="400"/>
        <v>46634</v>
      </c>
      <c r="AT89" s="8">
        <f t="shared" ca="1" si="255"/>
        <v>499</v>
      </c>
      <c r="AU89" s="5" t="str">
        <f t="shared" ca="1" si="256"/>
        <v>VIGENTE</v>
      </c>
      <c r="AV89" s="4"/>
      <c r="AW89" s="4">
        <v>45906</v>
      </c>
      <c r="AX89" s="4">
        <f t="shared" si="401"/>
        <v>46636</v>
      </c>
      <c r="AY89" s="8">
        <f t="shared" ca="1" si="257"/>
        <v>501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538</v>
      </c>
      <c r="BE89" s="5" t="str">
        <f t="shared" ca="1" si="260"/>
        <v>VIGENTE</v>
      </c>
      <c r="BF89" s="4"/>
      <c r="BG89" s="4">
        <v>45968</v>
      </c>
      <c r="BH89" s="4">
        <f t="shared" ref="BH89:BH97" si="407">DATE(YEAR(BG89)+2,MONTH(BG89),DAY(BG89))</f>
        <v>46698</v>
      </c>
      <c r="BI89" s="8">
        <f t="shared" ca="1" si="261"/>
        <v>563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630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576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545</v>
      </c>
      <c r="BY89" s="5" t="str">
        <f t="shared" ca="1" si="268"/>
        <v>VIGENTE</v>
      </c>
      <c r="BZ89" s="4"/>
      <c r="CA89" s="4">
        <v>45944</v>
      </c>
      <c r="CB89" s="4">
        <f t="shared" si="402"/>
        <v>46674</v>
      </c>
      <c r="CC89" s="8">
        <f t="shared" ca="1" si="269"/>
        <v>539</v>
      </c>
      <c r="CD89" s="5" t="str">
        <f t="shared" ca="1" si="270"/>
        <v>VIGENTE</v>
      </c>
      <c r="CE89" s="6" t="s">
        <v>323</v>
      </c>
      <c r="CF89" s="4">
        <v>44901</v>
      </c>
      <c r="CG89" s="4">
        <f t="shared" si="396"/>
        <v>46362</v>
      </c>
      <c r="CH89" s="8">
        <f t="shared" ca="1" si="397"/>
        <v>227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524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574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534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519</v>
      </c>
      <c r="DC89" s="5" t="str">
        <f t="shared" ca="1" si="281"/>
        <v>VIGENTE</v>
      </c>
      <c r="DD89" s="4"/>
      <c r="DE89" s="4">
        <v>45535</v>
      </c>
      <c r="DF89" s="4">
        <f t="shared" si="395"/>
        <v>46264</v>
      </c>
      <c r="DG89" s="8">
        <f t="shared" ca="1" si="282"/>
        <v>129</v>
      </c>
      <c r="DH89" s="5" t="str">
        <f t="shared" ca="1" si="283"/>
        <v>VIGENTE</v>
      </c>
      <c r="DI89" s="4"/>
      <c r="DJ89" s="4">
        <v>45955</v>
      </c>
      <c r="DK89" s="4">
        <f t="shared" si="403"/>
        <v>46685</v>
      </c>
      <c r="DL89" s="8">
        <f t="shared" ca="1" si="284"/>
        <v>550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171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513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529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533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42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535</v>
      </c>
      <c r="EQ89" s="5" t="str">
        <f t="shared" ca="1" si="297"/>
        <v>VIGENTE</v>
      </c>
      <c r="ER89" s="4"/>
      <c r="ES89" s="4">
        <v>45922</v>
      </c>
      <c r="ET89" s="4">
        <f t="shared" si="404"/>
        <v>46652</v>
      </c>
      <c r="EU89" s="8">
        <f t="shared" ca="1" si="298"/>
        <v>517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548</v>
      </c>
      <c r="FA89" s="5" t="str">
        <f t="shared" ca="1" si="301"/>
        <v>VIGENTE</v>
      </c>
      <c r="FB89" s="4"/>
      <c r="FC89" s="4">
        <v>45931</v>
      </c>
      <c r="FD89" s="4">
        <f t="shared" si="405"/>
        <v>46661</v>
      </c>
      <c r="FE89" s="8">
        <f t="shared" ca="1" si="302"/>
        <v>526</v>
      </c>
      <c r="FF89" s="5" t="str">
        <f t="shared" ca="1" si="303"/>
        <v>VIGENTE</v>
      </c>
      <c r="FG89" s="4"/>
      <c r="FH89" s="4">
        <v>45932</v>
      </c>
      <c r="FI89" s="4">
        <f t="shared" si="406"/>
        <v>46662</v>
      </c>
      <c r="FJ89" s="8">
        <f t="shared" ca="1" si="304"/>
        <v>527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528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180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536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189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555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202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3"/>
        <v>991</v>
      </c>
      <c r="GT89" s="5" t="str">
        <f t="shared" ca="1" si="387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1021</v>
      </c>
      <c r="GY89" s="5" t="str">
        <f t="shared" ca="1" si="388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986</v>
      </c>
      <c r="HD89" s="5" t="str">
        <f t="shared" ca="1" si="38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98"/>
        <v>VIGENTE</v>
      </c>
      <c r="HJ89" s="6"/>
      <c r="HK89" s="6"/>
      <c r="HL89" s="4"/>
      <c r="HM89" s="8"/>
      <c r="HN89" s="5" t="str">
        <f t="shared" si="394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324</v>
      </c>
      <c r="D90" s="30" t="s">
        <v>69</v>
      </c>
      <c r="E90" s="31" t="s">
        <v>131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325</v>
      </c>
      <c r="W90" s="4">
        <v>44838</v>
      </c>
      <c r="X90" s="4">
        <f t="shared" si="248"/>
        <v>46664</v>
      </c>
      <c r="Y90" s="8">
        <f t="shared" ca="1" si="249"/>
        <v>529</v>
      </c>
      <c r="Z90" s="5" t="str">
        <f t="shared" ca="1" si="250"/>
        <v>VIGENTE</v>
      </c>
      <c r="AA90" s="5"/>
      <c r="AB90" s="2" t="s">
        <v>326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51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183</v>
      </c>
      <c r="AK90" s="5" t="str">
        <f t="shared" ca="1" si="224"/>
        <v>VIGENTE</v>
      </c>
      <c r="AL90" s="3"/>
      <c r="AM90" s="4">
        <v>45926</v>
      </c>
      <c r="AN90" s="4">
        <f t="shared" si="399"/>
        <v>46656</v>
      </c>
      <c r="AO90" s="8">
        <f t="shared" ca="1" si="253"/>
        <v>521</v>
      </c>
      <c r="AP90" s="5" t="str">
        <f t="shared" ca="1" si="254"/>
        <v>VIGENTE</v>
      </c>
      <c r="AQ90" s="3"/>
      <c r="AR90" s="4">
        <v>45967</v>
      </c>
      <c r="AS90" s="4">
        <f t="shared" si="400"/>
        <v>46697</v>
      </c>
      <c r="AT90" s="8">
        <f t="shared" ca="1" si="255"/>
        <v>562</v>
      </c>
      <c r="AU90" s="5" t="str">
        <f t="shared" ca="1" si="256"/>
        <v>VIGENTE</v>
      </c>
      <c r="AV90" s="3"/>
      <c r="AW90" s="4">
        <v>45972</v>
      </c>
      <c r="AX90" s="4">
        <f t="shared" si="401"/>
        <v>46702</v>
      </c>
      <c r="AY90" s="8">
        <f t="shared" ca="1" si="257"/>
        <v>567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636</v>
      </c>
      <c r="BE90" s="5" t="str">
        <f t="shared" ca="1" si="260"/>
        <v>VIGENTE</v>
      </c>
      <c r="BF90" s="3"/>
      <c r="BG90" s="4">
        <v>46027</v>
      </c>
      <c r="BH90" s="4">
        <f t="shared" si="407"/>
        <v>46757</v>
      </c>
      <c r="BI90" s="8">
        <f t="shared" ca="1" si="261"/>
        <v>622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660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664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43</v>
      </c>
      <c r="BY90" s="5" t="str">
        <f t="shared" ca="1" si="268"/>
        <v>POR VENCER</v>
      </c>
      <c r="BZ90" s="3"/>
      <c r="CA90" s="4">
        <v>45944</v>
      </c>
      <c r="CB90" s="4">
        <f t="shared" si="402"/>
        <v>46674</v>
      </c>
      <c r="CC90" s="8">
        <f t="shared" ca="1" si="269"/>
        <v>539</v>
      </c>
      <c r="CD90" s="5" t="str">
        <f t="shared" ca="1" si="270"/>
        <v>VIGENTE</v>
      </c>
      <c r="CE90" s="6" t="s">
        <v>73</v>
      </c>
      <c r="CF90" s="4">
        <v>45211</v>
      </c>
      <c r="CG90" s="4">
        <f t="shared" si="396"/>
        <v>46672</v>
      </c>
      <c r="CH90" s="8">
        <f t="shared" ca="1" si="397"/>
        <v>537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568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574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225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259</v>
      </c>
      <c r="DC90" s="5" t="str">
        <f t="shared" ca="1" si="281"/>
        <v>VIGENTE</v>
      </c>
      <c r="DD90" s="3"/>
      <c r="DE90" s="4">
        <v>45689</v>
      </c>
      <c r="DF90" s="4">
        <f t="shared" si="395"/>
        <v>46418</v>
      </c>
      <c r="DG90" s="8">
        <f t="shared" ca="1" si="282"/>
        <v>283</v>
      </c>
      <c r="DH90" s="5" t="str">
        <f t="shared" ca="1" si="283"/>
        <v>VIGENTE</v>
      </c>
      <c r="DI90" s="3"/>
      <c r="DJ90" s="4">
        <v>45955</v>
      </c>
      <c r="DK90" s="4">
        <f t="shared" si="403"/>
        <v>46685</v>
      </c>
      <c r="DL90" s="8">
        <f t="shared" ca="1" si="284"/>
        <v>550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114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667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615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533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178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578</v>
      </c>
      <c r="EQ90" s="5" t="str">
        <f t="shared" ca="1" si="297"/>
        <v>VIGENTE</v>
      </c>
      <c r="ER90" s="3"/>
      <c r="ES90" s="4">
        <v>46094</v>
      </c>
      <c r="ET90" s="4">
        <f t="shared" si="404"/>
        <v>46825</v>
      </c>
      <c r="EU90" s="8">
        <f t="shared" ca="1" si="298"/>
        <v>690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548</v>
      </c>
      <c r="FA90" s="5" t="str">
        <f t="shared" ca="1" si="301"/>
        <v>VIGENTE</v>
      </c>
      <c r="FB90" s="3"/>
      <c r="FC90" s="4">
        <v>45951</v>
      </c>
      <c r="FD90" s="4">
        <f t="shared" si="405"/>
        <v>46681</v>
      </c>
      <c r="FE90" s="8">
        <f t="shared" ca="1" si="302"/>
        <v>546</v>
      </c>
      <c r="FF90" s="5" t="str">
        <f t="shared" ca="1" si="303"/>
        <v>VIGENTE</v>
      </c>
      <c r="FG90" s="4"/>
      <c r="FH90" s="4">
        <v>45932</v>
      </c>
      <c r="FI90" s="4">
        <f t="shared" si="406"/>
        <v>46662</v>
      </c>
      <c r="FJ90" s="8">
        <f t="shared" ca="1" si="304"/>
        <v>527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528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552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141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625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507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540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3"/>
        <v>657</v>
      </c>
      <c r="GT90" s="5" t="str">
        <f t="shared" ca="1" si="387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698</v>
      </c>
      <c r="GY90" s="5" t="str">
        <f t="shared" ca="1" si="388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1106</v>
      </c>
      <c r="HD90" s="5" t="str">
        <f t="shared" ca="1" si="38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9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94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327</v>
      </c>
      <c r="D91" s="30" t="s">
        <v>69</v>
      </c>
      <c r="E91" s="31" t="s">
        <v>75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328</v>
      </c>
      <c r="W91" s="4">
        <v>44422</v>
      </c>
      <c r="X91" s="4">
        <f t="shared" si="248"/>
        <v>46248</v>
      </c>
      <c r="Y91" s="8">
        <f t="shared" ca="1" si="249"/>
        <v>113</v>
      </c>
      <c r="Z91" s="5" t="str">
        <f t="shared" ca="1" si="250"/>
        <v>VIGENTE</v>
      </c>
      <c r="AA91" s="5"/>
      <c r="AB91" s="2" t="s">
        <v>329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51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601</v>
      </c>
      <c r="AK91" s="5" t="str">
        <f t="shared" ca="1" si="224"/>
        <v>VIGENTE</v>
      </c>
      <c r="AL91" s="2"/>
      <c r="AM91" s="4">
        <v>45937</v>
      </c>
      <c r="AN91" s="4">
        <f t="shared" si="399"/>
        <v>46667</v>
      </c>
      <c r="AO91" s="8">
        <f t="shared" ca="1" si="253"/>
        <v>532</v>
      </c>
      <c r="AP91" s="5" t="str">
        <f t="shared" ca="1" si="254"/>
        <v>VIGENTE</v>
      </c>
      <c r="AQ91" s="3"/>
      <c r="AR91" s="4">
        <v>45967</v>
      </c>
      <c r="AS91" s="4">
        <f t="shared" si="400"/>
        <v>46697</v>
      </c>
      <c r="AT91" s="8">
        <f t="shared" ca="1" si="255"/>
        <v>562</v>
      </c>
      <c r="AU91" s="5" t="str">
        <f t="shared" ca="1" si="256"/>
        <v>VIGENTE</v>
      </c>
      <c r="AV91" s="3"/>
      <c r="AW91" s="4">
        <v>45972</v>
      </c>
      <c r="AX91" s="4">
        <f t="shared" si="401"/>
        <v>46702</v>
      </c>
      <c r="AY91" s="8">
        <f t="shared" ca="1" si="257"/>
        <v>567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525</v>
      </c>
      <c r="BE91" s="5" t="str">
        <f t="shared" ca="1" si="260"/>
        <v>VIGENTE</v>
      </c>
      <c r="BF91" s="2"/>
      <c r="BG91" s="4">
        <v>45987</v>
      </c>
      <c r="BH91" s="4">
        <f t="shared" si="407"/>
        <v>46717</v>
      </c>
      <c r="BI91" s="8">
        <f t="shared" ca="1" si="261"/>
        <v>582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612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576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626</v>
      </c>
      <c r="BY91" s="5" t="str">
        <f t="shared" ca="1" si="268"/>
        <v>VIGENTE</v>
      </c>
      <c r="BZ91" s="2"/>
      <c r="CA91" s="4">
        <v>45986</v>
      </c>
      <c r="CB91" s="4">
        <f t="shared" si="402"/>
        <v>46716</v>
      </c>
      <c r="CC91" s="8">
        <f t="shared" ca="1" si="269"/>
        <v>581</v>
      </c>
      <c r="CD91" s="5" t="str">
        <f t="shared" ca="1" si="270"/>
        <v>VIGENTE</v>
      </c>
      <c r="CE91" s="6" t="s">
        <v>73</v>
      </c>
      <c r="CF91" s="4">
        <v>45547</v>
      </c>
      <c r="CG91" s="4">
        <f t="shared" si="396"/>
        <v>47008</v>
      </c>
      <c r="CH91" s="8">
        <f t="shared" ca="1" si="397"/>
        <v>873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615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574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534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519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640</v>
      </c>
      <c r="DH91" s="5" t="str">
        <f t="shared" ca="1" si="283"/>
        <v>VIGENTE</v>
      </c>
      <c r="DI91" s="3"/>
      <c r="DJ91" s="4">
        <v>45955</v>
      </c>
      <c r="DK91" s="4">
        <f t="shared" si="403"/>
        <v>46685</v>
      </c>
      <c r="DL91" s="8">
        <f t="shared" ca="1" si="284"/>
        <v>550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577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613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529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533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38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535</v>
      </c>
      <c r="EQ91" s="5" t="str">
        <f t="shared" ca="1" si="297"/>
        <v>VIGENTE</v>
      </c>
      <c r="ER91" s="3"/>
      <c r="ES91" s="4">
        <v>45993</v>
      </c>
      <c r="ET91" s="4">
        <f t="shared" si="404"/>
        <v>46723</v>
      </c>
      <c r="EU91" s="8">
        <f t="shared" ca="1" si="298"/>
        <v>588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632</v>
      </c>
      <c r="FA91" s="5" t="str">
        <f t="shared" ca="1" si="301"/>
        <v>VIGENTE</v>
      </c>
      <c r="FB91" s="2"/>
      <c r="FC91" s="4">
        <v>45988</v>
      </c>
      <c r="FD91" s="4">
        <f t="shared" si="405"/>
        <v>46718</v>
      </c>
      <c r="FE91" s="8">
        <f t="shared" ca="1" si="302"/>
        <v>583</v>
      </c>
      <c r="FF91" s="5" t="str">
        <f t="shared" ca="1" si="303"/>
        <v>VIGENTE</v>
      </c>
      <c r="FG91" s="2"/>
      <c r="FH91" s="4">
        <v>45992</v>
      </c>
      <c r="FI91" s="4">
        <f t="shared" si="406"/>
        <v>46722</v>
      </c>
      <c r="FJ91" s="8">
        <f t="shared" ca="1" si="304"/>
        <v>587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634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552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609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520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555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540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3"/>
        <v>987</v>
      </c>
      <c r="GT91" s="5" t="str">
        <f t="shared" ca="1" si="387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1021</v>
      </c>
      <c r="GY91" s="5" t="str">
        <f t="shared" ca="1" si="388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985</v>
      </c>
      <c r="HD91" s="5" t="str">
        <f t="shared" ca="1" si="38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98"/>
        <v>VIGENTE</v>
      </c>
      <c r="HJ91" s="2"/>
      <c r="HK91" s="6"/>
      <c r="HL91" s="4"/>
      <c r="HM91" s="8"/>
      <c r="HN91" s="5" t="str">
        <f t="shared" si="394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330</v>
      </c>
      <c r="D92" s="30" t="s">
        <v>115</v>
      </c>
      <c r="E92" s="31" t="s">
        <v>128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331</v>
      </c>
      <c r="W92" s="4">
        <v>45735</v>
      </c>
      <c r="X92" s="4">
        <f t="shared" si="248"/>
        <v>47561</v>
      </c>
      <c r="Y92" s="8">
        <f t="shared" ca="1" si="249"/>
        <v>1426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251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497</v>
      </c>
      <c r="AK92" s="5" t="str">
        <f t="shared" ca="1" si="224"/>
        <v>VIGENTE</v>
      </c>
      <c r="AL92" s="3"/>
      <c r="AM92" s="4">
        <v>45903</v>
      </c>
      <c r="AN92" s="4">
        <f t="shared" si="399"/>
        <v>46633</v>
      </c>
      <c r="AO92" s="8">
        <f t="shared" ca="1" si="253"/>
        <v>498</v>
      </c>
      <c r="AP92" s="5" t="str">
        <f t="shared" ca="1" si="254"/>
        <v>VIGENTE</v>
      </c>
      <c r="AQ92" s="3"/>
      <c r="AR92" s="4">
        <v>45989</v>
      </c>
      <c r="AS92" s="4">
        <f t="shared" si="400"/>
        <v>46719</v>
      </c>
      <c r="AT92" s="8">
        <f t="shared" ca="1" si="255"/>
        <v>584</v>
      </c>
      <c r="AU92" s="5" t="str">
        <f t="shared" ca="1" si="256"/>
        <v>VIGENTE</v>
      </c>
      <c r="AV92" s="3"/>
      <c r="AW92" s="4">
        <v>45927</v>
      </c>
      <c r="AX92" s="4">
        <f t="shared" si="401"/>
        <v>46657</v>
      </c>
      <c r="AY92" s="8">
        <f t="shared" ca="1" si="257"/>
        <v>522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666</v>
      </c>
      <c r="BE92" s="5" t="str">
        <f t="shared" ca="1" si="260"/>
        <v>VIGENTE</v>
      </c>
      <c r="BF92" s="3"/>
      <c r="BG92" s="4">
        <v>46067</v>
      </c>
      <c r="BH92" s="4">
        <f t="shared" si="407"/>
        <v>46797</v>
      </c>
      <c r="BI92" s="8">
        <f t="shared" ca="1" si="261"/>
        <v>662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164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295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545</v>
      </c>
      <c r="BY92" s="5" t="str">
        <f t="shared" ca="1" si="268"/>
        <v>VIGENTE</v>
      </c>
      <c r="BZ92" s="3"/>
      <c r="CA92" s="4">
        <v>45944</v>
      </c>
      <c r="CB92" s="4">
        <f t="shared" si="402"/>
        <v>46674</v>
      </c>
      <c r="CC92" s="8">
        <f t="shared" ca="1" si="269"/>
        <v>539</v>
      </c>
      <c r="CD92" s="5" t="str">
        <f t="shared" ca="1" si="270"/>
        <v>VIGENTE</v>
      </c>
      <c r="CE92" s="6" t="s">
        <v>68</v>
      </c>
      <c r="CF92" s="4">
        <v>45828</v>
      </c>
      <c r="CG92" s="4">
        <f t="shared" si="396"/>
        <v>47289</v>
      </c>
      <c r="CH92" s="8">
        <f t="shared" ca="1" si="397"/>
        <v>1154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282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278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500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595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317</v>
      </c>
      <c r="DH92" s="5" t="str">
        <f t="shared" ca="1" si="283"/>
        <v>VIGENTE</v>
      </c>
      <c r="DI92" s="3"/>
      <c r="DJ92" s="4">
        <v>45975</v>
      </c>
      <c r="DK92" s="4">
        <f t="shared" si="403"/>
        <v>46705</v>
      </c>
      <c r="DL92" s="8">
        <f t="shared" ca="1" si="284"/>
        <v>570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577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667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257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309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315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265</v>
      </c>
      <c r="EQ92" s="5" t="str">
        <f t="shared" ca="1" si="297"/>
        <v>VIGENTE</v>
      </c>
      <c r="ER92" s="3"/>
      <c r="ES92" s="4">
        <v>45987</v>
      </c>
      <c r="ET92" s="4">
        <f t="shared" si="404"/>
        <v>46717</v>
      </c>
      <c r="EU92" s="8">
        <f t="shared" ca="1" si="298"/>
        <v>582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288</v>
      </c>
      <c r="FA92" s="5" t="str">
        <f t="shared" ca="1" si="301"/>
        <v>VIGENTE</v>
      </c>
      <c r="FB92" s="3"/>
      <c r="FC92" s="4">
        <v>45931</v>
      </c>
      <c r="FD92" s="4">
        <f t="shared" si="405"/>
        <v>46661</v>
      </c>
      <c r="FE92" s="8">
        <f t="shared" ca="1" si="302"/>
        <v>526</v>
      </c>
      <c r="FF92" s="5" t="str">
        <f t="shared" ca="1" si="303"/>
        <v>VIGENTE</v>
      </c>
      <c r="FG92" s="3"/>
      <c r="FH92" s="4">
        <v>45962</v>
      </c>
      <c r="FI92" s="4">
        <f t="shared" si="406"/>
        <v>46692</v>
      </c>
      <c r="FJ92" s="8">
        <f t="shared" ca="1" si="304"/>
        <v>557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264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318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588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520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266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281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3"/>
        <v>764</v>
      </c>
      <c r="GT92" s="5" t="str">
        <f t="shared" ca="1" si="387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781</v>
      </c>
      <c r="GY92" s="5" t="str">
        <f t="shared" ca="1" si="388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708</v>
      </c>
      <c r="HD92" s="5" t="str">
        <f t="shared" ca="1" si="389"/>
        <v>VIGENTE</v>
      </c>
      <c r="HE92" s="6"/>
      <c r="HF92" s="6"/>
      <c r="HG92" s="4"/>
      <c r="HH92" s="8"/>
      <c r="HI92" s="5" t="str">
        <f t="shared" si="398"/>
        <v>NO APLICA</v>
      </c>
      <c r="HJ92" s="2"/>
      <c r="HK92" s="6"/>
      <c r="HL92" s="4"/>
      <c r="HM92" s="8"/>
      <c r="HN92" s="5" t="str">
        <f t="shared" si="394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768</v>
      </c>
      <c r="D93" s="30" t="s">
        <v>69</v>
      </c>
      <c r="E93" s="31" t="s">
        <v>75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332</v>
      </c>
      <c r="W93" s="4">
        <v>45337</v>
      </c>
      <c r="X93" s="4">
        <f t="shared" si="248"/>
        <v>47164</v>
      </c>
      <c r="Y93" s="8">
        <f t="shared" ca="1" si="249"/>
        <v>1029</v>
      </c>
      <c r="Z93" s="5" t="str">
        <f t="shared" ca="1" si="250"/>
        <v>VIGENTE</v>
      </c>
      <c r="AA93" s="5"/>
      <c r="AB93" s="2" t="s">
        <v>333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51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183</v>
      </c>
      <c r="AK93" s="5" t="str">
        <f t="shared" ca="1" si="224"/>
        <v>VIGENTE</v>
      </c>
      <c r="AL93" s="3"/>
      <c r="AM93" s="4">
        <v>45937</v>
      </c>
      <c r="AN93" s="4">
        <f t="shared" si="399"/>
        <v>46667</v>
      </c>
      <c r="AO93" s="8">
        <f t="shared" ca="1" si="253"/>
        <v>532</v>
      </c>
      <c r="AP93" s="5" t="str">
        <f t="shared" ca="1" si="254"/>
        <v>VIGENTE</v>
      </c>
      <c r="AQ93" s="3"/>
      <c r="AR93" s="4">
        <v>45967</v>
      </c>
      <c r="AS93" s="4">
        <f t="shared" si="400"/>
        <v>46697</v>
      </c>
      <c r="AT93" s="8">
        <f t="shared" ca="1" si="255"/>
        <v>562</v>
      </c>
      <c r="AU93" s="5" t="str">
        <f t="shared" ca="1" si="256"/>
        <v>VIGENTE</v>
      </c>
      <c r="AV93" s="3"/>
      <c r="AW93" s="4">
        <v>45952</v>
      </c>
      <c r="AX93" s="4">
        <f t="shared" si="401"/>
        <v>46682</v>
      </c>
      <c r="AY93" s="8">
        <f t="shared" ca="1" si="257"/>
        <v>547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311</v>
      </c>
      <c r="BE93" s="5" t="str">
        <f t="shared" ca="1" si="260"/>
        <v>VIGENTE</v>
      </c>
      <c r="BF93" s="3"/>
      <c r="BG93" s="4">
        <v>45987</v>
      </c>
      <c r="BH93" s="4">
        <f t="shared" si="407"/>
        <v>46717</v>
      </c>
      <c r="BI93" s="8">
        <f t="shared" ca="1" si="261"/>
        <v>582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651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664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43</v>
      </c>
      <c r="BY93" s="5" t="str">
        <f t="shared" ca="1" si="268"/>
        <v>POR VENCER</v>
      </c>
      <c r="BZ93" s="3"/>
      <c r="CA93" s="4">
        <v>45944</v>
      </c>
      <c r="CB93" s="4">
        <f t="shared" si="402"/>
        <v>46674</v>
      </c>
      <c r="CC93" s="8">
        <f t="shared" ca="1" si="269"/>
        <v>539</v>
      </c>
      <c r="CD93" s="5" t="str">
        <f t="shared" ca="1" si="270"/>
        <v>VIGENTE</v>
      </c>
      <c r="CE93" s="6" t="s">
        <v>73</v>
      </c>
      <c r="CF93" s="4">
        <v>45301</v>
      </c>
      <c r="CG93" s="4">
        <f t="shared" si="396"/>
        <v>46762</v>
      </c>
      <c r="CH93" s="8">
        <f t="shared" ca="1" si="397"/>
        <v>627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105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111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225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255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283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328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67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279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276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268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315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254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329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548</v>
      </c>
      <c r="FA93" s="5" t="str">
        <f t="shared" ca="1" si="301"/>
        <v>VIGENTE</v>
      </c>
      <c r="FB93" s="3"/>
      <c r="FC93" s="4">
        <v>45951</v>
      </c>
      <c r="FD93" s="4">
        <f t="shared" si="405"/>
        <v>46681</v>
      </c>
      <c r="FE93" s="8">
        <f t="shared" ca="1" si="302"/>
        <v>546</v>
      </c>
      <c r="FF93" s="5" t="str">
        <f t="shared" ca="1" si="303"/>
        <v>VIGENTE</v>
      </c>
      <c r="FG93" s="3"/>
      <c r="FH93" s="4">
        <v>45992</v>
      </c>
      <c r="FI93" s="4">
        <f t="shared" si="406"/>
        <v>46722</v>
      </c>
      <c r="FJ93" s="8">
        <f t="shared" ca="1" si="304"/>
        <v>587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332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272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210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335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306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518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3"/>
        <v>916</v>
      </c>
      <c r="GT93" s="5" t="str">
        <f t="shared" ca="1" si="387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1169</v>
      </c>
      <c r="GY93" s="5" t="str">
        <f t="shared" ca="1" si="388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950</v>
      </c>
      <c r="HD93" s="5" t="str">
        <f t="shared" ca="1" si="38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9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9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334</v>
      </c>
      <c r="D94" s="30" t="s">
        <v>64</v>
      </c>
      <c r="E94" s="31" t="s">
        <v>83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62"/>
        <v>VIGENTE</v>
      </c>
      <c r="U94" s="5"/>
      <c r="V94" s="6" t="s">
        <v>335</v>
      </c>
      <c r="W94" s="4">
        <v>45309</v>
      </c>
      <c r="X94" s="4">
        <f t="shared" si="248"/>
        <v>47136</v>
      </c>
      <c r="Y94" s="8">
        <f t="shared" ca="1" si="249"/>
        <v>1001</v>
      </c>
      <c r="Z94" s="5" t="str">
        <f t="shared" ca="1" si="250"/>
        <v>VIGENTE</v>
      </c>
      <c r="AA94" s="5"/>
      <c r="AB94" s="6"/>
      <c r="AC94" s="6"/>
      <c r="AD94" s="4"/>
      <c r="AE94" s="8"/>
      <c r="AF94" s="5" t="str">
        <f t="shared" si="251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531</v>
      </c>
      <c r="AK94" s="5" t="str">
        <f t="shared" ca="1" si="224"/>
        <v>VIGENTE</v>
      </c>
      <c r="AL94" s="6"/>
      <c r="AM94" s="4">
        <v>45937</v>
      </c>
      <c r="AN94" s="4">
        <f t="shared" si="399"/>
        <v>46667</v>
      </c>
      <c r="AO94" s="8">
        <f t="shared" ca="1" si="253"/>
        <v>532</v>
      </c>
      <c r="AP94" s="5" t="str">
        <f t="shared" ca="1" si="254"/>
        <v>VIGENTE</v>
      </c>
      <c r="AQ94" s="4"/>
      <c r="AR94" s="4">
        <v>45989</v>
      </c>
      <c r="AS94" s="4">
        <f t="shared" si="400"/>
        <v>46719</v>
      </c>
      <c r="AT94" s="8">
        <f t="shared" ca="1" si="255"/>
        <v>584</v>
      </c>
      <c r="AU94" s="5" t="str">
        <f t="shared" ca="1" si="256"/>
        <v>VIGENTE</v>
      </c>
      <c r="AV94" s="4"/>
      <c r="AW94" s="4">
        <v>45972</v>
      </c>
      <c r="AX94" s="4">
        <f t="shared" si="401"/>
        <v>46702</v>
      </c>
      <c r="AY94" s="8">
        <f t="shared" ca="1" si="257"/>
        <v>567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636</v>
      </c>
      <c r="BE94" s="5" t="str">
        <f t="shared" ca="1" si="260"/>
        <v>VIGENTE</v>
      </c>
      <c r="BF94" s="6"/>
      <c r="BG94" s="4">
        <v>45997</v>
      </c>
      <c r="BH94" s="4">
        <f t="shared" si="407"/>
        <v>46727</v>
      </c>
      <c r="BI94" s="8">
        <f t="shared" ca="1" si="261"/>
        <v>592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612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645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626</v>
      </c>
      <c r="BY94" s="5" t="str">
        <f t="shared" ca="1" si="268"/>
        <v>VIGENTE</v>
      </c>
      <c r="BZ94" s="6"/>
      <c r="CA94" s="4">
        <v>45986</v>
      </c>
      <c r="CB94" s="4">
        <f t="shared" si="402"/>
        <v>46716</v>
      </c>
      <c r="CC94" s="8">
        <f t="shared" ca="1" si="269"/>
        <v>581</v>
      </c>
      <c r="CD94" s="5" t="str">
        <f t="shared" ca="1" si="270"/>
        <v>VIGENTE</v>
      </c>
      <c r="CE94" s="6" t="s">
        <v>68</v>
      </c>
      <c r="CF94" s="4">
        <v>45723</v>
      </c>
      <c r="CG94" s="4">
        <f t="shared" si="396"/>
        <v>47184</v>
      </c>
      <c r="CH94" s="8">
        <f t="shared" ca="1" si="397"/>
        <v>1049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613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574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638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595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591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570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577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604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627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589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245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590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594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559</v>
      </c>
      <c r="FA94" s="5" t="str">
        <f t="shared" ca="1" si="301"/>
        <v>VIGENTE</v>
      </c>
      <c r="FB94" s="6"/>
      <c r="FC94" s="4">
        <v>45988</v>
      </c>
      <c r="FD94" s="4">
        <f t="shared" si="405"/>
        <v>46718</v>
      </c>
      <c r="FE94" s="8">
        <f t="shared" ca="1" si="302"/>
        <v>583</v>
      </c>
      <c r="FF94" s="5" t="str">
        <f t="shared" ca="1" si="303"/>
        <v>VIGENTE</v>
      </c>
      <c r="FG94" s="4"/>
      <c r="FH94" s="4">
        <v>45962</v>
      </c>
      <c r="FI94" s="4">
        <f t="shared" si="406"/>
        <v>46692</v>
      </c>
      <c r="FJ94" s="8">
        <f t="shared" ca="1" si="304"/>
        <v>557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634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629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599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520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555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93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3"/>
        <v>991</v>
      </c>
      <c r="GT94" s="5" t="str">
        <f t="shared" ca="1" si="387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1021</v>
      </c>
      <c r="GY94" s="5" t="str">
        <f t="shared" ca="1" si="388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1035</v>
      </c>
      <c r="HD94" s="5" t="str">
        <f t="shared" ca="1" si="38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98"/>
        <v>VIGENTE</v>
      </c>
      <c r="HJ94" s="6"/>
      <c r="HK94" s="6"/>
      <c r="HL94" s="4"/>
      <c r="HM94" s="8"/>
      <c r="HN94" s="5" t="str">
        <f t="shared" si="394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336</v>
      </c>
      <c r="D95" s="30" t="s">
        <v>69</v>
      </c>
      <c r="E95" s="31" t="s">
        <v>75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337</v>
      </c>
      <c r="W95" s="4">
        <v>45156</v>
      </c>
      <c r="X95" s="4">
        <f t="shared" si="248"/>
        <v>46983</v>
      </c>
      <c r="Y95" s="8">
        <f t="shared" ca="1" si="249"/>
        <v>848</v>
      </c>
      <c r="Z95" s="5" t="str">
        <f t="shared" ca="1" si="250"/>
        <v>VIGENTE</v>
      </c>
      <c r="AA95" s="5"/>
      <c r="AB95" s="2" t="s">
        <v>338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51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497</v>
      </c>
      <c r="AK95" s="5" t="str">
        <f t="shared" ca="1" si="224"/>
        <v>VIGENTE</v>
      </c>
      <c r="AL95" s="3"/>
      <c r="AM95" s="4">
        <v>45903</v>
      </c>
      <c r="AN95" s="4">
        <f t="shared" si="399"/>
        <v>46633</v>
      </c>
      <c r="AO95" s="8">
        <f t="shared" ca="1" si="253"/>
        <v>498</v>
      </c>
      <c r="AP95" s="5" t="str">
        <f t="shared" ca="1" si="254"/>
        <v>VIGENTE</v>
      </c>
      <c r="AQ95" s="3"/>
      <c r="AR95" s="4">
        <v>45989</v>
      </c>
      <c r="AS95" s="4">
        <f t="shared" si="400"/>
        <v>46719</v>
      </c>
      <c r="AT95" s="8">
        <f t="shared" ca="1" si="255"/>
        <v>584</v>
      </c>
      <c r="AU95" s="5" t="str">
        <f t="shared" ca="1" si="256"/>
        <v>VIGENTE</v>
      </c>
      <c r="AV95" s="3"/>
      <c r="AW95" s="4">
        <v>45972</v>
      </c>
      <c r="AX95" s="4">
        <f t="shared" si="401"/>
        <v>46702</v>
      </c>
      <c r="AY95" s="8">
        <f t="shared" ca="1" si="257"/>
        <v>567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538</v>
      </c>
      <c r="BE95" s="5" t="str">
        <f t="shared" ca="1" si="260"/>
        <v>VIGENTE</v>
      </c>
      <c r="BF95" s="2"/>
      <c r="BG95" s="4">
        <v>45987</v>
      </c>
      <c r="BH95" s="4">
        <f t="shared" si="407"/>
        <v>46717</v>
      </c>
      <c r="BI95" s="8">
        <f t="shared" ca="1" si="261"/>
        <v>582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571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471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448</v>
      </c>
      <c r="BY95" s="5" t="str">
        <f t="shared" ca="1" si="268"/>
        <v>VIGENTE</v>
      </c>
      <c r="BZ95" s="3"/>
      <c r="CA95" s="4">
        <v>45974</v>
      </c>
      <c r="CB95" s="4">
        <f t="shared" si="402"/>
        <v>46704</v>
      </c>
      <c r="CC95" s="8">
        <f t="shared" ca="1" si="269"/>
        <v>569</v>
      </c>
      <c r="CD95" s="5" t="str">
        <f t="shared" ca="1" si="270"/>
        <v>VIGENTE</v>
      </c>
      <c r="CE95" s="6" t="s">
        <v>73</v>
      </c>
      <c r="CF95" s="4">
        <v>45164</v>
      </c>
      <c r="CG95" s="4">
        <f t="shared" si="396"/>
        <v>46625</v>
      </c>
      <c r="CH95" s="8">
        <f t="shared" ca="1" si="397"/>
        <v>490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490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574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534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595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431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519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452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613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615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424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38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578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594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568</v>
      </c>
      <c r="FA95" s="5" t="str">
        <f t="shared" ca="1" si="301"/>
        <v>VIGENTE</v>
      </c>
      <c r="FB95" s="3"/>
      <c r="FC95" s="4">
        <v>45922</v>
      </c>
      <c r="FD95" s="4">
        <f t="shared" si="405"/>
        <v>46652</v>
      </c>
      <c r="FE95" s="8">
        <f t="shared" ca="1" si="302"/>
        <v>517</v>
      </c>
      <c r="FF95" s="5" t="str">
        <f t="shared" ca="1" si="303"/>
        <v>VIGENTE</v>
      </c>
      <c r="FG95" s="2"/>
      <c r="FH95" s="4">
        <v>46009</v>
      </c>
      <c r="FI95" s="4">
        <f t="shared" si="406"/>
        <v>46739</v>
      </c>
      <c r="FJ95" s="8">
        <f t="shared" ca="1" si="304"/>
        <v>604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445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552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609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625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507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518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3"/>
        <v>991</v>
      </c>
      <c r="GT95" s="5" t="str">
        <f t="shared" ca="1" si="387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887</v>
      </c>
      <c r="GY95" s="5" t="str">
        <f t="shared" ca="1" si="388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943</v>
      </c>
      <c r="HD95" s="5" t="str">
        <f t="shared" ca="1" si="38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98"/>
        <v>VIGENTE</v>
      </c>
      <c r="HJ95" s="2"/>
      <c r="HK95" s="6"/>
      <c r="HL95" s="4"/>
      <c r="HM95" s="8"/>
      <c r="HN95" s="5" t="str">
        <f t="shared" si="394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339</v>
      </c>
      <c r="D96" s="30" t="s">
        <v>69</v>
      </c>
      <c r="E96" s="31" t="s">
        <v>75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340</v>
      </c>
      <c r="W96" s="4">
        <v>45500</v>
      </c>
      <c r="X96" s="4">
        <f t="shared" si="248"/>
        <v>47326</v>
      </c>
      <c r="Y96" s="8">
        <f t="shared" ca="1" si="249"/>
        <v>1191</v>
      </c>
      <c r="Z96" s="5" t="str">
        <f t="shared" ca="1" si="250"/>
        <v>VIGENTE</v>
      </c>
      <c r="AA96" s="5"/>
      <c r="AB96" s="2" t="s">
        <v>341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51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203</v>
      </c>
      <c r="AK96" s="5" t="str">
        <f t="shared" ca="1" si="224"/>
        <v>VIGENTE</v>
      </c>
      <c r="AL96" s="3"/>
      <c r="AM96" s="4">
        <v>45959</v>
      </c>
      <c r="AN96" s="4">
        <f t="shared" si="399"/>
        <v>46689</v>
      </c>
      <c r="AO96" s="8">
        <f t="shared" ca="1" si="253"/>
        <v>554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297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314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311</v>
      </c>
      <c r="BE96" s="5" t="str">
        <f t="shared" ca="1" si="260"/>
        <v>VIGENTE</v>
      </c>
      <c r="BF96" s="3"/>
      <c r="BG96" s="4">
        <v>45968</v>
      </c>
      <c r="BH96" s="4">
        <f t="shared" si="407"/>
        <v>46698</v>
      </c>
      <c r="BI96" s="8">
        <f t="shared" ca="1" si="261"/>
        <v>563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630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295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330</v>
      </c>
      <c r="BY96" s="5" t="str">
        <f t="shared" ca="1" si="268"/>
        <v>VIGENTE</v>
      </c>
      <c r="BZ96" s="3"/>
      <c r="CA96" s="4">
        <v>45954</v>
      </c>
      <c r="CB96" s="4">
        <f t="shared" si="402"/>
        <v>46684</v>
      </c>
      <c r="CC96" s="8">
        <f t="shared" ca="1" si="269"/>
        <v>549</v>
      </c>
      <c r="CD96" s="5" t="str">
        <f t="shared" ca="1" si="270"/>
        <v>VIGENTE</v>
      </c>
      <c r="CE96" s="6" t="s">
        <v>73</v>
      </c>
      <c r="CF96" s="4">
        <v>45301</v>
      </c>
      <c r="CG96" s="4">
        <f t="shared" si="396"/>
        <v>46762</v>
      </c>
      <c r="CH96" s="8">
        <f t="shared" ca="1" si="397"/>
        <v>627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524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278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239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255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143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328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325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279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345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177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38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254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349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548</v>
      </c>
      <c r="FA96" s="5" t="str">
        <f t="shared" ca="1" si="301"/>
        <v>VIGENTE</v>
      </c>
      <c r="FB96" s="3"/>
      <c r="FC96" s="4">
        <v>45931</v>
      </c>
      <c r="FD96" s="4">
        <f t="shared" si="405"/>
        <v>46661</v>
      </c>
      <c r="FE96" s="8">
        <f t="shared" ca="1" si="302"/>
        <v>526</v>
      </c>
      <c r="FF96" s="5" t="str">
        <f t="shared" ca="1" si="303"/>
        <v>VIGENTE</v>
      </c>
      <c r="FG96" s="3"/>
      <c r="FH96" s="4">
        <v>45932</v>
      </c>
      <c r="FI96" s="4">
        <f t="shared" si="406"/>
        <v>46662</v>
      </c>
      <c r="FJ96" s="8">
        <f t="shared" ca="1" si="304"/>
        <v>527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264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272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536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309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266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281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3"/>
        <v>851</v>
      </c>
      <c r="GT96" s="5" t="str">
        <f t="shared" ca="1" si="387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670</v>
      </c>
      <c r="GY96" s="5" t="str">
        <f t="shared" ca="1" si="388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852</v>
      </c>
      <c r="HD96" s="5" t="str">
        <f t="shared" ca="1" si="38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98"/>
        <v>VIGENTE</v>
      </c>
      <c r="HJ96" s="2"/>
      <c r="HK96" s="6"/>
      <c r="HL96" s="4"/>
      <c r="HM96" s="8"/>
      <c r="HN96" s="5" t="str">
        <f t="shared" si="394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342</v>
      </c>
      <c r="D97" s="30" t="s">
        <v>69</v>
      </c>
      <c r="E97" s="31" t="s">
        <v>75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343</v>
      </c>
      <c r="W97" s="4">
        <v>45391</v>
      </c>
      <c r="X97" s="4">
        <f t="shared" si="248"/>
        <v>47217</v>
      </c>
      <c r="Y97" s="8">
        <f t="shared" ca="1" si="249"/>
        <v>1082</v>
      </c>
      <c r="Z97" s="5" t="str">
        <f t="shared" ca="1" si="250"/>
        <v>VIGENTE</v>
      </c>
      <c r="AA97" s="5"/>
      <c r="AB97" s="2" t="s">
        <v>344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51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497</v>
      </c>
      <c r="AK97" s="5" t="str">
        <f t="shared" ca="1" si="224"/>
        <v>VIGENTE</v>
      </c>
      <c r="AL97" s="3"/>
      <c r="AM97" s="4">
        <v>45903</v>
      </c>
      <c r="AN97" s="4">
        <f t="shared" si="399"/>
        <v>46633</v>
      </c>
      <c r="AO97" s="8">
        <f t="shared" ca="1" si="253"/>
        <v>498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499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547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538</v>
      </c>
      <c r="BE97" s="5" t="str">
        <f t="shared" ca="1" si="260"/>
        <v>VIGENTE</v>
      </c>
      <c r="BF97" s="2"/>
      <c r="BG97" s="4">
        <v>45997</v>
      </c>
      <c r="BH97" s="4">
        <f t="shared" si="407"/>
        <v>46727</v>
      </c>
      <c r="BI97" s="8">
        <f t="shared" ca="1" si="261"/>
        <v>592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571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576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466</v>
      </c>
      <c r="BY97" s="5" t="str">
        <f t="shared" ca="1" si="268"/>
        <v>VIGENTE</v>
      </c>
      <c r="BZ97" s="3"/>
      <c r="CA97" s="4">
        <v>46011</v>
      </c>
      <c r="CB97" s="4">
        <f t="shared" si="402"/>
        <v>46741</v>
      </c>
      <c r="CC97" s="8">
        <f t="shared" ca="1" si="269"/>
        <v>606</v>
      </c>
      <c r="CD97" s="5" t="str">
        <f t="shared" ca="1" si="270"/>
        <v>VIGENTE</v>
      </c>
      <c r="CE97" s="6" t="s">
        <v>345</v>
      </c>
      <c r="CF97" s="4">
        <v>45266</v>
      </c>
      <c r="CG97" s="4">
        <f t="shared" si="396"/>
        <v>46727</v>
      </c>
      <c r="CH97" s="8">
        <f t="shared" ca="1" si="397"/>
        <v>592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613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574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560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473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640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519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577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513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695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589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178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578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594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632</v>
      </c>
      <c r="FA97" s="5" t="str">
        <f t="shared" ca="1" si="301"/>
        <v>VIGENTE</v>
      </c>
      <c r="FB97" s="3"/>
      <c r="FC97" s="4">
        <v>46017</v>
      </c>
      <c r="FD97" s="4">
        <f t="shared" si="405"/>
        <v>46747</v>
      </c>
      <c r="FE97" s="8">
        <f t="shared" ca="1" si="302"/>
        <v>612</v>
      </c>
      <c r="FF97" s="5" t="str">
        <f t="shared" ca="1" si="303"/>
        <v>VIGENTE</v>
      </c>
      <c r="FG97" s="3"/>
      <c r="FH97" s="4">
        <v>45969</v>
      </c>
      <c r="FI97" s="4">
        <f t="shared" si="406"/>
        <v>46699</v>
      </c>
      <c r="FJ97" s="8">
        <f t="shared" ca="1" si="304"/>
        <v>564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515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552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470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469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507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639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3"/>
        <v>1058</v>
      </c>
      <c r="GT97" s="5" t="str">
        <f t="shared" ca="1" si="387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1021</v>
      </c>
      <c r="GY97" s="5" t="str">
        <f t="shared" ca="1" si="388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1170</v>
      </c>
      <c r="HD97" s="5" t="str">
        <f t="shared" ca="1" si="38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98"/>
        <v>VIGENTE</v>
      </c>
      <c r="HJ97" s="2"/>
      <c r="HK97" s="6"/>
      <c r="HL97" s="4"/>
      <c r="HM97" s="8"/>
      <c r="HN97" s="5" t="str">
        <f t="shared" si="394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346</v>
      </c>
      <c r="D98" s="30" t="s">
        <v>115</v>
      </c>
      <c r="E98" s="31" t="s">
        <v>151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347</v>
      </c>
      <c r="W98" s="4">
        <v>45041</v>
      </c>
      <c r="X98" s="4">
        <f t="shared" si="248"/>
        <v>46868</v>
      </c>
      <c r="Y98" s="8">
        <f t="shared" ca="1" si="249"/>
        <v>733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251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315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196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297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296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311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292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194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295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205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223</v>
      </c>
      <c r="CD98" s="5" t="str">
        <f t="shared" ca="1" si="270"/>
        <v>VIGENTE</v>
      </c>
      <c r="CE98" s="6" t="s">
        <v>68</v>
      </c>
      <c r="CF98" s="4">
        <v>45828</v>
      </c>
      <c r="CG98" s="4">
        <f t="shared" si="396"/>
        <v>47289</v>
      </c>
      <c r="CH98" s="8">
        <f t="shared" ca="1" si="397"/>
        <v>1154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282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278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218</v>
      </c>
      <c r="CX98" s="5" t="str">
        <f t="shared" ca="1" si="279"/>
        <v>VIGENTE</v>
      </c>
      <c r="CY98" s="3"/>
      <c r="CZ98" s="4">
        <v>45744</v>
      </c>
      <c r="DA98" s="4">
        <f t="shared" ref="DA98:DA103" si="408">DATE(YEAR(CZ98)+2,MONTH(CZ98),DAY(CZ98)-1)</f>
        <v>46473</v>
      </c>
      <c r="DB98" s="8">
        <f t="shared" ca="1" si="280"/>
        <v>338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283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290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325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301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257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268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315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299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271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288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260</v>
      </c>
      <c r="FF98" s="5" t="str">
        <f t="shared" ca="1" si="303"/>
        <v>VIGENTE</v>
      </c>
      <c r="FG98" s="3"/>
      <c r="FH98" s="4">
        <v>45722</v>
      </c>
      <c r="FI98" s="4">
        <f t="shared" si="406"/>
        <v>46452</v>
      </c>
      <c r="FJ98" s="8">
        <f t="shared" ca="1" si="304"/>
        <v>317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264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272</v>
      </c>
      <c r="FU98" s="5" t="str">
        <f t="shared" ca="1" si="309"/>
        <v>VIGENTE</v>
      </c>
      <c r="FV98" s="3"/>
      <c r="FW98" s="4">
        <v>45700</v>
      </c>
      <c r="FX98" s="4">
        <f t="shared" ref="FX98:FX103" si="409">DATE(YEAR(FW98)+2,MONTH(FW98),DAY(FW98)-1)</f>
        <v>46429</v>
      </c>
      <c r="FY98" s="8">
        <f t="shared" ca="1" si="310"/>
        <v>294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261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266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209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3"/>
        <v>705</v>
      </c>
      <c r="GT98" s="5" t="str">
        <f t="shared" ca="1" si="387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791</v>
      </c>
      <c r="GY98" s="5" t="str">
        <f t="shared" ca="1" si="388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765</v>
      </c>
      <c r="HD98" s="5" t="str">
        <f t="shared" ca="1" si="389"/>
        <v>VIGENTE</v>
      </c>
      <c r="HE98" s="6"/>
      <c r="HF98" s="6"/>
      <c r="HG98" s="4"/>
      <c r="HH98" s="8"/>
      <c r="HI98" s="5" t="str">
        <f t="shared" si="398"/>
        <v>NO APLICA</v>
      </c>
      <c r="HJ98" s="2"/>
      <c r="HK98" s="6"/>
      <c r="HL98" s="4"/>
      <c r="HM98" s="8"/>
      <c r="HN98" s="5" t="str">
        <f t="shared" si="394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348</v>
      </c>
      <c r="D99" s="30" t="s">
        <v>69</v>
      </c>
      <c r="E99" s="31" t="s">
        <v>75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349</v>
      </c>
      <c r="W99" s="4">
        <v>45309</v>
      </c>
      <c r="X99" s="4">
        <f t="shared" si="248"/>
        <v>47136</v>
      </c>
      <c r="Y99" s="8">
        <f t="shared" ca="1" si="249"/>
        <v>1001</v>
      </c>
      <c r="Z99" s="5" t="str">
        <f t="shared" ca="1" si="250"/>
        <v>VIGENTE</v>
      </c>
      <c r="AA99" s="5"/>
      <c r="AB99" s="6" t="s">
        <v>350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51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601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554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643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567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636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582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651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583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626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569</v>
      </c>
      <c r="CD99" s="5" t="str">
        <f t="shared" ca="1" si="270"/>
        <v>VIGENTE</v>
      </c>
      <c r="CE99" s="6" t="s">
        <v>73</v>
      </c>
      <c r="CF99" s="4">
        <v>45565</v>
      </c>
      <c r="CG99" s="4">
        <f t="shared" si="396"/>
        <v>47026</v>
      </c>
      <c r="CH99" s="8">
        <f t="shared" ca="1" si="397"/>
        <v>891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613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633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638</v>
      </c>
      <c r="CX99" s="5" t="str">
        <f t="shared" ca="1" si="279"/>
        <v>VIGENTE</v>
      </c>
      <c r="CY99" s="4"/>
      <c r="CZ99" s="4">
        <v>45646</v>
      </c>
      <c r="DA99" s="4">
        <f t="shared" si="408"/>
        <v>46375</v>
      </c>
      <c r="DB99" s="8">
        <f t="shared" ca="1" si="280"/>
        <v>240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591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668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641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667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627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56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38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578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594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632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687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100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644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652</v>
      </c>
      <c r="FU99" s="5" t="str">
        <f t="shared" ca="1" si="309"/>
        <v>VIGENTE</v>
      </c>
      <c r="FV99" s="4"/>
      <c r="FW99" s="4">
        <v>45587</v>
      </c>
      <c r="FX99" s="4">
        <f t="shared" si="409"/>
        <v>46316</v>
      </c>
      <c r="FY99" s="8">
        <f t="shared" ca="1" si="310"/>
        <v>181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625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674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639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3"/>
        <v>1058</v>
      </c>
      <c r="GT99" s="5" t="str">
        <f t="shared" ca="1" si="387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1198</v>
      </c>
      <c r="GY99" s="5" t="str">
        <f t="shared" ca="1" si="388"/>
        <v>VIGENTE</v>
      </c>
      <c r="GZ99" s="6"/>
      <c r="HA99" s="6"/>
      <c r="HB99" s="4">
        <f t="shared" si="323"/>
        <v>1827</v>
      </c>
      <c r="HC99" s="8">
        <f t="shared" ca="1" si="324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0">DATE(YEAR(HF99)+5,MONTH(HF99),DAY(HF99))</f>
        <v>1827</v>
      </c>
      <c r="HH99" s="8">
        <f t="shared" ref="HH99:HH104" ca="1" si="41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4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351</v>
      </c>
      <c r="D100" s="30" t="s">
        <v>69</v>
      </c>
      <c r="E100" s="31" t="s">
        <v>124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352</v>
      </c>
      <c r="W100" s="4">
        <v>45500</v>
      </c>
      <c r="X100" s="4">
        <f t="shared" si="248"/>
        <v>47326</v>
      </c>
      <c r="Y100" s="8">
        <f t="shared" ca="1" si="249"/>
        <v>1191</v>
      </c>
      <c r="Z100" s="5" t="str">
        <f t="shared" ca="1" si="250"/>
        <v>VIGENTE</v>
      </c>
      <c r="AA100" s="5"/>
      <c r="AB100" s="2" t="s">
        <v>353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51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497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521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499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585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575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582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630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664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466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549</v>
      </c>
      <c r="CD100" s="5" t="str">
        <f t="shared" ca="1" si="270"/>
        <v>VIGENTE</v>
      </c>
      <c r="CE100" s="6" t="s">
        <v>73</v>
      </c>
      <c r="CF100" s="4">
        <v>45301</v>
      </c>
      <c r="CG100" s="4">
        <f t="shared" si="396"/>
        <v>46762</v>
      </c>
      <c r="CH100" s="8">
        <f t="shared" ca="1" si="397"/>
        <v>627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524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493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225</v>
      </c>
      <c r="CX100" s="5" t="str">
        <f t="shared" ca="1" si="279"/>
        <v>VIGENTE</v>
      </c>
      <c r="CY100" s="3"/>
      <c r="CZ100" s="4">
        <v>45665</v>
      </c>
      <c r="DA100" s="4">
        <f t="shared" si="408"/>
        <v>46394</v>
      </c>
      <c r="DB100" s="8">
        <f t="shared" ca="1" si="280"/>
        <v>259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283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494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67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446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529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478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232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561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594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548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517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557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515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552</v>
      </c>
      <c r="FU100" s="5" t="str">
        <f t="shared" ca="1" si="309"/>
        <v>VIGENTE</v>
      </c>
      <c r="FV100" s="4"/>
      <c r="FW100" s="4">
        <v>45574</v>
      </c>
      <c r="FX100" s="4">
        <f t="shared" si="409"/>
        <v>46303</v>
      </c>
      <c r="FY100" s="8">
        <f t="shared" ca="1" si="310"/>
        <v>168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625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555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553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3"/>
        <v>957</v>
      </c>
      <c r="GT100" s="5" t="str">
        <f t="shared" ca="1" si="387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1021</v>
      </c>
      <c r="GY100" s="5" t="str">
        <f t="shared" ca="1" si="388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960</v>
      </c>
      <c r="HD100" s="5" t="str">
        <f t="shared" ref="HD100:HD105" ca="1" si="41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0"/>
        <v>46702</v>
      </c>
      <c r="HH100" s="8">
        <f t="shared" ca="1" si="411"/>
        <v>567</v>
      </c>
      <c r="HI100" s="5" t="str">
        <f t="shared" ref="HI100:HI105" ca="1" si="41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4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354</v>
      </c>
      <c r="D101" s="30" t="s">
        <v>69</v>
      </c>
      <c r="E101" s="31" t="s">
        <v>131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355</v>
      </c>
      <c r="W101" s="4">
        <v>45492</v>
      </c>
      <c r="X101" s="4">
        <f t="shared" si="248"/>
        <v>47318</v>
      </c>
      <c r="Y101" s="8">
        <f t="shared" ca="1" si="249"/>
        <v>1183</v>
      </c>
      <c r="Z101" s="5" t="str">
        <f t="shared" ca="1" si="250"/>
        <v>VIGENTE</v>
      </c>
      <c r="AA101" s="5"/>
      <c r="AB101" s="2" t="s">
        <v>356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51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188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532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643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665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636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582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630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664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43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539</v>
      </c>
      <c r="CD101" s="5" t="str">
        <f t="shared" ca="1" si="270"/>
        <v>VIGENTE</v>
      </c>
      <c r="CE101" s="6" t="s">
        <v>73</v>
      </c>
      <c r="CF101" s="4">
        <v>45282</v>
      </c>
      <c r="CG101" s="4">
        <f t="shared" si="396"/>
        <v>46743</v>
      </c>
      <c r="CH101" s="8">
        <f t="shared" ca="1" si="397"/>
        <v>608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659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697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225</v>
      </c>
      <c r="CX101" s="5" t="str">
        <f t="shared" ca="1" si="279"/>
        <v>VIGENTE</v>
      </c>
      <c r="CY101" s="3"/>
      <c r="CZ101" s="4">
        <v>45665</v>
      </c>
      <c r="DA101" s="4">
        <f t="shared" si="408"/>
        <v>46394</v>
      </c>
      <c r="DB101" s="8">
        <f t="shared" ca="1" si="280"/>
        <v>259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283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624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67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648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695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700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42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54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690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548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583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564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73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52</v>
      </c>
      <c r="FU101" s="5" t="str">
        <f t="shared" ca="1" si="309"/>
        <v>POR VENCER</v>
      </c>
      <c r="FV101" s="3"/>
      <c r="FW101" s="4">
        <v>45574</v>
      </c>
      <c r="FX101" s="4">
        <f t="shared" si="409"/>
        <v>46303</v>
      </c>
      <c r="FY101" s="8">
        <f t="shared" ca="1" si="310"/>
        <v>168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261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631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518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3"/>
        <v>1150</v>
      </c>
      <c r="GT101" s="5" t="str">
        <f t="shared" ca="1" si="387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1155</v>
      </c>
      <c r="GY101" s="5" t="str">
        <f t="shared" ca="1" si="388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1145</v>
      </c>
      <c r="HD101" s="5" t="str">
        <f t="shared" ca="1" si="412"/>
        <v>VIGENTE</v>
      </c>
      <c r="HE101" s="6"/>
      <c r="HF101" s="4">
        <v>44862</v>
      </c>
      <c r="HG101" s="4">
        <f t="shared" si="410"/>
        <v>46688</v>
      </c>
      <c r="HH101" s="8">
        <f t="shared" ca="1" si="411"/>
        <v>553</v>
      </c>
      <c r="HI101" s="5" t="str">
        <f t="shared" ca="1" si="41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94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357</v>
      </c>
      <c r="D102" s="30" t="s">
        <v>69</v>
      </c>
      <c r="E102" s="31" t="s">
        <v>79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358</v>
      </c>
      <c r="W102" s="4">
        <v>44829</v>
      </c>
      <c r="X102" s="4">
        <f t="shared" si="248"/>
        <v>46655</v>
      </c>
      <c r="Y102" s="8">
        <f t="shared" ca="1" si="249"/>
        <v>520</v>
      </c>
      <c r="Z102" s="5" t="str">
        <f t="shared" ca="1" si="250"/>
        <v>VIGENTE</v>
      </c>
      <c r="AA102" s="5"/>
      <c r="AB102" s="2" t="s">
        <v>359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51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601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554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591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567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197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662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630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664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289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569</v>
      </c>
      <c r="CD102" s="5" t="str">
        <f t="shared" ca="1" si="270"/>
        <v>VIGENTE</v>
      </c>
      <c r="CE102" s="6" t="s">
        <v>73</v>
      </c>
      <c r="CF102" s="4">
        <v>45282</v>
      </c>
      <c r="CG102" s="4">
        <f t="shared" si="396"/>
        <v>46743</v>
      </c>
      <c r="CH102" s="8">
        <f t="shared" ca="1" si="397"/>
        <v>608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282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320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225</v>
      </c>
      <c r="CX102" s="5" t="str">
        <f t="shared" ca="1" si="279"/>
        <v>VIGENTE</v>
      </c>
      <c r="CY102" s="3"/>
      <c r="CZ102" s="4">
        <v>45661</v>
      </c>
      <c r="DA102" s="4">
        <f t="shared" si="408"/>
        <v>46390</v>
      </c>
      <c r="DB102" s="8">
        <f t="shared" ca="1" si="280"/>
        <v>255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201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174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603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279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257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268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315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206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349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568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612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604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231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199</v>
      </c>
      <c r="FU102" s="5" t="str">
        <f t="shared" ca="1" si="309"/>
        <v>VIGENTE</v>
      </c>
      <c r="FV102" s="3"/>
      <c r="FW102" s="4">
        <v>45587</v>
      </c>
      <c r="FX102" s="4">
        <f t="shared" si="409"/>
        <v>46316</v>
      </c>
      <c r="FY102" s="8">
        <f t="shared" ca="1" si="310"/>
        <v>181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189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92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553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3"/>
        <v>975</v>
      </c>
      <c r="GT102" s="5" t="str">
        <f t="shared" ca="1" si="387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944</v>
      </c>
      <c r="GY102" s="5" t="str">
        <f t="shared" ca="1" si="388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943</v>
      </c>
      <c r="HD102" s="5" t="str">
        <f t="shared" ca="1" si="412"/>
        <v>VIGENTE</v>
      </c>
      <c r="HE102" s="6"/>
      <c r="HF102" s="4">
        <v>44862</v>
      </c>
      <c r="HG102" s="4">
        <f t="shared" si="410"/>
        <v>46688</v>
      </c>
      <c r="HH102" s="8">
        <f t="shared" ca="1" si="411"/>
        <v>553</v>
      </c>
      <c r="HI102" s="5" t="str">
        <f t="shared" ca="1" si="41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9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769</v>
      </c>
      <c r="D103" s="30" t="s">
        <v>69</v>
      </c>
      <c r="E103" s="31" t="s">
        <v>360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62"/>
        <v>VIGENTE</v>
      </c>
      <c r="U103" s="5"/>
      <c r="V103" s="2" t="s">
        <v>361</v>
      </c>
      <c r="W103" s="4">
        <v>44918</v>
      </c>
      <c r="X103" s="4">
        <f t="shared" si="248"/>
        <v>46744</v>
      </c>
      <c r="Y103" s="8">
        <f t="shared" ca="1" si="249"/>
        <v>609</v>
      </c>
      <c r="Z103" s="5" t="str">
        <f t="shared" ca="1" si="250"/>
        <v>VIGENTE</v>
      </c>
      <c r="AA103" s="5"/>
      <c r="AB103" s="2" t="s">
        <v>362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51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188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304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297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296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197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199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194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295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166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223</v>
      </c>
      <c r="CD103" s="5" t="str">
        <f t="shared" ca="1" si="270"/>
        <v>VIGENTE</v>
      </c>
      <c r="CE103" s="6" t="s">
        <v>73</v>
      </c>
      <c r="CF103" s="4">
        <v>45282</v>
      </c>
      <c r="CG103" s="4">
        <f t="shared" si="396"/>
        <v>46743</v>
      </c>
      <c r="CH103" s="8">
        <f t="shared" ca="1" si="397"/>
        <v>608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195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212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225</v>
      </c>
      <c r="CX103" s="5" t="str">
        <f t="shared" ca="1" si="279"/>
        <v>VIGENTE</v>
      </c>
      <c r="CY103" s="3"/>
      <c r="CZ103" s="4">
        <v>45646</v>
      </c>
      <c r="DA103" s="4">
        <f t="shared" si="408"/>
        <v>46375</v>
      </c>
      <c r="DB103" s="8">
        <f t="shared" ca="1" si="280"/>
        <v>240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283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290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171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213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176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196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42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265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169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204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205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262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182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258</v>
      </c>
      <c r="FU103" s="5" t="str">
        <f t="shared" ca="1" si="309"/>
        <v>VIGENTE</v>
      </c>
      <c r="FV103" s="3"/>
      <c r="FW103" s="4">
        <v>45700</v>
      </c>
      <c r="FX103" s="4">
        <f t="shared" si="409"/>
        <v>46429</v>
      </c>
      <c r="FY103" s="8">
        <f t="shared" ca="1" si="310"/>
        <v>294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261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266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202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3"/>
        <v>643</v>
      </c>
      <c r="GT103" s="5" t="str">
        <f t="shared" ca="1" si="387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652</v>
      </c>
      <c r="GY103" s="5" t="str">
        <f t="shared" ca="1" si="388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671</v>
      </c>
      <c r="HD103" s="5" t="str">
        <f t="shared" ca="1" si="412"/>
        <v>VIGENTE</v>
      </c>
      <c r="HE103" s="6"/>
      <c r="HF103" s="4">
        <v>45115</v>
      </c>
      <c r="HG103" s="4">
        <f t="shared" si="410"/>
        <v>46942</v>
      </c>
      <c r="HH103" s="8">
        <f t="shared" ca="1" si="411"/>
        <v>807</v>
      </c>
      <c r="HI103" s="5" t="str">
        <f t="shared" ca="1" si="413"/>
        <v>VIGENTE</v>
      </c>
      <c r="HJ103" s="2"/>
      <c r="HK103" s="6"/>
      <c r="HL103" s="4"/>
      <c r="HM103" s="8"/>
      <c r="HN103" s="5" t="str">
        <f t="shared" si="394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363</v>
      </c>
      <c r="D104" s="30" t="s">
        <v>64</v>
      </c>
      <c r="E104" s="31" t="s">
        <v>83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62"/>
        <v>VIGENTE</v>
      </c>
      <c r="U104" s="5"/>
      <c r="V104" s="6" t="s">
        <v>364</v>
      </c>
      <c r="W104" s="4">
        <v>45309</v>
      </c>
      <c r="X104" s="4">
        <f t="shared" si="248"/>
        <v>47136</v>
      </c>
      <c r="Y104" s="8">
        <f t="shared" ca="1" si="249"/>
        <v>1001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5" t="str">
        <f t="shared" si="251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531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532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584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567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636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592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612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645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626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581</v>
      </c>
      <c r="CD104" s="5" t="str">
        <f t="shared" ca="1" si="270"/>
        <v>VIGENTE</v>
      </c>
      <c r="CE104" s="6" t="s">
        <v>68</v>
      </c>
      <c r="CF104" s="4">
        <v>45723</v>
      </c>
      <c r="CG104" s="4">
        <f t="shared" si="396"/>
        <v>47184</v>
      </c>
      <c r="CH104" s="8">
        <f t="shared" ca="1" si="397"/>
        <v>1049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613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574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638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595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591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570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577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604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627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589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245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578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594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559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583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557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634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629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599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520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555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93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3"/>
        <v>991</v>
      </c>
      <c r="GT104" s="5" t="str">
        <f t="shared" ca="1" si="387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1021</v>
      </c>
      <c r="GY104" s="5" t="str">
        <f t="shared" ca="1" si="388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1035</v>
      </c>
      <c r="HD104" s="5" t="str">
        <f t="shared" ca="1" si="412"/>
        <v>VIGENTE</v>
      </c>
      <c r="HE104" s="6"/>
      <c r="HF104" s="4">
        <v>45317</v>
      </c>
      <c r="HG104" s="4">
        <f t="shared" si="410"/>
        <v>47144</v>
      </c>
      <c r="HH104" s="8">
        <f t="shared" ca="1" si="411"/>
        <v>1009</v>
      </c>
      <c r="HI104" s="5" t="str">
        <f t="shared" ca="1" si="413"/>
        <v>VIGENTE</v>
      </c>
      <c r="HJ104" s="6"/>
      <c r="HK104" s="6"/>
      <c r="HL104" s="4"/>
      <c r="HM104" s="8"/>
      <c r="HN104" s="5" t="str">
        <f t="shared" si="394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770</v>
      </c>
      <c r="D105" s="30" t="s">
        <v>115</v>
      </c>
      <c r="E105" s="31" t="s">
        <v>365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366</v>
      </c>
      <c r="W105" s="4">
        <v>45282</v>
      </c>
      <c r="X105" s="4">
        <f t="shared" si="248"/>
        <v>47109</v>
      </c>
      <c r="Y105" s="8">
        <f t="shared" ca="1" si="249"/>
        <v>974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 t="shared" si="251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497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498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499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522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311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292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194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295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205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549</v>
      </c>
      <c r="CD105" s="5" t="str">
        <f t="shared" ca="1" si="270"/>
        <v>VIGENTE</v>
      </c>
      <c r="CE105" s="6" t="s">
        <v>68</v>
      </c>
      <c r="CF105" s="4">
        <v>45832</v>
      </c>
      <c r="CG105" s="4">
        <f t="shared" si="396"/>
        <v>47293</v>
      </c>
      <c r="CH105" s="8">
        <f t="shared" ca="1" si="397"/>
        <v>1158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282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320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500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595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356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429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577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279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257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268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315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299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329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512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526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527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264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258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609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261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266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540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3"/>
        <v>705</v>
      </c>
      <c r="GT105" s="5" t="str">
        <f t="shared" ca="1" si="387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791</v>
      </c>
      <c r="GY105" s="5" t="str">
        <f t="shared" ca="1" si="388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765</v>
      </c>
      <c r="HD105" s="5" t="str">
        <f t="shared" ca="1" si="412"/>
        <v>VIGENTE</v>
      </c>
      <c r="HE105" s="6"/>
      <c r="HF105" s="6"/>
      <c r="HG105" s="4"/>
      <c r="HH105" s="8"/>
      <c r="HI105" s="5" t="str">
        <f t="shared" si="413"/>
        <v>NO APLICA</v>
      </c>
      <c r="HJ105" s="2"/>
      <c r="HK105" s="6"/>
      <c r="HL105" s="4"/>
      <c r="HM105" s="8"/>
      <c r="HN105" s="5" t="str">
        <f t="shared" si="394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367</v>
      </c>
      <c r="D106" s="30" t="s">
        <v>160</v>
      </c>
      <c r="E106" s="31" t="s">
        <v>161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368</v>
      </c>
      <c r="W106" s="4">
        <v>45693</v>
      </c>
      <c r="X106" s="4">
        <f t="shared" si="248"/>
        <v>47519</v>
      </c>
      <c r="Y106" s="8">
        <f t="shared" ca="1" si="249"/>
        <v>1384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5" t="str">
        <f t="shared" si="251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183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196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185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238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197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199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194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198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162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324</v>
      </c>
      <c r="CD106" s="5" t="str">
        <f t="shared" ca="1" si="270"/>
        <v>VIGENTE</v>
      </c>
      <c r="CE106" s="6" t="s">
        <v>68</v>
      </c>
      <c r="CF106" s="4">
        <v>45723</v>
      </c>
      <c r="CG106" s="4">
        <f t="shared" si="396"/>
        <v>47184</v>
      </c>
      <c r="CH106" s="8">
        <f t="shared" ca="1" si="397"/>
        <v>1049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195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191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218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240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190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174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171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202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176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177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337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178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169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204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205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262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182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180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181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189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173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161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7"/>
        <v>NO APLICA</v>
      </c>
      <c r="GU106" s="4"/>
      <c r="GV106" s="6"/>
      <c r="GW106" s="4">
        <f t="shared" si="320"/>
        <v>1827</v>
      </c>
      <c r="GX106" s="8">
        <f t="shared" ca="1" si="321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4">DATE(YEAR(HF106)+5,MONTH(HF106),DAY(HF106))</f>
        <v>1827</v>
      </c>
      <c r="HH106" s="8">
        <f t="shared" ref="HH106:HH118" ca="1" si="41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771</v>
      </c>
      <c r="D107" s="30" t="s">
        <v>69</v>
      </c>
      <c r="E107" s="31" t="s">
        <v>75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369</v>
      </c>
      <c r="W107" s="4">
        <v>45142</v>
      </c>
      <c r="X107" s="4">
        <f t="shared" si="248"/>
        <v>46969</v>
      </c>
      <c r="Y107" s="8">
        <f t="shared" ca="1" si="249"/>
        <v>834</v>
      </c>
      <c r="Z107" s="5" t="str">
        <f t="shared" ca="1" si="250"/>
        <v>VIGENTE</v>
      </c>
      <c r="AA107" s="5"/>
      <c r="AB107" s="2" t="s">
        <v>370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51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601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532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562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547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666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582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612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583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626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581</v>
      </c>
      <c r="CD107" s="5" t="str">
        <f t="shared" ca="1" si="270"/>
        <v>VIGENTE</v>
      </c>
      <c r="CE107" s="6" t="s">
        <v>73</v>
      </c>
      <c r="CF107" s="4">
        <v>45533</v>
      </c>
      <c r="CG107" s="4">
        <f t="shared" si="396"/>
        <v>46994</v>
      </c>
      <c r="CH107" s="8">
        <f t="shared" ca="1" si="397"/>
        <v>859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615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589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534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595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640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550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602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613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627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580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42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578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594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559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605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564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644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629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609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520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555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639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6">GR107-TODAY()</f>
        <v>991</v>
      </c>
      <c r="GT107" s="5" t="str">
        <f t="shared" ca="1" si="387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4"/>
        <v>47144</v>
      </c>
      <c r="HH107" s="8">
        <f t="shared" ca="1" si="41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371</v>
      </c>
      <c r="D108" s="30" t="s">
        <v>69</v>
      </c>
      <c r="E108" s="31" t="s">
        <v>156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372</v>
      </c>
      <c r="W108" s="4">
        <v>44772</v>
      </c>
      <c r="X108" s="4">
        <f t="shared" si="248"/>
        <v>46598</v>
      </c>
      <c r="Y108" s="8">
        <f t="shared" ca="1" si="249"/>
        <v>463</v>
      </c>
      <c r="Z108" s="5" t="str">
        <f t="shared" ca="1" si="250"/>
        <v>VIGENTE</v>
      </c>
      <c r="AA108" s="5"/>
      <c r="AB108" s="2" t="s">
        <v>373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51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497</v>
      </c>
      <c r="AK108" s="5" t="str">
        <f t="shared" ref="AK108:AK171" ca="1" si="41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498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584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665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197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292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194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198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205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549</v>
      </c>
      <c r="CD108" s="5" t="str">
        <f t="shared" ca="1" si="270"/>
        <v>VIGENTE</v>
      </c>
      <c r="CE108" s="6" t="s">
        <v>73</v>
      </c>
      <c r="CF108" s="4">
        <v>45301</v>
      </c>
      <c r="CG108" s="4">
        <f t="shared" si="396"/>
        <v>46762</v>
      </c>
      <c r="CH108" s="8">
        <f t="shared" ca="1" si="397"/>
        <v>627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282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320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638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595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356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624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577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213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276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177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315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254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271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548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546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514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182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199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609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261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173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346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6"/>
        <v>643</v>
      </c>
      <c r="GT108" s="5" t="str">
        <f t="shared" ca="1" si="387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4"/>
        <v>46921</v>
      </c>
      <c r="HH108" s="8">
        <f t="shared" ca="1" si="41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374</v>
      </c>
      <c r="D109" s="30" t="s">
        <v>64</v>
      </c>
      <c r="E109" s="31" t="s">
        <v>164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51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203</v>
      </c>
      <c r="AK109" s="5" t="str">
        <f t="shared" ca="1" si="41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304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234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238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197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237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293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295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289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324</v>
      </c>
      <c r="CD109" s="5" t="str">
        <f t="shared" ca="1" si="270"/>
        <v>VIGENTE</v>
      </c>
      <c r="CE109" s="2"/>
      <c r="CF109" s="2"/>
      <c r="CG109" s="4"/>
      <c r="CH109" s="8"/>
      <c r="CI109" s="5" t="str">
        <f t="shared" si="273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282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278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233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240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283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290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325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219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257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236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337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230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271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224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226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262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231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258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294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220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266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227</v>
      </c>
      <c r="GO109" s="5" t="str">
        <f t="shared" ca="1" si="317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1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375</v>
      </c>
      <c r="D110" s="30" t="s">
        <v>69</v>
      </c>
      <c r="E110" s="31" t="s">
        <v>95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376</v>
      </c>
      <c r="W110" s="4">
        <v>45426</v>
      </c>
      <c r="X110" s="4">
        <f t="shared" ref="X110:X157" si="419">DATE(YEAR(W110)+5,MONTH(W110),DAY(W110))</f>
        <v>47252</v>
      </c>
      <c r="Y110" s="8">
        <f t="shared" ref="Y110:Y157" ca="1" si="420">X110-TODAY()</f>
        <v>1117</v>
      </c>
      <c r="Z110" s="5" t="str">
        <f t="shared" ref="Z110:Z173" ca="1" si="421">IF(Y110&gt;=90,"VIGENTE",IF(Y110&gt;=1,"POR VENCER",IF(Y110&lt;=-1,"VENCIDA",IF(W110=0,"NO APLICA"))))</f>
        <v>VIGENTE</v>
      </c>
      <c r="AA110" s="5"/>
      <c r="AB110" s="2" t="s">
        <v>377</v>
      </c>
      <c r="AC110" s="4">
        <v>44824</v>
      </c>
      <c r="AD110" s="4">
        <f t="shared" ref="AD110:AD118" si="422">DATE(YEAR(AC110)+5,MONTH(AC110),DAY(AC110))</f>
        <v>46650</v>
      </c>
      <c r="AE110" s="8">
        <f t="shared" ref="AE110:AE118" ca="1" si="423">AD110-TODAY()</f>
        <v>515</v>
      </c>
      <c r="AF110" s="5" t="str">
        <f t="shared" ca="1" si="251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188</v>
      </c>
      <c r="AK110" s="5" t="str">
        <f t="shared" ca="1" si="417"/>
        <v>VIGENTE</v>
      </c>
      <c r="AL110" s="4"/>
      <c r="AM110" s="4">
        <v>45926</v>
      </c>
      <c r="AN110" s="4">
        <f t="shared" ref="AN110:AN116" si="424">DATE(YEAR(AM110)+2,MONTH(AM110),DAY(AM110))</f>
        <v>46656</v>
      </c>
      <c r="AO110" s="8">
        <f t="shared" ca="1" si="253"/>
        <v>521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297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296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197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582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612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295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43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74</v>
      </c>
      <c r="CD110" s="5" t="str">
        <f t="shared" ca="1" si="270"/>
        <v>POR VENCER</v>
      </c>
      <c r="CE110" s="6" t="s">
        <v>73</v>
      </c>
      <c r="CF110" s="4">
        <v>45211</v>
      </c>
      <c r="CG110" s="4">
        <f t="shared" ref="CG110:CG157" si="425">DATE(YEAR(CF110)+4,MONTH(CF110),DAY(CF110))</f>
        <v>46672</v>
      </c>
      <c r="CH110" s="8">
        <f t="shared" ref="CH110:CH157" ca="1" si="426">CG110-TODAY()</f>
        <v>537</v>
      </c>
      <c r="CI110" s="5" t="str">
        <f t="shared" ref="CI110:CI142" ca="1" si="42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98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111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321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259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283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290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577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213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176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268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38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178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343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288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260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262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332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258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294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335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266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639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6"/>
        <v>916</v>
      </c>
      <c r="GT110" s="5" t="str">
        <f t="shared" ref="GT110:GT173" ca="1" si="42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969</v>
      </c>
      <c r="GY110" s="5" t="str">
        <f t="shared" ref="GY110:GY115" ca="1" si="42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960</v>
      </c>
      <c r="HD110" s="5" t="str">
        <f t="shared" ref="HD110:HD173" ca="1" si="43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4"/>
        <v>46710</v>
      </c>
      <c r="HH110" s="8">
        <f t="shared" ca="1" si="415"/>
        <v>575</v>
      </c>
      <c r="HI110" s="5" t="str">
        <f t="shared" ref="HI110:HI115" ca="1" si="43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1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378</v>
      </c>
      <c r="D111" s="30" t="s">
        <v>69</v>
      </c>
      <c r="E111" s="31" t="s">
        <v>188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379</v>
      </c>
      <c r="W111" s="4">
        <v>44790</v>
      </c>
      <c r="X111" s="4">
        <f t="shared" si="419"/>
        <v>46616</v>
      </c>
      <c r="Y111" s="8">
        <f t="shared" ca="1" si="420"/>
        <v>481</v>
      </c>
      <c r="Z111" s="5" t="str">
        <f t="shared" ca="1" si="421"/>
        <v>VIGENTE</v>
      </c>
      <c r="AA111" s="5"/>
      <c r="AB111" s="2" t="s">
        <v>380</v>
      </c>
      <c r="AC111" s="4">
        <v>44828</v>
      </c>
      <c r="AD111" s="4">
        <f t="shared" si="422"/>
        <v>46654</v>
      </c>
      <c r="AE111" s="8">
        <f t="shared" ca="1" si="423"/>
        <v>519</v>
      </c>
      <c r="AF111" s="5" t="str">
        <f t="shared" ca="1" si="251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188</v>
      </c>
      <c r="AK111" s="5" t="str">
        <f t="shared" ca="1" si="417"/>
        <v>VIGENTE</v>
      </c>
      <c r="AL111" s="3"/>
      <c r="AM111" s="4">
        <v>45926</v>
      </c>
      <c r="AN111" s="4">
        <f t="shared" si="424"/>
        <v>46656</v>
      </c>
      <c r="AO111" s="8">
        <f t="shared" ca="1" si="253"/>
        <v>521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297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296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197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292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194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295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289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2">DATE(YEAR(CA111)+2,MONTH(CA111),DAY(CA111))</f>
        <v>46674</v>
      </c>
      <c r="CC111" s="8">
        <f t="shared" ca="1" si="269"/>
        <v>539</v>
      </c>
      <c r="CD111" s="5" t="str">
        <f t="shared" ca="1" si="270"/>
        <v>VIGENTE</v>
      </c>
      <c r="CE111" s="6" t="s">
        <v>73</v>
      </c>
      <c r="CF111" s="4">
        <v>45241</v>
      </c>
      <c r="CG111" s="4">
        <f t="shared" si="425"/>
        <v>46702</v>
      </c>
      <c r="CH111" s="8">
        <f t="shared" ca="1" si="426"/>
        <v>567</v>
      </c>
      <c r="CI111" s="5" t="str">
        <f t="shared" ca="1" si="42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195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278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225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255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283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328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171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322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345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363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232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254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271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3">DATE(YEAR(EX111)+2,MONTH(EX111),DAY(EX111))</f>
        <v>46683</v>
      </c>
      <c r="EZ111" s="8">
        <f t="shared" ca="1" si="300"/>
        <v>548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546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4">DATE(YEAR(FH111)+2,MONTH(FH111),DAY(FH111))</f>
        <v>46699</v>
      </c>
      <c r="FJ111" s="8">
        <f t="shared" ca="1" si="304"/>
        <v>564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182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258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536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261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92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227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6"/>
        <v>681</v>
      </c>
      <c r="GT111" s="5" t="str">
        <f t="shared" ca="1" si="428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1155</v>
      </c>
      <c r="GY111" s="5" t="str">
        <f t="shared" ca="1" si="429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695</v>
      </c>
      <c r="HD111" s="5" t="str">
        <f t="shared" ca="1" si="430"/>
        <v>VIGENTE</v>
      </c>
      <c r="HE111" s="6"/>
      <c r="HF111" s="4">
        <v>44865</v>
      </c>
      <c r="HG111" s="4">
        <f t="shared" si="414"/>
        <v>46691</v>
      </c>
      <c r="HH111" s="8">
        <f t="shared" ca="1" si="415"/>
        <v>556</v>
      </c>
      <c r="HI111" s="5" t="str">
        <f t="shared" ca="1" si="43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1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381</v>
      </c>
      <c r="D112" s="30" t="s">
        <v>64</v>
      </c>
      <c r="E112" s="31" t="s">
        <v>382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62"/>
        <v>VIGENTE</v>
      </c>
      <c r="U112" s="5"/>
      <c r="V112" s="2" t="s">
        <v>383</v>
      </c>
      <c r="W112" s="4">
        <v>44590</v>
      </c>
      <c r="X112" s="4">
        <f t="shared" si="419"/>
        <v>46416</v>
      </c>
      <c r="Y112" s="8">
        <f t="shared" ca="1" si="420"/>
        <v>281</v>
      </c>
      <c r="Z112" s="5" t="str">
        <f t="shared" ca="1" si="421"/>
        <v>VIGENTE</v>
      </c>
      <c r="AA112" s="5"/>
      <c r="AB112" s="2" t="s">
        <v>384</v>
      </c>
      <c r="AC112" s="4">
        <v>45190</v>
      </c>
      <c r="AD112" s="4">
        <f t="shared" si="422"/>
        <v>47017</v>
      </c>
      <c r="AE112" s="8">
        <f t="shared" ca="1" si="423"/>
        <v>882</v>
      </c>
      <c r="AF112" s="5" t="str">
        <f t="shared" ca="1" si="251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531</v>
      </c>
      <c r="AK112" s="5" t="str">
        <f t="shared" ca="1" si="417"/>
        <v>VIGENTE</v>
      </c>
      <c r="AL112" s="2"/>
      <c r="AM112" s="4">
        <v>45937</v>
      </c>
      <c r="AN112" s="4">
        <f t="shared" si="424"/>
        <v>46667</v>
      </c>
      <c r="AO112" s="8">
        <f t="shared" ca="1" si="253"/>
        <v>532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562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522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636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563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612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576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626</v>
      </c>
      <c r="BY112" s="5" t="str">
        <f t="shared" ca="1" si="268"/>
        <v>VIGENTE</v>
      </c>
      <c r="BZ112" s="2"/>
      <c r="CA112" s="4">
        <v>45986</v>
      </c>
      <c r="CB112" s="4">
        <f t="shared" si="432"/>
        <v>46716</v>
      </c>
      <c r="CC112" s="8">
        <f t="shared" ca="1" si="269"/>
        <v>581</v>
      </c>
      <c r="CD112" s="5" t="str">
        <f t="shared" ca="1" si="270"/>
        <v>VIGENTE</v>
      </c>
      <c r="CE112" s="6" t="s">
        <v>146</v>
      </c>
      <c r="CF112" s="4">
        <v>44587</v>
      </c>
      <c r="CG112" s="4">
        <f t="shared" si="425"/>
        <v>46048</v>
      </c>
      <c r="CH112" s="8">
        <f t="shared" ca="1" si="426"/>
        <v>-87</v>
      </c>
      <c r="CI112" s="5" t="str">
        <f t="shared" ca="1" si="42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613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574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500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595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591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570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577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604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627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589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245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578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594</v>
      </c>
      <c r="EV112" s="5" t="str">
        <f t="shared" ca="1" si="299"/>
        <v>VIGENTE</v>
      </c>
      <c r="EW112" s="3"/>
      <c r="EX112" s="4">
        <v>46037</v>
      </c>
      <c r="EY112" s="4">
        <f t="shared" si="433"/>
        <v>46767</v>
      </c>
      <c r="EZ112" s="8">
        <f t="shared" ca="1" si="300"/>
        <v>632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583</v>
      </c>
      <c r="FF112" s="5" t="str">
        <f t="shared" ca="1" si="303"/>
        <v>VIGENTE</v>
      </c>
      <c r="FG112" s="3"/>
      <c r="FH112" s="4">
        <v>45962</v>
      </c>
      <c r="FI112" s="4">
        <f t="shared" si="434"/>
        <v>46692</v>
      </c>
      <c r="FJ112" s="8">
        <f t="shared" ca="1" si="304"/>
        <v>557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634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629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599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520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555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639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6"/>
        <v>991</v>
      </c>
      <c r="GT112" s="5" t="str">
        <f t="shared" ca="1" si="428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1021</v>
      </c>
      <c r="GY112" s="5" t="str">
        <f t="shared" ca="1" si="429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1035</v>
      </c>
      <c r="HD112" s="5" t="str">
        <f t="shared" ca="1" si="430"/>
        <v>VIGENTE</v>
      </c>
      <c r="HE112" s="6"/>
      <c r="HF112" s="4">
        <v>45317</v>
      </c>
      <c r="HG112" s="4">
        <f t="shared" si="414"/>
        <v>47144</v>
      </c>
      <c r="HH112" s="8">
        <f t="shared" ca="1" si="415"/>
        <v>1009</v>
      </c>
      <c r="HI112" s="5" t="str">
        <f t="shared" ca="1" si="431"/>
        <v>VIGENTE</v>
      </c>
      <c r="HJ112" s="2"/>
      <c r="HK112" s="6"/>
      <c r="HL112" s="4"/>
      <c r="HM112" s="8"/>
      <c r="HN112" s="5" t="str">
        <f t="shared" si="418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385</v>
      </c>
      <c r="D113" s="30" t="s">
        <v>69</v>
      </c>
      <c r="E113" s="31" t="s">
        <v>95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386</v>
      </c>
      <c r="W113" s="4">
        <v>44829</v>
      </c>
      <c r="X113" s="4">
        <f t="shared" si="419"/>
        <v>46655</v>
      </c>
      <c r="Y113" s="8">
        <f t="shared" ca="1" si="420"/>
        <v>520</v>
      </c>
      <c r="Z113" s="5" t="str">
        <f t="shared" ca="1" si="421"/>
        <v>VIGENTE</v>
      </c>
      <c r="AA113" s="5"/>
      <c r="AB113" s="2" t="s">
        <v>387</v>
      </c>
      <c r="AC113" s="4">
        <v>44603</v>
      </c>
      <c r="AD113" s="4">
        <f t="shared" si="422"/>
        <v>46429</v>
      </c>
      <c r="AE113" s="8">
        <f t="shared" ca="1" si="423"/>
        <v>294</v>
      </c>
      <c r="AF113" s="5" t="str">
        <f t="shared" ca="1" si="251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183</v>
      </c>
      <c r="AK113" s="5" t="str">
        <f t="shared" ca="1" si="417"/>
        <v>VIGENTE</v>
      </c>
      <c r="AL113" s="3"/>
      <c r="AM113" s="4">
        <v>45959</v>
      </c>
      <c r="AN113" s="4">
        <f t="shared" si="424"/>
        <v>46689</v>
      </c>
      <c r="AO113" s="8">
        <f t="shared" ca="1" si="253"/>
        <v>554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334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296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302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267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646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295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289</v>
      </c>
      <c r="BY113" s="5" t="str">
        <f t="shared" ca="1" si="268"/>
        <v>VIGENTE</v>
      </c>
      <c r="BZ113" s="3"/>
      <c r="CA113" s="4">
        <v>45944</v>
      </c>
      <c r="CB113" s="4">
        <f t="shared" si="432"/>
        <v>46674</v>
      </c>
      <c r="CC113" s="8">
        <f t="shared" ca="1" si="269"/>
        <v>539</v>
      </c>
      <c r="CD113" s="5" t="str">
        <f t="shared" ca="1" si="270"/>
        <v>VIGENTE</v>
      </c>
      <c r="CE113" s="6" t="s">
        <v>73</v>
      </c>
      <c r="CF113" s="4">
        <v>45211</v>
      </c>
      <c r="CG113" s="4">
        <f t="shared" si="425"/>
        <v>46672</v>
      </c>
      <c r="CH113" s="8">
        <f t="shared" ca="1" si="426"/>
        <v>537</v>
      </c>
      <c r="CI113" s="5" t="str">
        <f t="shared" ca="1" si="42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317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320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239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255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283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290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577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322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276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268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38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331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271</v>
      </c>
      <c r="EV113" s="5" t="str">
        <f t="shared" ca="1" si="299"/>
        <v>VIGENTE</v>
      </c>
      <c r="EW113" s="3"/>
      <c r="EX113" s="4">
        <v>45953</v>
      </c>
      <c r="EY113" s="4">
        <f t="shared" si="433"/>
        <v>46683</v>
      </c>
      <c r="EZ113" s="8">
        <f t="shared" ca="1" si="300"/>
        <v>548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546</v>
      </c>
      <c r="FF113" s="5" t="str">
        <f t="shared" ca="1" si="303"/>
        <v>VIGENTE</v>
      </c>
      <c r="FG113" s="3"/>
      <c r="FH113" s="4">
        <v>45932</v>
      </c>
      <c r="FI113" s="4">
        <f t="shared" si="434"/>
        <v>46662</v>
      </c>
      <c r="FJ113" s="8">
        <f t="shared" ca="1" si="304"/>
        <v>527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332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272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168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261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266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540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6"/>
        <v>657</v>
      </c>
      <c r="GT113" s="5" t="str">
        <f t="shared" ca="1" si="428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937</v>
      </c>
      <c r="GY113" s="5" t="str">
        <f t="shared" ca="1" si="429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1190</v>
      </c>
      <c r="HD113" s="5" t="str">
        <f t="shared" ca="1" si="430"/>
        <v>VIGENTE</v>
      </c>
      <c r="HE113" s="6"/>
      <c r="HF113" s="4">
        <v>44879</v>
      </c>
      <c r="HG113" s="4">
        <f t="shared" si="414"/>
        <v>46705</v>
      </c>
      <c r="HH113" s="8">
        <f t="shared" ca="1" si="415"/>
        <v>570</v>
      </c>
      <c r="HI113" s="5" t="str">
        <f t="shared" ca="1" si="43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1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388</v>
      </c>
      <c r="D114" s="30" t="s">
        <v>69</v>
      </c>
      <c r="E114" s="31" t="s">
        <v>195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389</v>
      </c>
      <c r="W114" s="4">
        <v>44829</v>
      </c>
      <c r="X114" s="4">
        <f t="shared" si="419"/>
        <v>46655</v>
      </c>
      <c r="Y114" s="8">
        <f t="shared" ca="1" si="420"/>
        <v>520</v>
      </c>
      <c r="Z114" s="5" t="str">
        <f t="shared" ca="1" si="421"/>
        <v>VIGENTE</v>
      </c>
      <c r="AA114" s="5"/>
      <c r="AB114" s="2" t="s">
        <v>390</v>
      </c>
      <c r="AC114" s="4">
        <v>44824</v>
      </c>
      <c r="AD114" s="4">
        <f t="shared" si="422"/>
        <v>46650</v>
      </c>
      <c r="AE114" s="8">
        <f t="shared" ca="1" si="423"/>
        <v>515</v>
      </c>
      <c r="AF114" s="5" t="str">
        <f t="shared" ca="1" si="251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183</v>
      </c>
      <c r="AK114" s="5" t="str">
        <f t="shared" ca="1" si="417"/>
        <v>VIGENTE</v>
      </c>
      <c r="AL114" s="3"/>
      <c r="AM114" s="4">
        <v>45903</v>
      </c>
      <c r="AN114" s="4">
        <f t="shared" si="424"/>
        <v>46633</v>
      </c>
      <c r="AO114" s="8">
        <f t="shared" ca="1" si="253"/>
        <v>498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584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567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463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582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646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664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43</v>
      </c>
      <c r="BY114" s="5" t="str">
        <f t="shared" ca="1" si="268"/>
        <v>POR VENCER</v>
      </c>
      <c r="BZ114" s="3"/>
      <c r="CA114" s="4">
        <v>45944</v>
      </c>
      <c r="CB114" s="4">
        <f t="shared" si="432"/>
        <v>46674</v>
      </c>
      <c r="CC114" s="8">
        <f t="shared" ca="1" si="269"/>
        <v>539</v>
      </c>
      <c r="CD114" s="5" t="str">
        <f t="shared" ca="1" si="270"/>
        <v>VIGENTE</v>
      </c>
      <c r="CE114" s="6" t="s">
        <v>73</v>
      </c>
      <c r="CF114" s="4">
        <v>45227</v>
      </c>
      <c r="CG114" s="4">
        <f t="shared" si="425"/>
        <v>46688</v>
      </c>
      <c r="CH114" s="8">
        <f t="shared" ca="1" si="426"/>
        <v>553</v>
      </c>
      <c r="CI114" s="5" t="str">
        <f t="shared" ca="1" si="42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613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111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225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255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283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494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603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513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615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268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38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265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271</v>
      </c>
      <c r="EV114" s="5" t="str">
        <f t="shared" ca="1" si="299"/>
        <v>VIGENTE</v>
      </c>
      <c r="EW114" s="3"/>
      <c r="EX114" s="4">
        <v>45964</v>
      </c>
      <c r="EY114" s="4">
        <f t="shared" si="433"/>
        <v>46694</v>
      </c>
      <c r="EZ114" s="8">
        <f t="shared" ca="1" si="300"/>
        <v>559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583</v>
      </c>
      <c r="FF114" s="5" t="str">
        <f t="shared" ca="1" si="303"/>
        <v>VIGENTE</v>
      </c>
      <c r="FG114" s="3"/>
      <c r="FH114" s="4">
        <v>45919</v>
      </c>
      <c r="FI114" s="4">
        <f t="shared" si="434"/>
        <v>46649</v>
      </c>
      <c r="FJ114" s="8">
        <f t="shared" ca="1" si="304"/>
        <v>514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264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180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168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154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158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540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6"/>
        <v>654</v>
      </c>
      <c r="GT114" s="5" t="str">
        <f t="shared" ca="1" si="428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937</v>
      </c>
      <c r="GY114" s="5" t="str">
        <f t="shared" ca="1" si="429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1145</v>
      </c>
      <c r="HD114" s="5" t="str">
        <f t="shared" ca="1" si="430"/>
        <v>VIGENTE</v>
      </c>
      <c r="HE114" s="6"/>
      <c r="HF114" s="4">
        <v>44879</v>
      </c>
      <c r="HG114" s="4">
        <f t="shared" si="414"/>
        <v>46705</v>
      </c>
      <c r="HH114" s="8">
        <f t="shared" ca="1" si="415"/>
        <v>570</v>
      </c>
      <c r="HI114" s="5" t="str">
        <f t="shared" ca="1" si="43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1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391</v>
      </c>
      <c r="D115" s="30" t="s">
        <v>64</v>
      </c>
      <c r="E115" s="31" t="s">
        <v>83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62"/>
        <v>VIGENTE</v>
      </c>
      <c r="U115" s="5"/>
      <c r="V115" s="2" t="s">
        <v>392</v>
      </c>
      <c r="W115" s="4">
        <v>44515</v>
      </c>
      <c r="X115" s="4">
        <f t="shared" si="419"/>
        <v>46341</v>
      </c>
      <c r="Y115" s="8">
        <f t="shared" ca="1" si="420"/>
        <v>206</v>
      </c>
      <c r="Z115" s="5" t="str">
        <f t="shared" ca="1" si="421"/>
        <v>VIGENTE</v>
      </c>
      <c r="AA115" s="5"/>
      <c r="AB115" s="2" t="s">
        <v>393</v>
      </c>
      <c r="AC115" s="4">
        <v>45233</v>
      </c>
      <c r="AD115" s="4">
        <f t="shared" si="422"/>
        <v>47060</v>
      </c>
      <c r="AE115" s="8">
        <f t="shared" ca="1" si="423"/>
        <v>925</v>
      </c>
      <c r="AF115" s="5" t="str">
        <f t="shared" ca="1" si="251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531</v>
      </c>
      <c r="AK115" s="5" t="str">
        <f t="shared" ca="1" si="417"/>
        <v>VIGENTE</v>
      </c>
      <c r="AL115" s="2"/>
      <c r="AM115" s="4">
        <v>45937</v>
      </c>
      <c r="AN115" s="4">
        <f t="shared" si="424"/>
        <v>46667</v>
      </c>
      <c r="AO115" s="8">
        <f t="shared" ca="1" si="253"/>
        <v>532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499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522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636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592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601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576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626</v>
      </c>
      <c r="BY115" s="5" t="str">
        <f t="shared" ca="1" si="268"/>
        <v>VIGENTE</v>
      </c>
      <c r="BZ115" s="2"/>
      <c r="CA115" s="4">
        <v>45986</v>
      </c>
      <c r="CB115" s="4">
        <f t="shared" si="432"/>
        <v>46716</v>
      </c>
      <c r="CC115" s="8">
        <f t="shared" ca="1" si="269"/>
        <v>581</v>
      </c>
      <c r="CD115" s="5" t="str">
        <f t="shared" ca="1" si="270"/>
        <v>VIGENTE</v>
      </c>
      <c r="CE115" s="6" t="s">
        <v>73</v>
      </c>
      <c r="CF115" s="4">
        <v>45565</v>
      </c>
      <c r="CG115" s="4">
        <f t="shared" si="425"/>
        <v>47026</v>
      </c>
      <c r="CH115" s="8">
        <f t="shared" ca="1" si="426"/>
        <v>891</v>
      </c>
      <c r="CI115" s="5" t="str">
        <f t="shared" ca="1" si="42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613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574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500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595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591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570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602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598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627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589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245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578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594</v>
      </c>
      <c r="EV115" s="5" t="str">
        <f t="shared" ca="1" si="299"/>
        <v>VIGENTE</v>
      </c>
      <c r="EW115" s="3"/>
      <c r="EX115" s="4">
        <v>46037</v>
      </c>
      <c r="EY115" s="4">
        <f t="shared" si="433"/>
        <v>46767</v>
      </c>
      <c r="EZ115" s="8">
        <f t="shared" ca="1" si="300"/>
        <v>632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583</v>
      </c>
      <c r="FF115" s="5" t="str">
        <f t="shared" ca="1" si="303"/>
        <v>VIGENTE</v>
      </c>
      <c r="FG115" s="3"/>
      <c r="FH115" s="4">
        <v>45962</v>
      </c>
      <c r="FI115" s="4">
        <f t="shared" si="434"/>
        <v>46692</v>
      </c>
      <c r="FJ115" s="8">
        <f t="shared" ca="1" si="304"/>
        <v>557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634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629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588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520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555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93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6"/>
        <v>991</v>
      </c>
      <c r="GT115" s="5" t="str">
        <f t="shared" ca="1" si="428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1021</v>
      </c>
      <c r="GY115" s="5" t="str">
        <f t="shared" ca="1" si="429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1035</v>
      </c>
      <c r="HD115" s="5" t="str">
        <f t="shared" ca="1" si="430"/>
        <v>VIGENTE</v>
      </c>
      <c r="HE115" s="6"/>
      <c r="HF115" s="4">
        <v>45317</v>
      </c>
      <c r="HG115" s="4">
        <f t="shared" si="414"/>
        <v>47144</v>
      </c>
      <c r="HH115" s="8">
        <f t="shared" ca="1" si="415"/>
        <v>1009</v>
      </c>
      <c r="HI115" s="5" t="str">
        <f t="shared" ca="1" si="431"/>
        <v>VIGENTE</v>
      </c>
      <c r="HJ115" s="2"/>
      <c r="HK115" s="6"/>
      <c r="HL115" s="4"/>
      <c r="HM115" s="8"/>
      <c r="HN115" s="5" t="str">
        <f t="shared" si="418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394</v>
      </c>
      <c r="D116" s="30" t="s">
        <v>69</v>
      </c>
      <c r="E116" s="31" t="s">
        <v>75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395</v>
      </c>
      <c r="W116" s="4">
        <v>45337</v>
      </c>
      <c r="X116" s="4">
        <f t="shared" si="419"/>
        <v>47164</v>
      </c>
      <c r="Y116" s="8">
        <f t="shared" ca="1" si="420"/>
        <v>1029</v>
      </c>
      <c r="Z116" s="5" t="str">
        <f t="shared" ca="1" si="421"/>
        <v>VIGENTE</v>
      </c>
      <c r="AA116" s="5"/>
      <c r="AB116" s="6" t="s">
        <v>396</v>
      </c>
      <c r="AC116" s="4">
        <v>45577</v>
      </c>
      <c r="AD116" s="4">
        <f t="shared" si="422"/>
        <v>47403</v>
      </c>
      <c r="AE116" s="8">
        <f t="shared" ca="1" si="423"/>
        <v>1268</v>
      </c>
      <c r="AF116" s="5" t="str">
        <f t="shared" ca="1" si="251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601</v>
      </c>
      <c r="AK116" s="5" t="str">
        <f t="shared" ca="1" si="417"/>
        <v>VIGENTE</v>
      </c>
      <c r="AL116" s="6"/>
      <c r="AM116" s="4">
        <v>45937</v>
      </c>
      <c r="AN116" s="4">
        <f t="shared" si="424"/>
        <v>46667</v>
      </c>
      <c r="AO116" s="8">
        <f t="shared" ca="1" si="253"/>
        <v>532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679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585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666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582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602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583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626</v>
      </c>
      <c r="BY116" s="5" t="str">
        <f t="shared" ca="1" si="268"/>
        <v>VIGENTE</v>
      </c>
      <c r="BZ116" s="4"/>
      <c r="CA116" s="4">
        <v>46095</v>
      </c>
      <c r="CB116" s="4">
        <f t="shared" si="432"/>
        <v>46826</v>
      </c>
      <c r="CC116" s="8">
        <f t="shared" ca="1" si="269"/>
        <v>691</v>
      </c>
      <c r="CD116" s="5" t="str">
        <f t="shared" ca="1" si="270"/>
        <v>VIGENTE</v>
      </c>
      <c r="CE116" s="6" t="s">
        <v>73</v>
      </c>
      <c r="CF116" s="4">
        <v>45393</v>
      </c>
      <c r="CG116" s="4">
        <f t="shared" si="425"/>
        <v>46854</v>
      </c>
      <c r="CH116" s="8">
        <f t="shared" ca="1" si="426"/>
        <v>719</v>
      </c>
      <c r="CI116" s="5" t="str">
        <f t="shared" ca="1" si="42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613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697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664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595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591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668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641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648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695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88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38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59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594</v>
      </c>
      <c r="EV116" s="5" t="str">
        <f t="shared" ca="1" si="299"/>
        <v>VIGENTE</v>
      </c>
      <c r="EW116" s="4"/>
      <c r="EX116" s="4">
        <v>46063</v>
      </c>
      <c r="EY116" s="4">
        <f t="shared" si="433"/>
        <v>46793</v>
      </c>
      <c r="EZ116" s="8">
        <f t="shared" ca="1" si="300"/>
        <v>658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232</v>
      </c>
      <c r="FF116" s="5" t="str">
        <f t="shared" ca="1" si="303"/>
        <v>VIGENTE</v>
      </c>
      <c r="FG116" s="6"/>
      <c r="FH116" s="4">
        <v>46066</v>
      </c>
      <c r="FI116" s="4">
        <f t="shared" si="434"/>
        <v>46796</v>
      </c>
      <c r="FJ116" s="8">
        <f t="shared" ca="1" si="304"/>
        <v>661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698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629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85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625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674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639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6"/>
        <v>1058</v>
      </c>
      <c r="GT116" s="5" t="str">
        <f t="shared" ca="1" si="428"/>
        <v>VIGENTE</v>
      </c>
      <c r="GU116" s="4"/>
      <c r="GV116" s="6"/>
      <c r="GW116" s="4">
        <f t="shared" si="320"/>
        <v>1827</v>
      </c>
      <c r="GX116" s="8">
        <f t="shared" ca="1" si="321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1170</v>
      </c>
      <c r="HD116" s="5" t="str">
        <f t="shared" ca="1" si="430"/>
        <v>VIGENTE</v>
      </c>
      <c r="HE116" s="6"/>
      <c r="HF116" s="6"/>
      <c r="HG116" s="4">
        <f t="shared" si="414"/>
        <v>1827</v>
      </c>
      <c r="HH116" s="8">
        <f t="shared" ca="1" si="41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18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397</v>
      </c>
      <c r="D117" s="30" t="s">
        <v>69</v>
      </c>
      <c r="E117" s="31" t="s">
        <v>75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398</v>
      </c>
      <c r="W117" s="4">
        <v>44590</v>
      </c>
      <c r="X117" s="4">
        <f t="shared" si="419"/>
        <v>46416</v>
      </c>
      <c r="Y117" s="8">
        <f t="shared" ca="1" si="420"/>
        <v>281</v>
      </c>
      <c r="Z117" s="5" t="str">
        <f t="shared" ca="1" si="421"/>
        <v>VIGENTE</v>
      </c>
      <c r="AA117" s="5"/>
      <c r="AB117" s="2" t="s">
        <v>399</v>
      </c>
      <c r="AC117" s="4">
        <v>45190</v>
      </c>
      <c r="AD117" s="4">
        <f t="shared" si="422"/>
        <v>47017</v>
      </c>
      <c r="AE117" s="8">
        <f t="shared" ca="1" si="423"/>
        <v>882</v>
      </c>
      <c r="AF117" s="5" t="str">
        <f t="shared" ca="1" si="251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497</v>
      </c>
      <c r="AK117" s="5" t="str">
        <f t="shared" ca="1" si="41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304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297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296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197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292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194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295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205</v>
      </c>
      <c r="BY117" s="5" t="str">
        <f t="shared" ca="1" si="268"/>
        <v>VIGENTE</v>
      </c>
      <c r="BZ117" s="3"/>
      <c r="CA117" s="4">
        <v>45944</v>
      </c>
      <c r="CB117" s="4">
        <f t="shared" si="432"/>
        <v>46674</v>
      </c>
      <c r="CC117" s="8">
        <f t="shared" ca="1" si="269"/>
        <v>539</v>
      </c>
      <c r="CD117" s="5" t="str">
        <f t="shared" ca="1" si="270"/>
        <v>VIGENTE</v>
      </c>
      <c r="CE117" s="6" t="s">
        <v>73</v>
      </c>
      <c r="CF117" s="4">
        <v>45464</v>
      </c>
      <c r="CG117" s="4">
        <f t="shared" si="425"/>
        <v>46925</v>
      </c>
      <c r="CH117" s="8">
        <f t="shared" ca="1" si="426"/>
        <v>790</v>
      </c>
      <c r="CI117" s="5" t="str">
        <f t="shared" ca="1" si="42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195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278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321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275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201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290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171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213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206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236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42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178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169</v>
      </c>
      <c r="EV117" s="5" t="str">
        <f t="shared" ca="1" si="299"/>
        <v>VIGENTE</v>
      </c>
      <c r="EW117" s="3"/>
      <c r="EX117" s="4">
        <v>45953</v>
      </c>
      <c r="EY117" s="4">
        <f t="shared" si="433"/>
        <v>46683</v>
      </c>
      <c r="EZ117" s="8">
        <f t="shared" ca="1" si="300"/>
        <v>548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546</v>
      </c>
      <c r="FF117" s="5" t="str">
        <f t="shared" ca="1" si="303"/>
        <v>VIGENTE</v>
      </c>
      <c r="FG117" s="3"/>
      <c r="FH117" s="4">
        <v>45962</v>
      </c>
      <c r="FI117" s="4">
        <f t="shared" si="434"/>
        <v>46692</v>
      </c>
      <c r="FJ117" s="8">
        <f t="shared" ca="1" si="304"/>
        <v>557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182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258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609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261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266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202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6"/>
        <v>657</v>
      </c>
      <c r="GT117" s="5" t="str">
        <f t="shared" ca="1" si="428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643</v>
      </c>
      <c r="GY117" s="5" t="str">
        <f t="shared" ref="GY117:GY175" ca="1" si="43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671</v>
      </c>
      <c r="HD117" s="5" t="str">
        <f t="shared" ca="1" si="430"/>
        <v>VIGENTE</v>
      </c>
      <c r="HE117" s="6"/>
      <c r="HF117" s="4">
        <v>44956</v>
      </c>
      <c r="HG117" s="4">
        <f t="shared" si="414"/>
        <v>46782</v>
      </c>
      <c r="HH117" s="8">
        <f t="shared" ca="1" si="415"/>
        <v>647</v>
      </c>
      <c r="HI117" s="5" t="str">
        <f t="shared" ref="HI117:HI175" ca="1" si="43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18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400</v>
      </c>
      <c r="D118" s="30" t="s">
        <v>69</v>
      </c>
      <c r="E118" s="31" t="s">
        <v>124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401</v>
      </c>
      <c r="W118" s="4">
        <v>45282</v>
      </c>
      <c r="X118" s="4">
        <f t="shared" si="419"/>
        <v>47109</v>
      </c>
      <c r="Y118" s="8">
        <f t="shared" ca="1" si="420"/>
        <v>974</v>
      </c>
      <c r="Z118" s="5" t="str">
        <f t="shared" ca="1" si="421"/>
        <v>VIGENTE</v>
      </c>
      <c r="AA118" s="5"/>
      <c r="AB118" s="2" t="s">
        <v>402</v>
      </c>
      <c r="AC118" s="4">
        <v>44603</v>
      </c>
      <c r="AD118" s="4">
        <f t="shared" si="422"/>
        <v>46429</v>
      </c>
      <c r="AE118" s="8">
        <f t="shared" ca="1" si="423"/>
        <v>294</v>
      </c>
      <c r="AF118" s="5" t="str">
        <f t="shared" ca="1" si="251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188</v>
      </c>
      <c r="AK118" s="5" t="str">
        <f t="shared" ca="1" si="41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532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499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567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496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563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651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664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476</v>
      </c>
      <c r="BY118" s="5" t="str">
        <f t="shared" ca="1" si="268"/>
        <v>VIGENTE</v>
      </c>
      <c r="BZ118" s="3"/>
      <c r="CA118" s="4">
        <v>45986</v>
      </c>
      <c r="CB118" s="4">
        <f t="shared" si="432"/>
        <v>46716</v>
      </c>
      <c r="CC118" s="8">
        <f t="shared" ca="1" si="269"/>
        <v>581</v>
      </c>
      <c r="CD118" s="5" t="str">
        <f t="shared" ca="1" si="270"/>
        <v>VIGENTE</v>
      </c>
      <c r="CE118" s="6" t="s">
        <v>73</v>
      </c>
      <c r="CF118" s="4">
        <v>45301</v>
      </c>
      <c r="CG118" s="4">
        <f t="shared" si="425"/>
        <v>46762</v>
      </c>
      <c r="CH118" s="8">
        <f t="shared" ca="1" si="426"/>
        <v>627</v>
      </c>
      <c r="CI118" s="5" t="str">
        <f t="shared" ca="1" si="42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524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493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233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259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283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550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127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447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529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56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178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54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594</v>
      </c>
      <c r="EV118" s="5" t="str">
        <f t="shared" ca="1" si="299"/>
        <v>VIGENTE</v>
      </c>
      <c r="EW118" s="3"/>
      <c r="EX118" s="4">
        <v>46037</v>
      </c>
      <c r="EY118" s="4">
        <f t="shared" si="433"/>
        <v>46767</v>
      </c>
      <c r="EZ118" s="8">
        <f t="shared" ca="1" si="300"/>
        <v>632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546</v>
      </c>
      <c r="FF118" s="5" t="str">
        <f t="shared" ca="1" si="303"/>
        <v>VIGENTE</v>
      </c>
      <c r="FG118" s="3"/>
      <c r="FH118" s="4">
        <v>45919</v>
      </c>
      <c r="FI118" s="4">
        <f t="shared" si="434"/>
        <v>46649</v>
      </c>
      <c r="FJ118" s="8">
        <f t="shared" ca="1" si="304"/>
        <v>514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559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552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609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598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507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540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6"/>
        <v>1150</v>
      </c>
      <c r="GT118" s="5" t="str">
        <f t="shared" ca="1" si="428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1155</v>
      </c>
      <c r="GY118" s="5" t="str">
        <f t="shared" ca="1" si="435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1157</v>
      </c>
      <c r="HD118" s="5" t="str">
        <f t="shared" ca="1" si="430"/>
        <v>VIGENTE</v>
      </c>
      <c r="HE118" s="6"/>
      <c r="HF118" s="4">
        <v>44865</v>
      </c>
      <c r="HG118" s="4">
        <f t="shared" si="414"/>
        <v>46691</v>
      </c>
      <c r="HH118" s="8">
        <f t="shared" ca="1" si="415"/>
        <v>556</v>
      </c>
      <c r="HI118" s="5" t="str">
        <f t="shared" ca="1" si="43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18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403</v>
      </c>
      <c r="D119" s="30" t="s">
        <v>115</v>
      </c>
      <c r="E119" s="31" t="s">
        <v>128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404</v>
      </c>
      <c r="W119" s="4">
        <v>44786</v>
      </c>
      <c r="X119" s="4">
        <f t="shared" si="419"/>
        <v>46612</v>
      </c>
      <c r="Y119" s="8">
        <f t="shared" ca="1" si="420"/>
        <v>477</v>
      </c>
      <c r="Z119" s="5" t="str">
        <f t="shared" ca="1" si="421"/>
        <v>VIGENTE</v>
      </c>
      <c r="AA119" s="5"/>
      <c r="AB119" s="2"/>
      <c r="AC119" s="6"/>
      <c r="AD119" s="4"/>
      <c r="AE119" s="8"/>
      <c r="AF119" s="5" t="str">
        <f t="shared" si="251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487</v>
      </c>
      <c r="AK119" s="5" t="str">
        <f t="shared" ca="1" si="41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657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643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522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336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292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686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645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330</v>
      </c>
      <c r="BY119" s="5" t="str">
        <f t="shared" ca="1" si="268"/>
        <v>VIGENTE</v>
      </c>
      <c r="BZ119" s="3"/>
      <c r="CA119" s="4">
        <v>46065</v>
      </c>
      <c r="CB119" s="4">
        <f t="shared" si="432"/>
        <v>46795</v>
      </c>
      <c r="CC119" s="8">
        <f t="shared" ca="1" si="269"/>
        <v>660</v>
      </c>
      <c r="CD119" s="5" t="str">
        <f t="shared" ca="1" si="270"/>
        <v>VIGENTE</v>
      </c>
      <c r="CE119" s="6" t="s">
        <v>73</v>
      </c>
      <c r="CF119" s="4">
        <v>45616</v>
      </c>
      <c r="CG119" s="4">
        <f t="shared" si="425"/>
        <v>47077</v>
      </c>
      <c r="CH119" s="8">
        <f t="shared" ca="1" si="426"/>
        <v>942</v>
      </c>
      <c r="CI119" s="5" t="str">
        <f t="shared" ca="1" si="42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282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364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638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623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661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624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641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279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257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268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315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59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329</v>
      </c>
      <c r="EV119" s="5" t="str">
        <f t="shared" ca="1" si="299"/>
        <v>VIGENTE</v>
      </c>
      <c r="EW119" s="3"/>
      <c r="EX119" s="4">
        <v>45917</v>
      </c>
      <c r="EY119" s="4">
        <f t="shared" si="433"/>
        <v>46647</v>
      </c>
      <c r="EZ119" s="8">
        <f t="shared" ca="1" si="300"/>
        <v>512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687</v>
      </c>
      <c r="FF119" s="5" t="str">
        <f t="shared" ca="1" si="303"/>
        <v>VIGENTE</v>
      </c>
      <c r="FG119" s="3"/>
      <c r="FH119" s="4">
        <v>46074</v>
      </c>
      <c r="FI119" s="4">
        <f t="shared" si="434"/>
        <v>46804</v>
      </c>
      <c r="FJ119" s="8">
        <f t="shared" ca="1" si="304"/>
        <v>669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264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60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683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261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688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202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6"/>
        <v>709</v>
      </c>
      <c r="GT119" s="5" t="str">
        <f t="shared" ca="1" si="428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652</v>
      </c>
      <c r="GY119" s="5" t="str">
        <f t="shared" ca="1" si="435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765</v>
      </c>
      <c r="HD119" s="5" t="str">
        <f t="shared" ca="1" si="430"/>
        <v>VIGENTE</v>
      </c>
      <c r="HE119" s="6"/>
      <c r="HF119" s="6"/>
      <c r="HG119" s="4"/>
      <c r="HH119" s="8"/>
      <c r="HI119" s="5" t="str">
        <f t="shared" si="436"/>
        <v>NO APLICA</v>
      </c>
      <c r="HJ119" s="2"/>
      <c r="HK119" s="6"/>
      <c r="HL119" s="4"/>
      <c r="HM119" s="8"/>
      <c r="HN119" s="5" t="str">
        <f t="shared" si="418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405</v>
      </c>
      <c r="D120" s="30" t="s">
        <v>64</v>
      </c>
      <c r="E120" s="31" t="s">
        <v>83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62"/>
        <v>VIGENTE</v>
      </c>
      <c r="U120" s="5"/>
      <c r="V120" s="6" t="s">
        <v>406</v>
      </c>
      <c r="W120" s="4">
        <v>45309</v>
      </c>
      <c r="X120" s="4">
        <f t="shared" si="419"/>
        <v>47136</v>
      </c>
      <c r="Y120" s="8">
        <f t="shared" ca="1" si="420"/>
        <v>1001</v>
      </c>
      <c r="Z120" s="5" t="str">
        <f t="shared" ca="1" si="421"/>
        <v>VIGENTE</v>
      </c>
      <c r="AA120" s="5"/>
      <c r="AB120" s="6"/>
      <c r="AC120" s="6"/>
      <c r="AD120" s="4"/>
      <c r="AE120" s="8"/>
      <c r="AF120" s="5" t="str">
        <f t="shared" si="251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531</v>
      </c>
      <c r="AK120" s="5" t="str">
        <f t="shared" ca="1" si="41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532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584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567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636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592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612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645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626</v>
      </c>
      <c r="BY120" s="5" t="str">
        <f t="shared" ca="1" si="268"/>
        <v>VIGENTE</v>
      </c>
      <c r="BZ120" s="6"/>
      <c r="CA120" s="4">
        <v>45986</v>
      </c>
      <c r="CB120" s="4">
        <f t="shared" si="432"/>
        <v>46716</v>
      </c>
      <c r="CC120" s="8">
        <f t="shared" ca="1" si="269"/>
        <v>581</v>
      </c>
      <c r="CD120" s="5" t="str">
        <f t="shared" ca="1" si="270"/>
        <v>VIGENTE</v>
      </c>
      <c r="CE120" s="6" t="s">
        <v>68</v>
      </c>
      <c r="CF120" s="4">
        <v>45723</v>
      </c>
      <c r="CG120" s="4">
        <f t="shared" si="425"/>
        <v>47184</v>
      </c>
      <c r="CH120" s="8">
        <f t="shared" ca="1" si="426"/>
        <v>1049</v>
      </c>
      <c r="CI120" s="5" t="str">
        <f t="shared" ca="1" si="42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613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574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638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595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591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570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602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604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627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589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245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578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594</v>
      </c>
      <c r="EV120" s="5" t="str">
        <f t="shared" ca="1" si="299"/>
        <v>VIGENTE</v>
      </c>
      <c r="EW120" s="4"/>
      <c r="EX120" s="4">
        <v>45964</v>
      </c>
      <c r="EY120" s="4">
        <f t="shared" si="433"/>
        <v>46694</v>
      </c>
      <c r="EZ120" s="8">
        <f t="shared" ca="1" si="300"/>
        <v>559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583</v>
      </c>
      <c r="FF120" s="5" t="str">
        <f t="shared" ca="1" si="303"/>
        <v>VIGENTE</v>
      </c>
      <c r="FG120" s="4"/>
      <c r="FH120" s="4">
        <v>45962</v>
      </c>
      <c r="FI120" s="4">
        <f t="shared" si="434"/>
        <v>46692</v>
      </c>
      <c r="FJ120" s="8">
        <f t="shared" ca="1" si="304"/>
        <v>557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634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629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599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520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555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93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6"/>
        <v>991</v>
      </c>
      <c r="GT120" s="5" t="str">
        <f t="shared" ca="1" si="428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1021</v>
      </c>
      <c r="GY120" s="5" t="str">
        <f t="shared" ca="1" si="435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1035</v>
      </c>
      <c r="HD120" s="5" t="str">
        <f t="shared" ca="1" si="430"/>
        <v>VIGENTE</v>
      </c>
      <c r="HE120" s="6"/>
      <c r="HF120" s="4">
        <v>45317</v>
      </c>
      <c r="HG120" s="4">
        <f t="shared" ref="HG120:HG130" si="437">DATE(YEAR(HF120)+5,MONTH(HF120),DAY(HF120))</f>
        <v>47144</v>
      </c>
      <c r="HH120" s="8">
        <f t="shared" ref="HH120:HH130" ca="1" si="438">HG120-TODAY()</f>
        <v>1009</v>
      </c>
      <c r="HI120" s="5" t="str">
        <f t="shared" ca="1" si="436"/>
        <v>VIGENTE</v>
      </c>
      <c r="HJ120" s="6"/>
      <c r="HK120" s="6"/>
      <c r="HL120" s="4"/>
      <c r="HM120" s="8"/>
      <c r="HN120" s="5" t="str">
        <f t="shared" si="418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407</v>
      </c>
      <c r="D121" s="30" t="s">
        <v>64</v>
      </c>
      <c r="E121" s="31" t="s">
        <v>408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409</v>
      </c>
      <c r="W121" s="4">
        <v>45502</v>
      </c>
      <c r="X121" s="4">
        <f t="shared" si="419"/>
        <v>47328</v>
      </c>
      <c r="Y121" s="8">
        <f t="shared" ca="1" si="420"/>
        <v>1193</v>
      </c>
      <c r="Z121" s="5" t="str">
        <f t="shared" ca="1" si="421"/>
        <v>VIGENTE</v>
      </c>
      <c r="AA121" s="5"/>
      <c r="AB121" s="2" t="s">
        <v>410</v>
      </c>
      <c r="AC121" s="4">
        <v>45499</v>
      </c>
      <c r="AD121" s="4">
        <f t="shared" ref="AD121:AD130" si="439">DATE(YEAR(AC121)+5,MONTH(AC121),DAY(AC121))</f>
        <v>47325</v>
      </c>
      <c r="AE121" s="8">
        <f t="shared" ref="AE121:AE130" ca="1" si="440">AD121-TODAY()</f>
        <v>1190</v>
      </c>
      <c r="AF121" s="5" t="str">
        <f t="shared" ca="1" si="251"/>
        <v>VIGENTE</v>
      </c>
      <c r="AG121" s="3"/>
      <c r="AH121" s="4">
        <v>45512</v>
      </c>
      <c r="AI121" s="4">
        <f t="shared" ref="AI121:AI127" si="441">DATE(YEAR(AH121)+2,MONTH(AH121),DAY(AH121)-1)</f>
        <v>46241</v>
      </c>
      <c r="AJ121" s="8">
        <f t="shared" ca="1" si="252"/>
        <v>106</v>
      </c>
      <c r="AK121" s="5" t="str">
        <f t="shared" ca="1" si="41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112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99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108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109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125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293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126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121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324</v>
      </c>
      <c r="CD121" s="5" t="str">
        <f t="shared" ca="1" si="270"/>
        <v>VIGENTE</v>
      </c>
      <c r="CE121" s="6" t="s">
        <v>73</v>
      </c>
      <c r="CF121" s="4">
        <v>45464</v>
      </c>
      <c r="CG121" s="4">
        <f t="shared" si="425"/>
        <v>46925</v>
      </c>
      <c r="CH121" s="8">
        <f t="shared" ca="1" si="426"/>
        <v>790</v>
      </c>
      <c r="CI121" s="5" t="str">
        <f t="shared" ca="1" si="427"/>
        <v>VIGENTE</v>
      </c>
      <c r="CJ121" s="4"/>
      <c r="CK121" s="4">
        <v>45511</v>
      </c>
      <c r="CL121" s="4">
        <f t="shared" ref="CL121:CL127" si="442">DATE(YEAR(CK121)+2,MONTH(CK121),DAY(CK121)-1)</f>
        <v>46240</v>
      </c>
      <c r="CM121" s="8">
        <f t="shared" ca="1" si="274"/>
        <v>105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3">DATE(YEAR(CP121)+2,MONTH(CP121),DAY(CP121)-1)</f>
        <v>46413</v>
      </c>
      <c r="CR121" s="8">
        <f t="shared" ca="1" si="276"/>
        <v>278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4">DATE(YEAR(CU121)+2,MONTH(CU121),DAY(CU121)-1)</f>
        <v>46353</v>
      </c>
      <c r="CW121" s="8">
        <f t="shared" ca="1" si="278"/>
        <v>218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255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5">DATE(YEAR(DE121)+2,MONTH(DE121),DAY(DE121)-1)</f>
        <v>46264</v>
      </c>
      <c r="DG121" s="8">
        <f t="shared" ca="1" si="282"/>
        <v>129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103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127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134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46">DATE(YEAR(DY121)+2,MONTH(DY121),DAY(DY121)-1)</f>
        <v>46392</v>
      </c>
      <c r="EA121" s="8">
        <f t="shared" ca="1" si="290"/>
        <v>257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47">DATE(YEAR(ED121)+2,MONTH(ED121),DAY(ED121)-1)</f>
        <v>46403</v>
      </c>
      <c r="EF121" s="8">
        <f t="shared" ca="1" si="292"/>
        <v>268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315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48">DATE(YEAR(EN121)+2,MONTH(EN121),DAY(EN121)-1)</f>
        <v>46341</v>
      </c>
      <c r="EP121" s="8">
        <f t="shared" ca="1" si="296"/>
        <v>206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133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204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260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262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49">DATE(YEAR(FM121)+2,MONTH(FM121),DAY(FM121)-1)</f>
        <v>46399</v>
      </c>
      <c r="FO121" s="8">
        <f t="shared" ca="1" si="306"/>
        <v>264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0">DATE(YEAR(FR121)+2,MONTH(FR121),DAY(FR121)-1)</f>
        <v>46315</v>
      </c>
      <c r="FT121" s="8">
        <f t="shared" ca="1" si="308"/>
        <v>180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181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261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1">DATE(YEAR(GG121)+2,MONTH(GG121),DAY(GG121)-1)</f>
        <v>46308</v>
      </c>
      <c r="GI121" s="8">
        <f t="shared" ca="1" si="314"/>
        <v>173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151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6"/>
        <v>643</v>
      </c>
      <c r="GT121" s="5" t="str">
        <f t="shared" ca="1" si="428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702</v>
      </c>
      <c r="GY121" s="5" t="str">
        <f t="shared" ca="1" si="435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574</v>
      </c>
      <c r="HD121" s="5" t="str">
        <f t="shared" ca="1" si="430"/>
        <v>VIGENTE</v>
      </c>
      <c r="HE121" s="6"/>
      <c r="HF121" s="4">
        <v>44862</v>
      </c>
      <c r="HG121" s="4">
        <f t="shared" si="437"/>
        <v>46688</v>
      </c>
      <c r="HH121" s="8">
        <f t="shared" ca="1" si="438"/>
        <v>553</v>
      </c>
      <c r="HI121" s="5" t="str">
        <f t="shared" ca="1" si="436"/>
        <v>VIGENTE</v>
      </c>
      <c r="HJ121" s="2"/>
      <c r="HK121" s="6"/>
      <c r="HL121" s="4"/>
      <c r="HM121" s="8"/>
      <c r="HN121" s="5" t="str">
        <f t="shared" si="418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411</v>
      </c>
      <c r="D122" s="30" t="s">
        <v>69</v>
      </c>
      <c r="E122" s="31" t="s">
        <v>156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412</v>
      </c>
      <c r="W122" s="4">
        <v>44829</v>
      </c>
      <c r="X122" s="4">
        <f t="shared" si="419"/>
        <v>46655</v>
      </c>
      <c r="Y122" s="8">
        <f t="shared" ca="1" si="420"/>
        <v>520</v>
      </c>
      <c r="Z122" s="5" t="str">
        <f t="shared" ca="1" si="421"/>
        <v>VIGENTE</v>
      </c>
      <c r="AA122" s="5"/>
      <c r="AB122" s="2" t="s">
        <v>413</v>
      </c>
      <c r="AC122" s="4">
        <v>45499</v>
      </c>
      <c r="AD122" s="4">
        <f t="shared" si="439"/>
        <v>47325</v>
      </c>
      <c r="AE122" s="8">
        <f t="shared" ca="1" si="440"/>
        <v>1190</v>
      </c>
      <c r="AF122" s="5" t="str">
        <f t="shared" ca="1" si="251"/>
        <v>VIGENTE</v>
      </c>
      <c r="AG122" s="3"/>
      <c r="AH122" s="3">
        <v>45609</v>
      </c>
      <c r="AI122" s="4">
        <f t="shared" si="441"/>
        <v>46338</v>
      </c>
      <c r="AJ122" s="8">
        <f t="shared" ca="1" si="252"/>
        <v>203</v>
      </c>
      <c r="AK122" s="5" t="str">
        <f t="shared" ca="1" si="41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521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584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585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666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2">DATE(YEAR(BG122)+2,MONTH(BG122),DAY(BG122))</f>
        <v>46717</v>
      </c>
      <c r="BI122" s="8">
        <f t="shared" ca="1" si="261"/>
        <v>582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646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664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49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324</v>
      </c>
      <c r="CD122" s="5" t="str">
        <f t="shared" ca="1" si="270"/>
        <v>VIGENTE</v>
      </c>
      <c r="CE122" s="6" t="s">
        <v>73</v>
      </c>
      <c r="CF122" s="4">
        <v>45262</v>
      </c>
      <c r="CG122" s="4">
        <f t="shared" si="425"/>
        <v>46723</v>
      </c>
      <c r="CH122" s="8">
        <f t="shared" ca="1" si="426"/>
        <v>588</v>
      </c>
      <c r="CI122" s="5" t="str">
        <f t="shared" ca="1" si="427"/>
        <v>VIGENTE</v>
      </c>
      <c r="CJ122" s="4"/>
      <c r="CK122" s="4">
        <v>45500</v>
      </c>
      <c r="CL122" s="4">
        <f t="shared" si="442"/>
        <v>46229</v>
      </c>
      <c r="CM122" s="8">
        <f t="shared" ca="1" si="274"/>
        <v>94</v>
      </c>
      <c r="CN122" s="5" t="str">
        <f t="shared" ca="1" si="275"/>
        <v>VIGENTE</v>
      </c>
      <c r="CO122" s="4"/>
      <c r="CP122" s="4">
        <v>45726</v>
      </c>
      <c r="CQ122" s="4">
        <f t="shared" si="443"/>
        <v>46455</v>
      </c>
      <c r="CR122" s="8">
        <f t="shared" ca="1" si="276"/>
        <v>320</v>
      </c>
      <c r="CS122" s="5" t="str">
        <f t="shared" ca="1" si="277"/>
        <v>VIGENTE</v>
      </c>
      <c r="CT122" s="3"/>
      <c r="CU122" s="4">
        <v>45631</v>
      </c>
      <c r="CV122" s="4">
        <f t="shared" si="444"/>
        <v>46360</v>
      </c>
      <c r="CW122" s="8">
        <f t="shared" ca="1" si="278"/>
        <v>225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694</v>
      </c>
      <c r="DC122" s="5" t="str">
        <f t="shared" ca="1" si="281"/>
        <v>VIGENTE</v>
      </c>
      <c r="DD122" s="3"/>
      <c r="DE122" s="4">
        <v>45723</v>
      </c>
      <c r="DF122" s="4">
        <f t="shared" si="445"/>
        <v>46452</v>
      </c>
      <c r="DG122" s="8">
        <f t="shared" ca="1" si="282"/>
        <v>317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290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602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648</v>
      </c>
      <c r="DW122" s="5" t="str">
        <f t="shared" ca="1" si="289"/>
        <v>VIGENTE</v>
      </c>
      <c r="DX122" s="3"/>
      <c r="DY122" s="4">
        <v>45682</v>
      </c>
      <c r="DZ122" s="4">
        <f t="shared" si="446"/>
        <v>46411</v>
      </c>
      <c r="EA122" s="8">
        <f t="shared" ca="1" si="290"/>
        <v>276</v>
      </c>
      <c r="EB122" s="5" t="str">
        <f t="shared" ca="1" si="291"/>
        <v>VIGENTE</v>
      </c>
      <c r="EC122" s="3"/>
      <c r="ED122" s="4">
        <v>45642</v>
      </c>
      <c r="EE122" s="4">
        <f t="shared" si="447"/>
        <v>46371</v>
      </c>
      <c r="EF122" s="8">
        <f t="shared" ca="1" si="292"/>
        <v>236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315</v>
      </c>
      <c r="EL122" s="5" t="str">
        <f t="shared" ca="1" si="295"/>
        <v>VIGENTE</v>
      </c>
      <c r="EM122" s="3"/>
      <c r="EN122" s="4">
        <v>45636</v>
      </c>
      <c r="EO122" s="4">
        <f t="shared" si="448"/>
        <v>46365</v>
      </c>
      <c r="EP122" s="8">
        <f t="shared" ca="1" si="296"/>
        <v>230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690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288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205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262</v>
      </c>
      <c r="FK122" s="5" t="str">
        <f t="shared" ca="1" si="305"/>
        <v>VIGENTE</v>
      </c>
      <c r="FL122" s="3"/>
      <c r="FM122" s="4">
        <v>45686</v>
      </c>
      <c r="FN122" s="4">
        <f t="shared" si="449"/>
        <v>46415</v>
      </c>
      <c r="FO122" s="8">
        <f t="shared" ca="1" si="306"/>
        <v>280</v>
      </c>
      <c r="FP122" s="5" t="str">
        <f t="shared" ca="1" si="307"/>
        <v>VIGENTE</v>
      </c>
      <c r="FQ122" s="3"/>
      <c r="FR122" s="4">
        <v>45664</v>
      </c>
      <c r="FS122" s="4">
        <f t="shared" si="450"/>
        <v>46393</v>
      </c>
      <c r="FT122" s="8">
        <f t="shared" ca="1" si="308"/>
        <v>258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181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668</v>
      </c>
      <c r="GE122" s="5" t="str">
        <f t="shared" ca="1" si="313"/>
        <v>VIGENTE</v>
      </c>
      <c r="GF122" s="3"/>
      <c r="GG122" s="4">
        <v>45672</v>
      </c>
      <c r="GH122" s="4">
        <f t="shared" si="451"/>
        <v>46401</v>
      </c>
      <c r="GI122" s="8">
        <f t="shared" ca="1" si="314"/>
        <v>266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540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6"/>
        <v>975</v>
      </c>
      <c r="GT122" s="5" t="str">
        <f t="shared" ca="1" si="428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937</v>
      </c>
      <c r="GY122" s="5" t="str">
        <f t="shared" ca="1" si="435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943</v>
      </c>
      <c r="HD122" s="5" t="str">
        <f t="shared" ca="1" si="430"/>
        <v>VIGENTE</v>
      </c>
      <c r="HE122" s="6"/>
      <c r="HF122" s="4">
        <v>44879</v>
      </c>
      <c r="HG122" s="4">
        <f t="shared" si="437"/>
        <v>46705</v>
      </c>
      <c r="HH122" s="8">
        <f t="shared" ca="1" si="438"/>
        <v>570</v>
      </c>
      <c r="HI122" s="5" t="str">
        <f t="shared" ca="1" si="43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1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414</v>
      </c>
      <c r="D123" s="30" t="s">
        <v>69</v>
      </c>
      <c r="E123" s="31" t="s">
        <v>156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415</v>
      </c>
      <c r="W123" s="4">
        <v>45500</v>
      </c>
      <c r="X123" s="4">
        <f t="shared" si="419"/>
        <v>47326</v>
      </c>
      <c r="Y123" s="8">
        <f t="shared" ca="1" si="420"/>
        <v>1191</v>
      </c>
      <c r="Z123" s="5" t="str">
        <f t="shared" ca="1" si="421"/>
        <v>VIGENTE</v>
      </c>
      <c r="AA123" s="5"/>
      <c r="AB123" s="2" t="s">
        <v>416</v>
      </c>
      <c r="AC123" s="4">
        <v>44826</v>
      </c>
      <c r="AD123" s="4">
        <f t="shared" si="439"/>
        <v>46652</v>
      </c>
      <c r="AE123" s="8">
        <f t="shared" ca="1" si="440"/>
        <v>517</v>
      </c>
      <c r="AF123" s="5" t="str">
        <f t="shared" ca="1" si="251"/>
        <v>VIGENTE</v>
      </c>
      <c r="AG123" s="3"/>
      <c r="AH123" s="4">
        <v>45589</v>
      </c>
      <c r="AI123" s="4">
        <f t="shared" si="441"/>
        <v>46318</v>
      </c>
      <c r="AJ123" s="8">
        <f t="shared" ca="1" si="252"/>
        <v>183</v>
      </c>
      <c r="AK123" s="5" t="str">
        <f t="shared" ca="1" si="41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521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566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567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636</v>
      </c>
      <c r="BE123" s="5" t="str">
        <f t="shared" ca="1" si="260"/>
        <v>VIGENTE</v>
      </c>
      <c r="BF123" s="3"/>
      <c r="BG123" s="4">
        <v>46067</v>
      </c>
      <c r="BH123" s="4">
        <f t="shared" si="452"/>
        <v>46797</v>
      </c>
      <c r="BI123" s="8">
        <f t="shared" ca="1" si="261"/>
        <v>662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651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72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658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549</v>
      </c>
      <c r="CD123" s="5" t="str">
        <f t="shared" ca="1" si="270"/>
        <v>VIGENTE</v>
      </c>
      <c r="CE123" s="6" t="s">
        <v>73</v>
      </c>
      <c r="CF123" s="4">
        <v>45227</v>
      </c>
      <c r="CG123" s="4">
        <f t="shared" si="425"/>
        <v>46688</v>
      </c>
      <c r="CH123" s="8">
        <f t="shared" ca="1" si="426"/>
        <v>553</v>
      </c>
      <c r="CI123" s="5" t="str">
        <f t="shared" ca="1" si="427"/>
        <v>VIGENTE</v>
      </c>
      <c r="CJ123" s="4"/>
      <c r="CK123" s="4">
        <v>45723</v>
      </c>
      <c r="CL123" s="4">
        <f t="shared" si="442"/>
        <v>46452</v>
      </c>
      <c r="CM123" s="8">
        <f t="shared" ca="1" si="274"/>
        <v>317</v>
      </c>
      <c r="CN123" s="5" t="str">
        <f t="shared" ca="1" si="275"/>
        <v>VIGENTE</v>
      </c>
      <c r="CO123" s="3"/>
      <c r="CP123" s="4">
        <v>45684</v>
      </c>
      <c r="CQ123" s="4">
        <f t="shared" si="443"/>
        <v>46413</v>
      </c>
      <c r="CR123" s="8">
        <f t="shared" ca="1" si="276"/>
        <v>278</v>
      </c>
      <c r="CS123" s="5" t="str">
        <f t="shared" ca="1" si="277"/>
        <v>VIGENTE</v>
      </c>
      <c r="CT123" s="3"/>
      <c r="CU123" s="4">
        <v>45631</v>
      </c>
      <c r="CV123" s="4">
        <f t="shared" si="444"/>
        <v>46360</v>
      </c>
      <c r="CW123" s="8">
        <f t="shared" ca="1" si="278"/>
        <v>225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259</v>
      </c>
      <c r="DC123" s="5" t="str">
        <f t="shared" ca="1" si="281"/>
        <v>VIGENTE</v>
      </c>
      <c r="DD123" s="3"/>
      <c r="DE123" s="4">
        <v>45689</v>
      </c>
      <c r="DF123" s="4">
        <f t="shared" si="445"/>
        <v>46418</v>
      </c>
      <c r="DG123" s="8">
        <f t="shared" ca="1" si="282"/>
        <v>283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550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602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648</v>
      </c>
      <c r="DW123" s="5" t="str">
        <f t="shared" ca="1" si="289"/>
        <v>VIGENTE</v>
      </c>
      <c r="DX123" s="3"/>
      <c r="DY123" s="4">
        <v>45682</v>
      </c>
      <c r="DZ123" s="4">
        <f t="shared" si="446"/>
        <v>46411</v>
      </c>
      <c r="EA123" s="8">
        <f t="shared" ca="1" si="290"/>
        <v>276</v>
      </c>
      <c r="EB123" s="5" t="str">
        <f t="shared" ca="1" si="291"/>
        <v>VIGENTE</v>
      </c>
      <c r="EC123" s="3"/>
      <c r="ED123" s="4">
        <v>45674</v>
      </c>
      <c r="EE123" s="4">
        <f t="shared" si="447"/>
        <v>46403</v>
      </c>
      <c r="EF123" s="8">
        <f t="shared" ca="1" si="292"/>
        <v>268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178</v>
      </c>
      <c r="EL123" s="5" t="str">
        <f t="shared" ca="1" si="295"/>
        <v>VIGENTE</v>
      </c>
      <c r="EM123" s="3"/>
      <c r="EN123" s="4">
        <v>45737</v>
      </c>
      <c r="EO123" s="4">
        <f t="shared" si="448"/>
        <v>46466</v>
      </c>
      <c r="EP123" s="8">
        <f t="shared" ca="1" si="296"/>
        <v>331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690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548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546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587</v>
      </c>
      <c r="FK123" s="5" t="str">
        <f t="shared" ca="1" si="305"/>
        <v>VIGENTE</v>
      </c>
      <c r="FL123" s="3"/>
      <c r="FM123" s="4">
        <v>45738</v>
      </c>
      <c r="FN123" s="4">
        <f t="shared" si="449"/>
        <v>46467</v>
      </c>
      <c r="FO123" s="8">
        <f t="shared" ca="1" si="306"/>
        <v>332</v>
      </c>
      <c r="FP123" s="5" t="str">
        <f t="shared" ca="1" si="307"/>
        <v>VIGENTE</v>
      </c>
      <c r="FQ123" s="3"/>
      <c r="FR123" s="4">
        <v>45724</v>
      </c>
      <c r="FS123" s="4">
        <f t="shared" si="450"/>
        <v>46453</v>
      </c>
      <c r="FT123" s="8">
        <f t="shared" ca="1" si="308"/>
        <v>318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609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625</v>
      </c>
      <c r="GE123" s="5" t="str">
        <f t="shared" ca="1" si="313"/>
        <v>VIGENTE</v>
      </c>
      <c r="GF123" s="3"/>
      <c r="GG123" s="4">
        <v>45579</v>
      </c>
      <c r="GH123" s="4">
        <f t="shared" si="451"/>
        <v>46308</v>
      </c>
      <c r="GI123" s="8">
        <f t="shared" ca="1" si="314"/>
        <v>173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518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6"/>
        <v>916</v>
      </c>
      <c r="GT123" s="5" t="str">
        <f t="shared" ca="1" si="428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887</v>
      </c>
      <c r="GY123" s="5" t="str">
        <f t="shared" ca="1" si="435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960</v>
      </c>
      <c r="HD123" s="5" t="str">
        <f t="shared" ca="1" si="430"/>
        <v>VIGENTE</v>
      </c>
      <c r="HE123" s="6"/>
      <c r="HF123" s="4">
        <v>44862</v>
      </c>
      <c r="HG123" s="4">
        <f t="shared" si="437"/>
        <v>46688</v>
      </c>
      <c r="HH123" s="8">
        <f t="shared" ca="1" si="438"/>
        <v>553</v>
      </c>
      <c r="HI123" s="5" t="str">
        <f t="shared" ca="1" si="43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18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417</v>
      </c>
      <c r="D124" s="30" t="s">
        <v>160</v>
      </c>
      <c r="E124" s="31" t="s">
        <v>161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418</v>
      </c>
      <c r="W124" s="4">
        <v>44772</v>
      </c>
      <c r="X124" s="4">
        <f t="shared" si="419"/>
        <v>46598</v>
      </c>
      <c r="Y124" s="8">
        <f t="shared" ca="1" si="420"/>
        <v>463</v>
      </c>
      <c r="Z124" s="5" t="str">
        <f t="shared" ca="1" si="421"/>
        <v>VIGENTE</v>
      </c>
      <c r="AA124" s="5"/>
      <c r="AB124" s="2" t="s">
        <v>419</v>
      </c>
      <c r="AC124" s="4">
        <v>45233</v>
      </c>
      <c r="AD124" s="4">
        <f t="shared" si="439"/>
        <v>47060</v>
      </c>
      <c r="AE124" s="8">
        <f t="shared" ca="1" si="440"/>
        <v>925</v>
      </c>
      <c r="AF124" s="5" t="str">
        <f t="shared" ca="1" si="251"/>
        <v>VIGENTE</v>
      </c>
      <c r="AG124" s="3"/>
      <c r="AH124" s="4">
        <v>45680</v>
      </c>
      <c r="AI124" s="4">
        <f t="shared" si="441"/>
        <v>46409</v>
      </c>
      <c r="AJ124" s="8">
        <f t="shared" ca="1" si="252"/>
        <v>274</v>
      </c>
      <c r="AK124" s="5" t="str">
        <f t="shared" ca="1" si="41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304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334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296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636</v>
      </c>
      <c r="BE124" s="5" t="str">
        <f t="shared" ca="1" si="260"/>
        <v>VIGENTE</v>
      </c>
      <c r="BF124" s="3"/>
      <c r="BG124" s="4">
        <v>46027</v>
      </c>
      <c r="BH124" s="4">
        <f t="shared" si="452"/>
        <v>46757</v>
      </c>
      <c r="BI124" s="8">
        <f t="shared" ca="1" si="261"/>
        <v>622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164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295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49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324</v>
      </c>
      <c r="CD124" s="5" t="str">
        <f t="shared" ca="1" si="270"/>
        <v>VIGENTE</v>
      </c>
      <c r="CE124" s="6" t="s">
        <v>68</v>
      </c>
      <c r="CF124" s="4">
        <v>45832</v>
      </c>
      <c r="CG124" s="4">
        <f t="shared" si="425"/>
        <v>47293</v>
      </c>
      <c r="CH124" s="8">
        <f t="shared" ca="1" si="426"/>
        <v>1158</v>
      </c>
      <c r="CI124" s="5" t="str">
        <f t="shared" ca="1" si="427"/>
        <v>VIGENTE</v>
      </c>
      <c r="CJ124" s="4"/>
      <c r="CK124" s="4">
        <v>45511</v>
      </c>
      <c r="CL124" s="4">
        <f t="shared" si="442"/>
        <v>46240</v>
      </c>
      <c r="CM124" s="8">
        <f t="shared" ca="1" si="274"/>
        <v>105</v>
      </c>
      <c r="CN124" s="5" t="str">
        <f t="shared" ca="1" si="275"/>
        <v>VIGENTE</v>
      </c>
      <c r="CO124" s="3"/>
      <c r="CP124" s="4">
        <v>45517</v>
      </c>
      <c r="CQ124" s="4">
        <f t="shared" si="443"/>
        <v>46246</v>
      </c>
      <c r="CR124" s="8">
        <f t="shared" ca="1" si="276"/>
        <v>111</v>
      </c>
      <c r="CS124" s="5" t="str">
        <f t="shared" ca="1" si="277"/>
        <v>VIGENTE</v>
      </c>
      <c r="CT124" s="3"/>
      <c r="CU124" s="4">
        <v>45624</v>
      </c>
      <c r="CV124" s="4">
        <f t="shared" si="444"/>
        <v>46353</v>
      </c>
      <c r="CW124" s="8">
        <f t="shared" ca="1" si="278"/>
        <v>218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259</v>
      </c>
      <c r="DC124" s="5" t="str">
        <f t="shared" ca="1" si="281"/>
        <v>VIGENTE</v>
      </c>
      <c r="DD124" s="3"/>
      <c r="DE124" s="4">
        <v>45549</v>
      </c>
      <c r="DF124" s="4">
        <f t="shared" si="445"/>
        <v>46278</v>
      </c>
      <c r="DG124" s="8">
        <f t="shared" ca="1" si="282"/>
        <v>143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174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184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648</v>
      </c>
      <c r="DW124" s="5" t="str">
        <f t="shared" ca="1" si="289"/>
        <v>VIGENTE</v>
      </c>
      <c r="DX124" s="3"/>
      <c r="DY124" s="4">
        <v>45663</v>
      </c>
      <c r="DZ124" s="4">
        <f t="shared" si="446"/>
        <v>46392</v>
      </c>
      <c r="EA124" s="8">
        <f t="shared" ca="1" si="290"/>
        <v>257</v>
      </c>
      <c r="EB124" s="5" t="str">
        <f t="shared" ca="1" si="291"/>
        <v>VIGENTE</v>
      </c>
      <c r="EC124" s="3"/>
      <c r="ED124" s="4">
        <v>45674</v>
      </c>
      <c r="EE124" s="4">
        <f t="shared" si="447"/>
        <v>46403</v>
      </c>
      <c r="EF124" s="8">
        <f t="shared" ca="1" si="292"/>
        <v>268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337</v>
      </c>
      <c r="EL124" s="5" t="str">
        <f t="shared" ca="1" si="295"/>
        <v>VIGENTE</v>
      </c>
      <c r="EM124" s="3"/>
      <c r="EN124" s="4">
        <v>45660</v>
      </c>
      <c r="EO124" s="4">
        <f t="shared" si="448"/>
        <v>46389</v>
      </c>
      <c r="EP124" s="8">
        <f t="shared" ca="1" si="296"/>
        <v>254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690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288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260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262</v>
      </c>
      <c r="FK124" s="5" t="str">
        <f t="shared" ca="1" si="305"/>
        <v>VIGENTE</v>
      </c>
      <c r="FL124" s="3"/>
      <c r="FM124" s="4">
        <v>45530</v>
      </c>
      <c r="FN124" s="4">
        <f t="shared" si="449"/>
        <v>46259</v>
      </c>
      <c r="FO124" s="8">
        <f t="shared" ca="1" si="306"/>
        <v>124</v>
      </c>
      <c r="FP124" s="5" t="str">
        <f t="shared" ca="1" si="307"/>
        <v>VIGENTE</v>
      </c>
      <c r="FQ124" s="3"/>
      <c r="FR124" s="4">
        <v>45586</v>
      </c>
      <c r="FS124" s="4">
        <f t="shared" si="450"/>
        <v>46315</v>
      </c>
      <c r="FT124" s="8">
        <f t="shared" ca="1" si="308"/>
        <v>180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181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625</v>
      </c>
      <c r="GE124" s="5" t="str">
        <f t="shared" ca="1" si="313"/>
        <v>VIGENTE</v>
      </c>
      <c r="GF124" s="3"/>
      <c r="GG124" s="4">
        <v>45579</v>
      </c>
      <c r="GH124" s="4">
        <f t="shared" si="451"/>
        <v>46308</v>
      </c>
      <c r="GI124" s="8">
        <f t="shared" ca="1" si="314"/>
        <v>173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281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6"/>
        <v>603</v>
      </c>
      <c r="GT124" s="5" t="str">
        <f t="shared" ca="1" si="428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643</v>
      </c>
      <c r="GY124" s="5" t="str">
        <f t="shared" ca="1" si="435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602</v>
      </c>
      <c r="HD124" s="5" t="str">
        <f t="shared" ca="1" si="430"/>
        <v>VIGENTE</v>
      </c>
      <c r="HE124" s="6"/>
      <c r="HF124" s="4">
        <v>45094</v>
      </c>
      <c r="HG124" s="4">
        <f t="shared" si="437"/>
        <v>46921</v>
      </c>
      <c r="HH124" s="8">
        <f t="shared" ca="1" si="438"/>
        <v>786</v>
      </c>
      <c r="HI124" s="5" t="str">
        <f t="shared" ca="1" si="43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420</v>
      </c>
      <c r="D125" s="30" t="s">
        <v>69</v>
      </c>
      <c r="E125" s="31" t="s">
        <v>79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421</v>
      </c>
      <c r="W125" s="4">
        <v>44838</v>
      </c>
      <c r="X125" s="4">
        <f t="shared" si="419"/>
        <v>46664</v>
      </c>
      <c r="Y125" s="8">
        <f t="shared" ca="1" si="420"/>
        <v>529</v>
      </c>
      <c r="Z125" s="5" t="str">
        <f t="shared" ca="1" si="421"/>
        <v>VIGENTE</v>
      </c>
      <c r="AA125" s="5"/>
      <c r="AB125" s="2" t="s">
        <v>422</v>
      </c>
      <c r="AC125" s="4">
        <v>44826</v>
      </c>
      <c r="AD125" s="4">
        <f t="shared" si="439"/>
        <v>46652</v>
      </c>
      <c r="AE125" s="8">
        <f t="shared" ca="1" si="440"/>
        <v>517</v>
      </c>
      <c r="AF125" s="5" t="str">
        <f t="shared" ca="1" si="251"/>
        <v>VIGENTE</v>
      </c>
      <c r="AG125" s="3"/>
      <c r="AH125" s="3">
        <v>45594</v>
      </c>
      <c r="AI125" s="4">
        <f t="shared" si="441"/>
        <v>46323</v>
      </c>
      <c r="AJ125" s="8">
        <f t="shared" ca="1" si="252"/>
        <v>188</v>
      </c>
      <c r="AK125" s="5" t="str">
        <f t="shared" ca="1" si="41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554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566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567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636</v>
      </c>
      <c r="BE125" s="5" t="str">
        <f t="shared" ca="1" si="260"/>
        <v>VIGENTE</v>
      </c>
      <c r="BF125" s="3"/>
      <c r="BG125" s="4">
        <v>46067</v>
      </c>
      <c r="BH125" s="4">
        <f t="shared" si="452"/>
        <v>46797</v>
      </c>
      <c r="BI125" s="8">
        <f t="shared" ca="1" si="261"/>
        <v>662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646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664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43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569</v>
      </c>
      <c r="CD125" s="5" t="str">
        <f t="shared" ca="1" si="270"/>
        <v>VIGENTE</v>
      </c>
      <c r="CE125" s="6" t="s">
        <v>73</v>
      </c>
      <c r="CF125" s="4">
        <v>45241</v>
      </c>
      <c r="CG125" s="4">
        <f t="shared" si="425"/>
        <v>46702</v>
      </c>
      <c r="CH125" s="8">
        <f t="shared" ca="1" si="426"/>
        <v>567</v>
      </c>
      <c r="CI125" s="5" t="str">
        <f t="shared" ca="1" si="427"/>
        <v>VIGENTE</v>
      </c>
      <c r="CJ125" s="4"/>
      <c r="CK125" s="4">
        <v>45504</v>
      </c>
      <c r="CL125" s="4">
        <f t="shared" si="442"/>
        <v>46233</v>
      </c>
      <c r="CM125" s="8">
        <f t="shared" ca="1" si="274"/>
        <v>98</v>
      </c>
      <c r="CN125" s="5" t="str">
        <f t="shared" ca="1" si="275"/>
        <v>VIGENTE</v>
      </c>
      <c r="CO125" s="3"/>
      <c r="CP125" s="4">
        <v>45517</v>
      </c>
      <c r="CQ125" s="4">
        <f t="shared" si="443"/>
        <v>46246</v>
      </c>
      <c r="CR125" s="8">
        <f t="shared" ca="1" si="276"/>
        <v>111</v>
      </c>
      <c r="CS125" s="5" t="str">
        <f t="shared" ca="1" si="277"/>
        <v>VIGENTE</v>
      </c>
      <c r="CT125" s="3"/>
      <c r="CU125" s="4">
        <v>45631</v>
      </c>
      <c r="CV125" s="4">
        <f t="shared" si="444"/>
        <v>46360</v>
      </c>
      <c r="CW125" s="8">
        <f t="shared" ca="1" si="278"/>
        <v>225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259</v>
      </c>
      <c r="DC125" s="5" t="str">
        <f t="shared" ca="1" si="281"/>
        <v>VIGENTE</v>
      </c>
      <c r="DD125" s="3"/>
      <c r="DE125" s="4">
        <v>45689</v>
      </c>
      <c r="DF125" s="4">
        <f t="shared" si="445"/>
        <v>46418</v>
      </c>
      <c r="DG125" s="8">
        <f t="shared" ca="1" si="282"/>
        <v>283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328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602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648</v>
      </c>
      <c r="DW125" s="5" t="str">
        <f t="shared" ca="1" si="289"/>
        <v>VIGENTE</v>
      </c>
      <c r="DX125" s="3"/>
      <c r="DY125" s="4">
        <v>45709</v>
      </c>
      <c r="DZ125" s="4">
        <f t="shared" si="446"/>
        <v>46438</v>
      </c>
      <c r="EA125" s="8">
        <f t="shared" ca="1" si="290"/>
        <v>303</v>
      </c>
      <c r="EB125" s="5" t="str">
        <f t="shared" ca="1" si="291"/>
        <v>VIGENTE</v>
      </c>
      <c r="EC125" s="3"/>
      <c r="ED125" s="4">
        <v>45642</v>
      </c>
      <c r="EE125" s="4">
        <f t="shared" si="447"/>
        <v>46371</v>
      </c>
      <c r="EF125" s="8">
        <f t="shared" ca="1" si="292"/>
        <v>236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42</v>
      </c>
      <c r="EL125" s="5" t="str">
        <f t="shared" ca="1" si="295"/>
        <v>POR VENCER</v>
      </c>
      <c r="EM125" s="3"/>
      <c r="EN125" s="4">
        <v>45636</v>
      </c>
      <c r="EO125" s="4">
        <f t="shared" si="448"/>
        <v>46365</v>
      </c>
      <c r="EP125" s="8">
        <f t="shared" ca="1" si="296"/>
        <v>230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637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568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526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564</v>
      </c>
      <c r="FK125" s="5" t="str">
        <f t="shared" ca="1" si="305"/>
        <v>VIGENTE</v>
      </c>
      <c r="FL125" s="3"/>
      <c r="FM125" s="4">
        <v>45686</v>
      </c>
      <c r="FN125" s="4">
        <f t="shared" si="449"/>
        <v>46415</v>
      </c>
      <c r="FO125" s="8">
        <f t="shared" ca="1" si="306"/>
        <v>280</v>
      </c>
      <c r="FP125" s="5" t="str">
        <f t="shared" ca="1" si="307"/>
        <v>VIGENTE</v>
      </c>
      <c r="FQ125" s="3"/>
      <c r="FR125" s="4">
        <v>45466</v>
      </c>
      <c r="FS125" s="4">
        <f t="shared" si="450"/>
        <v>46195</v>
      </c>
      <c r="FT125" s="8">
        <f t="shared" ca="1" si="308"/>
        <v>60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168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625</v>
      </c>
      <c r="GE125" s="5" t="str">
        <f t="shared" ca="1" si="313"/>
        <v>VIGENTE</v>
      </c>
      <c r="GF125" s="3"/>
      <c r="GG125" s="4">
        <v>45672</v>
      </c>
      <c r="GH125" s="4">
        <f t="shared" si="451"/>
        <v>46401</v>
      </c>
      <c r="GI125" s="8">
        <f t="shared" ca="1" si="314"/>
        <v>266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540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6"/>
        <v>957</v>
      </c>
      <c r="GT125" s="5" t="str">
        <f t="shared" ca="1" si="428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937</v>
      </c>
      <c r="GY125" s="5" t="str">
        <f t="shared" ca="1" si="435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943</v>
      </c>
      <c r="HD125" s="5" t="str">
        <f t="shared" ca="1" si="430"/>
        <v>VIGENTE</v>
      </c>
      <c r="HE125" s="6"/>
      <c r="HF125" s="4">
        <v>44865</v>
      </c>
      <c r="HG125" s="4">
        <f t="shared" si="437"/>
        <v>46691</v>
      </c>
      <c r="HH125" s="8">
        <f t="shared" ca="1" si="438"/>
        <v>556</v>
      </c>
      <c r="HI125" s="5" t="str">
        <f t="shared" ca="1" si="43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5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423</v>
      </c>
      <c r="D126" s="30" t="s">
        <v>69</v>
      </c>
      <c r="E126" s="31" t="s">
        <v>131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424</v>
      </c>
      <c r="W126" s="4">
        <v>44790</v>
      </c>
      <c r="X126" s="4">
        <f t="shared" si="419"/>
        <v>46616</v>
      </c>
      <c r="Y126" s="8">
        <f t="shared" ca="1" si="420"/>
        <v>481</v>
      </c>
      <c r="Z126" s="5" t="str">
        <f t="shared" ca="1" si="421"/>
        <v>VIGENTE</v>
      </c>
      <c r="AA126" s="5"/>
      <c r="AB126" s="2" t="s">
        <v>425</v>
      </c>
      <c r="AC126" s="4">
        <v>44826</v>
      </c>
      <c r="AD126" s="4">
        <f t="shared" si="439"/>
        <v>46652</v>
      </c>
      <c r="AE126" s="8">
        <f t="shared" ca="1" si="440"/>
        <v>517</v>
      </c>
      <c r="AF126" s="5" t="str">
        <f t="shared" ca="1" si="251"/>
        <v>VIGENTE</v>
      </c>
      <c r="AG126" s="3"/>
      <c r="AH126" s="3">
        <v>45594</v>
      </c>
      <c r="AI126" s="4">
        <f t="shared" si="441"/>
        <v>46323</v>
      </c>
      <c r="AJ126" s="8">
        <f t="shared" ca="1" si="252"/>
        <v>188</v>
      </c>
      <c r="AK126" s="5" t="str">
        <f t="shared" ca="1" si="41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521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562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547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197</v>
      </c>
      <c r="BE126" s="5" t="str">
        <f t="shared" ca="1" si="260"/>
        <v>VIGENTE</v>
      </c>
      <c r="BF126" s="3"/>
      <c r="BG126" s="4">
        <v>45968</v>
      </c>
      <c r="BH126" s="4">
        <f t="shared" si="452"/>
        <v>46698</v>
      </c>
      <c r="BI126" s="8">
        <f t="shared" ca="1" si="261"/>
        <v>563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651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41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49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74</v>
      </c>
      <c r="CD126" s="5" t="str">
        <f t="shared" ca="1" si="270"/>
        <v>POR VENCER</v>
      </c>
      <c r="CE126" s="6" t="s">
        <v>73</v>
      </c>
      <c r="CF126" s="4">
        <v>45211</v>
      </c>
      <c r="CG126" s="4">
        <f t="shared" si="425"/>
        <v>46672</v>
      </c>
      <c r="CH126" s="8">
        <f t="shared" ca="1" si="426"/>
        <v>537</v>
      </c>
      <c r="CI126" s="5" t="str">
        <f t="shared" ca="1" si="427"/>
        <v>VIGENTE</v>
      </c>
      <c r="CJ126" s="4"/>
      <c r="CK126" s="4">
        <v>45504</v>
      </c>
      <c r="CL126" s="4">
        <f t="shared" si="442"/>
        <v>46233</v>
      </c>
      <c r="CM126" s="8">
        <f t="shared" ca="1" si="274"/>
        <v>98</v>
      </c>
      <c r="CN126" s="5" t="str">
        <f t="shared" ca="1" si="275"/>
        <v>VIGENTE</v>
      </c>
      <c r="CO126" s="3"/>
      <c r="CP126" s="4">
        <v>45513</v>
      </c>
      <c r="CQ126" s="4">
        <f t="shared" si="443"/>
        <v>46242</v>
      </c>
      <c r="CR126" s="8">
        <f t="shared" ca="1" si="276"/>
        <v>107</v>
      </c>
      <c r="CS126" s="5" t="str">
        <f t="shared" ca="1" si="277"/>
        <v>VIGENTE</v>
      </c>
      <c r="CT126" s="3"/>
      <c r="CU126" s="4">
        <v>45645</v>
      </c>
      <c r="CV126" s="4">
        <f t="shared" si="444"/>
        <v>46374</v>
      </c>
      <c r="CW126" s="8">
        <f t="shared" ca="1" si="278"/>
        <v>239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255</v>
      </c>
      <c r="DC126" s="5" t="str">
        <f t="shared" ca="1" si="281"/>
        <v>VIGENTE</v>
      </c>
      <c r="DD126" s="3"/>
      <c r="DE126" s="4">
        <v>45689</v>
      </c>
      <c r="DF126" s="4">
        <f t="shared" si="445"/>
        <v>46418</v>
      </c>
      <c r="DG126" s="8">
        <f t="shared" ca="1" si="282"/>
        <v>283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290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114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279</v>
      </c>
      <c r="DW126" s="5" t="str">
        <f t="shared" ca="1" si="289"/>
        <v>VIGENTE</v>
      </c>
      <c r="DX126" s="3"/>
      <c r="DY126" s="4">
        <v>45663</v>
      </c>
      <c r="DZ126" s="4">
        <f t="shared" si="446"/>
        <v>46392</v>
      </c>
      <c r="EA126" s="8">
        <f t="shared" ca="1" si="290"/>
        <v>257</v>
      </c>
      <c r="EB126" s="5" t="str">
        <f t="shared" ca="1" si="291"/>
        <v>VIGENTE</v>
      </c>
      <c r="EC126" s="3"/>
      <c r="ED126" s="4">
        <v>45674</v>
      </c>
      <c r="EE126" s="4">
        <f t="shared" si="447"/>
        <v>46403</v>
      </c>
      <c r="EF126" s="8">
        <f t="shared" ca="1" si="292"/>
        <v>268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38</v>
      </c>
      <c r="EL126" s="5" t="str">
        <f t="shared" ca="1" si="295"/>
        <v>POR VENCER</v>
      </c>
      <c r="EM126" s="3"/>
      <c r="EN126" s="4">
        <v>45660</v>
      </c>
      <c r="EO126" s="4">
        <f t="shared" si="448"/>
        <v>46389</v>
      </c>
      <c r="EP126" s="8">
        <f t="shared" ca="1" si="296"/>
        <v>254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349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288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226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262</v>
      </c>
      <c r="FK126" s="5" t="str">
        <f t="shared" ca="1" si="305"/>
        <v>VIGENTE</v>
      </c>
      <c r="FL126" s="3"/>
      <c r="FM126" s="4">
        <v>45576</v>
      </c>
      <c r="FN126" s="4">
        <f t="shared" si="449"/>
        <v>46305</v>
      </c>
      <c r="FO126" s="8">
        <f t="shared" ca="1" si="306"/>
        <v>170</v>
      </c>
      <c r="FP126" s="5" t="str">
        <f t="shared" ca="1" si="307"/>
        <v>VIGENTE</v>
      </c>
      <c r="FQ126" s="3"/>
      <c r="FR126" s="4">
        <v>45664</v>
      </c>
      <c r="FS126" s="4">
        <f t="shared" si="450"/>
        <v>46393</v>
      </c>
      <c r="FT126" s="8">
        <f t="shared" ca="1" si="308"/>
        <v>258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210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261</v>
      </c>
      <c r="GE126" s="5" t="str">
        <f t="shared" ca="1" si="313"/>
        <v>VIGENTE</v>
      </c>
      <c r="GF126" s="3"/>
      <c r="GG126" s="4">
        <v>45672</v>
      </c>
      <c r="GH126" s="4">
        <f t="shared" si="451"/>
        <v>46401</v>
      </c>
      <c r="GI126" s="8">
        <f t="shared" ca="1" si="314"/>
        <v>266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540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6"/>
        <v>705</v>
      </c>
      <c r="GT126" s="5" t="str">
        <f t="shared" ca="1" si="428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1169</v>
      </c>
      <c r="GY126" s="5" t="str">
        <f t="shared" ca="1" si="435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708</v>
      </c>
      <c r="HD126" s="5" t="str">
        <f t="shared" ca="1" si="430"/>
        <v>VIGENTE</v>
      </c>
      <c r="HE126" s="6"/>
      <c r="HF126" s="4">
        <v>45094</v>
      </c>
      <c r="HG126" s="4">
        <f t="shared" si="437"/>
        <v>46921</v>
      </c>
      <c r="HH126" s="8">
        <f t="shared" ca="1" si="438"/>
        <v>786</v>
      </c>
      <c r="HI126" s="5" t="str">
        <f t="shared" ca="1" si="436"/>
        <v>VIGENTE</v>
      </c>
      <c r="HJ126" s="2"/>
      <c r="HK126" s="6"/>
      <c r="HL126" s="4"/>
      <c r="HM126" s="8"/>
      <c r="HN126" s="5" t="str">
        <f t="shared" si="453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426</v>
      </c>
      <c r="D127" s="30" t="s">
        <v>64</v>
      </c>
      <c r="E127" s="31" t="s">
        <v>83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62"/>
        <v>VIGENTE</v>
      </c>
      <c r="U127" s="5"/>
      <c r="V127" s="2" t="s">
        <v>427</v>
      </c>
      <c r="W127" s="4">
        <v>44772</v>
      </c>
      <c r="X127" s="4">
        <f t="shared" si="419"/>
        <v>46598</v>
      </c>
      <c r="Y127" s="8">
        <f t="shared" ca="1" si="420"/>
        <v>463</v>
      </c>
      <c r="Z127" s="5" t="str">
        <f t="shared" ca="1" si="421"/>
        <v>VIGENTE</v>
      </c>
      <c r="AA127" s="5"/>
      <c r="AB127" s="2" t="s">
        <v>428</v>
      </c>
      <c r="AC127" s="4">
        <v>45192</v>
      </c>
      <c r="AD127" s="4">
        <f t="shared" si="439"/>
        <v>47019</v>
      </c>
      <c r="AE127" s="8">
        <f t="shared" ca="1" si="440"/>
        <v>884</v>
      </c>
      <c r="AF127" s="5" t="str">
        <f t="shared" ca="1" si="251"/>
        <v>VIGENTE</v>
      </c>
      <c r="AG127" s="3"/>
      <c r="AH127" s="4">
        <v>45609</v>
      </c>
      <c r="AI127" s="4">
        <f t="shared" si="441"/>
        <v>46338</v>
      </c>
      <c r="AJ127" s="8">
        <f t="shared" ca="1" si="252"/>
        <v>203</v>
      </c>
      <c r="AK127" s="5" t="str">
        <f t="shared" ca="1" si="41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84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99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296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636</v>
      </c>
      <c r="BE127" s="5" t="str">
        <f t="shared" ca="1" si="260"/>
        <v>VIGENTE</v>
      </c>
      <c r="BF127" s="3"/>
      <c r="BG127" s="4">
        <v>46027</v>
      </c>
      <c r="BH127" s="4">
        <f t="shared" si="452"/>
        <v>46757</v>
      </c>
      <c r="BI127" s="8">
        <f t="shared" ca="1" si="261"/>
        <v>622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113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198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43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223</v>
      </c>
      <c r="CD127" s="5" t="str">
        <f t="shared" ca="1" si="270"/>
        <v>VIGENTE</v>
      </c>
      <c r="CE127" s="6" t="s">
        <v>68</v>
      </c>
      <c r="CF127" s="4">
        <v>45828</v>
      </c>
      <c r="CG127" s="4">
        <f t="shared" si="425"/>
        <v>47289</v>
      </c>
      <c r="CH127" s="8">
        <f t="shared" ca="1" si="426"/>
        <v>1154</v>
      </c>
      <c r="CI127" s="5" t="str">
        <f t="shared" ca="1" si="427"/>
        <v>VIGENTE</v>
      </c>
      <c r="CJ127" s="4"/>
      <c r="CK127" s="4">
        <v>45601</v>
      </c>
      <c r="CL127" s="4">
        <f t="shared" si="442"/>
        <v>46330</v>
      </c>
      <c r="CM127" s="8">
        <f t="shared" ca="1" si="274"/>
        <v>195</v>
      </c>
      <c r="CN127" s="5" t="str">
        <f t="shared" ca="1" si="275"/>
        <v>VIGENTE</v>
      </c>
      <c r="CO127" s="3"/>
      <c r="CP127" s="4">
        <v>45597</v>
      </c>
      <c r="CQ127" s="4">
        <f t="shared" si="443"/>
        <v>46326</v>
      </c>
      <c r="CR127" s="8">
        <f t="shared" ca="1" si="276"/>
        <v>191</v>
      </c>
      <c r="CS127" s="5" t="str">
        <f t="shared" ca="1" si="277"/>
        <v>VIGENTE</v>
      </c>
      <c r="CT127" s="3"/>
      <c r="CU127" s="4">
        <v>45624</v>
      </c>
      <c r="CV127" s="4">
        <f t="shared" si="444"/>
        <v>46353</v>
      </c>
      <c r="CW127" s="8">
        <f t="shared" ca="1" si="278"/>
        <v>218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259</v>
      </c>
      <c r="DC127" s="5" t="str">
        <f t="shared" ca="1" si="281"/>
        <v>VIGENTE</v>
      </c>
      <c r="DD127" s="3"/>
      <c r="DE127" s="4">
        <v>45596</v>
      </c>
      <c r="DF127" s="4">
        <f t="shared" si="445"/>
        <v>46325</v>
      </c>
      <c r="DG127" s="8">
        <f t="shared" ca="1" si="282"/>
        <v>190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174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114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202</v>
      </c>
      <c r="DW127" s="5" t="str">
        <f t="shared" ca="1" si="289"/>
        <v>VIGENTE</v>
      </c>
      <c r="DX127" s="3"/>
      <c r="DY127" s="4">
        <v>45663</v>
      </c>
      <c r="DZ127" s="4">
        <f t="shared" si="446"/>
        <v>46392</v>
      </c>
      <c r="EA127" s="8">
        <f t="shared" ca="1" si="290"/>
        <v>257</v>
      </c>
      <c r="EB127" s="5" t="str">
        <f t="shared" ca="1" si="291"/>
        <v>VIGENTE</v>
      </c>
      <c r="EC127" s="3"/>
      <c r="ED127" s="4">
        <v>45602</v>
      </c>
      <c r="EE127" s="4">
        <f t="shared" si="447"/>
        <v>46331</v>
      </c>
      <c r="EF127" s="8">
        <f t="shared" ca="1" si="292"/>
        <v>196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337</v>
      </c>
      <c r="EL127" s="5" t="str">
        <f t="shared" ca="1" si="295"/>
        <v>VIGENTE</v>
      </c>
      <c r="EM127" s="3"/>
      <c r="EN127" s="4">
        <v>45671</v>
      </c>
      <c r="EO127" s="4">
        <f t="shared" si="448"/>
        <v>46400</v>
      </c>
      <c r="EP127" s="8">
        <f t="shared" ca="1" si="296"/>
        <v>265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271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204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205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262</v>
      </c>
      <c r="FK127" s="5" t="str">
        <f t="shared" ca="1" si="305"/>
        <v>VIGENTE</v>
      </c>
      <c r="FL127" s="3"/>
      <c r="FM127" s="4">
        <v>45588</v>
      </c>
      <c r="FN127" s="4">
        <f t="shared" si="449"/>
        <v>46317</v>
      </c>
      <c r="FO127" s="8">
        <f t="shared" ca="1" si="306"/>
        <v>182</v>
      </c>
      <c r="FP127" s="5" t="str">
        <f t="shared" ca="1" si="307"/>
        <v>VIGENTE</v>
      </c>
      <c r="FQ127" s="3"/>
      <c r="FR127" s="4">
        <v>45586</v>
      </c>
      <c r="FS127" s="4">
        <f t="shared" si="450"/>
        <v>46315</v>
      </c>
      <c r="FT127" s="8">
        <f t="shared" ca="1" si="308"/>
        <v>180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181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625</v>
      </c>
      <c r="GE127" s="5" t="str">
        <f t="shared" ca="1" si="313"/>
        <v>VIGENTE</v>
      </c>
      <c r="GF127" s="3"/>
      <c r="GG127" s="4">
        <v>45579</v>
      </c>
      <c r="GH127" s="4">
        <f t="shared" si="451"/>
        <v>46308</v>
      </c>
      <c r="GI127" s="8">
        <f t="shared" ca="1" si="314"/>
        <v>173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161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6"/>
        <v>603</v>
      </c>
      <c r="GT127" s="5" t="str">
        <f t="shared" ca="1" si="428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601</v>
      </c>
      <c r="GY127" s="5" t="str">
        <f t="shared" ca="1" si="435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602</v>
      </c>
      <c r="HD127" s="5" t="str">
        <f t="shared" ca="1" si="430"/>
        <v>VIGENTE</v>
      </c>
      <c r="HE127" s="6"/>
      <c r="HF127" s="4">
        <v>44956</v>
      </c>
      <c r="HG127" s="4">
        <f t="shared" si="437"/>
        <v>46782</v>
      </c>
      <c r="HH127" s="8">
        <f t="shared" ca="1" si="438"/>
        <v>647</v>
      </c>
      <c r="HI127" s="5" t="str">
        <f t="shared" ca="1" si="436"/>
        <v>VIGENTE</v>
      </c>
      <c r="HJ127" s="2"/>
      <c r="HK127" s="6"/>
      <c r="HL127" s="4"/>
      <c r="HM127" s="8"/>
      <c r="HN127" s="5" t="str">
        <f t="shared" si="453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429</v>
      </c>
      <c r="D128" s="30" t="s">
        <v>69</v>
      </c>
      <c r="E128" s="31" t="s">
        <v>75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430</v>
      </c>
      <c r="W128" s="4">
        <v>45854</v>
      </c>
      <c r="X128" s="4">
        <f t="shared" si="419"/>
        <v>47680</v>
      </c>
      <c r="Y128" s="8">
        <f t="shared" ca="1" si="420"/>
        <v>1545</v>
      </c>
      <c r="Z128" s="5" t="str">
        <f t="shared" ca="1" si="421"/>
        <v>VIGENTE</v>
      </c>
      <c r="AA128" s="5"/>
      <c r="AB128" s="6" t="s">
        <v>431</v>
      </c>
      <c r="AC128" s="4">
        <v>45464</v>
      </c>
      <c r="AD128" s="4">
        <f t="shared" si="439"/>
        <v>47290</v>
      </c>
      <c r="AE128" s="8">
        <f t="shared" ca="1" si="440"/>
        <v>1155</v>
      </c>
      <c r="AF128" s="5" t="str">
        <f t="shared" ca="1" si="251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601</v>
      </c>
      <c r="AK128" s="5" t="str">
        <f t="shared" ca="1" si="41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657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643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665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636</v>
      </c>
      <c r="BE128" s="5" t="str">
        <f t="shared" ca="1" si="260"/>
        <v>VIGENTE</v>
      </c>
      <c r="BF128" s="4"/>
      <c r="BG128" s="4">
        <v>45987</v>
      </c>
      <c r="BH128" s="4">
        <f t="shared" si="452"/>
        <v>46717</v>
      </c>
      <c r="BI128" s="8">
        <f t="shared" ca="1" si="261"/>
        <v>582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630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583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658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581</v>
      </c>
      <c r="CD128" s="5" t="str">
        <f t="shared" ca="1" si="270"/>
        <v>VIGENTE</v>
      </c>
      <c r="CE128" s="6" t="s">
        <v>73</v>
      </c>
      <c r="CF128" s="4">
        <v>45346</v>
      </c>
      <c r="CG128" s="4">
        <f t="shared" si="425"/>
        <v>46807</v>
      </c>
      <c r="CH128" s="8">
        <f t="shared" ca="1" si="426"/>
        <v>672</v>
      </c>
      <c r="CI128" s="5" t="str">
        <f t="shared" ca="1" si="42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613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633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638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595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640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624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641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648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627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700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38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578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594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632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687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587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634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629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609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598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631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639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6"/>
        <v>1058</v>
      </c>
      <c r="GT128" s="5" t="str">
        <f t="shared" ca="1" si="428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1034</v>
      </c>
      <c r="GY128" s="5" t="str">
        <f t="shared" ca="1" si="435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1040</v>
      </c>
      <c r="HD128" s="5" t="str">
        <f t="shared" ca="1" si="430"/>
        <v>VIGENTE</v>
      </c>
      <c r="HE128" s="6"/>
      <c r="HF128" s="4">
        <v>45401</v>
      </c>
      <c r="HG128" s="4">
        <f t="shared" si="437"/>
        <v>47227</v>
      </c>
      <c r="HH128" s="8">
        <f t="shared" ca="1" si="438"/>
        <v>1092</v>
      </c>
      <c r="HI128" s="5" t="str">
        <f t="shared" ca="1" si="436"/>
        <v>VIGENTE</v>
      </c>
      <c r="HJ128" s="6"/>
      <c r="HK128" s="6"/>
      <c r="HL128" s="4"/>
      <c r="HM128" s="8"/>
      <c r="HN128" s="5" t="str">
        <f t="shared" si="453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432</v>
      </c>
      <c r="D129" s="30" t="s">
        <v>69</v>
      </c>
      <c r="E129" s="31" t="s">
        <v>75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433</v>
      </c>
      <c r="W129" s="4">
        <v>44918</v>
      </c>
      <c r="X129" s="4">
        <f t="shared" si="419"/>
        <v>46744</v>
      </c>
      <c r="Y129" s="8">
        <f t="shared" ca="1" si="420"/>
        <v>609</v>
      </c>
      <c r="Z129" s="5" t="str">
        <f t="shared" ca="1" si="421"/>
        <v>VIGENTE</v>
      </c>
      <c r="AA129" s="5"/>
      <c r="AB129" s="2" t="s">
        <v>434</v>
      </c>
      <c r="AC129" s="4">
        <v>44988</v>
      </c>
      <c r="AD129" s="4">
        <f t="shared" si="439"/>
        <v>46815</v>
      </c>
      <c r="AE129" s="8">
        <f t="shared" ca="1" si="440"/>
        <v>680</v>
      </c>
      <c r="AF129" s="5" t="str">
        <f t="shared" ca="1" si="251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203</v>
      </c>
      <c r="AK129" s="5" t="str">
        <f t="shared" ca="1" si="41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110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99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108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109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125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113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126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205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140</v>
      </c>
      <c r="CD129" s="5" t="str">
        <f t="shared" ca="1" si="270"/>
        <v>VIGENTE</v>
      </c>
      <c r="CE129" s="6" t="s">
        <v>73</v>
      </c>
      <c r="CF129" s="4">
        <v>45282</v>
      </c>
      <c r="CG129" s="4">
        <f t="shared" si="425"/>
        <v>46743</v>
      </c>
      <c r="CH129" s="8">
        <f t="shared" ca="1" si="426"/>
        <v>608</v>
      </c>
      <c r="CI129" s="5" t="str">
        <f t="shared" ca="1" si="42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98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138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239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255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283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156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127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213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303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268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232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254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271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204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260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262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139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137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141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154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164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151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6"/>
        <v>603</v>
      </c>
      <c r="GT129" s="5" t="str">
        <f t="shared" ca="1" si="428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791</v>
      </c>
      <c r="GY129" s="5" t="str">
        <f t="shared" ca="1" si="435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602</v>
      </c>
      <c r="HD129" s="5" t="str">
        <f t="shared" ca="1" si="430"/>
        <v>VIGENTE</v>
      </c>
      <c r="HE129" s="6"/>
      <c r="HF129" s="4">
        <v>45094</v>
      </c>
      <c r="HG129" s="4">
        <f t="shared" si="437"/>
        <v>46921</v>
      </c>
      <c r="HH129" s="8">
        <f t="shared" ca="1" si="438"/>
        <v>786</v>
      </c>
      <c r="HI129" s="5" t="str">
        <f t="shared" ca="1" si="436"/>
        <v>VIGENTE</v>
      </c>
      <c r="HJ129" s="2"/>
      <c r="HK129" s="6"/>
      <c r="HL129" s="4"/>
      <c r="HM129" s="8"/>
      <c r="HN129" s="5" t="str">
        <f t="shared" si="453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435</v>
      </c>
      <c r="D130" s="30" t="s">
        <v>69</v>
      </c>
      <c r="E130" s="31" t="s">
        <v>75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436</v>
      </c>
      <c r="W130" s="4">
        <v>45041</v>
      </c>
      <c r="X130" s="4">
        <f t="shared" si="419"/>
        <v>46868</v>
      </c>
      <c r="Y130" s="8">
        <f t="shared" ca="1" si="420"/>
        <v>733</v>
      </c>
      <c r="Z130" s="5" t="str">
        <f t="shared" ca="1" si="421"/>
        <v>VIGENTE</v>
      </c>
      <c r="AA130" s="5"/>
      <c r="AB130" s="2" t="s">
        <v>437</v>
      </c>
      <c r="AC130" s="4">
        <v>45152</v>
      </c>
      <c r="AD130" s="4">
        <f t="shared" si="439"/>
        <v>46979</v>
      </c>
      <c r="AE130" s="8">
        <f t="shared" ca="1" si="440"/>
        <v>844</v>
      </c>
      <c r="AF130" s="5" t="str">
        <f t="shared" ca="1" si="251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274</v>
      </c>
      <c r="AK130" s="5" t="str">
        <f t="shared" ca="1" si="41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304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297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4">DATE(YEAR(AW130)+2,MONTH(AW130),DAY(AW130))</f>
        <v>46495</v>
      </c>
      <c r="AY130" s="8">
        <f t="shared" ca="1" si="257"/>
        <v>360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302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5">DATE(YEAR(BG130)+2,MONTH(BG130),DAY(BG130))</f>
        <v>46492</v>
      </c>
      <c r="BI130" s="8">
        <f t="shared" ca="1" si="261"/>
        <v>357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293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295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289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56">DATE(YEAR(CA130)+2,MONTH(CA130),DAY(CA130))</f>
        <v>46500</v>
      </c>
      <c r="CC130" s="8">
        <f t="shared" ca="1" si="269"/>
        <v>365</v>
      </c>
      <c r="CD130" s="5" t="str">
        <f t="shared" ca="1" si="270"/>
        <v>VIGENTE</v>
      </c>
      <c r="CE130" s="6" t="s">
        <v>73</v>
      </c>
      <c r="CF130" s="4">
        <v>45247</v>
      </c>
      <c r="CG130" s="4">
        <f t="shared" si="425"/>
        <v>46708</v>
      </c>
      <c r="CH130" s="8">
        <f t="shared" ca="1" si="426"/>
        <v>573</v>
      </c>
      <c r="CI130" s="5" t="str">
        <f t="shared" ca="1" si="42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358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278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400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275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356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290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325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279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399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268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38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254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271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313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323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262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280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272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294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261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346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281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6"/>
        <v>740</v>
      </c>
      <c r="GT130" s="5" t="str">
        <f t="shared" ca="1" si="428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721</v>
      </c>
      <c r="GY130" s="5" t="str">
        <f t="shared" ca="1" si="435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819</v>
      </c>
      <c r="HD130" s="5" t="str">
        <f t="shared" ca="1" si="430"/>
        <v>VIGENTE</v>
      </c>
      <c r="HE130" s="6"/>
      <c r="HF130" s="4">
        <v>45150</v>
      </c>
      <c r="HG130" s="4">
        <f t="shared" si="437"/>
        <v>46977</v>
      </c>
      <c r="HH130" s="8">
        <f t="shared" ca="1" si="438"/>
        <v>842</v>
      </c>
      <c r="HI130" s="5" t="str">
        <f t="shared" ca="1" si="436"/>
        <v>VIGENTE</v>
      </c>
      <c r="HJ130" s="2"/>
      <c r="HK130" s="6"/>
      <c r="HL130" s="4"/>
      <c r="HM130" s="8"/>
      <c r="HN130" s="5" t="str">
        <f t="shared" si="453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438</v>
      </c>
      <c r="D131" s="30" t="s">
        <v>115</v>
      </c>
      <c r="E131" s="31" t="s">
        <v>177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439</v>
      </c>
      <c r="W131" s="4">
        <v>44944</v>
      </c>
      <c r="X131" s="4">
        <f t="shared" si="419"/>
        <v>46770</v>
      </c>
      <c r="Y131" s="8">
        <f t="shared" ca="1" si="420"/>
        <v>635</v>
      </c>
      <c r="Z131" s="5" t="str">
        <f t="shared" ca="1" si="421"/>
        <v>VIGENTE</v>
      </c>
      <c r="AA131" s="5"/>
      <c r="AB131" s="2"/>
      <c r="AC131" s="6"/>
      <c r="AD131" s="4"/>
      <c r="AE131" s="8"/>
      <c r="AF131" s="5" t="str">
        <f t="shared" si="251"/>
        <v>NO APLICA</v>
      </c>
      <c r="AG131" s="3"/>
      <c r="AH131" s="4">
        <v>45902</v>
      </c>
      <c r="AI131" s="4">
        <f t="shared" ref="AI131:AI137" si="457">DATE(YEAR(AH131)+2,MONTH(AH131),DAY(AH131))</f>
        <v>46632</v>
      </c>
      <c r="AJ131" s="8">
        <f t="shared" ca="1" si="252"/>
        <v>497</v>
      </c>
      <c r="AK131" s="5" t="str">
        <f t="shared" ca="1" si="417"/>
        <v>VIGENTE</v>
      </c>
      <c r="AL131" s="2"/>
      <c r="AM131" s="4">
        <v>45937</v>
      </c>
      <c r="AN131" s="4">
        <f t="shared" ref="AN131:AN137" si="458">DATE(YEAR(AM131)+2,MONTH(AM131),DAY(AM131))</f>
        <v>46667</v>
      </c>
      <c r="AO131" s="8">
        <f t="shared" ca="1" si="253"/>
        <v>532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59">DATE(YEAR(AR131)+2,MONTH(AR131),DAY(AR131))</f>
        <v>46634</v>
      </c>
      <c r="AT131" s="8">
        <f t="shared" ca="1" si="255"/>
        <v>499</v>
      </c>
      <c r="AU131" s="5" t="str">
        <f t="shared" ca="1" si="256"/>
        <v>VIGENTE</v>
      </c>
      <c r="AV131" s="2"/>
      <c r="AW131" s="4">
        <v>45927</v>
      </c>
      <c r="AX131" s="4">
        <f t="shared" si="454"/>
        <v>46657</v>
      </c>
      <c r="AY131" s="8">
        <f t="shared" ca="1" si="257"/>
        <v>522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538</v>
      </c>
      <c r="BE131" s="5" t="str">
        <f t="shared" ca="1" si="260"/>
        <v>VIGENTE</v>
      </c>
      <c r="BF131" s="3"/>
      <c r="BG131" s="4">
        <v>45968</v>
      </c>
      <c r="BH131" s="4">
        <f t="shared" si="455"/>
        <v>46698</v>
      </c>
      <c r="BI131" s="8">
        <f t="shared" ca="1" si="261"/>
        <v>563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571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576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545</v>
      </c>
      <c r="BY131" s="5" t="str">
        <f t="shared" ca="1" si="268"/>
        <v>VIGENTE</v>
      </c>
      <c r="BZ131" s="2"/>
      <c r="CA131" s="4">
        <v>45944</v>
      </c>
      <c r="CB131" s="4">
        <f t="shared" si="456"/>
        <v>46674</v>
      </c>
      <c r="CC131" s="8">
        <f t="shared" ca="1" si="269"/>
        <v>539</v>
      </c>
      <c r="CD131" s="5" t="str">
        <f t="shared" ca="1" si="270"/>
        <v>VIGENTE</v>
      </c>
      <c r="CE131" s="6" t="s">
        <v>68</v>
      </c>
      <c r="CF131" s="4">
        <v>45828</v>
      </c>
      <c r="CG131" s="4">
        <f t="shared" si="425"/>
        <v>47289</v>
      </c>
      <c r="CH131" s="8">
        <f t="shared" ca="1" si="426"/>
        <v>1154</v>
      </c>
      <c r="CI131" s="5" t="str">
        <f t="shared" ca="1" si="42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524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477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500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519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581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570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577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480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615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508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232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535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517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0">DATE(YEAR(EX131)+2,MONTH(EX131),DAY(EX131))</f>
        <v>46647</v>
      </c>
      <c r="EZ131" s="8">
        <f t="shared" ca="1" si="300"/>
        <v>512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1">DATE(YEAR(FC131)+2,MONTH(FC131),DAY(FC131))</f>
        <v>46661</v>
      </c>
      <c r="FE131" s="8">
        <f t="shared" ca="1" si="302"/>
        <v>526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2">DATE(YEAR(FH131)+2,MONTH(FH131),DAY(FH131))</f>
        <v>46662</v>
      </c>
      <c r="FJ131" s="8">
        <f t="shared" ca="1" si="304"/>
        <v>527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528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552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3">DATE(YEAR(FW131)+2,MONTH(FW131),DAY(FW131))</f>
        <v>46723</v>
      </c>
      <c r="FY131" s="8">
        <f t="shared" ca="1" si="310"/>
        <v>588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428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507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540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6"/>
        <v>911</v>
      </c>
      <c r="GT131" s="5" t="str">
        <f t="shared" ca="1" si="428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959</v>
      </c>
      <c r="GY131" s="5" t="str">
        <f t="shared" ca="1" si="435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960</v>
      </c>
      <c r="HD131" s="5" t="str">
        <f t="shared" ca="1" si="430"/>
        <v>VIGENTE</v>
      </c>
      <c r="HE131" s="6"/>
      <c r="HF131" s="6"/>
      <c r="HG131" s="4"/>
      <c r="HH131" s="8"/>
      <c r="HI131" s="5" t="str">
        <f t="shared" si="436"/>
        <v>NO APLICA</v>
      </c>
      <c r="HJ131" s="2"/>
      <c r="HK131" s="6"/>
      <c r="HL131" s="4"/>
      <c r="HM131" s="8"/>
      <c r="HN131" s="5" t="str">
        <f t="shared" si="453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440</v>
      </c>
      <c r="D132" s="30" t="s">
        <v>69</v>
      </c>
      <c r="E132" s="31" t="s">
        <v>75</v>
      </c>
      <c r="F132" s="6"/>
      <c r="G132" s="6"/>
      <c r="H132" s="6"/>
      <c r="I132" s="6"/>
      <c r="J132" s="5" t="str">
        <f t="shared" ref="J132:J189" si="46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441</v>
      </c>
      <c r="W132" s="4">
        <v>45107</v>
      </c>
      <c r="X132" s="4">
        <f t="shared" si="419"/>
        <v>46934</v>
      </c>
      <c r="Y132" s="8">
        <f t="shared" ca="1" si="420"/>
        <v>799</v>
      </c>
      <c r="Z132" s="5" t="str">
        <f t="shared" ca="1" si="421"/>
        <v>VIGENTE</v>
      </c>
      <c r="AA132" s="5"/>
      <c r="AB132" s="6" t="s">
        <v>442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6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57"/>
        <v>46632</v>
      </c>
      <c r="AJ132" s="8">
        <f t="shared" ref="AJ132:AJ191" ca="1" si="467">AI132-TODAY()</f>
        <v>497</v>
      </c>
      <c r="AK132" s="5" t="str">
        <f t="shared" ca="1" si="417"/>
        <v>VIGENTE</v>
      </c>
      <c r="AL132" s="6"/>
      <c r="AM132" s="4">
        <v>45937</v>
      </c>
      <c r="AN132" s="4">
        <f t="shared" si="458"/>
        <v>46667</v>
      </c>
      <c r="AO132" s="8">
        <f t="shared" ref="AO132:AO191" ca="1" si="468">AN132-TODAY()</f>
        <v>532</v>
      </c>
      <c r="AP132" s="5" t="str">
        <f t="shared" ref="AP132:AP195" ca="1" si="46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9"/>
        <v>46697</v>
      </c>
      <c r="AT132" s="8">
        <f t="shared" ref="AT132:AT191" ca="1" si="470">AS132-TODAY()</f>
        <v>562</v>
      </c>
      <c r="AU132" s="5" t="str">
        <f t="shared" ref="AU132:AU195" ca="1" si="47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4"/>
        <v>46495</v>
      </c>
      <c r="AY132" s="8">
        <f t="shared" ref="AY132:AY191" ca="1" si="472">AX132-TODAY()</f>
        <v>360</v>
      </c>
      <c r="AZ132" s="5" t="str">
        <f t="shared" ref="AZ132:AZ195" ca="1" si="47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4">BC132-TODAY()</f>
        <v>450</v>
      </c>
      <c r="BE132" s="5" t="str">
        <f t="shared" ref="BE132:BE195" ca="1" si="47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5"/>
        <v>46572</v>
      </c>
      <c r="BI132" s="8">
        <f t="shared" ref="BI132:BI191" ca="1" si="476">BH132-TODAY()</f>
        <v>437</v>
      </c>
      <c r="BJ132" s="5" t="str">
        <f t="shared" ref="BJ132:BJ195" ca="1" si="47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78">BM132-TODAY()</f>
        <v>571</v>
      </c>
      <c r="BO132" s="5" t="str">
        <f t="shared" ref="BO132:BO195" ca="1" si="47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0">BR132-TODAY()</f>
        <v>344</v>
      </c>
      <c r="BT132" s="5" t="str">
        <f t="shared" ref="BT132:BT195" ca="1" si="48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2">BW132-TODAY()</f>
        <v>545</v>
      </c>
      <c r="BY132" s="5" t="str">
        <f t="shared" ref="BY132:BY195" ca="1" si="48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56"/>
        <v>46674</v>
      </c>
      <c r="CC132" s="8">
        <f t="shared" ref="CC132:CC191" ca="1" si="484">CB132-TODAY()</f>
        <v>539</v>
      </c>
      <c r="CD132" s="5" t="str">
        <f t="shared" ref="CD132:CD195" ca="1" si="485">IF(CC132&gt;=91,"VIGENTE",IF(CC132&gt;=1,"POR VENCER",IF(CC132&lt;=-1,"VENCIDA",IF(CA132=0,"NO APLICA"))))</f>
        <v>VIGENTE</v>
      </c>
      <c r="CE132" s="6" t="s">
        <v>73</v>
      </c>
      <c r="CF132" s="4">
        <v>45301</v>
      </c>
      <c r="CG132" s="4">
        <f t="shared" si="425"/>
        <v>46762</v>
      </c>
      <c r="CH132" s="8">
        <f t="shared" ca="1" si="426"/>
        <v>627</v>
      </c>
      <c r="CI132" s="5" t="str">
        <f t="shared" ca="1" si="42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6">CL132-TODAY()</f>
        <v>395</v>
      </c>
      <c r="CN132" s="5" t="str">
        <f t="shared" ref="CN132:CN195" ca="1" si="48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88">CQ132-TODAY()</f>
        <v>364</v>
      </c>
      <c r="CS132" s="5" t="str">
        <f t="shared" ref="CS132:CS195" ca="1" si="48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0">CV132-TODAY()</f>
        <v>534</v>
      </c>
      <c r="CX132" s="5" t="str">
        <f t="shared" ref="CX132:CX195" ca="1" si="49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2">DA132-TODAY()</f>
        <v>438</v>
      </c>
      <c r="DC132" s="5" t="str">
        <f t="shared" ref="DC132:DC195" ca="1" si="49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4">DF132-TODAY()</f>
        <v>449</v>
      </c>
      <c r="DH132" s="5" t="str">
        <f t="shared" ref="DH132:DH195" ca="1" si="49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6">DK132-TODAY()</f>
        <v>374</v>
      </c>
      <c r="DM132" s="5" t="str">
        <f t="shared" ref="DM132:DM195" ca="1" si="49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98">DP132-TODAY()</f>
        <v>452</v>
      </c>
      <c r="DR132" s="5" t="str">
        <f t="shared" ref="DR132:DR195" ca="1" si="49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0">DU132-TODAY()</f>
        <v>447</v>
      </c>
      <c r="DW132" s="5" t="str">
        <f t="shared" ref="DW132:DW195" ca="1" si="50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2">DZ132-TODAY()</f>
        <v>510</v>
      </c>
      <c r="EB132" s="5" t="str">
        <f t="shared" ref="EB132:EB195" ca="1" si="50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4">EE132-TODAY()</f>
        <v>508</v>
      </c>
      <c r="EG132" s="5" t="str">
        <f t="shared" ref="EG132:EG195" ca="1" si="50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6">EJ132-TODAY()</f>
        <v>178</v>
      </c>
      <c r="EL132" s="5" t="str">
        <f t="shared" ref="EL132:EL195" ca="1" si="50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08">EO132-TODAY()</f>
        <v>535</v>
      </c>
      <c r="EQ132" s="5" t="str">
        <f t="shared" ref="EQ132:EQ195" ca="1" si="50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0">ET132-TODAY()</f>
        <v>419</v>
      </c>
      <c r="EV132" s="5" t="str">
        <f t="shared" ref="EV132:EV195" ca="1" si="51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0"/>
        <v>46694</v>
      </c>
      <c r="EZ132" s="8">
        <f t="shared" ref="EZ132:EZ191" ca="1" si="512">EY132-TODAY()</f>
        <v>559</v>
      </c>
      <c r="FA132" s="5" t="str">
        <f t="shared" ref="FA132:FA195" ca="1" si="51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1"/>
        <v>46513</v>
      </c>
      <c r="FE132" s="8">
        <f t="shared" ref="FE132:FE191" ca="1" si="514">FD132-TODAY()</f>
        <v>378</v>
      </c>
      <c r="FF132" s="5" t="str">
        <f t="shared" ref="FF132:FF195" ca="1" si="51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2"/>
        <v>46520</v>
      </c>
      <c r="FJ132" s="8">
        <f t="shared" ref="FJ132:FJ191" ca="1" si="516">FI132-TODAY()</f>
        <v>385</v>
      </c>
      <c r="FK132" s="5" t="str">
        <f t="shared" ref="FK132:FK195" ca="1" si="51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18">FN132-TODAY()</f>
        <v>379</v>
      </c>
      <c r="FP132" s="5" t="str">
        <f t="shared" ref="FP132:FP195" ca="1" si="51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0">FS132-TODAY()</f>
        <v>552</v>
      </c>
      <c r="FU132" s="5" t="str">
        <f t="shared" ref="FU132:FU195" ca="1" si="52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3"/>
        <v>46552</v>
      </c>
      <c r="FY132" s="8">
        <f t="shared" ref="FY132:FY191" ca="1" si="522">FX132-TODAY()</f>
        <v>417</v>
      </c>
      <c r="FZ132" s="5" t="str">
        <f t="shared" ref="FZ132:FZ195" ca="1" si="52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4">GC132-TODAY()</f>
        <v>520</v>
      </c>
      <c r="GE132" s="5" t="str">
        <f t="shared" ref="GE132:GE195" ca="1" si="52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6">GH132-TODAY()</f>
        <v>444</v>
      </c>
      <c r="GJ132" s="5" t="str">
        <f t="shared" ref="GJ132:GJ195" ca="1" si="52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28">GM132-TODAY()</f>
        <v>540</v>
      </c>
      <c r="GO132" s="5" t="str">
        <f t="shared" ref="GO132:GO195" ca="1" si="52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0">DATE(YEAR(GQ132)+5,MONTH(GQ132),DAY(GQ132))</f>
        <v>46991</v>
      </c>
      <c r="GS132" s="8">
        <f t="shared" ca="1" si="416"/>
        <v>856</v>
      </c>
      <c r="GT132" s="5" t="str">
        <f t="shared" ca="1" si="428"/>
        <v>VIGENTE</v>
      </c>
      <c r="GU132" s="4"/>
      <c r="GV132" s="4">
        <v>45200</v>
      </c>
      <c r="GW132" s="4">
        <f t="shared" ref="GW132:GW191" si="531">DATE(YEAR(GV132)+5,MONTH(GV132),DAY(GV132))</f>
        <v>47027</v>
      </c>
      <c r="GX132" s="8">
        <f t="shared" ref="GX132:GX191" ca="1" si="532">GW132-TODAY()</f>
        <v>892</v>
      </c>
      <c r="GY132" s="5" t="str">
        <f t="shared" ca="1" si="435"/>
        <v>VIGENTE</v>
      </c>
      <c r="GZ132" s="6"/>
      <c r="HA132" s="4">
        <v>45163</v>
      </c>
      <c r="HB132" s="4">
        <f t="shared" ref="HB132:HB191" si="533">DATE(YEAR(HA132)+5,MONTH(HA132),DAY(HA132))</f>
        <v>46990</v>
      </c>
      <c r="HC132" s="8">
        <f t="shared" ref="HC132:HC191" ca="1" si="534">HB132-TODAY()</f>
        <v>855</v>
      </c>
      <c r="HD132" s="5" t="str">
        <f t="shared" ca="1" si="43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36"/>
        <v>VIGENTE</v>
      </c>
      <c r="HJ132" s="6"/>
      <c r="HK132" s="6"/>
      <c r="HL132" s="4"/>
      <c r="HM132" s="8"/>
      <c r="HN132" s="5" t="str">
        <f t="shared" si="453"/>
        <v>NO APLICA</v>
      </c>
      <c r="HO132" s="2"/>
      <c r="HP132" s="2"/>
      <c r="HQ132" s="4"/>
      <c r="HR132" s="2"/>
      <c r="HS132" s="5" t="str">
        <f t="shared" ref="HS132:HS195" si="53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3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3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4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2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3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4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5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6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47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48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49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0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1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2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3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4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5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6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57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58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59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0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1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2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3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4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5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6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67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68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69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0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443</v>
      </c>
      <c r="D133" s="30" t="s">
        <v>64</v>
      </c>
      <c r="E133" s="31" t="s">
        <v>83</v>
      </c>
      <c r="F133" s="6"/>
      <c r="G133" s="6"/>
      <c r="H133" s="6"/>
      <c r="I133" s="6"/>
      <c r="J133" s="5" t="str">
        <f t="shared" si="464"/>
        <v>NO APLICA</v>
      </c>
      <c r="K133" s="6"/>
      <c r="L133" s="6"/>
      <c r="M133" s="6"/>
      <c r="N133" s="6"/>
      <c r="O133" s="5" t="str">
        <f t="shared" si="46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71">IF(S133&gt;=61,"VIGENTE",IF(S133&gt;=1,"POR VENCER",IF(S133&lt;=-1,"VENCIDA",IF(S133=0,"NO APLICA"))))</f>
        <v>VIGENTE</v>
      </c>
      <c r="U133" s="5"/>
      <c r="V133" s="6" t="s">
        <v>444</v>
      </c>
      <c r="W133" s="4">
        <v>45309</v>
      </c>
      <c r="X133" s="4">
        <f t="shared" si="419"/>
        <v>47136</v>
      </c>
      <c r="Y133" s="8">
        <f t="shared" ca="1" si="420"/>
        <v>1001</v>
      </c>
      <c r="Z133" s="5" t="str">
        <f t="shared" ca="1" si="421"/>
        <v>VIGENTE</v>
      </c>
      <c r="AA133" s="5"/>
      <c r="AB133" s="6"/>
      <c r="AC133" s="6"/>
      <c r="AD133" s="4"/>
      <c r="AE133" s="8"/>
      <c r="AF133" s="5" t="str">
        <f t="shared" si="466"/>
        <v>NO APLICA</v>
      </c>
      <c r="AG133" s="6"/>
      <c r="AH133" s="4">
        <v>45936</v>
      </c>
      <c r="AI133" s="4">
        <f t="shared" si="457"/>
        <v>46666</v>
      </c>
      <c r="AJ133" s="8">
        <f t="shared" ca="1" si="467"/>
        <v>531</v>
      </c>
      <c r="AK133" s="5" t="str">
        <f t="shared" ca="1" si="417"/>
        <v>VIGENTE</v>
      </c>
      <c r="AL133" s="4"/>
      <c r="AM133" s="4">
        <v>45959</v>
      </c>
      <c r="AN133" s="4">
        <f t="shared" si="458"/>
        <v>46689</v>
      </c>
      <c r="AO133" s="8">
        <f t="shared" ca="1" si="468"/>
        <v>554</v>
      </c>
      <c r="AP133" s="5" t="str">
        <f t="shared" ca="1" si="469"/>
        <v>VIGENTE</v>
      </c>
      <c r="AQ133" s="4"/>
      <c r="AR133" s="4">
        <v>45989</v>
      </c>
      <c r="AS133" s="4">
        <f t="shared" si="459"/>
        <v>46719</v>
      </c>
      <c r="AT133" s="8">
        <f t="shared" ca="1" si="470"/>
        <v>584</v>
      </c>
      <c r="AU133" s="5" t="str">
        <f t="shared" ca="1" si="471"/>
        <v>VIGENTE</v>
      </c>
      <c r="AV133" s="4"/>
      <c r="AW133" s="4">
        <v>45972</v>
      </c>
      <c r="AX133" s="4">
        <f t="shared" si="454"/>
        <v>46702</v>
      </c>
      <c r="AY133" s="8">
        <f t="shared" ca="1" si="472"/>
        <v>567</v>
      </c>
      <c r="AZ133" s="5" t="str">
        <f t="shared" ca="1" si="47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4"/>
        <v>636</v>
      </c>
      <c r="BE133" s="5" t="str">
        <f t="shared" ca="1" si="475"/>
        <v>VIGENTE</v>
      </c>
      <c r="BF133" s="6"/>
      <c r="BG133" s="4">
        <v>45997</v>
      </c>
      <c r="BH133" s="4">
        <f t="shared" si="455"/>
        <v>46727</v>
      </c>
      <c r="BI133" s="8">
        <f t="shared" ca="1" si="476"/>
        <v>592</v>
      </c>
      <c r="BJ133" s="5" t="str">
        <f t="shared" ca="1" si="47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78"/>
        <v>612</v>
      </c>
      <c r="BO133" s="5" t="str">
        <f t="shared" ca="1" si="47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0"/>
        <v>645</v>
      </c>
      <c r="BT133" s="5" t="str">
        <f t="shared" ca="1" si="48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2"/>
        <v>626</v>
      </c>
      <c r="BY133" s="5" t="str">
        <f t="shared" ca="1" si="483"/>
        <v>VIGENTE</v>
      </c>
      <c r="BZ133" s="6"/>
      <c r="CA133" s="4">
        <v>45986</v>
      </c>
      <c r="CB133" s="4">
        <f t="shared" si="456"/>
        <v>46716</v>
      </c>
      <c r="CC133" s="8">
        <f t="shared" ca="1" si="484"/>
        <v>581</v>
      </c>
      <c r="CD133" s="5" t="str">
        <f t="shared" ca="1" si="485"/>
        <v>VIGENTE</v>
      </c>
      <c r="CE133" s="6" t="s">
        <v>68</v>
      </c>
      <c r="CF133" s="4">
        <v>45723</v>
      </c>
      <c r="CG133" s="4">
        <f t="shared" si="425"/>
        <v>47184</v>
      </c>
      <c r="CH133" s="8">
        <f t="shared" ca="1" si="426"/>
        <v>1049</v>
      </c>
      <c r="CI133" s="5" t="str">
        <f t="shared" ca="1" si="42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6"/>
        <v>613</v>
      </c>
      <c r="CN133" s="5" t="str">
        <f t="shared" ca="1" si="48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88"/>
        <v>574</v>
      </c>
      <c r="CS133" s="5" t="str">
        <f t="shared" ca="1" si="48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0"/>
        <v>638</v>
      </c>
      <c r="CX133" s="5" t="str">
        <f t="shared" ca="1" si="49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2"/>
        <v>595</v>
      </c>
      <c r="DC133" s="5" t="str">
        <f t="shared" ca="1" si="49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4"/>
        <v>591</v>
      </c>
      <c r="DH133" s="5" t="str">
        <f t="shared" ca="1" si="49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6"/>
        <v>570</v>
      </c>
      <c r="DM133" s="5" t="str">
        <f t="shared" ca="1" si="49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98"/>
        <v>602</v>
      </c>
      <c r="DR133" s="5" t="str">
        <f t="shared" ca="1" si="49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0"/>
        <v>604</v>
      </c>
      <c r="DW133" s="5" t="str">
        <f t="shared" ca="1" si="50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2"/>
        <v>627</v>
      </c>
      <c r="EB133" s="5" t="str">
        <f t="shared" ca="1" si="50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4"/>
        <v>589</v>
      </c>
      <c r="EG133" s="5" t="str">
        <f t="shared" ca="1" si="505"/>
        <v>VIGENTE</v>
      </c>
      <c r="EH133" s="3"/>
      <c r="EI133" s="3">
        <v>46015</v>
      </c>
      <c r="EJ133" s="4">
        <f t="shared" ref="EJ133:EJ191" si="572">DATE(YEAR(EI133)+1,MONTH(EI133),DAY(EI133))</f>
        <v>46380</v>
      </c>
      <c r="EK133" s="8">
        <f t="shared" ca="1" si="506"/>
        <v>245</v>
      </c>
      <c r="EL133" s="5" t="str">
        <f t="shared" ca="1" si="50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08"/>
        <v>578</v>
      </c>
      <c r="EQ133" s="5" t="str">
        <f t="shared" ca="1" si="50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0"/>
        <v>594</v>
      </c>
      <c r="EV133" s="5" t="str">
        <f t="shared" ca="1" si="511"/>
        <v>VIGENTE</v>
      </c>
      <c r="EW133" s="4"/>
      <c r="EX133" s="4">
        <v>45964</v>
      </c>
      <c r="EY133" s="4">
        <f t="shared" si="460"/>
        <v>46694</v>
      </c>
      <c r="EZ133" s="8">
        <f t="shared" ca="1" si="512"/>
        <v>559</v>
      </c>
      <c r="FA133" s="5" t="str">
        <f t="shared" ca="1" si="513"/>
        <v>VIGENTE</v>
      </c>
      <c r="FB133" s="6"/>
      <c r="FC133" s="4">
        <v>45988</v>
      </c>
      <c r="FD133" s="4">
        <f t="shared" si="461"/>
        <v>46718</v>
      </c>
      <c r="FE133" s="8">
        <f t="shared" ca="1" si="514"/>
        <v>583</v>
      </c>
      <c r="FF133" s="5" t="str">
        <f t="shared" ca="1" si="515"/>
        <v>VIGENTE</v>
      </c>
      <c r="FG133" s="4"/>
      <c r="FH133" s="4">
        <v>45962</v>
      </c>
      <c r="FI133" s="4">
        <f t="shared" si="462"/>
        <v>46692</v>
      </c>
      <c r="FJ133" s="8">
        <f t="shared" ca="1" si="516"/>
        <v>557</v>
      </c>
      <c r="FK133" s="5" t="str">
        <f t="shared" ca="1" si="51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18"/>
        <v>634</v>
      </c>
      <c r="FP133" s="5" t="str">
        <f t="shared" ca="1" si="51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0"/>
        <v>629</v>
      </c>
      <c r="FU133" s="5" t="str">
        <f t="shared" ca="1" si="521"/>
        <v>VIGENTE</v>
      </c>
      <c r="FV133" s="4"/>
      <c r="FW133" s="4">
        <v>46004</v>
      </c>
      <c r="FX133" s="4">
        <f t="shared" si="463"/>
        <v>46734</v>
      </c>
      <c r="FY133" s="8">
        <f t="shared" ca="1" si="522"/>
        <v>599</v>
      </c>
      <c r="FZ133" s="5" t="str">
        <f t="shared" ca="1" si="52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4"/>
        <v>520</v>
      </c>
      <c r="GE133" s="5" t="str">
        <f t="shared" ca="1" si="52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6"/>
        <v>555</v>
      </c>
      <c r="GJ133" s="5" t="str">
        <f t="shared" ca="1" si="52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28"/>
        <v>93</v>
      </c>
      <c r="GO133" s="5" t="str">
        <f t="shared" ca="1" si="529"/>
        <v>VIGENTE</v>
      </c>
      <c r="GP133" s="4"/>
      <c r="GQ133" s="4">
        <v>45299</v>
      </c>
      <c r="GR133" s="4">
        <f t="shared" si="530"/>
        <v>47126</v>
      </c>
      <c r="GS133" s="8">
        <f t="shared" ca="1" si="416"/>
        <v>991</v>
      </c>
      <c r="GT133" s="5" t="str">
        <f t="shared" ca="1" si="428"/>
        <v>VIGENTE</v>
      </c>
      <c r="GU133" s="4"/>
      <c r="GV133" s="4">
        <v>45329</v>
      </c>
      <c r="GW133" s="4">
        <f t="shared" si="531"/>
        <v>47156</v>
      </c>
      <c r="GX133" s="8">
        <f t="shared" ca="1" si="532"/>
        <v>1021</v>
      </c>
      <c r="GY133" s="5" t="str">
        <f t="shared" ca="1" si="435"/>
        <v>VIGENTE</v>
      </c>
      <c r="GZ133" s="6"/>
      <c r="HA133" s="4">
        <v>45343</v>
      </c>
      <c r="HB133" s="4">
        <f t="shared" si="533"/>
        <v>47170</v>
      </c>
      <c r="HC133" s="8">
        <f t="shared" ca="1" si="534"/>
        <v>1035</v>
      </c>
      <c r="HD133" s="5" t="str">
        <f t="shared" ca="1" si="43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36"/>
        <v>VIGENTE</v>
      </c>
      <c r="HJ133" s="6"/>
      <c r="HK133" s="6"/>
      <c r="HL133" s="4"/>
      <c r="HM133" s="8"/>
      <c r="HN133" s="5" t="str">
        <f t="shared" si="453"/>
        <v>NO APLICA</v>
      </c>
      <c r="HO133" s="2"/>
      <c r="HP133" s="2"/>
      <c r="HQ133" s="4"/>
      <c r="HR133" s="2"/>
      <c r="HS133" s="5" t="str">
        <f t="shared" si="535"/>
        <v>NO APLICA</v>
      </c>
      <c r="HT133" s="6"/>
      <c r="HU133" s="6"/>
      <c r="HV133" s="4"/>
      <c r="HW133" s="8"/>
      <c r="HX133" s="5" t="str">
        <f t="shared" si="536"/>
        <v>NO APLICA</v>
      </c>
      <c r="HY133" s="6"/>
      <c r="HZ133" s="6"/>
      <c r="IA133" s="4"/>
      <c r="IB133" s="8"/>
      <c r="IC133" s="5" t="str">
        <f t="shared" si="537"/>
        <v>NO APLICA</v>
      </c>
      <c r="ID133" s="6"/>
      <c r="IE133" s="6"/>
      <c r="IF133" s="4"/>
      <c r="IG133" s="8"/>
      <c r="IH133" s="5" t="str">
        <f t="shared" si="538"/>
        <v>NO APLICA</v>
      </c>
      <c r="II133" s="6"/>
      <c r="IJ133" s="6"/>
      <c r="IK133" s="4"/>
      <c r="IL133" s="6"/>
      <c r="IM133" s="5" t="str">
        <f t="shared" si="539"/>
        <v>NO APLICA</v>
      </c>
      <c r="IN133" s="6"/>
      <c r="IO133" s="6"/>
      <c r="IP133" s="4"/>
      <c r="IQ133" s="8"/>
      <c r="IR133" s="5" t="str">
        <f t="shared" si="540"/>
        <v>NO APLICA</v>
      </c>
      <c r="IS133" s="6"/>
      <c r="IT133" s="6"/>
      <c r="IU133" s="4"/>
      <c r="IV133" s="8"/>
      <c r="IW133" s="5" t="str">
        <f t="shared" si="541"/>
        <v>NO APLICA</v>
      </c>
      <c r="IX133" s="6"/>
      <c r="IY133" s="6"/>
      <c r="IZ133" s="4"/>
      <c r="JA133" s="8"/>
      <c r="JB133" s="5" t="str">
        <f t="shared" si="542"/>
        <v>NO APLICA</v>
      </c>
      <c r="JC133" s="3"/>
      <c r="JD133" s="3"/>
      <c r="JE133" s="4"/>
      <c r="JF133" s="8"/>
      <c r="JG133" s="5" t="str">
        <f t="shared" si="543"/>
        <v>NO APLICA</v>
      </c>
      <c r="JH133" s="6"/>
      <c r="JI133" s="6"/>
      <c r="JJ133" s="6"/>
      <c r="JK133" s="6"/>
      <c r="JL133" s="5" t="str">
        <f t="shared" si="544"/>
        <v>NO APLICA</v>
      </c>
      <c r="JM133" s="6"/>
      <c r="JN133" s="6"/>
      <c r="JO133" s="6"/>
      <c r="JP133" s="6"/>
      <c r="JQ133" s="5" t="str">
        <f t="shared" si="545"/>
        <v>NO APLICA</v>
      </c>
      <c r="JR133" s="6"/>
      <c r="JS133" s="6"/>
      <c r="JT133" s="6"/>
      <c r="JU133" s="6"/>
      <c r="JV133" s="5" t="str">
        <f t="shared" si="546"/>
        <v>NO APLICA</v>
      </c>
      <c r="JW133" s="5"/>
      <c r="JX133" s="5"/>
      <c r="JY133" s="5"/>
      <c r="JZ133" s="5"/>
      <c r="KA133" s="5" t="str">
        <f t="shared" si="547"/>
        <v>NO APLICA</v>
      </c>
      <c r="KB133" s="5"/>
      <c r="KC133" s="2"/>
      <c r="KD133" s="4"/>
      <c r="KE133" s="8"/>
      <c r="KF133" s="5" t="str">
        <f t="shared" si="548"/>
        <v>NO APLICA</v>
      </c>
      <c r="KG133" s="5"/>
      <c r="KH133" s="2"/>
      <c r="KI133" s="4"/>
      <c r="KJ133" s="8"/>
      <c r="KK133" s="5" t="str">
        <f t="shared" ref="KK133:KK196" si="573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49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74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5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0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6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77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78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1"/>
        <v>NO APLICA</v>
      </c>
      <c r="MJ133" s="6"/>
      <c r="MK133" s="6"/>
      <c r="ML133" s="4"/>
      <c r="MM133" s="6"/>
      <c r="MN133" s="5" t="str">
        <f t="shared" si="552"/>
        <v>NO APLICA</v>
      </c>
      <c r="MO133" s="5"/>
      <c r="MP133" s="6"/>
      <c r="MQ133" s="4"/>
      <c r="MR133" s="6"/>
      <c r="MS133" s="5" t="str">
        <f t="shared" si="553"/>
        <v>NO APLICA</v>
      </c>
      <c r="MT133" s="5"/>
      <c r="MU133" s="6"/>
      <c r="MV133" s="6"/>
      <c r="MW133" s="6"/>
      <c r="MX133" s="5" t="str">
        <f t="shared" si="554"/>
        <v>NO APLICA</v>
      </c>
      <c r="MY133" s="6"/>
      <c r="MZ133" s="6"/>
      <c r="NA133" s="4"/>
      <c r="NB133" s="6"/>
      <c r="NC133" s="5" t="str">
        <f t="shared" si="555"/>
        <v>NO APLICA</v>
      </c>
      <c r="ND133" s="6"/>
      <c r="NE133" s="6"/>
      <c r="NF133" s="4"/>
      <c r="NG133" s="6"/>
      <c r="NH133" s="5" t="str">
        <f t="shared" si="556"/>
        <v>NO APLICA</v>
      </c>
      <c r="NI133" s="6"/>
      <c r="NJ133" s="6"/>
      <c r="NK133" s="4"/>
      <c r="NL133" s="6"/>
      <c r="NM133" s="5" t="str">
        <f t="shared" si="557"/>
        <v>NO APLICA</v>
      </c>
      <c r="NN133" s="6"/>
      <c r="NO133" s="6"/>
      <c r="NP133" s="4"/>
      <c r="NQ133" s="6"/>
      <c r="NR133" s="5" t="str">
        <f t="shared" si="558"/>
        <v>NO APLICA</v>
      </c>
      <c r="NS133" s="6"/>
      <c r="NT133" s="6"/>
      <c r="NU133" s="4"/>
      <c r="NV133" s="6"/>
      <c r="NW133" s="5" t="str">
        <f t="shared" si="559"/>
        <v>NO APLICA</v>
      </c>
      <c r="NX133" s="6"/>
      <c r="NY133" s="6"/>
      <c r="NZ133" s="4"/>
      <c r="OA133" s="8"/>
      <c r="OB133" s="5" t="str">
        <f t="shared" si="560"/>
        <v>NO APLICA</v>
      </c>
      <c r="OC133" s="6"/>
      <c r="OD133" s="6"/>
      <c r="OE133" s="6"/>
      <c r="OF133" s="6"/>
      <c r="OG133" s="5" t="str">
        <f t="shared" si="561"/>
        <v>NO APLICA</v>
      </c>
      <c r="OH133" s="6"/>
      <c r="OI133" s="6"/>
      <c r="OJ133" s="6"/>
      <c r="OK133" s="6"/>
      <c r="OL133" s="5" t="str">
        <f t="shared" si="562"/>
        <v>NO APLICA</v>
      </c>
      <c r="OM133" s="6"/>
      <c r="ON133" s="6"/>
      <c r="OO133" s="6"/>
      <c r="OP133" s="6"/>
      <c r="OQ133" s="5" t="str">
        <f t="shared" si="563"/>
        <v>NO APLICA</v>
      </c>
      <c r="OR133" s="6"/>
      <c r="OS133" s="6"/>
      <c r="OT133" s="6"/>
      <c r="OU133" s="6"/>
      <c r="OV133" s="5" t="str">
        <f t="shared" si="564"/>
        <v>NO APLICA</v>
      </c>
      <c r="OW133" s="6"/>
      <c r="OX133" s="6"/>
      <c r="OY133" s="6"/>
      <c r="OZ133" s="6"/>
      <c r="PA133" s="5" t="str">
        <f t="shared" si="565"/>
        <v>NO APLICA</v>
      </c>
      <c r="PB133" s="6"/>
      <c r="PC133" s="6"/>
      <c r="PD133" s="6"/>
      <c r="PE133" s="6"/>
      <c r="PF133" s="5" t="str">
        <f t="shared" si="566"/>
        <v>NO APLICA</v>
      </c>
      <c r="PG133" s="6"/>
      <c r="PH133" s="6"/>
      <c r="PI133" s="6"/>
      <c r="PJ133" s="6"/>
      <c r="PK133" s="5" t="str">
        <f t="shared" si="567"/>
        <v>NO APLICA</v>
      </c>
      <c r="PL133" s="5"/>
      <c r="PM133" s="6"/>
      <c r="PN133" s="6"/>
      <c r="PO133" s="6"/>
      <c r="PP133" s="5" t="str">
        <f t="shared" si="568"/>
        <v>NO APLICA</v>
      </c>
      <c r="PQ133" s="6"/>
      <c r="PR133" s="6"/>
      <c r="PS133" s="6"/>
      <c r="PT133" s="6"/>
      <c r="PU133" s="5" t="str">
        <f t="shared" si="569"/>
        <v>NO APLICA</v>
      </c>
      <c r="PV133" s="5"/>
      <c r="PW133" s="6"/>
      <c r="PX133" s="6"/>
      <c r="PY133" s="6"/>
      <c r="PZ133" s="5" t="str">
        <f t="shared" si="570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445</v>
      </c>
      <c r="D134" s="30" t="s">
        <v>69</v>
      </c>
      <c r="E134" s="31" t="s">
        <v>79</v>
      </c>
      <c r="F134" s="5"/>
      <c r="G134" s="6"/>
      <c r="H134" s="4"/>
      <c r="I134" s="8"/>
      <c r="J134" s="5" t="str">
        <f t="shared" si="464"/>
        <v>NO APLICA</v>
      </c>
      <c r="K134" s="5"/>
      <c r="L134" s="6"/>
      <c r="M134" s="6"/>
      <c r="N134" s="8"/>
      <c r="O134" s="5" t="str">
        <f t="shared" si="465"/>
        <v>NO APLICA</v>
      </c>
      <c r="P134" s="6"/>
      <c r="Q134" s="6"/>
      <c r="R134" s="4"/>
      <c r="S134" s="8"/>
      <c r="T134" s="5" t="str">
        <f t="shared" si="571"/>
        <v>NO APLICA</v>
      </c>
      <c r="U134" s="5"/>
      <c r="V134" s="2" t="s">
        <v>446</v>
      </c>
      <c r="W134" s="4">
        <v>44786</v>
      </c>
      <c r="X134" s="4">
        <f t="shared" si="419"/>
        <v>46612</v>
      </c>
      <c r="Y134" s="8">
        <f t="shared" ca="1" si="420"/>
        <v>477</v>
      </c>
      <c r="Z134" s="5" t="str">
        <f t="shared" ca="1" si="421"/>
        <v>VIGENTE</v>
      </c>
      <c r="AA134" s="5"/>
      <c r="AB134" s="2" t="s">
        <v>447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66"/>
        <v>VIGENTE</v>
      </c>
      <c r="AG134" s="3"/>
      <c r="AH134" s="4">
        <v>46006</v>
      </c>
      <c r="AI134" s="4">
        <f t="shared" si="457"/>
        <v>46736</v>
      </c>
      <c r="AJ134" s="8">
        <f t="shared" ca="1" si="467"/>
        <v>601</v>
      </c>
      <c r="AK134" s="5" t="str">
        <f t="shared" ca="1" si="417"/>
        <v>VIGENTE</v>
      </c>
      <c r="AL134" s="3"/>
      <c r="AM134" s="4">
        <v>45926</v>
      </c>
      <c r="AN134" s="4">
        <f t="shared" si="458"/>
        <v>46656</v>
      </c>
      <c r="AO134" s="8">
        <f t="shared" ca="1" si="468"/>
        <v>521</v>
      </c>
      <c r="AP134" s="5" t="str">
        <f t="shared" ca="1" si="469"/>
        <v>VIGENTE</v>
      </c>
      <c r="AQ134" s="3"/>
      <c r="AR134" s="4">
        <v>45971</v>
      </c>
      <c r="AS134" s="4">
        <f t="shared" si="459"/>
        <v>46701</v>
      </c>
      <c r="AT134" s="8">
        <f t="shared" ca="1" si="470"/>
        <v>566</v>
      </c>
      <c r="AU134" s="5" t="str">
        <f t="shared" ca="1" si="471"/>
        <v>VIGENTE</v>
      </c>
      <c r="AV134" s="3"/>
      <c r="AW134" s="4">
        <v>45972</v>
      </c>
      <c r="AX134" s="4">
        <f t="shared" si="454"/>
        <v>46702</v>
      </c>
      <c r="AY134" s="8">
        <f t="shared" ca="1" si="472"/>
        <v>567</v>
      </c>
      <c r="AZ134" s="5" t="str">
        <f t="shared" ca="1" si="47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4"/>
        <v>636</v>
      </c>
      <c r="BE134" s="5" t="str">
        <f t="shared" ca="1" si="475"/>
        <v>VIGENTE</v>
      </c>
      <c r="BF134" s="3"/>
      <c r="BG134" s="4">
        <v>46027</v>
      </c>
      <c r="BH134" s="4">
        <f t="shared" si="455"/>
        <v>46757</v>
      </c>
      <c r="BI134" s="8">
        <f t="shared" ca="1" si="476"/>
        <v>622</v>
      </c>
      <c r="BJ134" s="5" t="str">
        <f t="shared" ca="1" si="47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78"/>
        <v>630</v>
      </c>
      <c r="BO134" s="5" t="str">
        <f t="shared" ca="1" si="47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0"/>
        <v>664</v>
      </c>
      <c r="BT134" s="5" t="str">
        <f t="shared" ca="1" si="48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2"/>
        <v>43</v>
      </c>
      <c r="BY134" s="5" t="str">
        <f t="shared" ca="1" si="483"/>
        <v>POR VENCER</v>
      </c>
      <c r="BZ134" s="3"/>
      <c r="CA134" s="4">
        <v>45944</v>
      </c>
      <c r="CB134" s="4">
        <f t="shared" si="456"/>
        <v>46674</v>
      </c>
      <c r="CC134" s="8">
        <f t="shared" ca="1" si="484"/>
        <v>539</v>
      </c>
      <c r="CD134" s="5" t="str">
        <f t="shared" ca="1" si="485"/>
        <v>VIGENTE</v>
      </c>
      <c r="CE134" s="6" t="s">
        <v>73</v>
      </c>
      <c r="CF134" s="4">
        <v>45211</v>
      </c>
      <c r="CG134" s="4">
        <f t="shared" si="425"/>
        <v>46672</v>
      </c>
      <c r="CH134" s="8">
        <f t="shared" ca="1" si="426"/>
        <v>537</v>
      </c>
      <c r="CI134" s="5" t="str">
        <f t="shared" ca="1" si="42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6"/>
        <v>317</v>
      </c>
      <c r="CN134" s="5" t="str">
        <f t="shared" ca="1" si="48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88"/>
        <v>278</v>
      </c>
      <c r="CS134" s="5" t="str">
        <f t="shared" ca="1" si="48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0"/>
        <v>225</v>
      </c>
      <c r="CX134" s="5" t="str">
        <f t="shared" ca="1" si="49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2"/>
        <v>259</v>
      </c>
      <c r="DC134" s="5" t="str">
        <f t="shared" ca="1" si="49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4"/>
        <v>283</v>
      </c>
      <c r="DH134" s="5" t="str">
        <f t="shared" ca="1" si="49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6"/>
        <v>328</v>
      </c>
      <c r="DM134" s="5" t="str">
        <f t="shared" ca="1" si="49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98"/>
        <v>577</v>
      </c>
      <c r="DR134" s="5" t="str">
        <f t="shared" ca="1" si="49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0"/>
        <v>648</v>
      </c>
      <c r="DW134" s="5" t="str">
        <f t="shared" ca="1" si="50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2"/>
        <v>276</v>
      </c>
      <c r="EB134" s="5" t="str">
        <f t="shared" ca="1" si="50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4"/>
        <v>363</v>
      </c>
      <c r="EG134" s="5" t="str">
        <f t="shared" ca="1" si="505"/>
        <v>VIGENTE</v>
      </c>
      <c r="EH134" s="3"/>
      <c r="EI134" s="3">
        <v>46085</v>
      </c>
      <c r="EJ134" s="4">
        <f t="shared" si="572"/>
        <v>46450</v>
      </c>
      <c r="EK134" s="8">
        <f t="shared" ca="1" si="506"/>
        <v>315</v>
      </c>
      <c r="EL134" s="5" t="str">
        <f t="shared" ca="1" si="50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08"/>
        <v>331</v>
      </c>
      <c r="EQ134" s="5" t="str">
        <f t="shared" ca="1" si="50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0"/>
        <v>594</v>
      </c>
      <c r="EV134" s="5" t="str">
        <f t="shared" ca="1" si="511"/>
        <v>VIGENTE</v>
      </c>
      <c r="EW134" s="3"/>
      <c r="EX134" s="4">
        <v>45953</v>
      </c>
      <c r="EY134" s="4">
        <f t="shared" si="460"/>
        <v>46683</v>
      </c>
      <c r="EZ134" s="8">
        <f t="shared" ca="1" si="512"/>
        <v>548</v>
      </c>
      <c r="FA134" s="5" t="str">
        <f t="shared" ca="1" si="513"/>
        <v>VIGENTE</v>
      </c>
      <c r="FB134" s="3"/>
      <c r="FC134" s="4">
        <v>45988</v>
      </c>
      <c r="FD134" s="4">
        <f t="shared" si="461"/>
        <v>46718</v>
      </c>
      <c r="FE134" s="8">
        <f t="shared" ca="1" si="514"/>
        <v>583</v>
      </c>
      <c r="FF134" s="5" t="str">
        <f t="shared" ca="1" si="515"/>
        <v>VIGENTE</v>
      </c>
      <c r="FG134" s="3"/>
      <c r="FH134" s="4">
        <v>45992</v>
      </c>
      <c r="FI134" s="4">
        <f t="shared" si="462"/>
        <v>46722</v>
      </c>
      <c r="FJ134" s="8">
        <f t="shared" ca="1" si="516"/>
        <v>587</v>
      </c>
      <c r="FK134" s="5" t="str">
        <f t="shared" ca="1" si="51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18"/>
        <v>332</v>
      </c>
      <c r="FP134" s="5" t="str">
        <f t="shared" ca="1" si="51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0"/>
        <v>272</v>
      </c>
      <c r="FU134" s="5" t="str">
        <f t="shared" ca="1" si="521"/>
        <v>VIGENTE</v>
      </c>
      <c r="FV134" s="3"/>
      <c r="FW134" s="4">
        <v>46014</v>
      </c>
      <c r="FX134" s="4">
        <f t="shared" si="463"/>
        <v>46744</v>
      </c>
      <c r="FY134" s="8">
        <f t="shared" ca="1" si="522"/>
        <v>609</v>
      </c>
      <c r="FZ134" s="5" t="str">
        <f t="shared" ca="1" si="52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4"/>
        <v>625</v>
      </c>
      <c r="GE134" s="5" t="str">
        <f t="shared" ca="1" si="52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6"/>
        <v>306</v>
      </c>
      <c r="GJ134" s="5" t="str">
        <f t="shared" ca="1" si="52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28"/>
        <v>518</v>
      </c>
      <c r="GO134" s="5" t="str">
        <f t="shared" ca="1" si="529"/>
        <v>VIGENTE</v>
      </c>
      <c r="GP134" s="4"/>
      <c r="GQ134" s="4">
        <v>45283</v>
      </c>
      <c r="GR134" s="4">
        <f t="shared" si="530"/>
        <v>47110</v>
      </c>
      <c r="GS134" s="8">
        <f t="shared" ca="1" si="416"/>
        <v>975</v>
      </c>
      <c r="GT134" s="5" t="str">
        <f t="shared" ca="1" si="428"/>
        <v>VIGENTE</v>
      </c>
      <c r="GU134" s="3"/>
      <c r="GV134" s="4">
        <v>45245</v>
      </c>
      <c r="GW134" s="4">
        <f t="shared" si="531"/>
        <v>47072</v>
      </c>
      <c r="GX134" s="8">
        <f t="shared" ca="1" si="532"/>
        <v>937</v>
      </c>
      <c r="GY134" s="5" t="str">
        <f t="shared" ca="1" si="435"/>
        <v>VIGENTE</v>
      </c>
      <c r="GZ134" s="3"/>
      <c r="HA134" s="4">
        <v>45182</v>
      </c>
      <c r="HB134" s="4">
        <f t="shared" si="533"/>
        <v>47009</v>
      </c>
      <c r="HC134" s="8">
        <f t="shared" ca="1" si="534"/>
        <v>874</v>
      </c>
      <c r="HD134" s="5" t="str">
        <f t="shared" ca="1" si="43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3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5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3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3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3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3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3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4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4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42"/>
        <v>VIGENTE</v>
      </c>
      <c r="JC134" s="3"/>
      <c r="JD134" s="3"/>
      <c r="JE134" s="4"/>
      <c r="JF134" s="8"/>
      <c r="JG134" s="5" t="str">
        <f t="shared" si="543"/>
        <v>NO APLICA</v>
      </c>
      <c r="JH134" s="6"/>
      <c r="JI134" s="6"/>
      <c r="JJ134" s="6"/>
      <c r="JK134" s="6"/>
      <c r="JL134" s="5" t="str">
        <f t="shared" si="544"/>
        <v>NO APLICA</v>
      </c>
      <c r="JM134" s="6"/>
      <c r="JN134" s="6"/>
      <c r="JO134" s="6"/>
      <c r="JP134" s="6"/>
      <c r="JQ134" s="5" t="str">
        <f t="shared" si="545"/>
        <v>NO APLICA</v>
      </c>
      <c r="JR134" s="6"/>
      <c r="JS134" s="6"/>
      <c r="JT134" s="6"/>
      <c r="JU134" s="6"/>
      <c r="JV134" s="5" t="str">
        <f t="shared" si="546"/>
        <v>NO APLICA</v>
      </c>
      <c r="JW134" s="5"/>
      <c r="JX134" s="5"/>
      <c r="JY134" s="5"/>
      <c r="JZ134" s="5"/>
      <c r="KA134" s="5" t="str">
        <f t="shared" si="547"/>
        <v>NO APLICA</v>
      </c>
      <c r="KB134" s="5"/>
      <c r="KC134" s="2"/>
      <c r="KD134" s="4"/>
      <c r="KE134" s="8"/>
      <c r="KF134" s="5" t="str">
        <f t="shared" si="548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73"/>
        <v>VIGENTE</v>
      </c>
      <c r="KL134" s="5"/>
      <c r="KM134" s="2"/>
      <c r="KN134" s="4"/>
      <c r="KO134" s="8"/>
      <c r="KP134" s="5" t="str">
        <f t="shared" si="549"/>
        <v>NO APLICA</v>
      </c>
      <c r="KQ134" s="5"/>
      <c r="KR134" s="2"/>
      <c r="KS134" s="4"/>
      <c r="KT134" s="8"/>
      <c r="KU134" s="5" t="str">
        <f t="shared" si="574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79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75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0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6"/>
        <v>NO APLICA</v>
      </c>
      <c r="LU134" s="6"/>
      <c r="LV134" s="6"/>
      <c r="LW134" s="4"/>
      <c r="LX134" s="8"/>
      <c r="LY134" s="5" t="str">
        <f t="shared" si="577"/>
        <v>NO APLICA</v>
      </c>
      <c r="LZ134" s="6"/>
      <c r="MA134" s="6"/>
      <c r="MB134" s="4"/>
      <c r="MC134" s="8"/>
      <c r="MD134" s="5" t="str">
        <f t="shared" si="578"/>
        <v>NO APLICA</v>
      </c>
      <c r="ME134" s="2"/>
      <c r="MF134" s="2"/>
      <c r="MG134" s="4"/>
      <c r="MH134" s="8"/>
      <c r="MI134" s="5" t="str">
        <f t="shared" si="551"/>
        <v>NO APLICA</v>
      </c>
      <c r="MJ134" s="2"/>
      <c r="MK134" s="2"/>
      <c r="ML134" s="4"/>
      <c r="MM134" s="8"/>
      <c r="MN134" s="5" t="str">
        <f t="shared" si="552"/>
        <v>NO APLICA</v>
      </c>
      <c r="MO134" s="5"/>
      <c r="MP134" s="2"/>
      <c r="MQ134" s="4"/>
      <c r="MR134" s="8"/>
      <c r="MS134" s="5" t="str">
        <f t="shared" si="553"/>
        <v>NO APLICA</v>
      </c>
      <c r="MT134" s="5"/>
      <c r="MU134" s="2"/>
      <c r="MV134" s="4"/>
      <c r="MW134" s="2"/>
      <c r="MX134" s="5" t="str">
        <f t="shared" si="554"/>
        <v>NO APLICA</v>
      </c>
      <c r="MY134" s="2"/>
      <c r="MZ134" s="6"/>
      <c r="NA134" s="4"/>
      <c r="NB134" s="8"/>
      <c r="NC134" s="5" t="str">
        <f t="shared" si="555"/>
        <v>NO APLICA</v>
      </c>
      <c r="ND134" s="2"/>
      <c r="NE134" s="6"/>
      <c r="NF134" s="4"/>
      <c r="NG134" s="8"/>
      <c r="NH134" s="5" t="str">
        <f t="shared" si="556"/>
        <v>NO APLICA</v>
      </c>
      <c r="NI134" s="2"/>
      <c r="NJ134" s="6"/>
      <c r="NK134" s="4"/>
      <c r="NL134" s="8"/>
      <c r="NM134" s="5" t="str">
        <f t="shared" si="557"/>
        <v>NO APLICA</v>
      </c>
      <c r="NN134" s="2"/>
      <c r="NO134" s="2"/>
      <c r="NP134" s="4"/>
      <c r="NQ134" s="2"/>
      <c r="NR134" s="5" t="str">
        <f t="shared" si="558"/>
        <v>NO APLICA</v>
      </c>
      <c r="NS134" s="2"/>
      <c r="NT134" s="2"/>
      <c r="NU134" s="2"/>
      <c r="NV134" s="2"/>
      <c r="NW134" s="5" t="str">
        <f t="shared" si="559"/>
        <v>NO APLICA</v>
      </c>
      <c r="NX134" s="6"/>
      <c r="NY134" s="6"/>
      <c r="NZ134" s="4"/>
      <c r="OA134" s="8"/>
      <c r="OB134" s="5" t="str">
        <f t="shared" si="560"/>
        <v>NO APLICA</v>
      </c>
      <c r="OC134" s="6"/>
      <c r="OD134" s="6"/>
      <c r="OE134" s="6"/>
      <c r="OF134" s="6"/>
      <c r="OG134" s="5" t="str">
        <f t="shared" si="561"/>
        <v>NO APLICA</v>
      </c>
      <c r="OH134" s="6"/>
      <c r="OI134" s="6"/>
      <c r="OJ134" s="4"/>
      <c r="OK134" s="8"/>
      <c r="OL134" s="5" t="str">
        <f t="shared" si="562"/>
        <v>NO APLICA</v>
      </c>
      <c r="OM134" s="6"/>
      <c r="ON134" s="6"/>
      <c r="OO134" s="6"/>
      <c r="OP134" s="6"/>
      <c r="OQ134" s="5" t="str">
        <f t="shared" si="563"/>
        <v>NO APLICA</v>
      </c>
      <c r="OR134" s="6"/>
      <c r="OS134" s="6"/>
      <c r="OT134" s="6"/>
      <c r="OU134" s="6"/>
      <c r="OV134" s="5" t="str">
        <f t="shared" si="564"/>
        <v>NO APLICA</v>
      </c>
      <c r="OW134" s="6"/>
      <c r="OX134" s="6"/>
      <c r="OY134" s="6"/>
      <c r="OZ134" s="6"/>
      <c r="PA134" s="5" t="str">
        <f t="shared" si="565"/>
        <v>NO APLICA</v>
      </c>
      <c r="PB134" s="6"/>
      <c r="PC134" s="6"/>
      <c r="PD134" s="6"/>
      <c r="PE134" s="6"/>
      <c r="PF134" s="5" t="str">
        <f t="shared" si="566"/>
        <v>NO APLICA</v>
      </c>
      <c r="PG134" s="6"/>
      <c r="PH134" s="6"/>
      <c r="PI134" s="6"/>
      <c r="PJ134" s="6"/>
      <c r="PK134" s="5" t="str">
        <f t="shared" si="567"/>
        <v>NO APLICA</v>
      </c>
      <c r="PL134" s="5"/>
      <c r="PM134" s="6"/>
      <c r="PN134" s="4"/>
      <c r="PO134" s="8"/>
      <c r="PP134" s="5" t="str">
        <f t="shared" si="568"/>
        <v>NO APLICA</v>
      </c>
      <c r="PQ134" s="6"/>
      <c r="PR134" s="6"/>
      <c r="PS134" s="6"/>
      <c r="PT134" s="6"/>
      <c r="PU134" s="5" t="str">
        <f t="shared" si="569"/>
        <v>NO APLICA</v>
      </c>
      <c r="PV134" s="5"/>
      <c r="PW134" s="6"/>
      <c r="PX134" s="6"/>
      <c r="PY134" s="6"/>
      <c r="PZ134" s="5" t="str">
        <f t="shared" si="570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448</v>
      </c>
      <c r="D135" s="30" t="s">
        <v>115</v>
      </c>
      <c r="E135" s="31" t="s">
        <v>177</v>
      </c>
      <c r="F135" s="5"/>
      <c r="G135" s="6"/>
      <c r="H135" s="4"/>
      <c r="I135" s="8"/>
      <c r="J135" s="5" t="str">
        <f t="shared" si="464"/>
        <v>NO APLICA</v>
      </c>
      <c r="K135" s="5"/>
      <c r="L135" s="6"/>
      <c r="M135" s="6"/>
      <c r="N135" s="8"/>
      <c r="O135" s="5" t="str">
        <f t="shared" si="465"/>
        <v>NO APLICA</v>
      </c>
      <c r="P135" s="6"/>
      <c r="Q135" s="6"/>
      <c r="R135" s="4"/>
      <c r="S135" s="8"/>
      <c r="T135" s="5" t="str">
        <f t="shared" si="571"/>
        <v>NO APLICA</v>
      </c>
      <c r="U135" s="5"/>
      <c r="V135" s="2" t="s">
        <v>449</v>
      </c>
      <c r="W135" s="4">
        <v>44944</v>
      </c>
      <c r="X135" s="4">
        <f t="shared" si="419"/>
        <v>46770</v>
      </c>
      <c r="Y135" s="8">
        <f t="shared" ca="1" si="420"/>
        <v>635</v>
      </c>
      <c r="Z135" s="5" t="str">
        <f t="shared" ca="1" si="421"/>
        <v>VIGENTE</v>
      </c>
      <c r="AA135" s="5"/>
      <c r="AB135" s="2"/>
      <c r="AC135" s="6"/>
      <c r="AD135" s="4"/>
      <c r="AE135" s="8"/>
      <c r="AF135" s="5" t="str">
        <f t="shared" si="466"/>
        <v>NO APLICA</v>
      </c>
      <c r="AG135" s="2"/>
      <c r="AH135" s="4">
        <v>45936</v>
      </c>
      <c r="AI135" s="4">
        <f t="shared" si="457"/>
        <v>46666</v>
      </c>
      <c r="AJ135" s="8">
        <f t="shared" ca="1" si="467"/>
        <v>531</v>
      </c>
      <c r="AK135" s="5" t="str">
        <f t="shared" ca="1" si="417"/>
        <v>VIGENTE</v>
      </c>
      <c r="AL135" s="2"/>
      <c r="AM135" s="4">
        <v>45926</v>
      </c>
      <c r="AN135" s="4">
        <f t="shared" si="458"/>
        <v>46656</v>
      </c>
      <c r="AO135" s="8">
        <f t="shared" ca="1" si="468"/>
        <v>521</v>
      </c>
      <c r="AP135" s="5" t="str">
        <f t="shared" ca="1" si="469"/>
        <v>VIGENTE</v>
      </c>
      <c r="AQ135" s="3"/>
      <c r="AR135" s="4">
        <v>45904</v>
      </c>
      <c r="AS135" s="4">
        <f t="shared" si="459"/>
        <v>46634</v>
      </c>
      <c r="AT135" s="8">
        <f t="shared" ca="1" si="470"/>
        <v>499</v>
      </c>
      <c r="AU135" s="5" t="str">
        <f t="shared" ca="1" si="471"/>
        <v>VIGENTE</v>
      </c>
      <c r="AV135" s="2"/>
      <c r="AW135" s="4">
        <v>45927</v>
      </c>
      <c r="AX135" s="4">
        <f t="shared" si="454"/>
        <v>46657</v>
      </c>
      <c r="AY135" s="8">
        <f t="shared" ca="1" si="472"/>
        <v>522</v>
      </c>
      <c r="AZ135" s="5" t="str">
        <f t="shared" ca="1" si="47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4"/>
        <v>538</v>
      </c>
      <c r="BE135" s="5" t="str">
        <f t="shared" ca="1" si="475"/>
        <v>VIGENTE</v>
      </c>
      <c r="BF135" s="3"/>
      <c r="BG135" s="4">
        <v>45880</v>
      </c>
      <c r="BH135" s="4">
        <f t="shared" si="455"/>
        <v>46610</v>
      </c>
      <c r="BI135" s="8">
        <f t="shared" ca="1" si="476"/>
        <v>475</v>
      </c>
      <c r="BJ135" s="5" t="str">
        <f t="shared" ca="1" si="47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78"/>
        <v>571</v>
      </c>
      <c r="BO135" s="5" t="str">
        <f t="shared" ca="1" si="47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0"/>
        <v>576</v>
      </c>
      <c r="BT135" s="5" t="str">
        <f t="shared" ca="1" si="48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2"/>
        <v>466</v>
      </c>
      <c r="BY135" s="5" t="str">
        <f t="shared" ca="1" si="483"/>
        <v>VIGENTE</v>
      </c>
      <c r="BZ135" s="2"/>
      <c r="CA135" s="4">
        <v>45911</v>
      </c>
      <c r="CB135" s="4">
        <f t="shared" si="456"/>
        <v>46641</v>
      </c>
      <c r="CC135" s="8">
        <f t="shared" ca="1" si="484"/>
        <v>506</v>
      </c>
      <c r="CD135" s="5" t="str">
        <f t="shared" ca="1" si="485"/>
        <v>VIGENTE</v>
      </c>
      <c r="CE135" s="6" t="s">
        <v>68</v>
      </c>
      <c r="CF135" s="4">
        <v>45832</v>
      </c>
      <c r="CG135" s="4">
        <f t="shared" si="425"/>
        <v>47293</v>
      </c>
      <c r="CH135" s="8">
        <f t="shared" ca="1" si="426"/>
        <v>1158</v>
      </c>
      <c r="CI135" s="5" t="str">
        <f t="shared" ca="1" si="42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6"/>
        <v>524</v>
      </c>
      <c r="CN135" s="5" t="str">
        <f t="shared" ca="1" si="48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88"/>
        <v>477</v>
      </c>
      <c r="CS135" s="5" t="str">
        <f t="shared" ca="1" si="48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0"/>
        <v>408</v>
      </c>
      <c r="CX135" s="5" t="str">
        <f t="shared" ca="1" si="49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2"/>
        <v>584</v>
      </c>
      <c r="DC135" s="5" t="str">
        <f t="shared" ca="1" si="49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4"/>
        <v>591</v>
      </c>
      <c r="DH135" s="5" t="str">
        <f t="shared" ca="1" si="49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6"/>
        <v>494</v>
      </c>
      <c r="DM135" s="5" t="str">
        <f t="shared" ca="1" si="49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98"/>
        <v>325</v>
      </c>
      <c r="DR135" s="5" t="str">
        <f t="shared" ca="1" si="49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0"/>
        <v>613</v>
      </c>
      <c r="DW135" s="5" t="str">
        <f t="shared" ca="1" si="50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2"/>
        <v>615</v>
      </c>
      <c r="EB135" s="5" t="str">
        <f t="shared" ca="1" si="50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4"/>
        <v>508</v>
      </c>
      <c r="EG135" s="5" t="str">
        <f t="shared" ca="1" si="505"/>
        <v>VIGENTE</v>
      </c>
      <c r="EH135" s="3"/>
      <c r="EI135" s="3">
        <v>46002</v>
      </c>
      <c r="EJ135" s="4">
        <f t="shared" si="572"/>
        <v>46367</v>
      </c>
      <c r="EK135" s="8">
        <f t="shared" ca="1" si="506"/>
        <v>232</v>
      </c>
      <c r="EL135" s="5" t="str">
        <f t="shared" ca="1" si="50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08"/>
        <v>535</v>
      </c>
      <c r="EQ135" s="5" t="str">
        <f t="shared" ca="1" si="50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0"/>
        <v>594</v>
      </c>
      <c r="EV135" s="5" t="str">
        <f t="shared" ca="1" si="511"/>
        <v>VIGENTE</v>
      </c>
      <c r="EW135" s="2"/>
      <c r="EX135" s="4">
        <v>45917</v>
      </c>
      <c r="EY135" s="4">
        <f t="shared" si="460"/>
        <v>46647</v>
      </c>
      <c r="EZ135" s="8">
        <f t="shared" ca="1" si="512"/>
        <v>512</v>
      </c>
      <c r="FA135" s="5" t="str">
        <f t="shared" ca="1" si="513"/>
        <v>VIGENTE</v>
      </c>
      <c r="FB135" s="2"/>
      <c r="FC135" s="4">
        <v>45931</v>
      </c>
      <c r="FD135" s="4">
        <f t="shared" si="461"/>
        <v>46661</v>
      </c>
      <c r="FE135" s="8">
        <f t="shared" ca="1" si="514"/>
        <v>526</v>
      </c>
      <c r="FF135" s="5" t="str">
        <f t="shared" ca="1" si="515"/>
        <v>VIGENTE</v>
      </c>
      <c r="FG135" s="2"/>
      <c r="FH135" s="4">
        <v>45932</v>
      </c>
      <c r="FI135" s="4">
        <f t="shared" si="462"/>
        <v>46662</v>
      </c>
      <c r="FJ135" s="8">
        <f t="shared" ca="1" si="516"/>
        <v>527</v>
      </c>
      <c r="FK135" s="5" t="str">
        <f t="shared" ca="1" si="51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18"/>
        <v>528</v>
      </c>
      <c r="FP135" s="5" t="str">
        <f t="shared" ca="1" si="51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0"/>
        <v>552</v>
      </c>
      <c r="FU135" s="5" t="str">
        <f t="shared" ca="1" si="521"/>
        <v>VIGENTE</v>
      </c>
      <c r="FV135" s="3"/>
      <c r="FW135" s="4">
        <v>45941</v>
      </c>
      <c r="FX135" s="4">
        <f t="shared" si="463"/>
        <v>46671</v>
      </c>
      <c r="FY135" s="8">
        <f t="shared" ca="1" si="522"/>
        <v>536</v>
      </c>
      <c r="FZ135" s="5" t="str">
        <f t="shared" ca="1" si="52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4"/>
        <v>428</v>
      </c>
      <c r="GE135" s="5" t="str">
        <f t="shared" ca="1" si="52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6"/>
        <v>555</v>
      </c>
      <c r="GJ135" s="5" t="str">
        <f t="shared" ca="1" si="52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28"/>
        <v>540</v>
      </c>
      <c r="GO135" s="5" t="str">
        <f t="shared" ca="1" si="529"/>
        <v>VIGENTE</v>
      </c>
      <c r="GP135" s="4"/>
      <c r="GQ135" s="4">
        <v>45244</v>
      </c>
      <c r="GR135" s="4">
        <f t="shared" si="530"/>
        <v>47071</v>
      </c>
      <c r="GS135" s="8">
        <f t="shared" ca="1" si="416"/>
        <v>936</v>
      </c>
      <c r="GT135" s="5" t="str">
        <f t="shared" ca="1" si="428"/>
        <v>VIGENTE</v>
      </c>
      <c r="GU135" s="3"/>
      <c r="GV135" s="4">
        <v>45267</v>
      </c>
      <c r="GW135" s="4">
        <f t="shared" si="531"/>
        <v>47094</v>
      </c>
      <c r="GX135" s="8">
        <f t="shared" ca="1" si="532"/>
        <v>959</v>
      </c>
      <c r="GY135" s="5" t="str">
        <f t="shared" ca="1" si="435"/>
        <v>VIGENTE</v>
      </c>
      <c r="GZ135" s="2"/>
      <c r="HA135" s="4">
        <v>45268</v>
      </c>
      <c r="HB135" s="4">
        <f t="shared" si="533"/>
        <v>47095</v>
      </c>
      <c r="HC135" s="8">
        <f t="shared" ca="1" si="534"/>
        <v>960</v>
      </c>
      <c r="HD135" s="5" t="str">
        <f t="shared" ca="1" si="430"/>
        <v>VIGENTE</v>
      </c>
      <c r="HE135" s="6"/>
      <c r="HF135" s="6"/>
      <c r="HG135" s="4"/>
      <c r="HH135" s="8"/>
      <c r="HI135" s="5" t="str">
        <f t="shared" si="436"/>
        <v>NO APLICA</v>
      </c>
      <c r="HJ135" s="2"/>
      <c r="HK135" s="6"/>
      <c r="HL135" s="4"/>
      <c r="HM135" s="8"/>
      <c r="HN135" s="5" t="str">
        <f t="shared" si="453"/>
        <v>NO APLICA</v>
      </c>
      <c r="HO135" s="2"/>
      <c r="HP135" s="2"/>
      <c r="HQ135" s="4"/>
      <c r="HR135" s="2"/>
      <c r="HS135" s="5" t="str">
        <f t="shared" si="535"/>
        <v>NO APLICA</v>
      </c>
      <c r="HT135" s="2"/>
      <c r="HU135" s="6"/>
      <c r="HV135" s="4"/>
      <c r="HW135" s="8"/>
      <c r="HX135" s="5" t="str">
        <f t="shared" si="536"/>
        <v>NO APLICA</v>
      </c>
      <c r="HY135" s="2"/>
      <c r="HZ135" s="6"/>
      <c r="IA135" s="4"/>
      <c r="IB135" s="8"/>
      <c r="IC135" s="5" t="str">
        <f t="shared" si="537"/>
        <v>NO APLICA</v>
      </c>
      <c r="ID135" s="2"/>
      <c r="IE135" s="6"/>
      <c r="IF135" s="4"/>
      <c r="IG135" s="8"/>
      <c r="IH135" s="5" t="str">
        <f t="shared" si="538"/>
        <v>NO APLICA</v>
      </c>
      <c r="II135" s="6"/>
      <c r="IJ135" s="6"/>
      <c r="IK135" s="4"/>
      <c r="IL135" s="8"/>
      <c r="IM135" s="5" t="str">
        <f t="shared" si="539"/>
        <v>NO APLICA</v>
      </c>
      <c r="IN135" s="2"/>
      <c r="IO135" s="6"/>
      <c r="IP135" s="4"/>
      <c r="IQ135" s="8"/>
      <c r="IR135" s="5" t="str">
        <f t="shared" si="540"/>
        <v>NO APLICA</v>
      </c>
      <c r="IS135" s="2"/>
      <c r="IT135" s="6"/>
      <c r="IU135" s="4"/>
      <c r="IV135" s="8"/>
      <c r="IW135" s="5" t="str">
        <f t="shared" si="541"/>
        <v>NO APLICA</v>
      </c>
      <c r="IX135" s="2"/>
      <c r="IY135" s="6"/>
      <c r="IZ135" s="4"/>
      <c r="JA135" s="8"/>
      <c r="JB135" s="5" t="str">
        <f t="shared" si="542"/>
        <v>NO APLICA</v>
      </c>
      <c r="JC135" s="3"/>
      <c r="JD135" s="3"/>
      <c r="JE135" s="4"/>
      <c r="JF135" s="8"/>
      <c r="JG135" s="5" t="str">
        <f t="shared" si="543"/>
        <v>NO APLICA</v>
      </c>
      <c r="JH135" s="6"/>
      <c r="JI135" s="6"/>
      <c r="JJ135" s="6"/>
      <c r="JK135" s="6"/>
      <c r="JL135" s="5" t="str">
        <f t="shared" si="544"/>
        <v>NO APLICA</v>
      </c>
      <c r="JM135" s="6"/>
      <c r="JN135" s="6"/>
      <c r="JO135" s="6"/>
      <c r="JP135" s="6"/>
      <c r="JQ135" s="5" t="str">
        <f t="shared" si="545"/>
        <v>NO APLICA</v>
      </c>
      <c r="JR135" s="6"/>
      <c r="JS135" s="6"/>
      <c r="JT135" s="6"/>
      <c r="JU135" s="6"/>
      <c r="JV135" s="5" t="str">
        <f t="shared" si="546"/>
        <v>NO APLICA</v>
      </c>
      <c r="JW135" s="5"/>
      <c r="JX135" s="5"/>
      <c r="JY135" s="5"/>
      <c r="JZ135" s="5"/>
      <c r="KA135" s="5" t="str">
        <f t="shared" si="547"/>
        <v>NO APLICA</v>
      </c>
      <c r="KB135" s="5"/>
      <c r="KC135" s="2"/>
      <c r="KD135" s="4"/>
      <c r="KE135" s="8"/>
      <c r="KF135" s="5" t="str">
        <f t="shared" si="548"/>
        <v>NO APLICA</v>
      </c>
      <c r="KG135" s="5"/>
      <c r="KH135" s="2"/>
      <c r="KI135" s="4"/>
      <c r="KJ135" s="8"/>
      <c r="KK135" s="5" t="str">
        <f t="shared" si="573"/>
        <v>NO APLICA</v>
      </c>
      <c r="KL135" s="5"/>
      <c r="KM135" s="2"/>
      <c r="KN135" s="4"/>
      <c r="KO135" s="8"/>
      <c r="KP135" s="5" t="str">
        <f t="shared" si="549"/>
        <v>NO APLICA</v>
      </c>
      <c r="KQ135" s="5"/>
      <c r="KR135" s="2"/>
      <c r="KS135" s="4"/>
      <c r="KT135" s="8"/>
      <c r="KU135" s="5" t="str">
        <f t="shared" si="574"/>
        <v>NO APLICA</v>
      </c>
      <c r="KV135" s="2"/>
      <c r="KW135" s="6"/>
      <c r="KX135" s="4"/>
      <c r="KY135" s="8"/>
      <c r="KZ135" s="5" t="str">
        <f t="shared" si="579"/>
        <v>NO APLICA</v>
      </c>
      <c r="LA135" s="5"/>
      <c r="LB135" s="6"/>
      <c r="LC135" s="4"/>
      <c r="LD135" s="8"/>
      <c r="LE135" s="5" t="str">
        <f t="shared" si="575"/>
        <v>NO APLICA</v>
      </c>
      <c r="LF135" s="6"/>
      <c r="LG135" s="6"/>
      <c r="LH135" s="4"/>
      <c r="LI135" s="8"/>
      <c r="LJ135" s="5" t="str">
        <f t="shared" ref="LJ135:LJ166" si="581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0"/>
        <v>NO APLICA</v>
      </c>
      <c r="LP135" s="2"/>
      <c r="LQ135" s="6"/>
      <c r="LR135" s="4"/>
      <c r="LS135" s="8"/>
      <c r="LT135" s="5" t="str">
        <f t="shared" si="576"/>
        <v>NO APLICA</v>
      </c>
      <c r="LU135" s="6"/>
      <c r="LV135" s="6"/>
      <c r="LW135" s="4"/>
      <c r="LX135" s="8"/>
      <c r="LY135" s="5" t="str">
        <f t="shared" si="577"/>
        <v>NO APLICA</v>
      </c>
      <c r="LZ135" s="6"/>
      <c r="MA135" s="6"/>
      <c r="MB135" s="4"/>
      <c r="MC135" s="8"/>
      <c r="MD135" s="5" t="str">
        <f t="shared" si="578"/>
        <v>NO APLICA</v>
      </c>
      <c r="ME135" s="2"/>
      <c r="MF135" s="2"/>
      <c r="MG135" s="4"/>
      <c r="MH135" s="8"/>
      <c r="MI135" s="5" t="str">
        <f t="shared" si="551"/>
        <v>NO APLICA</v>
      </c>
      <c r="MJ135" s="2"/>
      <c r="MK135" s="2"/>
      <c r="ML135" s="4"/>
      <c r="MM135" s="8"/>
      <c r="MN135" s="5" t="str">
        <f t="shared" si="552"/>
        <v>NO APLICA</v>
      </c>
      <c r="MO135" s="5"/>
      <c r="MP135" s="2"/>
      <c r="MQ135" s="4"/>
      <c r="MR135" s="8"/>
      <c r="MS135" s="5" t="str">
        <f t="shared" si="553"/>
        <v>NO APLICA</v>
      </c>
      <c r="MT135" s="5"/>
      <c r="MU135" s="2"/>
      <c r="MV135" s="4"/>
      <c r="MW135" s="2"/>
      <c r="MX135" s="5" t="str">
        <f t="shared" si="554"/>
        <v>NO APLICA</v>
      </c>
      <c r="MY135" s="2"/>
      <c r="MZ135" s="6"/>
      <c r="NA135" s="4"/>
      <c r="NB135" s="8"/>
      <c r="NC135" s="5" t="str">
        <f t="shared" si="555"/>
        <v>NO APLICA</v>
      </c>
      <c r="ND135" s="2"/>
      <c r="NE135" s="6"/>
      <c r="NF135" s="4"/>
      <c r="NG135" s="8"/>
      <c r="NH135" s="5" t="str">
        <f t="shared" si="556"/>
        <v>NO APLICA</v>
      </c>
      <c r="NI135" s="2"/>
      <c r="NJ135" s="6"/>
      <c r="NK135" s="4"/>
      <c r="NL135" s="8"/>
      <c r="NM135" s="5" t="str">
        <f t="shared" si="557"/>
        <v>NO APLICA</v>
      </c>
      <c r="NN135" s="2"/>
      <c r="NO135" s="2"/>
      <c r="NP135" s="4"/>
      <c r="NQ135" s="8"/>
      <c r="NR135" s="5" t="str">
        <f t="shared" si="558"/>
        <v>NO APLICA</v>
      </c>
      <c r="NS135" s="2"/>
      <c r="NT135" s="2"/>
      <c r="NU135" s="4"/>
      <c r="NV135" s="2"/>
      <c r="NW135" s="5" t="str">
        <f t="shared" si="559"/>
        <v>NO APLICA</v>
      </c>
      <c r="NX135" s="6"/>
      <c r="NY135" s="6"/>
      <c r="NZ135" s="4"/>
      <c r="OA135" s="8"/>
      <c r="OB135" s="5" t="str">
        <f t="shared" si="560"/>
        <v>NO APLICA</v>
      </c>
      <c r="OC135" s="6"/>
      <c r="OD135" s="6"/>
      <c r="OE135" s="6"/>
      <c r="OF135" s="6"/>
      <c r="OG135" s="5" t="str">
        <f t="shared" si="561"/>
        <v>NO APLICA</v>
      </c>
      <c r="OH135" s="2"/>
      <c r="OI135" s="2"/>
      <c r="OJ135" s="4"/>
      <c r="OK135" s="8"/>
      <c r="OL135" s="5" t="str">
        <f t="shared" si="562"/>
        <v>NO APLICA</v>
      </c>
      <c r="OM135" s="6"/>
      <c r="ON135" s="6"/>
      <c r="OO135" s="6"/>
      <c r="OP135" s="6"/>
      <c r="OQ135" s="5" t="str">
        <f t="shared" si="563"/>
        <v>NO APLICA</v>
      </c>
      <c r="OR135" s="6"/>
      <c r="OS135" s="6"/>
      <c r="OT135" s="6"/>
      <c r="OU135" s="6"/>
      <c r="OV135" s="5" t="str">
        <f t="shared" si="564"/>
        <v>NO APLICA</v>
      </c>
      <c r="OW135" s="6"/>
      <c r="OX135" s="6"/>
      <c r="OY135" s="6"/>
      <c r="OZ135" s="6"/>
      <c r="PA135" s="5" t="str">
        <f t="shared" si="565"/>
        <v>NO APLICA</v>
      </c>
      <c r="PB135" s="6"/>
      <c r="PC135" s="6"/>
      <c r="PD135" s="6"/>
      <c r="PE135" s="6"/>
      <c r="PF135" s="5" t="str">
        <f t="shared" si="566"/>
        <v>NO APLICA</v>
      </c>
      <c r="PG135" s="6"/>
      <c r="PH135" s="6"/>
      <c r="PI135" s="6"/>
      <c r="PJ135" s="6"/>
      <c r="PK135" s="5" t="str">
        <f t="shared" si="567"/>
        <v>NO APLICA</v>
      </c>
      <c r="PL135" s="5"/>
      <c r="PM135" s="6"/>
      <c r="PN135" s="4"/>
      <c r="PO135" s="8"/>
      <c r="PP135" s="5" t="str">
        <f t="shared" si="568"/>
        <v>NO APLICA</v>
      </c>
      <c r="PQ135" s="6"/>
      <c r="PR135" s="6"/>
      <c r="PS135" s="6"/>
      <c r="PT135" s="6"/>
      <c r="PU135" s="5" t="str">
        <f t="shared" si="569"/>
        <v>NO APLICA</v>
      </c>
      <c r="PV135" s="5"/>
      <c r="PW135" s="6"/>
      <c r="PX135" s="6"/>
      <c r="PY135" s="6"/>
      <c r="PZ135" s="5" t="str">
        <f t="shared" si="570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450</v>
      </c>
      <c r="D136" s="30" t="s">
        <v>115</v>
      </c>
      <c r="E136" s="31" t="s">
        <v>128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64"/>
        <v>VIGENTE</v>
      </c>
      <c r="K136" s="2"/>
      <c r="L136" s="6"/>
      <c r="M136" s="6"/>
      <c r="N136" s="8"/>
      <c r="O136" s="5" t="str">
        <f t="shared" si="465"/>
        <v>NO APLICA</v>
      </c>
      <c r="P136" s="6"/>
      <c r="Q136" s="6"/>
      <c r="R136" s="4"/>
      <c r="S136" s="8"/>
      <c r="T136" s="5" t="str">
        <f t="shared" si="571"/>
        <v>NO APLICA</v>
      </c>
      <c r="U136" s="5"/>
      <c r="V136" s="2" t="s">
        <v>451</v>
      </c>
      <c r="W136" s="4">
        <v>45735</v>
      </c>
      <c r="X136" s="4">
        <f t="shared" si="419"/>
        <v>47561</v>
      </c>
      <c r="Y136" s="8">
        <f t="shared" ca="1" si="420"/>
        <v>1426</v>
      </c>
      <c r="Z136" s="5" t="str">
        <f t="shared" ca="1" si="421"/>
        <v>VIGENTE</v>
      </c>
      <c r="AA136" s="5"/>
      <c r="AB136" s="2"/>
      <c r="AC136" s="6"/>
      <c r="AD136" s="4"/>
      <c r="AE136" s="8"/>
      <c r="AF136" s="5" t="str">
        <f t="shared" si="466"/>
        <v>NO APLICA</v>
      </c>
      <c r="AG136" s="3"/>
      <c r="AH136" s="4">
        <v>45902</v>
      </c>
      <c r="AI136" s="4">
        <f t="shared" si="457"/>
        <v>46632</v>
      </c>
      <c r="AJ136" s="8">
        <f t="shared" ca="1" si="467"/>
        <v>497</v>
      </c>
      <c r="AK136" s="5" t="str">
        <f t="shared" ca="1" si="417"/>
        <v>VIGENTE</v>
      </c>
      <c r="AL136" s="3"/>
      <c r="AM136" s="4">
        <v>45926</v>
      </c>
      <c r="AN136" s="4">
        <f t="shared" si="458"/>
        <v>46656</v>
      </c>
      <c r="AO136" s="8">
        <f t="shared" ca="1" si="468"/>
        <v>521</v>
      </c>
      <c r="AP136" s="5" t="str">
        <f t="shared" ca="1" si="469"/>
        <v>VIGENTE</v>
      </c>
      <c r="AQ136" s="3"/>
      <c r="AR136" s="4">
        <v>45967</v>
      </c>
      <c r="AS136" s="4">
        <f t="shared" si="459"/>
        <v>46697</v>
      </c>
      <c r="AT136" s="8">
        <f t="shared" ca="1" si="470"/>
        <v>562</v>
      </c>
      <c r="AU136" s="5" t="str">
        <f t="shared" ca="1" si="471"/>
        <v>VIGENTE</v>
      </c>
      <c r="AV136" s="3"/>
      <c r="AW136" s="4">
        <v>45927</v>
      </c>
      <c r="AX136" s="4">
        <f t="shared" si="454"/>
        <v>46657</v>
      </c>
      <c r="AY136" s="8">
        <f t="shared" ca="1" si="472"/>
        <v>522</v>
      </c>
      <c r="AZ136" s="5" t="str">
        <f t="shared" ca="1" si="47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4"/>
        <v>216</v>
      </c>
      <c r="BE136" s="5" t="str">
        <f t="shared" ca="1" si="47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6"/>
        <v>292</v>
      </c>
      <c r="BJ136" s="5" t="str">
        <f t="shared" ca="1" si="47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78"/>
        <v>194</v>
      </c>
      <c r="BO136" s="5" t="str">
        <f t="shared" ca="1" si="47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0"/>
        <v>215</v>
      </c>
      <c r="BT136" s="5" t="str">
        <f t="shared" ca="1" si="48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2"/>
        <v>162</v>
      </c>
      <c r="BY136" s="5" t="str">
        <f t="shared" ca="1" si="483"/>
        <v>VIGENTE</v>
      </c>
      <c r="BZ136" s="3"/>
      <c r="CA136" s="4">
        <v>45944</v>
      </c>
      <c r="CB136" s="4">
        <f t="shared" si="456"/>
        <v>46674</v>
      </c>
      <c r="CC136" s="8">
        <f t="shared" ca="1" si="484"/>
        <v>539</v>
      </c>
      <c r="CD136" s="5" t="str">
        <f t="shared" ca="1" si="485"/>
        <v>VIGENTE</v>
      </c>
      <c r="CE136" s="6" t="s">
        <v>73</v>
      </c>
      <c r="CF136" s="4">
        <v>45529</v>
      </c>
      <c r="CG136" s="4">
        <f t="shared" si="425"/>
        <v>46990</v>
      </c>
      <c r="CH136" s="8">
        <f t="shared" ca="1" si="426"/>
        <v>855</v>
      </c>
      <c r="CI136" s="5" t="str">
        <f t="shared" ca="1" si="42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6"/>
        <v>372</v>
      </c>
      <c r="CN136" s="5" t="str">
        <f t="shared" ca="1" si="48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88"/>
        <v>364</v>
      </c>
      <c r="CS136" s="5" t="str">
        <f t="shared" ca="1" si="48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0"/>
        <v>500</v>
      </c>
      <c r="CX136" s="5" t="str">
        <f t="shared" ca="1" si="49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2"/>
        <v>430</v>
      </c>
      <c r="DC136" s="5" t="str">
        <f t="shared" ca="1" si="49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4"/>
        <v>317</v>
      </c>
      <c r="DH136" s="5" t="str">
        <f t="shared" ca="1" si="49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6"/>
        <v>494</v>
      </c>
      <c r="DM136" s="5" t="str">
        <f t="shared" ca="1" si="49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98"/>
        <v>602</v>
      </c>
      <c r="DR136" s="5" t="str">
        <f t="shared" ca="1" si="49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0"/>
        <v>337</v>
      </c>
      <c r="DW136" s="5" t="str">
        <f t="shared" ca="1" si="50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2"/>
        <v>345</v>
      </c>
      <c r="EB136" s="5" t="str">
        <f t="shared" ca="1" si="50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4"/>
        <v>324</v>
      </c>
      <c r="EG136" s="5" t="str">
        <f t="shared" ca="1" si="505"/>
        <v>VIGENTE</v>
      </c>
      <c r="EH136" s="3"/>
      <c r="EI136" s="3">
        <v>46060</v>
      </c>
      <c r="EJ136" s="4">
        <f t="shared" si="572"/>
        <v>46425</v>
      </c>
      <c r="EK136" s="8">
        <f t="shared" ca="1" si="506"/>
        <v>290</v>
      </c>
      <c r="EL136" s="5" t="str">
        <f t="shared" ca="1" si="50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08"/>
        <v>299</v>
      </c>
      <c r="EQ136" s="5" t="str">
        <f t="shared" ca="1" si="50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0"/>
        <v>271</v>
      </c>
      <c r="EV136" s="5" t="str">
        <f t="shared" ca="1" si="511"/>
        <v>VIGENTE</v>
      </c>
      <c r="EW136" s="3"/>
      <c r="EX136" s="4">
        <v>45917</v>
      </c>
      <c r="EY136" s="4">
        <f t="shared" si="460"/>
        <v>46647</v>
      </c>
      <c r="EZ136" s="8">
        <f t="shared" ca="1" si="512"/>
        <v>512</v>
      </c>
      <c r="FA136" s="5" t="str">
        <f t="shared" ca="1" si="513"/>
        <v>VIGENTE</v>
      </c>
      <c r="FB136" s="3"/>
      <c r="FC136" s="4">
        <v>45988</v>
      </c>
      <c r="FD136" s="4">
        <f t="shared" si="461"/>
        <v>46718</v>
      </c>
      <c r="FE136" s="8">
        <f t="shared" ca="1" si="514"/>
        <v>583</v>
      </c>
      <c r="FF136" s="5" t="str">
        <f t="shared" ca="1" si="515"/>
        <v>VIGENTE</v>
      </c>
      <c r="FG136" s="3"/>
      <c r="FH136" s="4">
        <v>45832</v>
      </c>
      <c r="FI136" s="4">
        <f t="shared" si="462"/>
        <v>46562</v>
      </c>
      <c r="FJ136" s="8">
        <f t="shared" ca="1" si="516"/>
        <v>427</v>
      </c>
      <c r="FK136" s="5" t="str">
        <f t="shared" ca="1" si="51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18"/>
        <v>264</v>
      </c>
      <c r="FP136" s="5" t="str">
        <f t="shared" ca="1" si="51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0"/>
        <v>199</v>
      </c>
      <c r="FU136" s="5" t="str">
        <f t="shared" ca="1" si="521"/>
        <v>VIGENTE</v>
      </c>
      <c r="FV136" s="3"/>
      <c r="FW136" s="4">
        <v>45993</v>
      </c>
      <c r="FX136" s="4">
        <f t="shared" si="463"/>
        <v>46723</v>
      </c>
      <c r="FY136" s="8">
        <f t="shared" ca="1" si="522"/>
        <v>588</v>
      </c>
      <c r="FZ136" s="5" t="str">
        <f t="shared" ca="1" si="52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4"/>
        <v>351</v>
      </c>
      <c r="GE136" s="5" t="str">
        <f t="shared" ca="1" si="52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6"/>
        <v>325</v>
      </c>
      <c r="GJ136" s="5" t="str">
        <f t="shared" ca="1" si="52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28"/>
        <v>281</v>
      </c>
      <c r="GO136" s="5" t="str">
        <f t="shared" ca="1" si="529"/>
        <v>VIGENTE</v>
      </c>
      <c r="GP136" s="4"/>
      <c r="GQ136" s="4">
        <v>45072</v>
      </c>
      <c r="GR136" s="4">
        <f t="shared" si="530"/>
        <v>46899</v>
      </c>
      <c r="GS136" s="8">
        <f t="shared" ca="1" si="416"/>
        <v>764</v>
      </c>
      <c r="GT136" s="5" t="str">
        <f t="shared" ca="1" si="428"/>
        <v>VIGENTE</v>
      </c>
      <c r="GU136" s="3"/>
      <c r="GV136" s="4">
        <v>44952</v>
      </c>
      <c r="GW136" s="4">
        <f t="shared" si="531"/>
        <v>46778</v>
      </c>
      <c r="GX136" s="8">
        <f t="shared" ca="1" si="532"/>
        <v>643</v>
      </c>
      <c r="GY136" s="5" t="str">
        <f t="shared" ca="1" si="435"/>
        <v>VIGENTE</v>
      </c>
      <c r="GZ136" s="2"/>
      <c r="HA136" s="4">
        <v>45016</v>
      </c>
      <c r="HB136" s="4">
        <f t="shared" si="533"/>
        <v>46843</v>
      </c>
      <c r="HC136" s="8">
        <f t="shared" ca="1" si="534"/>
        <v>708</v>
      </c>
      <c r="HD136" s="5" t="str">
        <f t="shared" ca="1" si="430"/>
        <v>VIGENTE</v>
      </c>
      <c r="HE136" s="6"/>
      <c r="HF136" s="6"/>
      <c r="HG136" s="4"/>
      <c r="HH136" s="8"/>
      <c r="HI136" s="5" t="str">
        <f t="shared" si="436"/>
        <v>NO APLICA</v>
      </c>
      <c r="HJ136" s="2"/>
      <c r="HK136" s="6"/>
      <c r="HL136" s="4"/>
      <c r="HM136" s="8"/>
      <c r="HN136" s="5" t="str">
        <f t="shared" si="453"/>
        <v>NO APLICA</v>
      </c>
      <c r="HO136" s="2"/>
      <c r="HP136" s="2"/>
      <c r="HQ136" s="4"/>
      <c r="HR136" s="2"/>
      <c r="HS136" s="5" t="str">
        <f t="shared" si="535"/>
        <v>NO APLICA</v>
      </c>
      <c r="HT136" s="2"/>
      <c r="HU136" s="6"/>
      <c r="HV136" s="4"/>
      <c r="HW136" s="8"/>
      <c r="HX136" s="5" t="str">
        <f t="shared" si="536"/>
        <v>NO APLICA</v>
      </c>
      <c r="HY136" s="2"/>
      <c r="HZ136" s="6"/>
      <c r="IA136" s="4"/>
      <c r="IB136" s="8"/>
      <c r="IC136" s="5" t="str">
        <f t="shared" si="537"/>
        <v>NO APLICA</v>
      </c>
      <c r="ID136" s="2"/>
      <c r="IE136" s="6"/>
      <c r="IF136" s="4"/>
      <c r="IG136" s="8"/>
      <c r="IH136" s="5" t="str">
        <f t="shared" si="538"/>
        <v>NO APLICA</v>
      </c>
      <c r="II136" s="6"/>
      <c r="IJ136" s="6"/>
      <c r="IK136" s="4"/>
      <c r="IL136" s="8"/>
      <c r="IM136" s="5" t="str">
        <f t="shared" si="539"/>
        <v>NO APLICA</v>
      </c>
      <c r="IN136" s="2"/>
      <c r="IO136" s="6"/>
      <c r="IP136" s="4"/>
      <c r="IQ136" s="8"/>
      <c r="IR136" s="5" t="str">
        <f t="shared" si="540"/>
        <v>NO APLICA</v>
      </c>
      <c r="IS136" s="2"/>
      <c r="IT136" s="6"/>
      <c r="IU136" s="4"/>
      <c r="IV136" s="8"/>
      <c r="IW136" s="5" t="str">
        <f t="shared" si="541"/>
        <v>NO APLICA</v>
      </c>
      <c r="IX136" s="2"/>
      <c r="IY136" s="6"/>
      <c r="IZ136" s="4"/>
      <c r="JA136" s="8"/>
      <c r="JB136" s="5" t="str">
        <f t="shared" si="542"/>
        <v>NO APLICA</v>
      </c>
      <c r="JC136" s="3"/>
      <c r="JD136" s="3"/>
      <c r="JE136" s="4"/>
      <c r="JF136" s="8"/>
      <c r="JG136" s="5" t="str">
        <f t="shared" si="543"/>
        <v>NO APLICA</v>
      </c>
      <c r="JH136" s="6"/>
      <c r="JI136" s="6"/>
      <c r="JJ136" s="6"/>
      <c r="JK136" s="6"/>
      <c r="JL136" s="5" t="str">
        <f t="shared" si="544"/>
        <v>NO APLICA</v>
      </c>
      <c r="JM136" s="6"/>
      <c r="JN136" s="6"/>
      <c r="JO136" s="6"/>
      <c r="JP136" s="6"/>
      <c r="JQ136" s="5" t="str">
        <f t="shared" si="545"/>
        <v>NO APLICA</v>
      </c>
      <c r="JR136" s="6"/>
      <c r="JS136" s="6"/>
      <c r="JT136" s="6"/>
      <c r="JU136" s="6"/>
      <c r="JV136" s="5" t="str">
        <f t="shared" si="546"/>
        <v>NO APLICA</v>
      </c>
      <c r="JW136" s="5"/>
      <c r="JX136" s="5"/>
      <c r="JY136" s="5"/>
      <c r="JZ136" s="5"/>
      <c r="KA136" s="5" t="str">
        <f t="shared" si="547"/>
        <v>NO APLICA</v>
      </c>
      <c r="KB136" s="5"/>
      <c r="KC136" s="2"/>
      <c r="KD136" s="4"/>
      <c r="KE136" s="8"/>
      <c r="KF136" s="5" t="str">
        <f t="shared" si="548"/>
        <v>NO APLICA</v>
      </c>
      <c r="KG136" s="5"/>
      <c r="KH136" s="2"/>
      <c r="KI136" s="4"/>
      <c r="KJ136" s="8"/>
      <c r="KK136" s="5" t="str">
        <f t="shared" si="573"/>
        <v>NO APLICA</v>
      </c>
      <c r="KL136" s="5"/>
      <c r="KM136" s="2"/>
      <c r="KN136" s="4"/>
      <c r="KO136" s="8"/>
      <c r="KP136" s="5" t="str">
        <f t="shared" si="549"/>
        <v>NO APLICA</v>
      </c>
      <c r="KQ136" s="5"/>
      <c r="KR136" s="2"/>
      <c r="KS136" s="4"/>
      <c r="KT136" s="8"/>
      <c r="KU136" s="5" t="str">
        <f t="shared" si="574"/>
        <v>NO APLICA</v>
      </c>
      <c r="KV136" s="2"/>
      <c r="KW136" s="6"/>
      <c r="KX136" s="4"/>
      <c r="KY136" s="8"/>
      <c r="KZ136" s="5" t="str">
        <f t="shared" si="579"/>
        <v>NO APLICA</v>
      </c>
      <c r="LA136" s="5"/>
      <c r="LB136" s="6"/>
      <c r="LC136" s="4"/>
      <c r="LD136" s="8"/>
      <c r="LE136" s="5" t="str">
        <f t="shared" si="575"/>
        <v>NO APLICA</v>
      </c>
      <c r="LF136" s="6"/>
      <c r="LG136" s="6"/>
      <c r="LH136" s="4"/>
      <c r="LI136" s="8"/>
      <c r="LJ136" s="5" t="str">
        <f t="shared" si="581"/>
        <v>NO APLICA</v>
      </c>
      <c r="LK136" s="5"/>
      <c r="LL136" s="5"/>
      <c r="LM136" s="4"/>
      <c r="LN136" s="8"/>
      <c r="LO136" s="5" t="str">
        <f t="shared" si="580"/>
        <v>NO APLICA</v>
      </c>
      <c r="LP136" s="2"/>
      <c r="LQ136" s="6"/>
      <c r="LR136" s="4"/>
      <c r="LS136" s="8"/>
      <c r="LT136" s="5" t="str">
        <f t="shared" si="576"/>
        <v>NO APLICA</v>
      </c>
      <c r="LU136" s="6"/>
      <c r="LV136" s="6"/>
      <c r="LW136" s="4"/>
      <c r="LX136" s="8"/>
      <c r="LY136" s="5" t="str">
        <f t="shared" si="577"/>
        <v>NO APLICA</v>
      </c>
      <c r="LZ136" s="6"/>
      <c r="MA136" s="6"/>
      <c r="MB136" s="4"/>
      <c r="MC136" s="8"/>
      <c r="MD136" s="5" t="str">
        <f t="shared" si="578"/>
        <v>NO APLICA</v>
      </c>
      <c r="ME136" s="2"/>
      <c r="MF136" s="2"/>
      <c r="MG136" s="4"/>
      <c r="MH136" s="8"/>
      <c r="MI136" s="5" t="str">
        <f t="shared" si="551"/>
        <v>NO APLICA</v>
      </c>
      <c r="MJ136" s="2"/>
      <c r="MK136" s="2"/>
      <c r="ML136" s="4"/>
      <c r="MM136" s="8"/>
      <c r="MN136" s="5" t="str">
        <f t="shared" si="552"/>
        <v>NO APLICA</v>
      </c>
      <c r="MO136" s="5"/>
      <c r="MP136" s="2"/>
      <c r="MQ136" s="4"/>
      <c r="MR136" s="8"/>
      <c r="MS136" s="5" t="str">
        <f t="shared" si="553"/>
        <v>NO APLICA</v>
      </c>
      <c r="MT136" s="5"/>
      <c r="MU136" s="2"/>
      <c r="MV136" s="4"/>
      <c r="MW136" s="2"/>
      <c r="MX136" s="5" t="str">
        <f t="shared" si="554"/>
        <v>NO APLICA</v>
      </c>
      <c r="MY136" s="2"/>
      <c r="MZ136" s="6"/>
      <c r="NA136" s="4"/>
      <c r="NB136" s="8"/>
      <c r="NC136" s="5" t="str">
        <f t="shared" si="555"/>
        <v>NO APLICA</v>
      </c>
      <c r="ND136" s="2"/>
      <c r="NE136" s="6"/>
      <c r="NF136" s="4"/>
      <c r="NG136" s="8"/>
      <c r="NH136" s="5" t="str">
        <f t="shared" si="556"/>
        <v>NO APLICA</v>
      </c>
      <c r="NI136" s="2"/>
      <c r="NJ136" s="6"/>
      <c r="NK136" s="4"/>
      <c r="NL136" s="8"/>
      <c r="NM136" s="5" t="str">
        <f t="shared" si="557"/>
        <v>NO APLICA</v>
      </c>
      <c r="NN136" s="2"/>
      <c r="NO136" s="2"/>
      <c r="NP136" s="4"/>
      <c r="NQ136" s="8"/>
      <c r="NR136" s="5" t="str">
        <f t="shared" si="558"/>
        <v>NO APLICA</v>
      </c>
      <c r="NS136" s="2"/>
      <c r="NT136" s="2"/>
      <c r="NU136" s="4"/>
      <c r="NV136" s="2"/>
      <c r="NW136" s="5" t="str">
        <f t="shared" si="559"/>
        <v>NO APLICA</v>
      </c>
      <c r="NX136" s="6"/>
      <c r="NY136" s="6"/>
      <c r="NZ136" s="4"/>
      <c r="OA136" s="8"/>
      <c r="OB136" s="5" t="str">
        <f t="shared" si="560"/>
        <v>NO APLICA</v>
      </c>
      <c r="OC136" s="6"/>
      <c r="OD136" s="6"/>
      <c r="OE136" s="6"/>
      <c r="OF136" s="6"/>
      <c r="OG136" s="5" t="str">
        <f t="shared" si="561"/>
        <v>NO APLICA</v>
      </c>
      <c r="OH136" s="2"/>
      <c r="OI136" s="2"/>
      <c r="OJ136" s="4"/>
      <c r="OK136" s="8"/>
      <c r="OL136" s="5" t="str">
        <f t="shared" si="562"/>
        <v>NO APLICA</v>
      </c>
      <c r="OM136" s="6"/>
      <c r="ON136" s="6"/>
      <c r="OO136" s="6"/>
      <c r="OP136" s="6"/>
      <c r="OQ136" s="5" t="str">
        <f t="shared" si="563"/>
        <v>NO APLICA</v>
      </c>
      <c r="OR136" s="6"/>
      <c r="OS136" s="6"/>
      <c r="OT136" s="6"/>
      <c r="OU136" s="6"/>
      <c r="OV136" s="5" t="str">
        <f t="shared" si="564"/>
        <v>NO APLICA</v>
      </c>
      <c r="OW136" s="6"/>
      <c r="OX136" s="6"/>
      <c r="OY136" s="6"/>
      <c r="OZ136" s="6"/>
      <c r="PA136" s="5" t="str">
        <f t="shared" si="565"/>
        <v>NO APLICA</v>
      </c>
      <c r="PB136" s="6"/>
      <c r="PC136" s="6"/>
      <c r="PD136" s="6"/>
      <c r="PE136" s="6"/>
      <c r="PF136" s="5" t="str">
        <f t="shared" si="566"/>
        <v>NO APLICA</v>
      </c>
      <c r="PG136" s="6"/>
      <c r="PH136" s="6"/>
      <c r="PI136" s="6"/>
      <c r="PJ136" s="6"/>
      <c r="PK136" s="5" t="str">
        <f t="shared" si="567"/>
        <v>NO APLICA</v>
      </c>
      <c r="PL136" s="5"/>
      <c r="PM136" s="6"/>
      <c r="PN136" s="4"/>
      <c r="PO136" s="8"/>
      <c r="PP136" s="5" t="str">
        <f t="shared" si="568"/>
        <v>NO APLICA</v>
      </c>
      <c r="PQ136" s="6"/>
      <c r="PR136" s="6"/>
      <c r="PS136" s="6"/>
      <c r="PT136" s="6"/>
      <c r="PU136" s="5" t="str">
        <f t="shared" si="569"/>
        <v>NO APLICA</v>
      </c>
      <c r="PV136" s="5"/>
      <c r="PW136" s="6"/>
      <c r="PX136" s="6"/>
      <c r="PY136" s="6"/>
      <c r="PZ136" s="5" t="str">
        <f t="shared" si="570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452</v>
      </c>
      <c r="D137" s="30" t="s">
        <v>69</v>
      </c>
      <c r="E137" s="31" t="s">
        <v>75</v>
      </c>
      <c r="F137" s="5"/>
      <c r="G137" s="6"/>
      <c r="H137" s="4"/>
      <c r="I137" s="8"/>
      <c r="J137" s="5" t="str">
        <f t="shared" si="464"/>
        <v>NO APLICA</v>
      </c>
      <c r="K137" s="5"/>
      <c r="L137" s="6"/>
      <c r="M137" s="6"/>
      <c r="N137" s="8"/>
      <c r="O137" s="5" t="str">
        <f t="shared" si="465"/>
        <v>NO APLICA</v>
      </c>
      <c r="P137" s="6"/>
      <c r="Q137" s="6"/>
      <c r="R137" s="4"/>
      <c r="S137" s="8"/>
      <c r="T137" s="5" t="str">
        <f t="shared" si="571"/>
        <v>NO APLICA</v>
      </c>
      <c r="U137" s="5"/>
      <c r="V137" s="2" t="s">
        <v>453</v>
      </c>
      <c r="W137" s="4">
        <v>45156</v>
      </c>
      <c r="X137" s="4">
        <f t="shared" si="419"/>
        <v>46983</v>
      </c>
      <c r="Y137" s="8">
        <f t="shared" ca="1" si="420"/>
        <v>848</v>
      </c>
      <c r="Z137" s="5" t="str">
        <f t="shared" ca="1" si="421"/>
        <v>VIGENTE</v>
      </c>
      <c r="AA137" s="5"/>
      <c r="AB137" s="2" t="s">
        <v>454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66"/>
        <v>VIGENTE</v>
      </c>
      <c r="AG137" s="3"/>
      <c r="AH137" s="4">
        <v>45936</v>
      </c>
      <c r="AI137" s="4">
        <f t="shared" si="457"/>
        <v>46666</v>
      </c>
      <c r="AJ137" s="8">
        <f t="shared" ca="1" si="467"/>
        <v>531</v>
      </c>
      <c r="AK137" s="5" t="str">
        <f t="shared" ca="1" si="417"/>
        <v>VIGENTE</v>
      </c>
      <c r="AL137" s="3"/>
      <c r="AM137" s="4">
        <v>45959</v>
      </c>
      <c r="AN137" s="4">
        <f t="shared" si="458"/>
        <v>46689</v>
      </c>
      <c r="AO137" s="8">
        <f t="shared" ca="1" si="468"/>
        <v>554</v>
      </c>
      <c r="AP137" s="5" t="str">
        <f t="shared" ca="1" si="469"/>
        <v>VIGENTE</v>
      </c>
      <c r="AQ137" s="3"/>
      <c r="AR137" s="4">
        <v>45967</v>
      </c>
      <c r="AS137" s="4">
        <f t="shared" si="459"/>
        <v>46697</v>
      </c>
      <c r="AT137" s="8">
        <f t="shared" ca="1" si="470"/>
        <v>562</v>
      </c>
      <c r="AU137" s="5" t="str">
        <f t="shared" ca="1" si="471"/>
        <v>VIGENTE</v>
      </c>
      <c r="AV137" s="3"/>
      <c r="AW137" s="4">
        <v>45906</v>
      </c>
      <c r="AX137" s="4">
        <f t="shared" si="454"/>
        <v>46636</v>
      </c>
      <c r="AY137" s="8">
        <f t="shared" ca="1" si="472"/>
        <v>501</v>
      </c>
      <c r="AZ137" s="5" t="str">
        <f t="shared" ca="1" si="47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4"/>
        <v>525</v>
      </c>
      <c r="BE137" s="5" t="str">
        <f t="shared" ca="1" si="47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6"/>
        <v>582</v>
      </c>
      <c r="BJ137" s="5" t="str">
        <f t="shared" ca="1" si="47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78"/>
        <v>571</v>
      </c>
      <c r="BO137" s="5" t="str">
        <f t="shared" ca="1" si="47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0"/>
        <v>576</v>
      </c>
      <c r="BT137" s="5" t="str">
        <f t="shared" ca="1" si="48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2"/>
        <v>626</v>
      </c>
      <c r="BY137" s="5" t="str">
        <f t="shared" ca="1" si="483"/>
        <v>VIGENTE</v>
      </c>
      <c r="BZ137" s="3"/>
      <c r="CA137" s="4">
        <v>45954</v>
      </c>
      <c r="CB137" s="4">
        <f t="shared" si="456"/>
        <v>46684</v>
      </c>
      <c r="CC137" s="8">
        <f t="shared" ca="1" si="484"/>
        <v>549</v>
      </c>
      <c r="CD137" s="5" t="str">
        <f t="shared" ca="1" si="485"/>
        <v>VIGENTE</v>
      </c>
      <c r="CE137" s="6" t="s">
        <v>73</v>
      </c>
      <c r="CF137" s="4">
        <v>45164</v>
      </c>
      <c r="CG137" s="4">
        <f t="shared" si="425"/>
        <v>46625</v>
      </c>
      <c r="CH137" s="8">
        <f t="shared" ca="1" si="426"/>
        <v>490</v>
      </c>
      <c r="CI137" s="5" t="str">
        <f t="shared" ca="1" si="42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6"/>
        <v>524</v>
      </c>
      <c r="CN137" s="5" t="str">
        <f t="shared" ca="1" si="48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88"/>
        <v>574</v>
      </c>
      <c r="CS137" s="5" t="str">
        <f t="shared" ca="1" si="48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0"/>
        <v>534</v>
      </c>
      <c r="CX137" s="5" t="str">
        <f t="shared" ca="1" si="49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2"/>
        <v>438</v>
      </c>
      <c r="DC137" s="5" t="str">
        <f t="shared" ca="1" si="49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4"/>
        <v>640</v>
      </c>
      <c r="DH137" s="5" t="str">
        <f t="shared" ca="1" si="49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6"/>
        <v>374</v>
      </c>
      <c r="DM137" s="5" t="str">
        <f t="shared" ca="1" si="49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98"/>
        <v>684</v>
      </c>
      <c r="DR137" s="5" t="str">
        <f t="shared" ca="1" si="49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0"/>
        <v>513</v>
      </c>
      <c r="DW137" s="5" t="str">
        <f t="shared" ca="1" si="50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2"/>
        <v>510</v>
      </c>
      <c r="EB137" s="5" t="str">
        <f t="shared" ca="1" si="50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4"/>
        <v>589</v>
      </c>
      <c r="EG137" s="5" t="str">
        <f t="shared" ca="1" si="505"/>
        <v>VIGENTE</v>
      </c>
      <c r="EH137" s="3"/>
      <c r="EI137" s="3">
        <v>46085</v>
      </c>
      <c r="EJ137" s="4">
        <f t="shared" si="572"/>
        <v>46450</v>
      </c>
      <c r="EK137" s="8">
        <f t="shared" ca="1" si="506"/>
        <v>315</v>
      </c>
      <c r="EL137" s="5" t="str">
        <f t="shared" ca="1" si="50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08"/>
        <v>590</v>
      </c>
      <c r="EQ137" s="5" t="str">
        <f t="shared" ca="1" si="50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0"/>
        <v>391</v>
      </c>
      <c r="EV137" s="5" t="str">
        <f t="shared" ca="1" si="511"/>
        <v>VIGENTE</v>
      </c>
      <c r="EW137" s="2"/>
      <c r="EX137" s="4">
        <v>45953</v>
      </c>
      <c r="EY137" s="4">
        <f t="shared" si="460"/>
        <v>46683</v>
      </c>
      <c r="EZ137" s="8">
        <f t="shared" ca="1" si="512"/>
        <v>548</v>
      </c>
      <c r="FA137" s="5" t="str">
        <f t="shared" ca="1" si="513"/>
        <v>VIGENTE</v>
      </c>
      <c r="FB137" s="2"/>
      <c r="FC137" s="4">
        <v>45988</v>
      </c>
      <c r="FD137" s="4">
        <f t="shared" si="461"/>
        <v>46718</v>
      </c>
      <c r="FE137" s="8">
        <f t="shared" ca="1" si="514"/>
        <v>583</v>
      </c>
      <c r="FF137" s="5" t="str">
        <f t="shared" ca="1" si="515"/>
        <v>VIGENTE</v>
      </c>
      <c r="FG137" s="4"/>
      <c r="FH137" s="4">
        <v>45962</v>
      </c>
      <c r="FI137" s="4">
        <f t="shared" si="462"/>
        <v>46692</v>
      </c>
      <c r="FJ137" s="8">
        <f t="shared" ca="1" si="516"/>
        <v>557</v>
      </c>
      <c r="FK137" s="5" t="str">
        <f t="shared" ca="1" si="51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18"/>
        <v>634</v>
      </c>
      <c r="FP137" s="5" t="str">
        <f t="shared" ca="1" si="51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0"/>
        <v>552</v>
      </c>
      <c r="FU137" s="5" t="str">
        <f t="shared" ca="1" si="521"/>
        <v>VIGENTE</v>
      </c>
      <c r="FV137" s="3"/>
      <c r="FW137" s="4">
        <v>45908</v>
      </c>
      <c r="FX137" s="4">
        <f t="shared" si="463"/>
        <v>46638</v>
      </c>
      <c r="FY137" s="8">
        <f t="shared" ca="1" si="522"/>
        <v>503</v>
      </c>
      <c r="FZ137" s="5" t="str">
        <f t="shared" ca="1" si="52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4"/>
        <v>520</v>
      </c>
      <c r="GE137" s="5" t="str">
        <f t="shared" ca="1" si="52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6"/>
        <v>674</v>
      </c>
      <c r="GJ137" s="5" t="str">
        <f t="shared" ca="1" si="52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28"/>
        <v>540</v>
      </c>
      <c r="GO137" s="5" t="str">
        <f t="shared" ca="1" si="529"/>
        <v>VIGENTE</v>
      </c>
      <c r="GP137" s="4"/>
      <c r="GQ137" s="4">
        <v>45224</v>
      </c>
      <c r="GR137" s="4">
        <f t="shared" si="530"/>
        <v>47051</v>
      </c>
      <c r="GS137" s="8">
        <f t="shared" ca="1" si="416"/>
        <v>916</v>
      </c>
      <c r="GT137" s="5" t="str">
        <f t="shared" ca="1" si="428"/>
        <v>VIGENTE</v>
      </c>
      <c r="GU137" s="3"/>
      <c r="GV137" s="4">
        <v>45389</v>
      </c>
      <c r="GW137" s="4">
        <f t="shared" si="531"/>
        <v>47215</v>
      </c>
      <c r="GX137" s="8">
        <f t="shared" ca="1" si="532"/>
        <v>1080</v>
      </c>
      <c r="GY137" s="5" t="str">
        <f t="shared" ca="1" si="435"/>
        <v>VIGENTE</v>
      </c>
      <c r="GZ137" s="2"/>
      <c r="HA137" s="4">
        <v>45258</v>
      </c>
      <c r="HB137" s="4">
        <f t="shared" si="533"/>
        <v>47085</v>
      </c>
      <c r="HC137" s="8">
        <f t="shared" ca="1" si="534"/>
        <v>950</v>
      </c>
      <c r="HD137" s="5" t="str">
        <f t="shared" ca="1" si="43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36"/>
        <v>VIGENTE</v>
      </c>
      <c r="HJ137" s="2"/>
      <c r="HK137" s="6"/>
      <c r="HL137" s="4"/>
      <c r="HM137" s="8"/>
      <c r="HN137" s="5" t="str">
        <f t="shared" si="453"/>
        <v>NO APLICA</v>
      </c>
      <c r="HO137" s="2"/>
      <c r="HP137" s="2"/>
      <c r="HQ137" s="4"/>
      <c r="HR137" s="2"/>
      <c r="HS137" s="5" t="str">
        <f t="shared" si="535"/>
        <v>NO APLICA</v>
      </c>
      <c r="HT137" s="2"/>
      <c r="HU137" s="6"/>
      <c r="HV137" s="4"/>
      <c r="HW137" s="8"/>
      <c r="HX137" s="5" t="str">
        <f t="shared" si="536"/>
        <v>NO APLICA</v>
      </c>
      <c r="HY137" s="2"/>
      <c r="HZ137" s="6"/>
      <c r="IA137" s="4"/>
      <c r="IB137" s="8"/>
      <c r="IC137" s="5" t="str">
        <f t="shared" si="53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38"/>
        <v>VIGENTE</v>
      </c>
      <c r="II137" s="6"/>
      <c r="IJ137" s="6"/>
      <c r="IK137" s="4"/>
      <c r="IL137" s="8"/>
      <c r="IM137" s="5" t="str">
        <f t="shared" si="539"/>
        <v>NO APLICA</v>
      </c>
      <c r="IN137" s="2"/>
      <c r="IO137" s="4"/>
      <c r="IP137" s="4"/>
      <c r="IQ137" s="8"/>
      <c r="IR137" s="5" t="str">
        <f t="shared" si="54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4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42"/>
        <v>VIGENTE</v>
      </c>
      <c r="JC137" s="3"/>
      <c r="JD137" s="3"/>
      <c r="JE137" s="4"/>
      <c r="JF137" s="8"/>
      <c r="JG137" s="5" t="str">
        <f t="shared" si="543"/>
        <v>NO APLICA</v>
      </c>
      <c r="JH137" s="6"/>
      <c r="JI137" s="6"/>
      <c r="JJ137" s="6"/>
      <c r="JK137" s="6"/>
      <c r="JL137" s="5" t="str">
        <f t="shared" si="544"/>
        <v>NO APLICA</v>
      </c>
      <c r="JM137" s="6"/>
      <c r="JN137" s="6"/>
      <c r="JO137" s="6"/>
      <c r="JP137" s="6"/>
      <c r="JQ137" s="5" t="str">
        <f t="shared" si="545"/>
        <v>NO APLICA</v>
      </c>
      <c r="JR137" s="6"/>
      <c r="JS137" s="6"/>
      <c r="JT137" s="6"/>
      <c r="JU137" s="6"/>
      <c r="JV137" s="5" t="str">
        <f t="shared" si="546"/>
        <v>NO APLICA</v>
      </c>
      <c r="JW137" s="5"/>
      <c r="JX137" s="5"/>
      <c r="JY137" s="5"/>
      <c r="JZ137" s="5"/>
      <c r="KA137" s="5" t="str">
        <f t="shared" si="547"/>
        <v>NO APLICA</v>
      </c>
      <c r="KB137" s="5"/>
      <c r="KC137" s="2"/>
      <c r="KD137" s="4"/>
      <c r="KE137" s="8"/>
      <c r="KF137" s="5" t="str">
        <f t="shared" si="548"/>
        <v>NO APLICA</v>
      </c>
      <c r="KG137" s="5"/>
      <c r="KH137" s="2"/>
      <c r="KI137" s="4"/>
      <c r="KJ137" s="8"/>
      <c r="KK137" s="5" t="str">
        <f t="shared" si="573"/>
        <v>NO APLICA</v>
      </c>
      <c r="KL137" s="5"/>
      <c r="KM137" s="2"/>
      <c r="KN137" s="4"/>
      <c r="KO137" s="8"/>
      <c r="KP137" s="5" t="str">
        <f t="shared" si="549"/>
        <v>NO APLICA</v>
      </c>
      <c r="KQ137" s="5"/>
      <c r="KR137" s="2"/>
      <c r="KS137" s="4"/>
      <c r="KT137" s="8"/>
      <c r="KU137" s="5" t="str">
        <f t="shared" si="574"/>
        <v>NO APLICA</v>
      </c>
      <c r="KV137" s="2"/>
      <c r="KW137" s="6"/>
      <c r="KX137" s="4"/>
      <c r="KY137" s="8"/>
      <c r="KZ137" s="5" t="str">
        <f t="shared" si="579"/>
        <v>NO APLICA</v>
      </c>
      <c r="LA137" s="5"/>
      <c r="LB137" s="6"/>
      <c r="LC137" s="4"/>
      <c r="LD137" s="8"/>
      <c r="LE137" s="5" t="str">
        <f t="shared" si="575"/>
        <v>NO APLICA</v>
      </c>
      <c r="LF137" s="6"/>
      <c r="LG137" s="4"/>
      <c r="LH137" s="4"/>
      <c r="LI137" s="8"/>
      <c r="LJ137" s="5" t="str">
        <f t="shared" si="581"/>
        <v>NO APLICA</v>
      </c>
      <c r="LK137" s="5"/>
      <c r="LL137" s="5"/>
      <c r="LM137" s="4"/>
      <c r="LN137" s="8"/>
      <c r="LO137" s="5" t="str">
        <f t="shared" si="580"/>
        <v>NO APLICA</v>
      </c>
      <c r="LP137" s="2"/>
      <c r="LQ137" s="6"/>
      <c r="LR137" s="4"/>
      <c r="LS137" s="8"/>
      <c r="LT137" s="5" t="str">
        <f t="shared" si="576"/>
        <v>NO APLICA</v>
      </c>
      <c r="LU137" s="6"/>
      <c r="LV137" s="6"/>
      <c r="LW137" s="4"/>
      <c r="LX137" s="8"/>
      <c r="LY137" s="5" t="str">
        <f t="shared" si="577"/>
        <v>NO APLICA</v>
      </c>
      <c r="LZ137" s="6"/>
      <c r="MA137" s="6"/>
      <c r="MB137" s="4"/>
      <c r="MC137" s="8"/>
      <c r="MD137" s="5" t="str">
        <f t="shared" si="578"/>
        <v>NO APLICA</v>
      </c>
      <c r="ME137" s="2"/>
      <c r="MF137" s="2"/>
      <c r="MG137" s="4"/>
      <c r="MH137" s="8"/>
      <c r="MI137" s="5" t="str">
        <f t="shared" si="551"/>
        <v>NO APLICA</v>
      </c>
      <c r="MJ137" s="2"/>
      <c r="MK137" s="2"/>
      <c r="ML137" s="4"/>
      <c r="MM137" s="8"/>
      <c r="MN137" s="5" t="str">
        <f t="shared" si="552"/>
        <v>NO APLICA</v>
      </c>
      <c r="MO137" s="5"/>
      <c r="MP137" s="2"/>
      <c r="MQ137" s="4"/>
      <c r="MR137" s="8"/>
      <c r="MS137" s="5" t="str">
        <f t="shared" si="553"/>
        <v>NO APLICA</v>
      </c>
      <c r="MT137" s="5"/>
      <c r="MU137" s="2"/>
      <c r="MV137" s="4"/>
      <c r="MW137" s="2"/>
      <c r="MX137" s="5" t="str">
        <f t="shared" si="554"/>
        <v>NO APLICA</v>
      </c>
      <c r="MY137" s="2"/>
      <c r="MZ137" s="6"/>
      <c r="NA137" s="4"/>
      <c r="NB137" s="8"/>
      <c r="NC137" s="5" t="str">
        <f t="shared" si="555"/>
        <v>NO APLICA</v>
      </c>
      <c r="ND137" s="2"/>
      <c r="NE137" s="6"/>
      <c r="NF137" s="4"/>
      <c r="NG137" s="8"/>
      <c r="NH137" s="5" t="str">
        <f t="shared" si="556"/>
        <v>NO APLICA</v>
      </c>
      <c r="NI137" s="2"/>
      <c r="NJ137" s="6"/>
      <c r="NK137" s="4"/>
      <c r="NL137" s="8"/>
      <c r="NM137" s="5" t="str">
        <f t="shared" si="557"/>
        <v>NO APLICA</v>
      </c>
      <c r="NN137" s="2"/>
      <c r="NO137" s="2"/>
      <c r="NP137" s="4"/>
      <c r="NQ137" s="8"/>
      <c r="NR137" s="5" t="str">
        <f t="shared" si="558"/>
        <v>NO APLICA</v>
      </c>
      <c r="NS137" s="2"/>
      <c r="NT137" s="2"/>
      <c r="NU137" s="4"/>
      <c r="NV137" s="2"/>
      <c r="NW137" s="5" t="str">
        <f t="shared" si="559"/>
        <v>NO APLICA</v>
      </c>
      <c r="NX137" s="6"/>
      <c r="NY137" s="6"/>
      <c r="NZ137" s="4"/>
      <c r="OA137" s="8"/>
      <c r="OB137" s="5" t="str">
        <f t="shared" si="560"/>
        <v>NO APLICA</v>
      </c>
      <c r="OC137" s="6"/>
      <c r="OD137" s="6"/>
      <c r="OE137" s="6"/>
      <c r="OF137" s="6"/>
      <c r="OG137" s="5" t="str">
        <f t="shared" si="561"/>
        <v>NO APLICA</v>
      </c>
      <c r="OH137" s="6"/>
      <c r="OI137" s="6"/>
      <c r="OJ137" s="4"/>
      <c r="OK137" s="8"/>
      <c r="OL137" s="5" t="str">
        <f t="shared" si="562"/>
        <v>NO APLICA</v>
      </c>
      <c r="OM137" s="6"/>
      <c r="ON137" s="6"/>
      <c r="OO137" s="6"/>
      <c r="OP137" s="6"/>
      <c r="OQ137" s="5" t="str">
        <f t="shared" si="563"/>
        <v>NO APLICA</v>
      </c>
      <c r="OR137" s="6"/>
      <c r="OS137" s="6"/>
      <c r="OT137" s="6"/>
      <c r="OU137" s="6"/>
      <c r="OV137" s="5" t="str">
        <f t="shared" si="564"/>
        <v>NO APLICA</v>
      </c>
      <c r="OW137" s="6"/>
      <c r="OX137" s="6"/>
      <c r="OY137" s="6"/>
      <c r="OZ137" s="6"/>
      <c r="PA137" s="5" t="str">
        <f t="shared" si="565"/>
        <v>NO APLICA</v>
      </c>
      <c r="PB137" s="6"/>
      <c r="PC137" s="6"/>
      <c r="PD137" s="6"/>
      <c r="PE137" s="6"/>
      <c r="PF137" s="5" t="str">
        <f t="shared" si="566"/>
        <v>NO APLICA</v>
      </c>
      <c r="PG137" s="6"/>
      <c r="PH137" s="6"/>
      <c r="PI137" s="6"/>
      <c r="PJ137" s="6"/>
      <c r="PK137" s="5" t="str">
        <f t="shared" si="567"/>
        <v>NO APLICA</v>
      </c>
      <c r="PL137" s="5"/>
      <c r="PM137" s="6"/>
      <c r="PN137" s="4"/>
      <c r="PO137" s="8"/>
      <c r="PP137" s="5" t="str">
        <f t="shared" si="568"/>
        <v>NO APLICA</v>
      </c>
      <c r="PQ137" s="6"/>
      <c r="PR137" s="6"/>
      <c r="PS137" s="6"/>
      <c r="PT137" s="6"/>
      <c r="PU137" s="5" t="str">
        <f t="shared" si="569"/>
        <v>NO APLICA</v>
      </c>
      <c r="PV137" s="5"/>
      <c r="PW137" s="6"/>
      <c r="PX137" s="6"/>
      <c r="PY137" s="6"/>
      <c r="PZ137" s="5" t="str">
        <f t="shared" si="570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455</v>
      </c>
      <c r="D138" s="30" t="s">
        <v>69</v>
      </c>
      <c r="E138" s="31" t="s">
        <v>456</v>
      </c>
      <c r="F138" s="5"/>
      <c r="G138" s="6"/>
      <c r="H138" s="4"/>
      <c r="I138" s="8"/>
      <c r="J138" s="5" t="str">
        <f t="shared" si="464"/>
        <v>NO APLICA</v>
      </c>
      <c r="K138" s="5"/>
      <c r="L138" s="6"/>
      <c r="M138" s="6"/>
      <c r="N138" s="8"/>
      <c r="O138" s="5" t="str">
        <f t="shared" si="465"/>
        <v>NO APLICA</v>
      </c>
      <c r="P138" s="6"/>
      <c r="Q138" s="6"/>
      <c r="R138" s="4"/>
      <c r="S138" s="8"/>
      <c r="T138" s="5" t="str">
        <f t="shared" si="571"/>
        <v>NO APLICA</v>
      </c>
      <c r="U138" s="5"/>
      <c r="V138" s="2" t="s">
        <v>457</v>
      </c>
      <c r="W138" s="4">
        <v>45401</v>
      </c>
      <c r="X138" s="4">
        <f t="shared" si="419"/>
        <v>47227</v>
      </c>
      <c r="Y138" s="8">
        <f t="shared" ca="1" si="420"/>
        <v>1092</v>
      </c>
      <c r="Z138" s="5" t="str">
        <f t="shared" ca="1" si="421"/>
        <v>VIGENTE</v>
      </c>
      <c r="AA138" s="5"/>
      <c r="AB138" s="2" t="s">
        <v>458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6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67"/>
        <v>183</v>
      </c>
      <c r="AK138" s="5" t="str">
        <f t="shared" ca="1" si="41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68"/>
        <v>112</v>
      </c>
      <c r="AP138" s="5" t="str">
        <f t="shared" ca="1" si="46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0"/>
        <v>99</v>
      </c>
      <c r="AU138" s="5" t="str">
        <f t="shared" ca="1" si="47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2"/>
        <v>108</v>
      </c>
      <c r="AZ138" s="5" t="str">
        <f t="shared" ca="1" si="47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4"/>
        <v>109</v>
      </c>
      <c r="BE138" s="5" t="str">
        <f t="shared" ca="1" si="47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6"/>
        <v>199</v>
      </c>
      <c r="BJ138" s="5" t="str">
        <f t="shared" ca="1" si="47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78"/>
        <v>293</v>
      </c>
      <c r="BO138" s="5" t="str">
        <f t="shared" ca="1" si="47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0"/>
        <v>198</v>
      </c>
      <c r="BT138" s="5" t="str">
        <f t="shared" ca="1" si="48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2"/>
        <v>166</v>
      </c>
      <c r="BY138" s="5" t="str">
        <f t="shared" ca="1" si="48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4"/>
        <v>324</v>
      </c>
      <c r="CD138" s="5" t="str">
        <f t="shared" ca="1" si="485"/>
        <v>VIGENTE</v>
      </c>
      <c r="CE138" s="6" t="s">
        <v>73</v>
      </c>
      <c r="CF138" s="4">
        <v>45393</v>
      </c>
      <c r="CG138" s="4">
        <f t="shared" si="425"/>
        <v>46854</v>
      </c>
      <c r="CH138" s="8">
        <f t="shared" ca="1" si="426"/>
        <v>719</v>
      </c>
      <c r="CI138" s="5" t="str">
        <f t="shared" ca="1" si="42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6"/>
        <v>98</v>
      </c>
      <c r="CN138" s="5" t="str">
        <f t="shared" ca="1" si="48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88"/>
        <v>278</v>
      </c>
      <c r="CS138" s="5" t="str">
        <f t="shared" ca="1" si="48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0"/>
        <v>233</v>
      </c>
      <c r="CX138" s="5" t="str">
        <f t="shared" ca="1" si="49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2"/>
        <v>259</v>
      </c>
      <c r="DC138" s="5" t="str">
        <f t="shared" ca="1" si="49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4"/>
        <v>190</v>
      </c>
      <c r="DH138" s="5" t="str">
        <f t="shared" ca="1" si="49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6"/>
        <v>174</v>
      </c>
      <c r="DM138" s="5" t="str">
        <f t="shared" ca="1" si="49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98"/>
        <v>171</v>
      </c>
      <c r="DR138" s="5" t="str">
        <f t="shared" ca="1" si="49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0"/>
        <v>213</v>
      </c>
      <c r="DW138" s="5" t="str">
        <f t="shared" ca="1" si="50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2"/>
        <v>257</v>
      </c>
      <c r="EB138" s="5" t="str">
        <f t="shared" ca="1" si="50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4"/>
        <v>268</v>
      </c>
      <c r="EG138" s="5" t="str">
        <f t="shared" ca="1" si="505"/>
        <v>VIGENTE</v>
      </c>
      <c r="EH138" s="3"/>
      <c r="EI138" s="3">
        <v>46085</v>
      </c>
      <c r="EJ138" s="4">
        <f t="shared" si="572"/>
        <v>46450</v>
      </c>
      <c r="EK138" s="8">
        <f t="shared" ca="1" si="506"/>
        <v>315</v>
      </c>
      <c r="EL138" s="5" t="str">
        <f t="shared" ca="1" si="50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08"/>
        <v>206</v>
      </c>
      <c r="EQ138" s="5" t="str">
        <f t="shared" ca="1" si="50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0"/>
        <v>169</v>
      </c>
      <c r="EV138" s="5" t="str">
        <f t="shared" ca="1" si="51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2"/>
        <v>204</v>
      </c>
      <c r="FA138" s="5" t="str">
        <f t="shared" ca="1" si="51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4"/>
        <v>260</v>
      </c>
      <c r="FF138" s="5" t="str">
        <f t="shared" ca="1" si="51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6"/>
        <v>262</v>
      </c>
      <c r="FK138" s="5" t="str">
        <f t="shared" ca="1" si="51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18"/>
        <v>264</v>
      </c>
      <c r="FP138" s="5" t="str">
        <f t="shared" ca="1" si="51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0"/>
        <v>180</v>
      </c>
      <c r="FU138" s="5" t="str">
        <f t="shared" ca="1" si="52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2"/>
        <v>168</v>
      </c>
      <c r="FZ138" s="5" t="str">
        <f t="shared" ca="1" si="52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4"/>
        <v>261</v>
      </c>
      <c r="GE138" s="5" t="str">
        <f t="shared" ca="1" si="52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6"/>
        <v>173</v>
      </c>
      <c r="GJ138" s="5" t="str">
        <f t="shared" ca="1" si="52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28"/>
        <v>151</v>
      </c>
      <c r="GO138" s="5" t="str">
        <f t="shared" ca="1" si="529"/>
        <v>VIGENTE</v>
      </c>
      <c r="GP138" s="4"/>
      <c r="GQ138" s="4">
        <v>44952</v>
      </c>
      <c r="GR138" s="4">
        <f t="shared" si="530"/>
        <v>46778</v>
      </c>
      <c r="GS138" s="8">
        <f t="shared" ca="1" si="416"/>
        <v>643</v>
      </c>
      <c r="GT138" s="5" t="str">
        <f t="shared" ca="1" si="428"/>
        <v>VIGENTE</v>
      </c>
      <c r="GU138" s="3"/>
      <c r="GV138" s="4">
        <v>45010</v>
      </c>
      <c r="GW138" s="4">
        <f t="shared" si="531"/>
        <v>46837</v>
      </c>
      <c r="GX138" s="8">
        <f t="shared" ca="1" si="532"/>
        <v>702</v>
      </c>
      <c r="GY138" s="5" t="str">
        <f t="shared" ca="1" si="435"/>
        <v>VIGENTE</v>
      </c>
      <c r="GZ138" s="3"/>
      <c r="HA138" s="4">
        <v>45499</v>
      </c>
      <c r="HB138" s="4">
        <f t="shared" si="533"/>
        <v>47325</v>
      </c>
      <c r="HC138" s="8">
        <f t="shared" ca="1" si="534"/>
        <v>1190</v>
      </c>
      <c r="HD138" s="5" t="str">
        <f t="shared" ca="1" si="43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36"/>
        <v>VIGENTE</v>
      </c>
      <c r="HJ138" s="2"/>
      <c r="HK138" s="6"/>
      <c r="HL138" s="4"/>
      <c r="HM138" s="8"/>
      <c r="HN138" s="5" t="str">
        <f t="shared" si="453"/>
        <v>NO APLICA</v>
      </c>
      <c r="HO138" s="2"/>
      <c r="HP138" s="2"/>
      <c r="HQ138" s="4"/>
      <c r="HR138" s="2"/>
      <c r="HS138" s="5" t="str">
        <f t="shared" si="53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3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3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3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3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4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4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42"/>
        <v>VIGENTE</v>
      </c>
      <c r="JC138" s="3"/>
      <c r="JD138" s="3"/>
      <c r="JE138" s="4"/>
      <c r="JF138" s="8"/>
      <c r="JG138" s="5" t="str">
        <f t="shared" si="543"/>
        <v>NO APLICA</v>
      </c>
      <c r="JH138" s="6"/>
      <c r="JI138" s="6"/>
      <c r="JJ138" s="6"/>
      <c r="JK138" s="6"/>
      <c r="JL138" s="5" t="str">
        <f t="shared" si="544"/>
        <v>NO APLICA</v>
      </c>
      <c r="JM138" s="6"/>
      <c r="JN138" s="6"/>
      <c r="JO138" s="6"/>
      <c r="JP138" s="6"/>
      <c r="JQ138" s="5" t="str">
        <f t="shared" si="545"/>
        <v>NO APLICA</v>
      </c>
      <c r="JR138" s="6"/>
      <c r="JS138" s="6"/>
      <c r="JT138" s="6"/>
      <c r="JU138" s="6"/>
      <c r="JV138" s="5" t="str">
        <f t="shared" si="546"/>
        <v>NO APLICA</v>
      </c>
      <c r="JW138" s="5"/>
      <c r="JX138" s="5"/>
      <c r="JY138" s="5"/>
      <c r="JZ138" s="5"/>
      <c r="KA138" s="5" t="str">
        <f t="shared" si="547"/>
        <v>NO APLICA</v>
      </c>
      <c r="KB138" s="5"/>
      <c r="KC138" s="2"/>
      <c r="KD138" s="4"/>
      <c r="KE138" s="8"/>
      <c r="KF138" s="5" t="str">
        <f t="shared" si="548"/>
        <v>NO APLICA</v>
      </c>
      <c r="KG138" s="5"/>
      <c r="KH138" s="2"/>
      <c r="KI138" s="4"/>
      <c r="KJ138" s="8"/>
      <c r="KK138" s="5" t="str">
        <f t="shared" si="573"/>
        <v>NO APLICA</v>
      </c>
      <c r="KL138" s="5"/>
      <c r="KM138" s="2"/>
      <c r="KN138" s="4"/>
      <c r="KO138" s="8"/>
      <c r="KP138" s="5" t="str">
        <f t="shared" si="549"/>
        <v>NO APLICA</v>
      </c>
      <c r="KQ138" s="5"/>
      <c r="KR138" s="2"/>
      <c r="KS138" s="4"/>
      <c r="KT138" s="8"/>
      <c r="KU138" s="5" t="str">
        <f t="shared" si="574"/>
        <v>NO APLICA</v>
      </c>
      <c r="KV138" s="2"/>
      <c r="KW138" s="6"/>
      <c r="KX138" s="4"/>
      <c r="KY138" s="8"/>
      <c r="KZ138" s="5" t="str">
        <f t="shared" si="579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75"/>
        <v>VIGENTE</v>
      </c>
      <c r="LF138" s="6"/>
      <c r="LG138" s="6"/>
      <c r="LH138" s="4"/>
      <c r="LI138" s="8"/>
      <c r="LJ138" s="5" t="str">
        <f t="shared" si="581"/>
        <v>NO APLICA</v>
      </c>
      <c r="LK138" s="5"/>
      <c r="LL138" s="5"/>
      <c r="LM138" s="4"/>
      <c r="LN138" s="8"/>
      <c r="LO138" s="5" t="str">
        <f t="shared" si="580"/>
        <v>NO APLICA</v>
      </c>
      <c r="LP138" s="2"/>
      <c r="LQ138" s="6"/>
      <c r="LR138" s="4"/>
      <c r="LS138" s="8"/>
      <c r="LT138" s="5" t="str">
        <f t="shared" si="576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77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78"/>
        <v>VIGENTE</v>
      </c>
      <c r="ME138" s="2"/>
      <c r="MF138" s="2"/>
      <c r="MG138" s="4"/>
      <c r="MH138" s="8"/>
      <c r="MI138" s="5" t="str">
        <f t="shared" si="551"/>
        <v>NO APLICA</v>
      </c>
      <c r="MJ138" s="2"/>
      <c r="MK138" s="2"/>
      <c r="ML138" s="4"/>
      <c r="MM138" s="8"/>
      <c r="MN138" s="5" t="str">
        <f t="shared" si="552"/>
        <v>NO APLICA</v>
      </c>
      <c r="MO138" s="5"/>
      <c r="MP138" s="2"/>
      <c r="MQ138" s="4"/>
      <c r="MR138" s="8"/>
      <c r="MS138" s="5" t="str">
        <f t="shared" si="553"/>
        <v>NO APLICA</v>
      </c>
      <c r="MT138" s="5"/>
      <c r="MU138" s="2"/>
      <c r="MV138" s="4"/>
      <c r="MW138" s="2"/>
      <c r="MX138" s="5" t="str">
        <f t="shared" si="554"/>
        <v>NO APLICA</v>
      </c>
      <c r="MY138" s="2"/>
      <c r="MZ138" s="6"/>
      <c r="NA138" s="4"/>
      <c r="NB138" s="8"/>
      <c r="NC138" s="5" t="str">
        <f t="shared" si="555"/>
        <v>NO APLICA</v>
      </c>
      <c r="ND138" s="2"/>
      <c r="NE138" s="6"/>
      <c r="NF138" s="4"/>
      <c r="NG138" s="8"/>
      <c r="NH138" s="5" t="str">
        <f t="shared" si="556"/>
        <v>NO APLICA</v>
      </c>
      <c r="NI138" s="2"/>
      <c r="NJ138" s="6"/>
      <c r="NK138" s="4"/>
      <c r="NL138" s="8"/>
      <c r="NM138" s="5" t="str">
        <f t="shared" si="557"/>
        <v>NO APLICA</v>
      </c>
      <c r="NN138" s="2"/>
      <c r="NO138" s="2"/>
      <c r="NP138" s="4"/>
      <c r="NQ138" s="2"/>
      <c r="NR138" s="5" t="str">
        <f t="shared" si="558"/>
        <v>NO APLICA</v>
      </c>
      <c r="NS138" s="2"/>
      <c r="NT138" s="2"/>
      <c r="NU138" s="2"/>
      <c r="NV138" s="2"/>
      <c r="NW138" s="5" t="str">
        <f t="shared" si="559"/>
        <v>NO APLICA</v>
      </c>
      <c r="NX138" s="6"/>
      <c r="NY138" s="6"/>
      <c r="NZ138" s="4"/>
      <c r="OA138" s="8"/>
      <c r="OB138" s="5" t="str">
        <f t="shared" si="560"/>
        <v>NO APLICA</v>
      </c>
      <c r="OC138" s="6"/>
      <c r="OD138" s="6"/>
      <c r="OE138" s="6"/>
      <c r="OF138" s="6"/>
      <c r="OG138" s="5" t="str">
        <f t="shared" si="561"/>
        <v>NO APLICA</v>
      </c>
      <c r="OH138" s="6"/>
      <c r="OI138" s="6"/>
      <c r="OJ138" s="4"/>
      <c r="OK138" s="8"/>
      <c r="OL138" s="5" t="str">
        <f t="shared" si="562"/>
        <v>NO APLICA</v>
      </c>
      <c r="OM138" s="6"/>
      <c r="ON138" s="6"/>
      <c r="OO138" s="6"/>
      <c r="OP138" s="6"/>
      <c r="OQ138" s="5" t="str">
        <f t="shared" si="563"/>
        <v>NO APLICA</v>
      </c>
      <c r="OR138" s="6"/>
      <c r="OS138" s="6"/>
      <c r="OT138" s="6"/>
      <c r="OU138" s="6"/>
      <c r="OV138" s="5" t="str">
        <f t="shared" si="564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65"/>
        <v>VIGENTE</v>
      </c>
      <c r="PB138" s="6"/>
      <c r="PC138" s="6"/>
      <c r="PD138" s="6"/>
      <c r="PE138" s="6"/>
      <c r="PF138" s="5" t="str">
        <f t="shared" si="566"/>
        <v>NO APLICA</v>
      </c>
      <c r="PG138" s="6"/>
      <c r="PH138" s="6"/>
      <c r="PI138" s="6"/>
      <c r="PJ138" s="6"/>
      <c r="PK138" s="5" t="str">
        <f t="shared" si="567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68"/>
        <v>VIGENTE</v>
      </c>
      <c r="PQ138" s="6"/>
      <c r="PR138" s="6"/>
      <c r="PS138" s="6"/>
      <c r="PT138" s="6"/>
      <c r="PU138" s="5" t="str">
        <f t="shared" si="569"/>
        <v>NO APLICA</v>
      </c>
      <c r="PV138" s="5"/>
      <c r="PW138" s="6"/>
      <c r="PX138" s="6"/>
      <c r="PY138" s="6"/>
      <c r="PZ138" s="5" t="str">
        <f t="shared" si="570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459</v>
      </c>
      <c r="D139" s="30" t="s">
        <v>115</v>
      </c>
      <c r="E139" s="31" t="s">
        <v>177</v>
      </c>
      <c r="F139" s="5"/>
      <c r="G139" s="6"/>
      <c r="H139" s="4"/>
      <c r="I139" s="8"/>
      <c r="J139" s="5" t="str">
        <f t="shared" si="464"/>
        <v>NO APLICA</v>
      </c>
      <c r="K139" s="5"/>
      <c r="L139" s="6"/>
      <c r="M139" s="6"/>
      <c r="N139" s="8"/>
      <c r="O139" s="5" t="str">
        <f t="shared" si="465"/>
        <v>NO APLICA</v>
      </c>
      <c r="P139" s="6"/>
      <c r="Q139" s="6"/>
      <c r="R139" s="4"/>
      <c r="S139" s="8"/>
      <c r="T139" s="5" t="str">
        <f t="shared" si="571"/>
        <v>NO APLICA</v>
      </c>
      <c r="U139" s="5"/>
      <c r="V139" s="2" t="s">
        <v>460</v>
      </c>
      <c r="W139" s="4">
        <v>44944</v>
      </c>
      <c r="X139" s="4">
        <f t="shared" si="419"/>
        <v>46770</v>
      </c>
      <c r="Y139" s="8">
        <f t="shared" ca="1" si="420"/>
        <v>635</v>
      </c>
      <c r="Z139" s="5" t="str">
        <f t="shared" ca="1" si="421"/>
        <v>VIGENTE</v>
      </c>
      <c r="AA139" s="5"/>
      <c r="AB139" s="2"/>
      <c r="AC139" s="6"/>
      <c r="AD139" s="4"/>
      <c r="AE139" s="8"/>
      <c r="AF139" s="5" t="str">
        <f t="shared" si="46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67"/>
        <v>497</v>
      </c>
      <c r="AK139" s="5" t="str">
        <f t="shared" ca="1" si="41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68"/>
        <v>521</v>
      </c>
      <c r="AP139" s="5" t="str">
        <f t="shared" ca="1" si="46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0"/>
        <v>499</v>
      </c>
      <c r="AU139" s="5" t="str">
        <f t="shared" ca="1" si="47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2"/>
        <v>522</v>
      </c>
      <c r="AZ139" s="5" t="str">
        <f t="shared" ca="1" si="47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4"/>
        <v>496</v>
      </c>
      <c r="BE139" s="5" t="str">
        <f t="shared" ca="1" si="47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6"/>
        <v>563</v>
      </c>
      <c r="BJ139" s="5" t="str">
        <f t="shared" ca="1" si="47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78"/>
        <v>571</v>
      </c>
      <c r="BO139" s="5" t="str">
        <f t="shared" ca="1" si="47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0"/>
        <v>583</v>
      </c>
      <c r="BT139" s="5" t="str">
        <f t="shared" ca="1" si="48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2"/>
        <v>545</v>
      </c>
      <c r="BY139" s="5" t="str">
        <f t="shared" ca="1" si="48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4"/>
        <v>539</v>
      </c>
      <c r="CD139" s="5" t="str">
        <f t="shared" ca="1" si="485"/>
        <v>VIGENTE</v>
      </c>
      <c r="CE139" s="6" t="s">
        <v>68</v>
      </c>
      <c r="CF139" s="4">
        <v>45832</v>
      </c>
      <c r="CG139" s="4">
        <f t="shared" si="425"/>
        <v>47293</v>
      </c>
      <c r="CH139" s="8">
        <f t="shared" ca="1" si="426"/>
        <v>1158</v>
      </c>
      <c r="CI139" s="5" t="str">
        <f t="shared" ca="1" si="42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6"/>
        <v>524</v>
      </c>
      <c r="CN139" s="5" t="str">
        <f t="shared" ca="1" si="48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88"/>
        <v>477</v>
      </c>
      <c r="CS139" s="5" t="str">
        <f t="shared" ca="1" si="48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0"/>
        <v>560</v>
      </c>
      <c r="CX139" s="5" t="str">
        <f t="shared" ca="1" si="49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2"/>
        <v>438</v>
      </c>
      <c r="DC139" s="5" t="str">
        <f t="shared" ca="1" si="49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4"/>
        <v>491</v>
      </c>
      <c r="DH139" s="5" t="str">
        <f t="shared" ca="1" si="49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6"/>
        <v>570</v>
      </c>
      <c r="DM139" s="5" t="str">
        <f t="shared" ca="1" si="49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98"/>
        <v>468</v>
      </c>
      <c r="DR139" s="5" t="str">
        <f t="shared" ca="1" si="49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0"/>
        <v>613</v>
      </c>
      <c r="DW139" s="5" t="str">
        <f t="shared" ca="1" si="50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2"/>
        <v>510</v>
      </c>
      <c r="EB139" s="5" t="str">
        <f t="shared" ca="1" si="50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4"/>
        <v>533</v>
      </c>
      <c r="EG139" s="5" t="str">
        <f t="shared" ca="1" si="505"/>
        <v>VIGENTE</v>
      </c>
      <c r="EH139" s="3"/>
      <c r="EI139" s="3">
        <v>46002</v>
      </c>
      <c r="EJ139" s="4">
        <f t="shared" si="572"/>
        <v>46367</v>
      </c>
      <c r="EK139" s="8">
        <f t="shared" ca="1" si="506"/>
        <v>232</v>
      </c>
      <c r="EL139" s="5" t="str">
        <f t="shared" ca="1" si="50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08"/>
        <v>535</v>
      </c>
      <c r="EQ139" s="5" t="str">
        <f t="shared" ca="1" si="50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0"/>
        <v>588</v>
      </c>
      <c r="EV139" s="5" t="str">
        <f t="shared" ca="1" si="51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2"/>
        <v>512</v>
      </c>
      <c r="FA139" s="5" t="str">
        <f t="shared" ca="1" si="51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4"/>
        <v>526</v>
      </c>
      <c r="FF139" s="5" t="str">
        <f t="shared" ca="1" si="51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6"/>
        <v>527</v>
      </c>
      <c r="FK139" s="5" t="str">
        <f t="shared" ca="1" si="51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18"/>
        <v>528</v>
      </c>
      <c r="FP139" s="5" t="str">
        <f t="shared" ca="1" si="51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0"/>
        <v>552</v>
      </c>
      <c r="FU139" s="5" t="str">
        <f t="shared" ca="1" si="52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2"/>
        <v>536</v>
      </c>
      <c r="FZ139" s="5" t="str">
        <f t="shared" ca="1" si="52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4"/>
        <v>428</v>
      </c>
      <c r="GE139" s="5" t="str">
        <f t="shared" ca="1" si="52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6"/>
        <v>555</v>
      </c>
      <c r="GJ139" s="5" t="str">
        <f t="shared" ca="1" si="52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28"/>
        <v>540</v>
      </c>
      <c r="GO139" s="5" t="str">
        <f t="shared" ca="1" si="529"/>
        <v>VIGENTE</v>
      </c>
      <c r="GP139" s="4"/>
      <c r="GQ139" s="4">
        <v>45181</v>
      </c>
      <c r="GR139" s="4">
        <f t="shared" si="530"/>
        <v>47008</v>
      </c>
      <c r="GS139" s="8">
        <f t="shared" ca="1" si="416"/>
        <v>873</v>
      </c>
      <c r="GT139" s="5" t="str">
        <f t="shared" ca="1" si="428"/>
        <v>VIGENTE</v>
      </c>
      <c r="GU139" s="3"/>
      <c r="GV139" s="4">
        <v>45267</v>
      </c>
      <c r="GW139" s="4">
        <f t="shared" si="531"/>
        <v>47094</v>
      </c>
      <c r="GX139" s="8">
        <f t="shared" ca="1" si="532"/>
        <v>959</v>
      </c>
      <c r="GY139" s="5" t="str">
        <f t="shared" ca="1" si="435"/>
        <v>VIGENTE</v>
      </c>
      <c r="GZ139" s="2"/>
      <c r="HA139" s="4">
        <v>45251</v>
      </c>
      <c r="HB139" s="4">
        <f t="shared" si="533"/>
        <v>47078</v>
      </c>
      <c r="HC139" s="8">
        <f t="shared" ca="1" si="534"/>
        <v>943</v>
      </c>
      <c r="HD139" s="5" t="str">
        <f t="shared" ca="1" si="430"/>
        <v>VIGENTE</v>
      </c>
      <c r="HE139" s="6"/>
      <c r="HF139" s="6"/>
      <c r="HG139" s="4"/>
      <c r="HH139" s="8"/>
      <c r="HI139" s="5" t="str">
        <f t="shared" si="436"/>
        <v>NO APLICA</v>
      </c>
      <c r="HJ139" s="2"/>
      <c r="HK139" s="6"/>
      <c r="HL139" s="4"/>
      <c r="HM139" s="8"/>
      <c r="HN139" s="5" t="str">
        <f t="shared" si="453"/>
        <v>NO APLICA</v>
      </c>
      <c r="HO139" s="2"/>
      <c r="HP139" s="2"/>
      <c r="HQ139" s="4"/>
      <c r="HR139" s="2"/>
      <c r="HS139" s="5" t="str">
        <f t="shared" si="535"/>
        <v>NO APLICA</v>
      </c>
      <c r="HT139" s="2"/>
      <c r="HU139" s="6"/>
      <c r="HV139" s="4"/>
      <c r="HW139" s="8"/>
      <c r="HX139" s="5" t="str">
        <f t="shared" si="536"/>
        <v>NO APLICA</v>
      </c>
      <c r="HY139" s="2"/>
      <c r="HZ139" s="6"/>
      <c r="IA139" s="4"/>
      <c r="IB139" s="8"/>
      <c r="IC139" s="5" t="str">
        <f t="shared" si="537"/>
        <v>NO APLICA</v>
      </c>
      <c r="ID139" s="2"/>
      <c r="IE139" s="6"/>
      <c r="IF139" s="4"/>
      <c r="IG139" s="8"/>
      <c r="IH139" s="5" t="str">
        <f t="shared" si="538"/>
        <v>NO APLICA</v>
      </c>
      <c r="II139" s="6"/>
      <c r="IJ139" s="6"/>
      <c r="IK139" s="4"/>
      <c r="IL139" s="8"/>
      <c r="IM139" s="5" t="str">
        <f t="shared" si="539"/>
        <v>NO APLICA</v>
      </c>
      <c r="IN139" s="2"/>
      <c r="IO139" s="6"/>
      <c r="IP139" s="4"/>
      <c r="IQ139" s="8"/>
      <c r="IR139" s="5" t="str">
        <f t="shared" si="540"/>
        <v>NO APLICA</v>
      </c>
      <c r="IS139" s="2"/>
      <c r="IT139" s="6"/>
      <c r="IU139" s="4"/>
      <c r="IV139" s="8"/>
      <c r="IW139" s="5" t="str">
        <f t="shared" si="541"/>
        <v>NO APLICA</v>
      </c>
      <c r="IX139" s="2"/>
      <c r="IY139" s="6"/>
      <c r="IZ139" s="4"/>
      <c r="JA139" s="8"/>
      <c r="JB139" s="5" t="str">
        <f t="shared" si="542"/>
        <v>NO APLICA</v>
      </c>
      <c r="JC139" s="3"/>
      <c r="JD139" s="3"/>
      <c r="JE139" s="4"/>
      <c r="JF139" s="8"/>
      <c r="JG139" s="5" t="str">
        <f t="shared" si="543"/>
        <v>NO APLICA</v>
      </c>
      <c r="JH139" s="6"/>
      <c r="JI139" s="6"/>
      <c r="JJ139" s="6"/>
      <c r="JK139" s="6"/>
      <c r="JL139" s="5" t="str">
        <f t="shared" si="544"/>
        <v>NO APLICA</v>
      </c>
      <c r="JM139" s="6"/>
      <c r="JN139" s="6"/>
      <c r="JO139" s="6"/>
      <c r="JP139" s="6"/>
      <c r="JQ139" s="5" t="str">
        <f t="shared" si="545"/>
        <v>NO APLICA</v>
      </c>
      <c r="JR139" s="6"/>
      <c r="JS139" s="6"/>
      <c r="JT139" s="6"/>
      <c r="JU139" s="6"/>
      <c r="JV139" s="5" t="str">
        <f t="shared" si="546"/>
        <v>NO APLICA</v>
      </c>
      <c r="JW139" s="5"/>
      <c r="JX139" s="5"/>
      <c r="JY139" s="5"/>
      <c r="JZ139" s="5"/>
      <c r="KA139" s="5" t="str">
        <f t="shared" si="547"/>
        <v>NO APLICA</v>
      </c>
      <c r="KB139" s="5"/>
      <c r="KC139" s="2"/>
      <c r="KD139" s="4"/>
      <c r="KE139" s="8"/>
      <c r="KF139" s="5" t="str">
        <f t="shared" si="548"/>
        <v>NO APLICA</v>
      </c>
      <c r="KG139" s="5"/>
      <c r="KH139" s="2"/>
      <c r="KI139" s="4"/>
      <c r="KJ139" s="8"/>
      <c r="KK139" s="5" t="str">
        <f t="shared" si="573"/>
        <v>NO APLICA</v>
      </c>
      <c r="KL139" s="5"/>
      <c r="KM139" s="2"/>
      <c r="KN139" s="4"/>
      <c r="KO139" s="8"/>
      <c r="KP139" s="5" t="str">
        <f t="shared" si="549"/>
        <v>NO APLICA</v>
      </c>
      <c r="KQ139" s="5"/>
      <c r="KR139" s="2"/>
      <c r="KS139" s="4"/>
      <c r="KT139" s="8"/>
      <c r="KU139" s="5" t="str">
        <f t="shared" si="574"/>
        <v>NO APLICA</v>
      </c>
      <c r="KV139" s="2"/>
      <c r="KW139" s="6"/>
      <c r="KX139" s="4"/>
      <c r="KY139" s="8"/>
      <c r="KZ139" s="5" t="str">
        <f t="shared" si="579"/>
        <v>NO APLICA</v>
      </c>
      <c r="LA139" s="5"/>
      <c r="LB139" s="6"/>
      <c r="LC139" s="4"/>
      <c r="LD139" s="8"/>
      <c r="LE139" s="5" t="str">
        <f t="shared" si="575"/>
        <v>NO APLICA</v>
      </c>
      <c r="LF139" s="6"/>
      <c r="LG139" s="6"/>
      <c r="LH139" s="4"/>
      <c r="LI139" s="8"/>
      <c r="LJ139" s="5" t="str">
        <f t="shared" si="581"/>
        <v>NO APLICA</v>
      </c>
      <c r="LK139" s="5"/>
      <c r="LL139" s="5"/>
      <c r="LM139" s="4"/>
      <c r="LN139" s="8"/>
      <c r="LO139" s="5" t="str">
        <f t="shared" si="580"/>
        <v>NO APLICA</v>
      </c>
      <c r="LP139" s="2"/>
      <c r="LQ139" s="6"/>
      <c r="LR139" s="4"/>
      <c r="LS139" s="8"/>
      <c r="LT139" s="5" t="str">
        <f t="shared" si="576"/>
        <v>NO APLICA</v>
      </c>
      <c r="LU139" s="6"/>
      <c r="LV139" s="6"/>
      <c r="LW139" s="4"/>
      <c r="LX139" s="8"/>
      <c r="LY139" s="5" t="str">
        <f t="shared" si="577"/>
        <v>NO APLICA</v>
      </c>
      <c r="LZ139" s="6"/>
      <c r="MA139" s="6"/>
      <c r="MB139" s="4"/>
      <c r="MC139" s="8"/>
      <c r="MD139" s="5" t="str">
        <f t="shared" si="578"/>
        <v>NO APLICA</v>
      </c>
      <c r="ME139" s="2"/>
      <c r="MF139" s="2"/>
      <c r="MG139" s="4"/>
      <c r="MH139" s="8"/>
      <c r="MI139" s="5" t="str">
        <f t="shared" si="551"/>
        <v>NO APLICA</v>
      </c>
      <c r="MJ139" s="2"/>
      <c r="MK139" s="2"/>
      <c r="ML139" s="4"/>
      <c r="MM139" s="8"/>
      <c r="MN139" s="5" t="str">
        <f t="shared" si="552"/>
        <v>NO APLICA</v>
      </c>
      <c r="MO139" s="5"/>
      <c r="MP139" s="2"/>
      <c r="MQ139" s="4"/>
      <c r="MR139" s="8"/>
      <c r="MS139" s="5" t="str">
        <f t="shared" si="553"/>
        <v>NO APLICA</v>
      </c>
      <c r="MT139" s="5"/>
      <c r="MU139" s="2"/>
      <c r="MV139" s="4"/>
      <c r="MW139" s="2"/>
      <c r="MX139" s="5" t="str">
        <f t="shared" si="554"/>
        <v>NO APLICA</v>
      </c>
      <c r="MY139" s="2"/>
      <c r="MZ139" s="6"/>
      <c r="NA139" s="4"/>
      <c r="NB139" s="8"/>
      <c r="NC139" s="5" t="str">
        <f t="shared" si="555"/>
        <v>NO APLICA</v>
      </c>
      <c r="ND139" s="2"/>
      <c r="NE139" s="6"/>
      <c r="NF139" s="4"/>
      <c r="NG139" s="8"/>
      <c r="NH139" s="5" t="str">
        <f t="shared" si="556"/>
        <v>NO APLICA</v>
      </c>
      <c r="NI139" s="2"/>
      <c r="NJ139" s="6"/>
      <c r="NK139" s="4"/>
      <c r="NL139" s="8"/>
      <c r="NM139" s="5" t="str">
        <f t="shared" si="557"/>
        <v>NO APLICA</v>
      </c>
      <c r="NN139" s="2"/>
      <c r="NO139" s="2"/>
      <c r="NP139" s="4"/>
      <c r="NQ139" s="8"/>
      <c r="NR139" s="5" t="str">
        <f t="shared" si="558"/>
        <v>NO APLICA</v>
      </c>
      <c r="NS139" s="2"/>
      <c r="NT139" s="2"/>
      <c r="NU139" s="4"/>
      <c r="NV139" s="2"/>
      <c r="NW139" s="5" t="str">
        <f t="shared" si="559"/>
        <v>NO APLICA</v>
      </c>
      <c r="NX139" s="6"/>
      <c r="NY139" s="6"/>
      <c r="NZ139" s="4"/>
      <c r="OA139" s="8"/>
      <c r="OB139" s="5" t="str">
        <f t="shared" si="560"/>
        <v>NO APLICA</v>
      </c>
      <c r="OC139" s="6"/>
      <c r="OD139" s="6"/>
      <c r="OE139" s="6"/>
      <c r="OF139" s="6"/>
      <c r="OG139" s="5" t="str">
        <f t="shared" si="561"/>
        <v>NO APLICA</v>
      </c>
      <c r="OH139" s="2"/>
      <c r="OI139" s="2"/>
      <c r="OJ139" s="4"/>
      <c r="OK139" s="8"/>
      <c r="OL139" s="5" t="str">
        <f t="shared" si="562"/>
        <v>NO APLICA</v>
      </c>
      <c r="OM139" s="6"/>
      <c r="ON139" s="6"/>
      <c r="OO139" s="6"/>
      <c r="OP139" s="6"/>
      <c r="OQ139" s="5" t="str">
        <f t="shared" si="563"/>
        <v>NO APLICA</v>
      </c>
      <c r="OR139" s="6"/>
      <c r="OS139" s="6"/>
      <c r="OT139" s="6"/>
      <c r="OU139" s="6"/>
      <c r="OV139" s="5" t="str">
        <f t="shared" si="564"/>
        <v>NO APLICA</v>
      </c>
      <c r="OW139" s="6"/>
      <c r="OX139" s="6"/>
      <c r="OY139" s="6"/>
      <c r="OZ139" s="6"/>
      <c r="PA139" s="5" t="str">
        <f t="shared" si="565"/>
        <v>NO APLICA</v>
      </c>
      <c r="PB139" s="6"/>
      <c r="PC139" s="6"/>
      <c r="PD139" s="6"/>
      <c r="PE139" s="6"/>
      <c r="PF139" s="5" t="str">
        <f t="shared" si="566"/>
        <v>NO APLICA</v>
      </c>
      <c r="PG139" s="6"/>
      <c r="PH139" s="6"/>
      <c r="PI139" s="6"/>
      <c r="PJ139" s="6"/>
      <c r="PK139" s="5" t="str">
        <f t="shared" si="567"/>
        <v>NO APLICA</v>
      </c>
      <c r="PL139" s="5"/>
      <c r="PM139" s="6"/>
      <c r="PN139" s="4"/>
      <c r="PO139" s="8"/>
      <c r="PP139" s="5" t="str">
        <f t="shared" si="568"/>
        <v>NO APLICA</v>
      </c>
      <c r="PQ139" s="6"/>
      <c r="PR139" s="6"/>
      <c r="PS139" s="6"/>
      <c r="PT139" s="6"/>
      <c r="PU139" s="5" t="str">
        <f t="shared" si="569"/>
        <v>NO APLICA</v>
      </c>
      <c r="PV139" s="5"/>
      <c r="PW139" s="6"/>
      <c r="PX139" s="6"/>
      <c r="PY139" s="6"/>
      <c r="PZ139" s="5" t="str">
        <f t="shared" si="570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772</v>
      </c>
      <c r="D140" s="30" t="s">
        <v>69</v>
      </c>
      <c r="E140" s="31" t="s">
        <v>461</v>
      </c>
      <c r="F140" s="5"/>
      <c r="G140" s="6"/>
      <c r="H140" s="4"/>
      <c r="I140" s="8"/>
      <c r="J140" s="5" t="str">
        <f t="shared" si="464"/>
        <v>NO APLICA</v>
      </c>
      <c r="K140" s="5"/>
      <c r="L140" s="6"/>
      <c r="M140" s="6"/>
      <c r="N140" s="8"/>
      <c r="O140" s="5" t="str">
        <f t="shared" si="465"/>
        <v>NO APLICA</v>
      </c>
      <c r="P140" s="6"/>
      <c r="Q140" s="6"/>
      <c r="R140" s="4"/>
      <c r="S140" s="8"/>
      <c r="T140" s="5" t="str">
        <f t="shared" si="571"/>
        <v>NO APLICA</v>
      </c>
      <c r="U140" s="5"/>
      <c r="V140" s="2" t="s">
        <v>462</v>
      </c>
      <c r="W140" s="4">
        <v>45958</v>
      </c>
      <c r="X140" s="4">
        <f t="shared" si="419"/>
        <v>47784</v>
      </c>
      <c r="Y140" s="8">
        <f t="shared" ca="1" si="420"/>
        <v>1649</v>
      </c>
      <c r="Z140" s="5" t="str">
        <f t="shared" ca="1" si="421"/>
        <v>VIGENTE</v>
      </c>
      <c r="AA140" s="5"/>
      <c r="AB140" s="2" t="s">
        <v>463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6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67"/>
        <v>274</v>
      </c>
      <c r="AK140" s="5" t="str">
        <f t="shared" ca="1" si="41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68"/>
        <v>304</v>
      </c>
      <c r="AP140" s="5" t="str">
        <f t="shared" ca="1" si="46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0"/>
        <v>297</v>
      </c>
      <c r="AU140" s="5" t="str">
        <f t="shared" ca="1" si="47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2"/>
        <v>296</v>
      </c>
      <c r="AZ140" s="5" t="str">
        <f t="shared" ca="1" si="47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4"/>
        <v>311</v>
      </c>
      <c r="BE140" s="5" t="str">
        <f t="shared" ca="1" si="47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6"/>
        <v>292</v>
      </c>
      <c r="BJ140" s="5" t="str">
        <f t="shared" ca="1" si="47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78"/>
        <v>164</v>
      </c>
      <c r="BO140" s="5" t="str">
        <f t="shared" ca="1" si="47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0"/>
        <v>295</v>
      </c>
      <c r="BT140" s="5" t="str">
        <f t="shared" ca="1" si="48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2"/>
        <v>162</v>
      </c>
      <c r="BY140" s="5" t="str">
        <f t="shared" ca="1" si="48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4"/>
        <v>324</v>
      </c>
      <c r="CD140" s="5" t="str">
        <f t="shared" ca="1" si="485"/>
        <v>VIGENTE</v>
      </c>
      <c r="CE140" s="6" t="s">
        <v>73</v>
      </c>
      <c r="CF140" s="4">
        <v>45533</v>
      </c>
      <c r="CG140" s="4">
        <f t="shared" si="425"/>
        <v>46994</v>
      </c>
      <c r="CH140" s="8">
        <f t="shared" ca="1" si="426"/>
        <v>859</v>
      </c>
      <c r="CI140" s="5" t="str">
        <f t="shared" ca="1" si="42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6"/>
        <v>195</v>
      </c>
      <c r="CN140" s="5" t="str">
        <f t="shared" ca="1" si="48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88"/>
        <v>278</v>
      </c>
      <c r="CS140" s="5" t="str">
        <f t="shared" ca="1" si="48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0"/>
        <v>321</v>
      </c>
      <c r="CX140" s="5" t="str">
        <f t="shared" ca="1" si="49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2"/>
        <v>275</v>
      </c>
      <c r="DC140" s="5" t="str">
        <f t="shared" ca="1" si="49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4"/>
        <v>190</v>
      </c>
      <c r="DH140" s="5" t="str">
        <f t="shared" ca="1" si="49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6"/>
        <v>290</v>
      </c>
      <c r="DM140" s="5" t="str">
        <f t="shared" ca="1" si="49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98"/>
        <v>171</v>
      </c>
      <c r="DR140" s="5" t="str">
        <f t="shared" ca="1" si="49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0"/>
        <v>279</v>
      </c>
      <c r="DW140" s="5" t="str">
        <f t="shared" ca="1" si="50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2"/>
        <v>257</v>
      </c>
      <c r="EB140" s="5" t="str">
        <f t="shared" ca="1" si="50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4"/>
        <v>268</v>
      </c>
      <c r="EG140" s="5" t="str">
        <f t="shared" ca="1" si="505"/>
        <v>VIGENTE</v>
      </c>
      <c r="EH140" s="3"/>
      <c r="EI140" s="4">
        <v>45812</v>
      </c>
      <c r="EJ140" s="4">
        <f t="shared" si="572"/>
        <v>46177</v>
      </c>
      <c r="EK140" s="8">
        <f t="shared" ca="1" si="506"/>
        <v>42</v>
      </c>
      <c r="EL140" s="5" t="str">
        <f t="shared" ca="1" si="50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08"/>
        <v>230</v>
      </c>
      <c r="EQ140" s="5" t="str">
        <f t="shared" ca="1" si="50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0"/>
        <v>217</v>
      </c>
      <c r="EV140" s="5" t="str">
        <f t="shared" ca="1" si="51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2"/>
        <v>204</v>
      </c>
      <c r="FA140" s="5" t="str">
        <f t="shared" ca="1" si="51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4"/>
        <v>205</v>
      </c>
      <c r="FF140" s="5" t="str">
        <f t="shared" ca="1" si="51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6"/>
        <v>262</v>
      </c>
      <c r="FK140" s="5" t="str">
        <f t="shared" ca="1" si="51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18"/>
        <v>182</v>
      </c>
      <c r="FP140" s="5" t="str">
        <f t="shared" ca="1" si="51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0"/>
        <v>258</v>
      </c>
      <c r="FU140" s="5" t="str">
        <f t="shared" ca="1" si="52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2"/>
        <v>294</v>
      </c>
      <c r="FZ140" s="5" t="str">
        <f t="shared" ca="1" si="52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4"/>
        <v>261</v>
      </c>
      <c r="GE140" s="5" t="str">
        <f t="shared" ca="1" si="52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6"/>
        <v>266</v>
      </c>
      <c r="GJ140" s="5" t="str">
        <f t="shared" ca="1" si="52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28"/>
        <v>202</v>
      </c>
      <c r="GO140" s="5" t="str">
        <f t="shared" ca="1" si="529"/>
        <v>VIGENTE</v>
      </c>
      <c r="GP140" s="4"/>
      <c r="GQ140" s="4">
        <v>44966</v>
      </c>
      <c r="GR140" s="4">
        <f t="shared" si="530"/>
        <v>46792</v>
      </c>
      <c r="GS140" s="8">
        <f t="shared" ca="1" si="416"/>
        <v>657</v>
      </c>
      <c r="GT140" s="5" t="str">
        <f t="shared" ca="1" si="428"/>
        <v>VIGENTE</v>
      </c>
      <c r="GU140" s="3"/>
      <c r="GV140" s="4">
        <v>44952</v>
      </c>
      <c r="GW140" s="4">
        <f t="shared" si="531"/>
        <v>46778</v>
      </c>
      <c r="GX140" s="8">
        <f t="shared" ca="1" si="532"/>
        <v>643</v>
      </c>
      <c r="GY140" s="5" t="str">
        <f t="shared" ca="1" si="435"/>
        <v>VIGENTE</v>
      </c>
      <c r="GZ140" s="2"/>
      <c r="HA140" s="4">
        <v>44980</v>
      </c>
      <c r="HB140" s="4">
        <f t="shared" si="533"/>
        <v>46806</v>
      </c>
      <c r="HC140" s="8">
        <f t="shared" ca="1" si="534"/>
        <v>671</v>
      </c>
      <c r="HD140" s="5" t="str">
        <f t="shared" ca="1" si="43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36"/>
        <v>VIGENTE</v>
      </c>
      <c r="HJ140" s="2"/>
      <c r="HK140" s="6"/>
      <c r="HL140" s="4"/>
      <c r="HM140" s="8"/>
      <c r="HN140" s="5" t="str">
        <f t="shared" si="453"/>
        <v>NO APLICA</v>
      </c>
      <c r="HO140" s="2"/>
      <c r="HP140" s="5"/>
      <c r="HQ140" s="4"/>
      <c r="HR140" s="5"/>
      <c r="HS140" s="5" t="str">
        <f t="shared" si="53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3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3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3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3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4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4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42"/>
        <v>VIGENTE</v>
      </c>
      <c r="JC140" s="3"/>
      <c r="JD140" s="3"/>
      <c r="JE140" s="4"/>
      <c r="JF140" s="8"/>
      <c r="JG140" s="5" t="str">
        <f t="shared" si="543"/>
        <v>NO APLICA</v>
      </c>
      <c r="JH140" s="6"/>
      <c r="JI140" s="6"/>
      <c r="JJ140" s="6"/>
      <c r="JK140" s="6"/>
      <c r="JL140" s="5" t="str">
        <f t="shared" si="544"/>
        <v>NO APLICA</v>
      </c>
      <c r="JM140" s="6"/>
      <c r="JN140" s="6"/>
      <c r="JO140" s="6"/>
      <c r="JP140" s="6"/>
      <c r="JQ140" s="5" t="str">
        <f t="shared" si="545"/>
        <v>NO APLICA</v>
      </c>
      <c r="JR140" s="6"/>
      <c r="JS140" s="6"/>
      <c r="JT140" s="6"/>
      <c r="JU140" s="6"/>
      <c r="JV140" s="5" t="str">
        <f t="shared" si="546"/>
        <v>NO APLICA</v>
      </c>
      <c r="JW140" s="5"/>
      <c r="JX140" s="5"/>
      <c r="JY140" s="5"/>
      <c r="JZ140" s="5"/>
      <c r="KA140" s="5" t="str">
        <f t="shared" si="547"/>
        <v>NO APLICA</v>
      </c>
      <c r="KB140" s="5"/>
      <c r="KC140" s="5"/>
      <c r="KD140" s="4"/>
      <c r="KE140" s="8"/>
      <c r="KF140" s="5" t="str">
        <f t="shared" si="548"/>
        <v>NO APLICA</v>
      </c>
      <c r="KG140" s="5"/>
      <c r="KH140" s="5"/>
      <c r="KI140" s="4"/>
      <c r="KJ140" s="8"/>
      <c r="KK140" s="5" t="str">
        <f t="shared" si="573"/>
        <v>NO APLICA</v>
      </c>
      <c r="KL140" s="5"/>
      <c r="KM140" s="5"/>
      <c r="KN140" s="4"/>
      <c r="KO140" s="8"/>
      <c r="KP140" s="5" t="str">
        <f t="shared" si="549"/>
        <v>NO APLICA</v>
      </c>
      <c r="KQ140" s="5"/>
      <c r="KR140" s="2"/>
      <c r="KS140" s="4"/>
      <c r="KT140" s="8"/>
      <c r="KU140" s="5" t="str">
        <f t="shared" si="574"/>
        <v>NO APLICA</v>
      </c>
      <c r="KV140" s="2"/>
      <c r="KW140" s="6"/>
      <c r="KX140" s="4"/>
      <c r="KY140" s="8"/>
      <c r="KZ140" s="5" t="str">
        <f t="shared" si="579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75"/>
        <v>VIGENTE</v>
      </c>
      <c r="LF140" s="6"/>
      <c r="LG140" s="6"/>
      <c r="LH140" s="4"/>
      <c r="LI140" s="8"/>
      <c r="LJ140" s="5" t="str">
        <f t="shared" si="581"/>
        <v>NO APLICA</v>
      </c>
      <c r="LK140" s="5"/>
      <c r="LL140" s="5"/>
      <c r="LM140" s="4"/>
      <c r="LN140" s="8"/>
      <c r="LO140" s="5" t="str">
        <f t="shared" si="580"/>
        <v>NO APLICA</v>
      </c>
      <c r="LP140" s="5"/>
      <c r="LQ140" s="6"/>
      <c r="LR140" s="4"/>
      <c r="LS140" s="8"/>
      <c r="LT140" s="5" t="str">
        <f t="shared" si="576"/>
        <v>NO APLICA</v>
      </c>
      <c r="LU140" s="6"/>
      <c r="LV140" s="6"/>
      <c r="LW140" s="4"/>
      <c r="LX140" s="8"/>
      <c r="LY140" s="5" t="str">
        <f t="shared" si="577"/>
        <v>NO APLICA</v>
      </c>
      <c r="LZ140" s="6"/>
      <c r="MA140" s="6"/>
      <c r="MB140" s="4"/>
      <c r="MC140" s="8"/>
      <c r="MD140" s="5" t="str">
        <f t="shared" si="578"/>
        <v>NO APLICA</v>
      </c>
      <c r="ME140" s="5"/>
      <c r="MF140" s="5"/>
      <c r="MG140" s="4"/>
      <c r="MH140" s="8"/>
      <c r="MI140" s="5" t="str">
        <f t="shared" si="551"/>
        <v>NO APLICA</v>
      </c>
      <c r="MJ140" s="5"/>
      <c r="MK140" s="5"/>
      <c r="ML140" s="4"/>
      <c r="MM140" s="8"/>
      <c r="MN140" s="5" t="str">
        <f t="shared" si="552"/>
        <v>NO APLICA</v>
      </c>
      <c r="MO140" s="5"/>
      <c r="MP140" s="5"/>
      <c r="MQ140" s="4"/>
      <c r="MR140" s="8"/>
      <c r="MS140" s="5" t="str">
        <f t="shared" si="553"/>
        <v>NO APLICA</v>
      </c>
      <c r="MT140" s="5"/>
      <c r="MU140" s="5"/>
      <c r="MV140" s="4"/>
      <c r="MW140" s="5"/>
      <c r="MX140" s="5" t="str">
        <f t="shared" si="554"/>
        <v>NO APLICA</v>
      </c>
      <c r="MY140" s="5"/>
      <c r="MZ140" s="6"/>
      <c r="NA140" s="4"/>
      <c r="NB140" s="8"/>
      <c r="NC140" s="5" t="str">
        <f t="shared" si="555"/>
        <v>NO APLICA</v>
      </c>
      <c r="ND140" s="5"/>
      <c r="NE140" s="6"/>
      <c r="NF140" s="4"/>
      <c r="NG140" s="8"/>
      <c r="NH140" s="5" t="str">
        <f t="shared" si="556"/>
        <v>NO APLICA</v>
      </c>
      <c r="NI140" s="5"/>
      <c r="NJ140" s="6"/>
      <c r="NK140" s="4"/>
      <c r="NL140" s="8"/>
      <c r="NM140" s="5" t="str">
        <f t="shared" si="557"/>
        <v>NO APLICA</v>
      </c>
      <c r="NN140" s="5"/>
      <c r="NO140" s="5"/>
      <c r="NP140" s="4"/>
      <c r="NQ140" s="8"/>
      <c r="NR140" s="5" t="str">
        <f t="shared" si="558"/>
        <v>NO APLICA</v>
      </c>
      <c r="NS140" s="5"/>
      <c r="NT140" s="5"/>
      <c r="NU140" s="5"/>
      <c r="NV140" s="5"/>
      <c r="NW140" s="5" t="str">
        <f t="shared" si="559"/>
        <v>NO APLICA</v>
      </c>
      <c r="NX140" s="6"/>
      <c r="NY140" s="6"/>
      <c r="NZ140" s="4"/>
      <c r="OA140" s="8"/>
      <c r="OB140" s="5" t="str">
        <f t="shared" si="560"/>
        <v>NO APLICA</v>
      </c>
      <c r="OC140" s="6"/>
      <c r="OD140" s="6"/>
      <c r="OE140" s="6"/>
      <c r="OF140" s="6"/>
      <c r="OG140" s="5" t="str">
        <f t="shared" si="561"/>
        <v>NO APLICA</v>
      </c>
      <c r="OH140" s="5"/>
      <c r="OI140" s="5"/>
      <c r="OJ140" s="4"/>
      <c r="OK140" s="8"/>
      <c r="OL140" s="5" t="str">
        <f t="shared" si="562"/>
        <v>NO APLICA</v>
      </c>
      <c r="OM140" s="6"/>
      <c r="ON140" s="6"/>
      <c r="OO140" s="6"/>
      <c r="OP140" s="6"/>
      <c r="OQ140" s="5" t="str">
        <f t="shared" si="563"/>
        <v>NO APLICA</v>
      </c>
      <c r="OR140" s="6"/>
      <c r="OS140" s="6"/>
      <c r="OT140" s="6"/>
      <c r="OU140" s="6"/>
      <c r="OV140" s="5" t="str">
        <f t="shared" si="564"/>
        <v>NO APLICA</v>
      </c>
      <c r="OW140" s="6"/>
      <c r="OX140" s="6"/>
      <c r="OY140" s="6"/>
      <c r="OZ140" s="6"/>
      <c r="PA140" s="5" t="str">
        <f t="shared" si="565"/>
        <v>NO APLICA</v>
      </c>
      <c r="PB140" s="6"/>
      <c r="PC140" s="6"/>
      <c r="PD140" s="6"/>
      <c r="PE140" s="6"/>
      <c r="PF140" s="5" t="str">
        <f t="shared" si="566"/>
        <v>NO APLICA</v>
      </c>
      <c r="PG140" s="6"/>
      <c r="PH140" s="6"/>
      <c r="PI140" s="6"/>
      <c r="PJ140" s="6"/>
      <c r="PK140" s="5" t="str">
        <f t="shared" si="567"/>
        <v>NO APLICA</v>
      </c>
      <c r="PL140" s="5"/>
      <c r="PM140" s="6"/>
      <c r="PN140" s="4"/>
      <c r="PO140" s="8"/>
      <c r="PP140" s="5" t="str">
        <f t="shared" si="568"/>
        <v>NO APLICA</v>
      </c>
      <c r="PQ140" s="6"/>
      <c r="PR140" s="6"/>
      <c r="PS140" s="6"/>
      <c r="PT140" s="6"/>
      <c r="PU140" s="5" t="str">
        <f t="shared" si="569"/>
        <v>NO APLICA</v>
      </c>
      <c r="PV140" s="5"/>
      <c r="PW140" s="6"/>
      <c r="PX140" s="6"/>
      <c r="PY140" s="6"/>
      <c r="PZ140" s="5" t="str">
        <f t="shared" si="570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464</v>
      </c>
      <c r="D141" s="30" t="s">
        <v>115</v>
      </c>
      <c r="E141" s="31" t="s">
        <v>151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64"/>
        <v>VIGENTE</v>
      </c>
      <c r="K141" s="3"/>
      <c r="L141" s="4"/>
      <c r="M141" s="6"/>
      <c r="N141" s="8"/>
      <c r="O141" s="5" t="str">
        <f t="shared" si="465"/>
        <v>NO APLICA</v>
      </c>
      <c r="P141" s="6"/>
      <c r="Q141" s="6"/>
      <c r="R141" s="4"/>
      <c r="S141" s="8"/>
      <c r="T141" s="5" t="str">
        <f t="shared" si="571"/>
        <v>NO APLICA</v>
      </c>
      <c r="U141" s="5"/>
      <c r="V141" s="3" t="s">
        <v>465</v>
      </c>
      <c r="W141" s="4">
        <v>46069</v>
      </c>
      <c r="X141" s="4">
        <f t="shared" si="419"/>
        <v>47895</v>
      </c>
      <c r="Y141" s="8">
        <f t="shared" ca="1" si="420"/>
        <v>1760</v>
      </c>
      <c r="Z141" s="5" t="str">
        <f t="shared" ca="1" si="421"/>
        <v>VIGENTE</v>
      </c>
      <c r="AA141" s="5"/>
      <c r="AB141" s="2"/>
      <c r="AC141" s="6"/>
      <c r="AD141" s="4"/>
      <c r="AE141" s="8"/>
      <c r="AF141" s="5" t="str">
        <f t="shared" si="46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67"/>
        <v>497</v>
      </c>
      <c r="AK141" s="5" t="str">
        <f t="shared" ca="1" si="41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68"/>
        <v>498</v>
      </c>
      <c r="AP141" s="5" t="str">
        <f t="shared" ca="1" si="469"/>
        <v>VIGENTE</v>
      </c>
      <c r="AQ141" s="3"/>
      <c r="AR141" s="4">
        <v>45904</v>
      </c>
      <c r="AS141" s="4">
        <f t="shared" ref="AS141:AS152" si="582">DATE(YEAR(AR141)+2,MONTH(AR141),DAY(AR141))</f>
        <v>46634</v>
      </c>
      <c r="AT141" s="8">
        <f t="shared" ca="1" si="470"/>
        <v>499</v>
      </c>
      <c r="AU141" s="5" t="str">
        <f t="shared" ca="1" si="471"/>
        <v>VIGENTE</v>
      </c>
      <c r="AV141" s="3"/>
      <c r="AW141" s="4">
        <v>45906</v>
      </c>
      <c r="AX141" s="4">
        <f t="shared" ref="AX141:AX152" si="583">DATE(YEAR(AW141)+2,MONTH(AW141),DAY(AW141))</f>
        <v>46636</v>
      </c>
      <c r="AY141" s="8">
        <f t="shared" ca="1" si="472"/>
        <v>501</v>
      </c>
      <c r="AZ141" s="5" t="str">
        <f t="shared" ca="1" si="47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4"/>
        <v>496</v>
      </c>
      <c r="BE141" s="5" t="str">
        <f t="shared" ca="1" si="47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6"/>
        <v>475</v>
      </c>
      <c r="BJ141" s="5" t="str">
        <f t="shared" ca="1" si="47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78"/>
        <v>392</v>
      </c>
      <c r="BO141" s="5" t="str">
        <f t="shared" ca="1" si="479"/>
        <v>VIGENTE</v>
      </c>
      <c r="BP141" s="3"/>
      <c r="BQ141" s="4">
        <v>45841</v>
      </c>
      <c r="BR141" s="4">
        <f t="shared" ref="BR141:BR150" si="584">DATE(YEAR(BQ141)+2,MONTH(BQ141),DAY(BQ141))</f>
        <v>46571</v>
      </c>
      <c r="BS141" s="8">
        <f t="shared" ca="1" si="480"/>
        <v>436</v>
      </c>
      <c r="BT141" s="5" t="str">
        <f t="shared" ca="1" si="48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2"/>
        <v>448</v>
      </c>
      <c r="BY141" s="5" t="str">
        <f t="shared" ca="1" si="48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4"/>
        <v>526</v>
      </c>
      <c r="CD141" s="5" t="str">
        <f t="shared" ca="1" si="485"/>
        <v>VIGENTE</v>
      </c>
      <c r="CE141" s="6" t="s">
        <v>68</v>
      </c>
      <c r="CF141" s="4">
        <v>45723</v>
      </c>
      <c r="CG141" s="4">
        <f t="shared" si="425"/>
        <v>47184</v>
      </c>
      <c r="CH141" s="8">
        <f t="shared" ca="1" si="426"/>
        <v>1049</v>
      </c>
      <c r="CI141" s="5" t="str">
        <f t="shared" ca="1" si="42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6"/>
        <v>395</v>
      </c>
      <c r="CN141" s="5" t="str">
        <f t="shared" ca="1" si="48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88"/>
        <v>483</v>
      </c>
      <c r="CS141" s="5" t="str">
        <f t="shared" ca="1" si="48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0"/>
        <v>408</v>
      </c>
      <c r="CX141" s="5" t="str">
        <f t="shared" ca="1" si="49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2"/>
        <v>438</v>
      </c>
      <c r="DC141" s="5" t="str">
        <f t="shared" ca="1" si="49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4"/>
        <v>356</v>
      </c>
      <c r="DH141" s="5" t="str">
        <f t="shared" ca="1" si="49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6"/>
        <v>494</v>
      </c>
      <c r="DM141" s="5" t="str">
        <f t="shared" ca="1" si="49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98"/>
        <v>468</v>
      </c>
      <c r="DR141" s="5" t="str">
        <f t="shared" ca="1" si="49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0"/>
        <v>447</v>
      </c>
      <c r="DW141" s="5" t="str">
        <f t="shared" ca="1" si="50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2"/>
        <v>442</v>
      </c>
      <c r="EB141" s="5" t="str">
        <f t="shared" ca="1" si="50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4"/>
        <v>533</v>
      </c>
      <c r="EG141" s="5" t="str">
        <f t="shared" ca="1" si="505"/>
        <v>VIGENTE</v>
      </c>
      <c r="EH141" s="3"/>
      <c r="EI141" s="3">
        <v>45911</v>
      </c>
      <c r="EJ141" s="4">
        <f t="shared" si="572"/>
        <v>46276</v>
      </c>
      <c r="EK141" s="8">
        <f t="shared" ca="1" si="506"/>
        <v>141</v>
      </c>
      <c r="EL141" s="5" t="str">
        <f t="shared" ca="1" si="50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08"/>
        <v>435</v>
      </c>
      <c r="EQ141" s="5" t="str">
        <f t="shared" ca="1" si="50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0"/>
        <v>329</v>
      </c>
      <c r="EV141" s="5" t="str">
        <f t="shared" ca="1" si="51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2"/>
        <v>512</v>
      </c>
      <c r="FA141" s="5" t="str">
        <f t="shared" ca="1" si="51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4"/>
        <v>398</v>
      </c>
      <c r="FF141" s="5" t="str">
        <f t="shared" ca="1" si="51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6"/>
        <v>527</v>
      </c>
      <c r="FK141" s="5" t="str">
        <f t="shared" ca="1" si="51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18"/>
        <v>445</v>
      </c>
      <c r="FP141" s="5" t="str">
        <f t="shared" ca="1" si="51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0"/>
        <v>441</v>
      </c>
      <c r="FU141" s="5" t="str">
        <f t="shared" ca="1" si="52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2"/>
        <v>470</v>
      </c>
      <c r="FZ141" s="5" t="str">
        <f t="shared" ca="1" si="52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4"/>
        <v>335</v>
      </c>
      <c r="GE141" s="5" t="str">
        <f t="shared" ca="1" si="52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6"/>
        <v>507</v>
      </c>
      <c r="GJ141" s="5" t="str">
        <f t="shared" ca="1" si="527"/>
        <v>VIGENTE</v>
      </c>
      <c r="GK141" s="3"/>
      <c r="GL141" s="4">
        <v>45945</v>
      </c>
      <c r="GM141" s="4">
        <f t="shared" ref="GM141:GM150" si="585">DATE(YEAR(GL141)+2,MONTH(GL141),DAY(GL141))</f>
        <v>46675</v>
      </c>
      <c r="GN141" s="8">
        <f t="shared" ca="1" si="528"/>
        <v>540</v>
      </c>
      <c r="GO141" s="5" t="str">
        <f t="shared" ca="1" si="529"/>
        <v>VIGENTE</v>
      </c>
      <c r="GP141" s="4"/>
      <c r="GQ141" s="4">
        <v>45169</v>
      </c>
      <c r="GR141" s="4">
        <f t="shared" si="530"/>
        <v>46996</v>
      </c>
      <c r="GS141" s="8">
        <f t="shared" ca="1" si="416"/>
        <v>861</v>
      </c>
      <c r="GT141" s="5" t="str">
        <f t="shared" ca="1" si="428"/>
        <v>VIGENTE</v>
      </c>
      <c r="GU141" s="3"/>
      <c r="GV141" s="4">
        <v>45245</v>
      </c>
      <c r="GW141" s="4">
        <f t="shared" si="531"/>
        <v>47072</v>
      </c>
      <c r="GX141" s="8">
        <f t="shared" ca="1" si="532"/>
        <v>937</v>
      </c>
      <c r="GY141" s="5" t="str">
        <f t="shared" ca="1" si="435"/>
        <v>VIGENTE</v>
      </c>
      <c r="GZ141" s="2"/>
      <c r="HA141" s="4">
        <v>45182</v>
      </c>
      <c r="HB141" s="4">
        <f t="shared" si="533"/>
        <v>47009</v>
      </c>
      <c r="HC141" s="8">
        <f t="shared" ca="1" si="534"/>
        <v>874</v>
      </c>
      <c r="HD141" s="5" t="str">
        <f t="shared" ca="1" si="430"/>
        <v>VIGENTE</v>
      </c>
      <c r="HE141" s="6"/>
      <c r="HF141" s="6"/>
      <c r="HG141" s="4"/>
      <c r="HH141" s="8"/>
      <c r="HI141" s="5" t="str">
        <f t="shared" si="436"/>
        <v>NO APLICA</v>
      </c>
      <c r="HJ141" s="2"/>
      <c r="HK141" s="6"/>
      <c r="HL141" s="4"/>
      <c r="HM141" s="8"/>
      <c r="HN141" s="5" t="str">
        <f t="shared" si="453"/>
        <v>NO APLICA</v>
      </c>
      <c r="HO141" s="2"/>
      <c r="HP141" s="2"/>
      <c r="HQ141" s="4"/>
      <c r="HR141" s="2"/>
      <c r="HS141" s="5" t="str">
        <f t="shared" si="535"/>
        <v>NO APLICA</v>
      </c>
      <c r="HT141" s="2"/>
      <c r="HU141" s="6"/>
      <c r="HV141" s="4"/>
      <c r="HW141" s="8"/>
      <c r="HX141" s="5" t="str">
        <f t="shared" si="536"/>
        <v>NO APLICA</v>
      </c>
      <c r="HY141" s="2"/>
      <c r="HZ141" s="6"/>
      <c r="IA141" s="4"/>
      <c r="IB141" s="8"/>
      <c r="IC141" s="5" t="str">
        <f t="shared" si="537"/>
        <v>NO APLICA</v>
      </c>
      <c r="ID141" s="2"/>
      <c r="IE141" s="6"/>
      <c r="IF141" s="4"/>
      <c r="IG141" s="8"/>
      <c r="IH141" s="5" t="str">
        <f t="shared" si="538"/>
        <v>NO APLICA</v>
      </c>
      <c r="II141" s="6"/>
      <c r="IJ141" s="6"/>
      <c r="IK141" s="4"/>
      <c r="IL141" s="8"/>
      <c r="IM141" s="5" t="str">
        <f t="shared" si="539"/>
        <v>NO APLICA</v>
      </c>
      <c r="IN141" s="2"/>
      <c r="IO141" s="6"/>
      <c r="IP141" s="4"/>
      <c r="IQ141" s="8"/>
      <c r="IR141" s="5" t="str">
        <f t="shared" si="540"/>
        <v>NO APLICA</v>
      </c>
      <c r="IS141" s="2"/>
      <c r="IT141" s="6"/>
      <c r="IU141" s="4"/>
      <c r="IV141" s="8"/>
      <c r="IW141" s="5" t="str">
        <f t="shared" si="541"/>
        <v>NO APLICA</v>
      </c>
      <c r="IX141" s="2"/>
      <c r="IY141" s="6"/>
      <c r="IZ141" s="4"/>
      <c r="JA141" s="8"/>
      <c r="JB141" s="5" t="str">
        <f t="shared" si="542"/>
        <v>NO APLICA</v>
      </c>
      <c r="JC141" s="3"/>
      <c r="JD141" s="3"/>
      <c r="JE141" s="4"/>
      <c r="JF141" s="8"/>
      <c r="JG141" s="5" t="str">
        <f t="shared" si="543"/>
        <v>NO APLICA</v>
      </c>
      <c r="JH141" s="6"/>
      <c r="JI141" s="6"/>
      <c r="JJ141" s="6"/>
      <c r="JK141" s="6"/>
      <c r="JL141" s="5" t="str">
        <f t="shared" si="544"/>
        <v>NO APLICA</v>
      </c>
      <c r="JM141" s="6"/>
      <c r="JN141" s="6"/>
      <c r="JO141" s="6"/>
      <c r="JP141" s="6"/>
      <c r="JQ141" s="5" t="str">
        <f t="shared" si="545"/>
        <v>NO APLICA</v>
      </c>
      <c r="JR141" s="6"/>
      <c r="JS141" s="6"/>
      <c r="JT141" s="6"/>
      <c r="JU141" s="6"/>
      <c r="JV141" s="5" t="str">
        <f t="shared" si="546"/>
        <v>NO APLICA</v>
      </c>
      <c r="JW141" s="5"/>
      <c r="JX141" s="3"/>
      <c r="JY141" s="4"/>
      <c r="JZ141" s="8"/>
      <c r="KA141" s="5" t="str">
        <f t="shared" si="547"/>
        <v>NO APLICA</v>
      </c>
      <c r="KB141" s="5"/>
      <c r="KC141" s="2"/>
      <c r="KD141" s="4"/>
      <c r="KE141" s="8"/>
      <c r="KF141" s="5" t="str">
        <f t="shared" si="548"/>
        <v>NO APLICA</v>
      </c>
      <c r="KG141" s="5"/>
      <c r="KH141" s="2"/>
      <c r="KI141" s="4"/>
      <c r="KJ141" s="8"/>
      <c r="KK141" s="5" t="str">
        <f t="shared" si="573"/>
        <v>NO APLICA</v>
      </c>
      <c r="KL141" s="5"/>
      <c r="KM141" s="2"/>
      <c r="KN141" s="4"/>
      <c r="KO141" s="8"/>
      <c r="KP141" s="5" t="str">
        <f t="shared" si="549"/>
        <v>NO APLICA</v>
      </c>
      <c r="KQ141" s="5"/>
      <c r="KR141" s="2"/>
      <c r="KS141" s="4"/>
      <c r="KT141" s="8"/>
      <c r="KU141" s="5" t="str">
        <f t="shared" si="574"/>
        <v>NO APLICA</v>
      </c>
      <c r="KV141" s="2"/>
      <c r="KW141" s="6"/>
      <c r="KX141" s="4"/>
      <c r="KY141" s="8"/>
      <c r="KZ141" s="5" t="str">
        <f t="shared" si="579"/>
        <v>NO APLICA</v>
      </c>
      <c r="LA141" s="5"/>
      <c r="LB141" s="6"/>
      <c r="LC141" s="4"/>
      <c r="LD141" s="8"/>
      <c r="LE141" s="5" t="str">
        <f t="shared" si="575"/>
        <v>NO APLICA</v>
      </c>
      <c r="LF141" s="6"/>
      <c r="LG141" s="6"/>
      <c r="LH141" s="4"/>
      <c r="LI141" s="8"/>
      <c r="LJ141" s="5" t="str">
        <f t="shared" si="581"/>
        <v>NO APLICA</v>
      </c>
      <c r="LK141" s="5"/>
      <c r="LL141" s="5"/>
      <c r="LM141" s="4"/>
      <c r="LN141" s="8"/>
      <c r="LO141" s="5" t="str">
        <f t="shared" si="580"/>
        <v>NO APLICA</v>
      </c>
      <c r="LP141" s="2"/>
      <c r="LQ141" s="6"/>
      <c r="LR141" s="4"/>
      <c r="LS141" s="8"/>
      <c r="LT141" s="5" t="str">
        <f t="shared" si="576"/>
        <v>NO APLICA</v>
      </c>
      <c r="LU141" s="6"/>
      <c r="LV141" s="6"/>
      <c r="LW141" s="4"/>
      <c r="LX141" s="8"/>
      <c r="LY141" s="5" t="str">
        <f t="shared" si="577"/>
        <v>NO APLICA</v>
      </c>
      <c r="LZ141" s="6"/>
      <c r="MA141" s="6"/>
      <c r="MB141" s="4"/>
      <c r="MC141" s="8"/>
      <c r="MD141" s="5" t="str">
        <f t="shared" si="578"/>
        <v>NO APLICA</v>
      </c>
      <c r="ME141" s="2"/>
      <c r="MF141" s="2"/>
      <c r="MG141" s="4"/>
      <c r="MH141" s="8"/>
      <c r="MI141" s="5" t="str">
        <f t="shared" si="551"/>
        <v>NO APLICA</v>
      </c>
      <c r="MJ141" s="2"/>
      <c r="MK141" s="2"/>
      <c r="ML141" s="4"/>
      <c r="MM141" s="8"/>
      <c r="MN141" s="5" t="str">
        <f t="shared" si="552"/>
        <v>NO APLICA</v>
      </c>
      <c r="MO141" s="5"/>
      <c r="MP141" s="2"/>
      <c r="MQ141" s="4"/>
      <c r="MR141" s="8"/>
      <c r="MS141" s="5" t="str">
        <f t="shared" si="553"/>
        <v>NO APLICA</v>
      </c>
      <c r="MT141" s="5"/>
      <c r="MU141" s="2"/>
      <c r="MV141" s="4"/>
      <c r="MW141" s="2"/>
      <c r="MX141" s="5" t="str">
        <f t="shared" si="554"/>
        <v>NO APLICA</v>
      </c>
      <c r="MY141" s="2"/>
      <c r="MZ141" s="6"/>
      <c r="NA141" s="4"/>
      <c r="NB141" s="8"/>
      <c r="NC141" s="5" t="str">
        <f t="shared" si="555"/>
        <v>NO APLICA</v>
      </c>
      <c r="ND141" s="2"/>
      <c r="NE141" s="6"/>
      <c r="NF141" s="4"/>
      <c r="NG141" s="8"/>
      <c r="NH141" s="5" t="str">
        <f t="shared" si="556"/>
        <v>NO APLICA</v>
      </c>
      <c r="NI141" s="2"/>
      <c r="NJ141" s="6"/>
      <c r="NK141" s="4"/>
      <c r="NL141" s="8"/>
      <c r="NM141" s="5" t="str">
        <f t="shared" si="557"/>
        <v>NO APLICA</v>
      </c>
      <c r="NN141" s="2"/>
      <c r="NO141" s="2"/>
      <c r="NP141" s="4"/>
      <c r="NQ141" s="8"/>
      <c r="NR141" s="5" t="str">
        <f t="shared" si="558"/>
        <v>NO APLICA</v>
      </c>
      <c r="NS141" s="2"/>
      <c r="NT141" s="2"/>
      <c r="NU141" s="4"/>
      <c r="NV141" s="2"/>
      <c r="NW141" s="5" t="str">
        <f t="shared" si="559"/>
        <v>NO APLICA</v>
      </c>
      <c r="NX141" s="6"/>
      <c r="NY141" s="6"/>
      <c r="NZ141" s="4"/>
      <c r="OA141" s="8"/>
      <c r="OB141" s="5" t="str">
        <f t="shared" si="560"/>
        <v>NO APLICA</v>
      </c>
      <c r="OC141" s="6"/>
      <c r="OD141" s="6"/>
      <c r="OE141" s="6"/>
      <c r="OF141" s="6"/>
      <c r="OG141" s="5" t="str">
        <f t="shared" si="561"/>
        <v>NO APLICA</v>
      </c>
      <c r="OH141" s="6"/>
      <c r="OI141" s="6"/>
      <c r="OJ141" s="4"/>
      <c r="OK141" s="8"/>
      <c r="OL141" s="5" t="str">
        <f t="shared" si="562"/>
        <v>NO APLICA</v>
      </c>
      <c r="OM141" s="6"/>
      <c r="ON141" s="6"/>
      <c r="OO141" s="6"/>
      <c r="OP141" s="6"/>
      <c r="OQ141" s="5" t="str">
        <f t="shared" si="563"/>
        <v>NO APLICA</v>
      </c>
      <c r="OR141" s="6"/>
      <c r="OS141" s="6"/>
      <c r="OT141" s="6"/>
      <c r="OU141" s="6"/>
      <c r="OV141" s="5" t="str">
        <f t="shared" si="564"/>
        <v>NO APLICA</v>
      </c>
      <c r="OW141" s="6"/>
      <c r="OX141" s="6"/>
      <c r="OY141" s="6"/>
      <c r="OZ141" s="6"/>
      <c r="PA141" s="5" t="str">
        <f t="shared" si="565"/>
        <v>NO APLICA</v>
      </c>
      <c r="PB141" s="6"/>
      <c r="PC141" s="6"/>
      <c r="PD141" s="6"/>
      <c r="PE141" s="6"/>
      <c r="PF141" s="5" t="str">
        <f t="shared" si="566"/>
        <v>NO APLICA</v>
      </c>
      <c r="PG141" s="6"/>
      <c r="PH141" s="6"/>
      <c r="PI141" s="6"/>
      <c r="PJ141" s="6"/>
      <c r="PK141" s="5" t="str">
        <f t="shared" si="567"/>
        <v>NO APLICA</v>
      </c>
      <c r="PL141" s="5"/>
      <c r="PM141" s="6"/>
      <c r="PN141" s="4"/>
      <c r="PO141" s="8"/>
      <c r="PP141" s="5" t="str">
        <f t="shared" si="568"/>
        <v>NO APLICA</v>
      </c>
      <c r="PQ141" s="6"/>
      <c r="PR141" s="6"/>
      <c r="PS141" s="6"/>
      <c r="PT141" s="6"/>
      <c r="PU141" s="5" t="str">
        <f t="shared" si="569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773</v>
      </c>
      <c r="D142" s="30" t="s">
        <v>69</v>
      </c>
      <c r="E142" s="31" t="s">
        <v>75</v>
      </c>
      <c r="F142" s="6"/>
      <c r="G142" s="6"/>
      <c r="H142" s="6"/>
      <c r="I142" s="6"/>
      <c r="J142" s="5" t="str">
        <f t="shared" si="464"/>
        <v>NO APLICA</v>
      </c>
      <c r="K142" s="6"/>
      <c r="L142" s="6"/>
      <c r="M142" s="6"/>
      <c r="N142" s="6"/>
      <c r="O142" s="5" t="str">
        <f t="shared" si="465"/>
        <v>NO APLICA</v>
      </c>
      <c r="P142" s="6"/>
      <c r="Q142" s="6"/>
      <c r="R142" s="6"/>
      <c r="S142" s="6"/>
      <c r="T142" s="5" t="str">
        <f t="shared" si="571"/>
        <v>NO APLICA</v>
      </c>
      <c r="U142" s="5"/>
      <c r="V142" s="6" t="s">
        <v>466</v>
      </c>
      <c r="W142" s="4">
        <v>45337</v>
      </c>
      <c r="X142" s="4">
        <f t="shared" si="419"/>
        <v>47164</v>
      </c>
      <c r="Y142" s="8">
        <f t="shared" ca="1" si="420"/>
        <v>1029</v>
      </c>
      <c r="Z142" s="5" t="str">
        <f t="shared" ca="1" si="421"/>
        <v>VIGENTE</v>
      </c>
      <c r="AA142" s="5"/>
      <c r="AB142" s="6" t="s">
        <v>467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6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67"/>
        <v>597</v>
      </c>
      <c r="AK142" s="5" t="str">
        <f t="shared" ca="1" si="41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68"/>
        <v>680</v>
      </c>
      <c r="AP142" s="5" t="str">
        <f t="shared" ca="1" si="469"/>
        <v>VIGENTE</v>
      </c>
      <c r="AQ142" s="6"/>
      <c r="AR142" s="4">
        <v>46048</v>
      </c>
      <c r="AS142" s="4">
        <f t="shared" si="582"/>
        <v>46778</v>
      </c>
      <c r="AT142" s="8">
        <f t="shared" ca="1" si="470"/>
        <v>643</v>
      </c>
      <c r="AU142" s="5" t="str">
        <f t="shared" ca="1" si="471"/>
        <v>VIGENTE</v>
      </c>
      <c r="AV142" s="6"/>
      <c r="AW142" s="4">
        <v>46070</v>
      </c>
      <c r="AX142" s="4">
        <f t="shared" si="583"/>
        <v>46800</v>
      </c>
      <c r="AY142" s="8">
        <f t="shared" ca="1" si="472"/>
        <v>665</v>
      </c>
      <c r="AZ142" s="5" t="str">
        <f t="shared" ca="1" si="47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4"/>
        <v>636</v>
      </c>
      <c r="BE142" s="5" t="str">
        <f t="shared" ca="1" si="47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6"/>
        <v>582</v>
      </c>
      <c r="BJ142" s="5" t="str">
        <f t="shared" ca="1" si="47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78"/>
        <v>630</v>
      </c>
      <c r="BO142" s="5" t="str">
        <f t="shared" ca="1" si="479"/>
        <v>VIGENTE</v>
      </c>
      <c r="BP142" s="4"/>
      <c r="BQ142" s="4">
        <v>45988</v>
      </c>
      <c r="BR142" s="4">
        <f t="shared" si="584"/>
        <v>46718</v>
      </c>
      <c r="BS142" s="8">
        <f t="shared" ca="1" si="480"/>
        <v>583</v>
      </c>
      <c r="BT142" s="5" t="str">
        <f t="shared" ca="1" si="48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2"/>
        <v>626</v>
      </c>
      <c r="BY142" s="5" t="str">
        <f t="shared" ca="1" si="48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4"/>
        <v>581</v>
      </c>
      <c r="CD142" s="5" t="str">
        <f t="shared" ca="1" si="485"/>
        <v>VIGENTE</v>
      </c>
      <c r="CE142" s="6" t="s">
        <v>73</v>
      </c>
      <c r="CF142" s="4">
        <v>45346</v>
      </c>
      <c r="CG142" s="4">
        <f t="shared" si="425"/>
        <v>46807</v>
      </c>
      <c r="CH142" s="8">
        <f t="shared" ca="1" si="426"/>
        <v>672</v>
      </c>
      <c r="CI142" s="5" t="str">
        <f t="shared" ca="1" si="42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6"/>
        <v>613</v>
      </c>
      <c r="CN142" s="5" t="str">
        <f t="shared" ca="1" si="48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88"/>
        <v>697</v>
      </c>
      <c r="CS142" s="5" t="str">
        <f t="shared" ca="1" si="48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0"/>
        <v>638</v>
      </c>
      <c r="CX142" s="5" t="str">
        <f t="shared" ca="1" si="49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2"/>
        <v>623</v>
      </c>
      <c r="DC142" s="5" t="str">
        <f t="shared" ca="1" si="49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4"/>
        <v>661</v>
      </c>
      <c r="DH142" s="5" t="str">
        <f t="shared" ca="1" si="49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6"/>
        <v>45</v>
      </c>
      <c r="DM142" s="5" t="str">
        <f t="shared" ca="1" si="49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98"/>
        <v>641</v>
      </c>
      <c r="DR142" s="5" t="str">
        <f t="shared" ca="1" si="49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0"/>
        <v>648</v>
      </c>
      <c r="DW142" s="5" t="str">
        <f t="shared" ca="1" si="50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2"/>
        <v>695</v>
      </c>
      <c r="EB142" s="5" t="str">
        <f t="shared" ca="1" si="50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4"/>
        <v>700</v>
      </c>
      <c r="EG142" s="5" t="str">
        <f t="shared" ca="1" si="505"/>
        <v>VIGENTE</v>
      </c>
      <c r="EH142" s="4"/>
      <c r="EI142" s="4">
        <v>45808</v>
      </c>
      <c r="EJ142" s="4">
        <f t="shared" si="572"/>
        <v>46173</v>
      </c>
      <c r="EK142" s="8">
        <f t="shared" ca="1" si="506"/>
        <v>38</v>
      </c>
      <c r="EL142" s="5" t="str">
        <f t="shared" ca="1" si="50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08"/>
        <v>696</v>
      </c>
      <c r="EQ142" s="5" t="str">
        <f t="shared" ca="1" si="50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0"/>
        <v>594</v>
      </c>
      <c r="EV142" s="5" t="str">
        <f t="shared" ca="1" si="51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2"/>
        <v>658</v>
      </c>
      <c r="FA142" s="5" t="str">
        <f t="shared" ca="1" si="51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4"/>
        <v>612</v>
      </c>
      <c r="FF142" s="5" t="str">
        <f t="shared" ca="1" si="51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6"/>
        <v>604</v>
      </c>
      <c r="FK142" s="5" t="str">
        <f t="shared" ca="1" si="51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18"/>
        <v>634</v>
      </c>
      <c r="FP142" s="5" t="str">
        <f t="shared" ca="1" si="51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0"/>
        <v>629</v>
      </c>
      <c r="FU142" s="5" t="str">
        <f t="shared" ca="1" si="52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2"/>
        <v>609</v>
      </c>
      <c r="FZ142" s="5" t="str">
        <f t="shared" ca="1" si="52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4"/>
        <v>598</v>
      </c>
      <c r="GE142" s="5" t="str">
        <f t="shared" ca="1" si="52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6"/>
        <v>667</v>
      </c>
      <c r="GJ142" s="5" t="str">
        <f t="shared" ca="1" si="527"/>
        <v>VIGENTE</v>
      </c>
      <c r="GK142" s="3"/>
      <c r="GL142" s="4">
        <v>46044</v>
      </c>
      <c r="GM142" s="4">
        <f t="shared" si="585"/>
        <v>46774</v>
      </c>
      <c r="GN142" s="8">
        <f t="shared" ca="1" si="528"/>
        <v>639</v>
      </c>
      <c r="GO142" s="5" t="str">
        <f t="shared" ca="1" si="529"/>
        <v>VIGENTE</v>
      </c>
      <c r="GP142" s="4"/>
      <c r="GQ142" s="4">
        <v>45367</v>
      </c>
      <c r="GR142" s="4">
        <f t="shared" si="530"/>
        <v>47193</v>
      </c>
      <c r="GS142" s="8">
        <f t="shared" ca="1" si="416"/>
        <v>1058</v>
      </c>
      <c r="GT142" s="5" t="str">
        <f t="shared" ca="1" si="428"/>
        <v>VIGENTE</v>
      </c>
      <c r="GU142" s="4"/>
      <c r="GV142" s="4">
        <v>45389</v>
      </c>
      <c r="GW142" s="4">
        <f t="shared" si="531"/>
        <v>47215</v>
      </c>
      <c r="GX142" s="8">
        <f t="shared" ca="1" si="532"/>
        <v>1080</v>
      </c>
      <c r="GY142" s="5" t="str">
        <f t="shared" ca="1" si="435"/>
        <v>VIGENTE</v>
      </c>
      <c r="GZ142" s="6"/>
      <c r="HA142" s="4">
        <v>45348</v>
      </c>
      <c r="HB142" s="4">
        <f t="shared" si="533"/>
        <v>47175</v>
      </c>
      <c r="HC142" s="8">
        <f t="shared" ca="1" si="534"/>
        <v>1040</v>
      </c>
      <c r="HD142" s="5" t="str">
        <f t="shared" ca="1" si="43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36"/>
        <v>VIGENTE</v>
      </c>
      <c r="HJ142" s="6"/>
      <c r="HK142" s="6"/>
      <c r="HL142" s="4"/>
      <c r="HM142" s="8"/>
      <c r="HN142" s="5" t="str">
        <f t="shared" si="453"/>
        <v>NO APLICA</v>
      </c>
      <c r="HO142" s="2"/>
      <c r="HP142" s="2"/>
      <c r="HQ142" s="4"/>
      <c r="HR142" s="2"/>
      <c r="HS142" s="5" t="str">
        <f t="shared" si="535"/>
        <v>NO APLICA</v>
      </c>
      <c r="HT142" s="6"/>
      <c r="HU142" s="6"/>
      <c r="HV142" s="4"/>
      <c r="HW142" s="8"/>
      <c r="HX142" s="5" t="str">
        <f t="shared" si="536"/>
        <v>NO APLICA</v>
      </c>
      <c r="HY142" s="6"/>
      <c r="HZ142" s="6"/>
      <c r="IA142" s="4"/>
      <c r="IB142" s="8"/>
      <c r="IC142" s="5" t="str">
        <f t="shared" si="537"/>
        <v>NO APLICA</v>
      </c>
      <c r="ID142" s="6"/>
      <c r="IE142" s="6"/>
      <c r="IF142" s="4"/>
      <c r="IG142" s="8"/>
      <c r="IH142" s="5" t="str">
        <f t="shared" si="538"/>
        <v>NO APLICA</v>
      </c>
      <c r="II142" s="6"/>
      <c r="IJ142" s="6"/>
      <c r="IK142" s="4"/>
      <c r="IL142" s="6"/>
      <c r="IM142" s="5" t="str">
        <f t="shared" si="539"/>
        <v>NO APLICA</v>
      </c>
      <c r="IN142" s="6"/>
      <c r="IO142" s="6"/>
      <c r="IP142" s="4"/>
      <c r="IQ142" s="8"/>
      <c r="IR142" s="5" t="str">
        <f t="shared" si="54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41"/>
        <v>VIGENTE</v>
      </c>
      <c r="IX142" s="6"/>
      <c r="IY142" s="6"/>
      <c r="IZ142" s="4"/>
      <c r="JA142" s="8"/>
      <c r="JB142" s="5" t="str">
        <f t="shared" si="542"/>
        <v>NO APLICA</v>
      </c>
      <c r="JC142" s="3"/>
      <c r="JD142" s="3"/>
      <c r="JE142" s="4"/>
      <c r="JF142" s="8"/>
      <c r="JG142" s="5" t="str">
        <f t="shared" si="543"/>
        <v>NO APLICA</v>
      </c>
      <c r="JH142" s="6"/>
      <c r="JI142" s="6"/>
      <c r="JJ142" s="6"/>
      <c r="JK142" s="6"/>
      <c r="JL142" s="5" t="str">
        <f t="shared" si="544"/>
        <v>NO APLICA</v>
      </c>
      <c r="JM142" s="6"/>
      <c r="JN142" s="6"/>
      <c r="JO142" s="6"/>
      <c r="JP142" s="6"/>
      <c r="JQ142" s="5" t="str">
        <f t="shared" si="545"/>
        <v>NO APLICA</v>
      </c>
      <c r="JR142" s="6"/>
      <c r="JS142" s="6"/>
      <c r="JT142" s="6"/>
      <c r="JU142" s="6"/>
      <c r="JV142" s="5" t="str">
        <f t="shared" si="546"/>
        <v>NO APLICA</v>
      </c>
      <c r="JW142" s="5"/>
      <c r="JX142" s="5"/>
      <c r="JY142" s="5"/>
      <c r="JZ142" s="5"/>
      <c r="KA142" s="5" t="str">
        <f t="shared" si="547"/>
        <v>NO APLICA</v>
      </c>
      <c r="KB142" s="5"/>
      <c r="KC142" s="2"/>
      <c r="KD142" s="4"/>
      <c r="KE142" s="8"/>
      <c r="KF142" s="5" t="str">
        <f t="shared" si="548"/>
        <v>NO APLICA</v>
      </c>
      <c r="KG142" s="5"/>
      <c r="KH142" s="6"/>
      <c r="KI142" s="4"/>
      <c r="KJ142" s="6"/>
      <c r="KK142" s="5" t="str">
        <f t="shared" si="573"/>
        <v>NO APLICA</v>
      </c>
      <c r="KL142" s="5"/>
      <c r="KM142" s="2"/>
      <c r="KN142" s="4"/>
      <c r="KO142" s="8"/>
      <c r="KP142" s="5" t="str">
        <f t="shared" si="549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74"/>
        <v>VIGENTE</v>
      </c>
      <c r="KV142" s="6"/>
      <c r="KW142" s="6"/>
      <c r="KX142" s="4"/>
      <c r="KY142" s="6"/>
      <c r="KZ142" s="5" t="str">
        <f t="shared" si="579"/>
        <v>NO APLICA</v>
      </c>
      <c r="LA142" s="5"/>
      <c r="LB142" s="6"/>
      <c r="LC142" s="4"/>
      <c r="LD142" s="6"/>
      <c r="LE142" s="5" t="str">
        <f t="shared" si="575"/>
        <v>NO APLICA</v>
      </c>
      <c r="LF142" s="6"/>
      <c r="LG142" s="6"/>
      <c r="LH142" s="6"/>
      <c r="LI142" s="6"/>
      <c r="LJ142" s="5" t="str">
        <f t="shared" si="581"/>
        <v>NO APLICA</v>
      </c>
      <c r="LK142" s="5"/>
      <c r="LL142" s="5"/>
      <c r="LM142" s="5"/>
      <c r="LN142" s="5"/>
      <c r="LO142" s="5" t="str">
        <f t="shared" si="580"/>
        <v>NO APLICA</v>
      </c>
      <c r="LP142" s="6"/>
      <c r="LQ142" s="6"/>
      <c r="LR142" s="4"/>
      <c r="LS142" s="8"/>
      <c r="LT142" s="5" t="str">
        <f t="shared" si="576"/>
        <v>NO APLICA</v>
      </c>
      <c r="LU142" s="6"/>
      <c r="LV142" s="6"/>
      <c r="LW142" s="4"/>
      <c r="LX142" s="6"/>
      <c r="LY142" s="5" t="str">
        <f t="shared" si="577"/>
        <v>NO APLICA</v>
      </c>
      <c r="LZ142" s="6"/>
      <c r="MA142" s="6"/>
      <c r="MB142" s="4"/>
      <c r="MC142" s="6"/>
      <c r="MD142" s="5" t="str">
        <f t="shared" si="578"/>
        <v>NO APLICA</v>
      </c>
      <c r="ME142" s="6"/>
      <c r="MF142" s="6"/>
      <c r="MG142" s="4"/>
      <c r="MH142" s="6"/>
      <c r="MI142" s="5" t="str">
        <f t="shared" si="551"/>
        <v>NO APLICA</v>
      </c>
      <c r="MJ142" s="6"/>
      <c r="MK142" s="6"/>
      <c r="ML142" s="4"/>
      <c r="MM142" s="6"/>
      <c r="MN142" s="5" t="str">
        <f t="shared" si="552"/>
        <v>NO APLICA</v>
      </c>
      <c r="MO142" s="5"/>
      <c r="MP142" s="6"/>
      <c r="MQ142" s="4"/>
      <c r="MR142" s="6"/>
      <c r="MS142" s="5" t="str">
        <f t="shared" si="553"/>
        <v>NO APLICA</v>
      </c>
      <c r="MT142" s="5"/>
      <c r="MU142" s="6"/>
      <c r="MV142" s="6"/>
      <c r="MW142" s="6"/>
      <c r="MX142" s="5" t="str">
        <f t="shared" si="554"/>
        <v>NO APLICA</v>
      </c>
      <c r="MY142" s="6"/>
      <c r="MZ142" s="6"/>
      <c r="NA142" s="4"/>
      <c r="NB142" s="6"/>
      <c r="NC142" s="5" t="str">
        <f t="shared" si="555"/>
        <v>NO APLICA</v>
      </c>
      <c r="ND142" s="6"/>
      <c r="NE142" s="6"/>
      <c r="NF142" s="4"/>
      <c r="NG142" s="6"/>
      <c r="NH142" s="5" t="str">
        <f t="shared" si="556"/>
        <v>NO APLICA</v>
      </c>
      <c r="NI142" s="6"/>
      <c r="NJ142" s="6"/>
      <c r="NK142" s="4"/>
      <c r="NL142" s="6"/>
      <c r="NM142" s="5" t="str">
        <f t="shared" si="557"/>
        <v>NO APLICA</v>
      </c>
      <c r="NN142" s="6"/>
      <c r="NO142" s="6"/>
      <c r="NP142" s="4"/>
      <c r="NQ142" s="6"/>
      <c r="NR142" s="5" t="str">
        <f t="shared" si="558"/>
        <v>NO APLICA</v>
      </c>
      <c r="NS142" s="6"/>
      <c r="NT142" s="6"/>
      <c r="NU142" s="4"/>
      <c r="NV142" s="6"/>
      <c r="NW142" s="5" t="str">
        <f t="shared" si="559"/>
        <v>NO APLICA</v>
      </c>
      <c r="NX142" s="6"/>
      <c r="NY142" s="6"/>
      <c r="NZ142" s="4"/>
      <c r="OA142" s="8"/>
      <c r="OB142" s="5" t="str">
        <f t="shared" si="560"/>
        <v>NO APLICA</v>
      </c>
      <c r="OC142" s="6"/>
      <c r="OD142" s="6"/>
      <c r="OE142" s="6"/>
      <c r="OF142" s="6"/>
      <c r="OG142" s="5" t="str">
        <f t="shared" si="561"/>
        <v>NO APLICA</v>
      </c>
      <c r="OH142" s="6"/>
      <c r="OI142" s="6"/>
      <c r="OJ142" s="6"/>
      <c r="OK142" s="6"/>
      <c r="OL142" s="5" t="str">
        <f t="shared" si="562"/>
        <v>NO APLICA</v>
      </c>
      <c r="OM142" s="6"/>
      <c r="ON142" s="6"/>
      <c r="OO142" s="4"/>
      <c r="OP142" s="8"/>
      <c r="OQ142" s="5" t="str">
        <f t="shared" si="563"/>
        <v>NO APLICA</v>
      </c>
      <c r="OR142" s="6"/>
      <c r="OS142" s="6"/>
      <c r="OT142" s="6"/>
      <c r="OU142" s="6"/>
      <c r="OV142" s="5" t="str">
        <f t="shared" si="564"/>
        <v>NO APLICA</v>
      </c>
      <c r="OW142" s="6"/>
      <c r="OX142" s="6"/>
      <c r="OY142" s="6"/>
      <c r="OZ142" s="6"/>
      <c r="PA142" s="5" t="str">
        <f t="shared" si="565"/>
        <v>NO APLICA</v>
      </c>
      <c r="PB142" s="6"/>
      <c r="PC142" s="6"/>
      <c r="PD142" s="6"/>
      <c r="PE142" s="6"/>
      <c r="PF142" s="5" t="str">
        <f t="shared" si="566"/>
        <v>NO APLICA</v>
      </c>
      <c r="PG142" s="6"/>
      <c r="PH142" s="6"/>
      <c r="PI142" s="6"/>
      <c r="PJ142" s="6"/>
      <c r="PK142" s="5" t="str">
        <f t="shared" si="567"/>
        <v>NO APLICA</v>
      </c>
      <c r="PL142" s="5"/>
      <c r="PM142" s="6"/>
      <c r="PN142" s="6"/>
      <c r="PO142" s="6"/>
      <c r="PP142" s="5" t="str">
        <f t="shared" si="568"/>
        <v>NO APLICA</v>
      </c>
      <c r="PQ142" s="6"/>
      <c r="PR142" s="6"/>
      <c r="PS142" s="6"/>
      <c r="PT142" s="6"/>
      <c r="PU142" s="5" t="str">
        <f t="shared" si="569"/>
        <v>NO APLICA</v>
      </c>
      <c r="PV142" s="5"/>
      <c r="PW142" s="6"/>
      <c r="PX142" s="6"/>
      <c r="PY142" s="6"/>
      <c r="PZ142" s="5" t="str">
        <f t="shared" si="570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468</v>
      </c>
      <c r="D143" s="30" t="s">
        <v>64</v>
      </c>
      <c r="E143" s="31" t="s">
        <v>83</v>
      </c>
      <c r="F143" s="5"/>
      <c r="G143" s="6"/>
      <c r="H143" s="4"/>
      <c r="I143" s="8"/>
      <c r="J143" s="5" t="str">
        <f t="shared" si="464"/>
        <v>NO APLICA</v>
      </c>
      <c r="K143" s="5"/>
      <c r="L143" s="6"/>
      <c r="M143" s="6"/>
      <c r="N143" s="8"/>
      <c r="O143" s="5" t="str">
        <f t="shared" si="46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71"/>
        <v>VIGENTE</v>
      </c>
      <c r="U143" s="5"/>
      <c r="V143" s="2" t="s">
        <v>469</v>
      </c>
      <c r="W143" s="4">
        <v>45142</v>
      </c>
      <c r="X143" s="4">
        <f t="shared" si="419"/>
        <v>46969</v>
      </c>
      <c r="Y143" s="8">
        <f t="shared" ca="1" si="420"/>
        <v>834</v>
      </c>
      <c r="Z143" s="5" t="str">
        <f t="shared" ca="1" si="421"/>
        <v>VIGENTE</v>
      </c>
      <c r="AA143" s="5"/>
      <c r="AB143" s="2" t="s">
        <v>470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6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67"/>
        <v>375</v>
      </c>
      <c r="AK143" s="5" t="str">
        <f t="shared" ca="1" si="41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68"/>
        <v>342</v>
      </c>
      <c r="AP143" s="5" t="str">
        <f t="shared" ca="1" si="469"/>
        <v>VIGENTE</v>
      </c>
      <c r="AQ143" s="3"/>
      <c r="AR143" s="4">
        <v>45775</v>
      </c>
      <c r="AS143" s="4">
        <f t="shared" si="582"/>
        <v>46505</v>
      </c>
      <c r="AT143" s="8">
        <f t="shared" ca="1" si="470"/>
        <v>370</v>
      </c>
      <c r="AU143" s="5" t="str">
        <f t="shared" ca="1" si="471"/>
        <v>VIGENTE</v>
      </c>
      <c r="AV143" s="3"/>
      <c r="AW143" s="4">
        <v>45765</v>
      </c>
      <c r="AX143" s="4">
        <f t="shared" si="583"/>
        <v>46495</v>
      </c>
      <c r="AY143" s="8">
        <f t="shared" ca="1" si="472"/>
        <v>360</v>
      </c>
      <c r="AZ143" s="5" t="str">
        <f t="shared" ca="1" si="47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4"/>
        <v>336</v>
      </c>
      <c r="BE143" s="5" t="str">
        <f t="shared" ca="1" si="47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6"/>
        <v>357</v>
      </c>
      <c r="BJ143" s="5" t="str">
        <f t="shared" ca="1" si="47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78"/>
        <v>392</v>
      </c>
      <c r="BO143" s="5" t="str">
        <f t="shared" ca="1" si="479"/>
        <v>VIGENTE</v>
      </c>
      <c r="BP143" s="3"/>
      <c r="BQ143" s="4">
        <v>45841</v>
      </c>
      <c r="BR143" s="4">
        <f t="shared" si="584"/>
        <v>46571</v>
      </c>
      <c r="BS143" s="8">
        <f t="shared" ca="1" si="480"/>
        <v>436</v>
      </c>
      <c r="BT143" s="5" t="str">
        <f t="shared" ca="1" si="48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2"/>
        <v>448</v>
      </c>
      <c r="BY143" s="5" t="str">
        <f t="shared" ca="1" si="48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4"/>
        <v>413</v>
      </c>
      <c r="CD143" s="5" t="str">
        <f t="shared" ca="1" si="485"/>
        <v>VIGENTE</v>
      </c>
      <c r="CE143" s="6" t="s">
        <v>471</v>
      </c>
      <c r="CF143" s="4">
        <v>45126</v>
      </c>
      <c r="CG143" s="4">
        <f t="shared" si="425"/>
        <v>46587</v>
      </c>
      <c r="CH143" s="8">
        <f t="shared" ca="1" si="426"/>
        <v>452</v>
      </c>
      <c r="CI143" s="25" t="s">
        <v>472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6"/>
        <v>395</v>
      </c>
      <c r="CN143" s="5" t="str">
        <f t="shared" ca="1" si="48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88"/>
        <v>364</v>
      </c>
      <c r="CS143" s="5" t="str">
        <f t="shared" ca="1" si="48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0"/>
        <v>500</v>
      </c>
      <c r="CX143" s="5" t="str">
        <f t="shared" ca="1" si="49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2"/>
        <v>430</v>
      </c>
      <c r="DC143" s="5" t="str">
        <f t="shared" ca="1" si="49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4"/>
        <v>356</v>
      </c>
      <c r="DH143" s="5" t="str">
        <f t="shared" ca="1" si="49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6"/>
        <v>374</v>
      </c>
      <c r="DM143" s="5" t="str">
        <f t="shared" ca="1" si="49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98"/>
        <v>468</v>
      </c>
      <c r="DR143" s="5" t="str">
        <f t="shared" ca="1" si="49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0"/>
        <v>447</v>
      </c>
      <c r="DW143" s="5" t="str">
        <f t="shared" ca="1" si="50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2"/>
        <v>399</v>
      </c>
      <c r="EB143" s="5" t="str">
        <f t="shared" ca="1" si="50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4"/>
        <v>382</v>
      </c>
      <c r="EG143" s="5" t="str">
        <f t="shared" ca="1" si="505"/>
        <v>VIGENTE</v>
      </c>
      <c r="EH143" s="3"/>
      <c r="EI143" s="4">
        <v>45812</v>
      </c>
      <c r="EJ143" s="4">
        <f t="shared" si="572"/>
        <v>46177</v>
      </c>
      <c r="EK143" s="8">
        <f t="shared" ca="1" si="506"/>
        <v>42</v>
      </c>
      <c r="EL143" s="5" t="str">
        <f t="shared" ca="1" si="50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08"/>
        <v>435</v>
      </c>
      <c r="EQ143" s="5" t="str">
        <f t="shared" ca="1" si="50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0"/>
        <v>419</v>
      </c>
      <c r="EV143" s="5" t="str">
        <f t="shared" ca="1" si="51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2"/>
        <v>389</v>
      </c>
      <c r="FA143" s="5" t="str">
        <f t="shared" ca="1" si="51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4"/>
        <v>526</v>
      </c>
      <c r="FF143" s="5" t="str">
        <f t="shared" ca="1" si="51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6"/>
        <v>427</v>
      </c>
      <c r="FK143" s="5" t="str">
        <f t="shared" ca="1" si="51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18"/>
        <v>366</v>
      </c>
      <c r="FP143" s="5" t="str">
        <f t="shared" ca="1" si="51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0"/>
        <v>377</v>
      </c>
      <c r="FU143" s="5" t="str">
        <f t="shared" ca="1" si="52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2"/>
        <v>470</v>
      </c>
      <c r="FZ143" s="5" t="str">
        <f t="shared" ca="1" si="52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4"/>
        <v>428</v>
      </c>
      <c r="GE143" s="5" t="str">
        <f t="shared" ca="1" si="52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6"/>
        <v>325</v>
      </c>
      <c r="GJ143" s="5" t="str">
        <f t="shared" ca="1" si="527"/>
        <v>VIGENTE</v>
      </c>
      <c r="GK143" s="3"/>
      <c r="GL143" s="4">
        <v>45848</v>
      </c>
      <c r="GM143" s="4">
        <f t="shared" si="585"/>
        <v>46578</v>
      </c>
      <c r="GN143" s="8">
        <f t="shared" ca="1" si="528"/>
        <v>443</v>
      </c>
      <c r="GO143" s="5" t="str">
        <f t="shared" ca="1" si="529"/>
        <v>VIGENTE</v>
      </c>
      <c r="GP143" s="4"/>
      <c r="GQ143" s="4">
        <v>45136</v>
      </c>
      <c r="GR143" s="4">
        <f t="shared" si="530"/>
        <v>46963</v>
      </c>
      <c r="GS143" s="8">
        <f t="shared" ca="1" si="416"/>
        <v>828</v>
      </c>
      <c r="GT143" s="5" t="str">
        <f t="shared" ca="1" si="428"/>
        <v>VIGENTE</v>
      </c>
      <c r="GU143" s="3"/>
      <c r="GV143" s="4">
        <v>45203</v>
      </c>
      <c r="GW143" s="4">
        <f t="shared" si="531"/>
        <v>47030</v>
      </c>
      <c r="GX143" s="8">
        <f t="shared" ca="1" si="532"/>
        <v>895</v>
      </c>
      <c r="GY143" s="5" t="str">
        <f t="shared" ca="1" si="435"/>
        <v>VIGENTE</v>
      </c>
      <c r="GZ143" s="2"/>
      <c r="HA143" s="4">
        <v>45187</v>
      </c>
      <c r="HB143" s="4">
        <f t="shared" si="533"/>
        <v>47014</v>
      </c>
      <c r="HC143" s="8">
        <f t="shared" ca="1" si="534"/>
        <v>879</v>
      </c>
      <c r="HD143" s="5" t="str">
        <f t="shared" ca="1" si="43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36"/>
        <v>VIGENTE</v>
      </c>
      <c r="HJ143" s="2"/>
      <c r="HK143" s="6"/>
      <c r="HL143" s="4"/>
      <c r="HM143" s="8"/>
      <c r="HN143" s="5" t="str">
        <f t="shared" si="453"/>
        <v>NO APLICA</v>
      </c>
      <c r="HO143" s="2"/>
      <c r="HP143" s="2"/>
      <c r="HQ143" s="4"/>
      <c r="HR143" s="2"/>
      <c r="HS143" s="5" t="str">
        <f t="shared" si="535"/>
        <v>NO APLICA</v>
      </c>
      <c r="HT143" s="2"/>
      <c r="HU143" s="6"/>
      <c r="HV143" s="4"/>
      <c r="HW143" s="8"/>
      <c r="HX143" s="5" t="str">
        <f t="shared" si="536"/>
        <v>NO APLICA</v>
      </c>
      <c r="HY143" s="2"/>
      <c r="HZ143" s="6"/>
      <c r="IA143" s="4"/>
      <c r="IB143" s="8"/>
      <c r="IC143" s="5" t="str">
        <f t="shared" si="537"/>
        <v>NO APLICA</v>
      </c>
      <c r="ID143" s="2"/>
      <c r="IE143" s="6"/>
      <c r="IF143" s="4"/>
      <c r="IG143" s="8"/>
      <c r="IH143" s="5" t="str">
        <f t="shared" si="538"/>
        <v>NO APLICA</v>
      </c>
      <c r="II143" s="6"/>
      <c r="IJ143" s="6"/>
      <c r="IK143" s="4"/>
      <c r="IL143" s="8"/>
      <c r="IM143" s="5" t="str">
        <f t="shared" si="539"/>
        <v>NO APLICA</v>
      </c>
      <c r="IN143" s="2"/>
      <c r="IO143" s="6"/>
      <c r="IP143" s="4"/>
      <c r="IQ143" s="8"/>
      <c r="IR143" s="5" t="str">
        <f t="shared" si="540"/>
        <v>NO APLICA</v>
      </c>
      <c r="IS143" s="2"/>
      <c r="IT143" s="6"/>
      <c r="IU143" s="4"/>
      <c r="IV143" s="8"/>
      <c r="IW143" s="5" t="str">
        <f t="shared" si="541"/>
        <v>NO APLICA</v>
      </c>
      <c r="IX143" s="2"/>
      <c r="IY143" s="6"/>
      <c r="IZ143" s="4"/>
      <c r="JA143" s="8"/>
      <c r="JB143" s="5" t="str">
        <f t="shared" si="542"/>
        <v>NO APLICA</v>
      </c>
      <c r="JC143" s="3"/>
      <c r="JD143" s="3"/>
      <c r="JE143" s="4"/>
      <c r="JF143" s="8"/>
      <c r="JG143" s="5" t="str">
        <f t="shared" si="543"/>
        <v>NO APLICA</v>
      </c>
      <c r="JH143" s="6"/>
      <c r="JI143" s="6"/>
      <c r="JJ143" s="6"/>
      <c r="JK143" s="6"/>
      <c r="JL143" s="5" t="str">
        <f t="shared" si="544"/>
        <v>NO APLICA</v>
      </c>
      <c r="JM143" s="6"/>
      <c r="JN143" s="6"/>
      <c r="JO143" s="6"/>
      <c r="JP143" s="6"/>
      <c r="JQ143" s="5" t="str">
        <f t="shared" si="545"/>
        <v>NO APLICA</v>
      </c>
      <c r="JR143" s="6"/>
      <c r="JS143" s="6"/>
      <c r="JT143" s="6"/>
      <c r="JU143" s="6"/>
      <c r="JV143" s="5" t="str">
        <f t="shared" si="546"/>
        <v>NO APLICA</v>
      </c>
      <c r="JW143" s="5"/>
      <c r="JX143" s="5"/>
      <c r="JY143" s="5"/>
      <c r="JZ143" s="5"/>
      <c r="KA143" s="5" t="str">
        <f t="shared" si="547"/>
        <v>NO APLICA</v>
      </c>
      <c r="KB143" s="5"/>
      <c r="KC143" s="2"/>
      <c r="KD143" s="4"/>
      <c r="KE143" s="8"/>
      <c r="KF143" s="5" t="str">
        <f t="shared" si="548"/>
        <v>NO APLICA</v>
      </c>
      <c r="KG143" s="5"/>
      <c r="KH143" s="2"/>
      <c r="KI143" s="4"/>
      <c r="KJ143" s="8"/>
      <c r="KK143" s="5" t="str">
        <f t="shared" si="573"/>
        <v>NO APLICA</v>
      </c>
      <c r="KL143" s="5"/>
      <c r="KM143" s="2"/>
      <c r="KN143" s="4"/>
      <c r="KO143" s="8"/>
      <c r="KP143" s="5" t="str">
        <f t="shared" si="549"/>
        <v>NO APLICA</v>
      </c>
      <c r="KQ143" s="5"/>
      <c r="KR143" s="2"/>
      <c r="KS143" s="4"/>
      <c r="KT143" s="8"/>
      <c r="KU143" s="5" t="str">
        <f t="shared" si="574"/>
        <v>NO APLICA</v>
      </c>
      <c r="KV143" s="2"/>
      <c r="KW143" s="6"/>
      <c r="KX143" s="4"/>
      <c r="KY143" s="8"/>
      <c r="KZ143" s="5" t="str">
        <f t="shared" si="579"/>
        <v>NO APLICA</v>
      </c>
      <c r="LA143" s="5"/>
      <c r="LB143" s="6"/>
      <c r="LC143" s="4"/>
      <c r="LD143" s="8"/>
      <c r="LE143" s="5" t="str">
        <f t="shared" si="575"/>
        <v>NO APLICA</v>
      </c>
      <c r="LF143" s="6"/>
      <c r="LG143" s="6"/>
      <c r="LH143" s="4"/>
      <c r="LI143" s="8"/>
      <c r="LJ143" s="5" t="str">
        <f t="shared" si="581"/>
        <v>NO APLICA</v>
      </c>
      <c r="LK143" s="5"/>
      <c r="LL143" s="5"/>
      <c r="LM143" s="5"/>
      <c r="LN143" s="5"/>
      <c r="LO143" s="5" t="str">
        <f t="shared" si="580"/>
        <v>NO APLICA</v>
      </c>
      <c r="LP143" s="2"/>
      <c r="LQ143" s="6"/>
      <c r="LR143" s="4"/>
      <c r="LS143" s="8"/>
      <c r="LT143" s="5" t="str">
        <f t="shared" si="576"/>
        <v>NO APLICA</v>
      </c>
      <c r="LU143" s="6"/>
      <c r="LV143" s="6"/>
      <c r="LW143" s="4"/>
      <c r="LX143" s="8"/>
      <c r="LY143" s="5" t="str">
        <f t="shared" si="577"/>
        <v>NO APLICA</v>
      </c>
      <c r="LZ143" s="6"/>
      <c r="MA143" s="6"/>
      <c r="MB143" s="4"/>
      <c r="MC143" s="8"/>
      <c r="MD143" s="5" t="str">
        <f t="shared" si="578"/>
        <v>NO APLICA</v>
      </c>
      <c r="ME143" s="2"/>
      <c r="MF143" s="2"/>
      <c r="MG143" s="4"/>
      <c r="MH143" s="8"/>
      <c r="MI143" s="5" t="str">
        <f t="shared" si="551"/>
        <v>NO APLICA</v>
      </c>
      <c r="MJ143" s="2"/>
      <c r="MK143" s="2"/>
      <c r="ML143" s="4"/>
      <c r="MM143" s="8"/>
      <c r="MN143" s="5" t="str">
        <f t="shared" si="552"/>
        <v>NO APLICA</v>
      </c>
      <c r="MO143" s="5"/>
      <c r="MP143" s="2"/>
      <c r="MQ143" s="4"/>
      <c r="MR143" s="8"/>
      <c r="MS143" s="5" t="str">
        <f t="shared" si="553"/>
        <v>NO APLICA</v>
      </c>
      <c r="MT143" s="5"/>
      <c r="MU143" s="2"/>
      <c r="MV143" s="4"/>
      <c r="MW143" s="2"/>
      <c r="MX143" s="5" t="str">
        <f t="shared" si="554"/>
        <v>NO APLICA</v>
      </c>
      <c r="MY143" s="2"/>
      <c r="MZ143" s="6"/>
      <c r="NA143" s="4"/>
      <c r="NB143" s="8"/>
      <c r="NC143" s="5" t="str">
        <f t="shared" si="555"/>
        <v>NO APLICA</v>
      </c>
      <c r="ND143" s="2"/>
      <c r="NE143" s="6"/>
      <c r="NF143" s="4"/>
      <c r="NG143" s="8"/>
      <c r="NH143" s="5" t="str">
        <f t="shared" si="556"/>
        <v>NO APLICA</v>
      </c>
      <c r="NI143" s="2"/>
      <c r="NJ143" s="6"/>
      <c r="NK143" s="4"/>
      <c r="NL143" s="8"/>
      <c r="NM143" s="5" t="str">
        <f t="shared" si="557"/>
        <v>NO APLICA</v>
      </c>
      <c r="NN143" s="2"/>
      <c r="NO143" s="2"/>
      <c r="NP143" s="4"/>
      <c r="NQ143" s="8"/>
      <c r="NR143" s="5" t="str">
        <f t="shared" si="558"/>
        <v>NO APLICA</v>
      </c>
      <c r="NS143" s="2"/>
      <c r="NT143" s="2"/>
      <c r="NU143" s="4"/>
      <c r="NV143" s="2"/>
      <c r="NW143" s="5" t="str">
        <f t="shared" si="559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60"/>
        <v>VENCIDA</v>
      </c>
      <c r="OC143" s="6"/>
      <c r="OD143" s="6"/>
      <c r="OE143" s="6"/>
      <c r="OF143" s="6"/>
      <c r="OG143" s="5" t="str">
        <f t="shared" si="561"/>
        <v>NO APLICA</v>
      </c>
      <c r="OH143" s="6"/>
      <c r="OI143" s="6"/>
      <c r="OJ143" s="4"/>
      <c r="OK143" s="8"/>
      <c r="OL143" s="5" t="str">
        <f t="shared" si="562"/>
        <v>NO APLICA</v>
      </c>
      <c r="OM143" s="6"/>
      <c r="ON143" s="6"/>
      <c r="OO143" s="6"/>
      <c r="OP143" s="6"/>
      <c r="OQ143" s="5" t="str">
        <f t="shared" si="563"/>
        <v>NO APLICA</v>
      </c>
      <c r="OR143" s="6"/>
      <c r="OS143" s="6"/>
      <c r="OT143" s="6"/>
      <c r="OU143" s="6"/>
      <c r="OV143" s="5" t="str">
        <f t="shared" si="564"/>
        <v>NO APLICA</v>
      </c>
      <c r="OW143" s="6"/>
      <c r="OX143" s="6"/>
      <c r="OY143" s="6"/>
      <c r="OZ143" s="6"/>
      <c r="PA143" s="5" t="str">
        <f t="shared" si="565"/>
        <v>NO APLICA</v>
      </c>
      <c r="PB143" s="6"/>
      <c r="PC143" s="6"/>
      <c r="PD143" s="6"/>
      <c r="PE143" s="6"/>
      <c r="PF143" s="5" t="str">
        <f t="shared" si="566"/>
        <v>NO APLICA</v>
      </c>
      <c r="PG143" s="6"/>
      <c r="PH143" s="6"/>
      <c r="PI143" s="6"/>
      <c r="PJ143" s="6"/>
      <c r="PK143" s="5" t="str">
        <f t="shared" si="567"/>
        <v>NO APLICA</v>
      </c>
      <c r="PL143" s="5"/>
      <c r="PM143" s="6"/>
      <c r="PN143" s="4"/>
      <c r="PO143" s="8"/>
      <c r="PP143" s="5" t="str">
        <f t="shared" si="568"/>
        <v>NO APLICA</v>
      </c>
      <c r="PQ143" s="6"/>
      <c r="PR143" s="6"/>
      <c r="PS143" s="6"/>
      <c r="PT143" s="6"/>
      <c r="PU143" s="5" t="str">
        <f t="shared" si="569"/>
        <v>NO APLICA</v>
      </c>
      <c r="PV143" s="5"/>
      <c r="PW143" s="6"/>
      <c r="PX143" s="6"/>
      <c r="PY143" s="6"/>
      <c r="PZ143" s="5" t="str">
        <f t="shared" si="570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473</v>
      </c>
      <c r="D144" s="30" t="s">
        <v>119</v>
      </c>
      <c r="E144" s="31" t="s">
        <v>120</v>
      </c>
      <c r="F144" s="6"/>
      <c r="G144" s="6"/>
      <c r="H144" s="6"/>
      <c r="I144" s="6"/>
      <c r="J144" s="5" t="str">
        <f t="shared" si="464"/>
        <v>NO APLICA</v>
      </c>
      <c r="K144" s="6"/>
      <c r="L144" s="6"/>
      <c r="M144" s="6"/>
      <c r="N144" s="6"/>
      <c r="O144" s="5" t="str">
        <f t="shared" si="465"/>
        <v>NO APLICA</v>
      </c>
      <c r="P144" s="6"/>
      <c r="Q144" s="6"/>
      <c r="R144" s="6"/>
      <c r="S144" s="6"/>
      <c r="T144" s="5" t="str">
        <f t="shared" si="571"/>
        <v>NO APLICA</v>
      </c>
      <c r="U144" s="5"/>
      <c r="V144" s="6" t="s">
        <v>474</v>
      </c>
      <c r="W144" s="4">
        <v>45502</v>
      </c>
      <c r="X144" s="4">
        <f t="shared" si="419"/>
        <v>47328</v>
      </c>
      <c r="Y144" s="8">
        <f t="shared" ca="1" si="420"/>
        <v>1193</v>
      </c>
      <c r="Z144" s="5" t="str">
        <f t="shared" ca="1" si="421"/>
        <v>VIGENTE</v>
      </c>
      <c r="AA144" s="5"/>
      <c r="AB144" s="6" t="s">
        <v>475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6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67"/>
        <v>681</v>
      </c>
      <c r="AK144" s="5" t="str">
        <f t="shared" ca="1" si="417"/>
        <v>VIGENTE</v>
      </c>
      <c r="AL144" s="6"/>
      <c r="AM144" s="4">
        <v>46062</v>
      </c>
      <c r="AN144" s="4">
        <f t="shared" ref="AN144:AN157" si="586">DATE(YEAR(AM144)+2,MONTH(AM144),DAY(AM144))</f>
        <v>46792</v>
      </c>
      <c r="AO144" s="8">
        <f t="shared" ca="1" si="468"/>
        <v>657</v>
      </c>
      <c r="AP144" s="5" t="str">
        <f t="shared" ca="1" si="469"/>
        <v>VIGENTE</v>
      </c>
      <c r="AQ144" s="4"/>
      <c r="AR144" s="4">
        <v>45989</v>
      </c>
      <c r="AS144" s="4">
        <f t="shared" si="582"/>
        <v>46719</v>
      </c>
      <c r="AT144" s="8">
        <f t="shared" ca="1" si="470"/>
        <v>584</v>
      </c>
      <c r="AU144" s="5" t="str">
        <f t="shared" ca="1" si="471"/>
        <v>VIGENTE</v>
      </c>
      <c r="AV144" s="6"/>
      <c r="AW144" s="4">
        <v>46070</v>
      </c>
      <c r="AX144" s="4">
        <f t="shared" si="583"/>
        <v>46800</v>
      </c>
      <c r="AY144" s="8">
        <f t="shared" ca="1" si="472"/>
        <v>665</v>
      </c>
      <c r="AZ144" s="5" t="str">
        <f t="shared" ca="1" si="47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4"/>
        <v>636</v>
      </c>
      <c r="BE144" s="5" t="str">
        <f t="shared" ca="1" si="47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6"/>
        <v>582</v>
      </c>
      <c r="BJ144" s="5" t="str">
        <f t="shared" ca="1" si="47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78"/>
        <v>602</v>
      </c>
      <c r="BO144" s="5" t="str">
        <f t="shared" ca="1" si="479"/>
        <v>VIGENTE</v>
      </c>
      <c r="BP144" s="4"/>
      <c r="BQ144" s="4">
        <v>45988</v>
      </c>
      <c r="BR144" s="4">
        <f t="shared" si="584"/>
        <v>46718</v>
      </c>
      <c r="BS144" s="8">
        <f t="shared" ca="1" si="480"/>
        <v>583</v>
      </c>
      <c r="BT144" s="5" t="str">
        <f t="shared" ca="1" si="48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2"/>
        <v>626</v>
      </c>
      <c r="BY144" s="5" t="str">
        <f t="shared" ca="1" si="48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4"/>
        <v>581</v>
      </c>
      <c r="CD144" s="5" t="str">
        <f t="shared" ca="1" si="485"/>
        <v>VIGENTE</v>
      </c>
      <c r="CE144" s="6" t="s">
        <v>73</v>
      </c>
      <c r="CF144" s="4">
        <v>45372</v>
      </c>
      <c r="CG144" s="4">
        <f t="shared" si="425"/>
        <v>46833</v>
      </c>
      <c r="CH144" s="8">
        <f t="shared" ca="1" si="426"/>
        <v>698</v>
      </c>
      <c r="CI144" s="5" t="str">
        <f t="shared" ref="CI144:CI207" ca="1" si="587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6"/>
        <v>613</v>
      </c>
      <c r="CN144" s="5" t="str">
        <f t="shared" ca="1" si="48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88"/>
        <v>633</v>
      </c>
      <c r="CS144" s="5" t="str">
        <f t="shared" ca="1" si="48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0"/>
        <v>638</v>
      </c>
      <c r="CX144" s="5" t="str">
        <f t="shared" ca="1" si="49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2"/>
        <v>623</v>
      </c>
      <c r="DC144" s="5" t="str">
        <f t="shared" ca="1" si="49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4"/>
        <v>591</v>
      </c>
      <c r="DH144" s="5" t="str">
        <f t="shared" ca="1" si="49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6"/>
        <v>624</v>
      </c>
      <c r="DM144" s="5" t="str">
        <f t="shared" ca="1" si="49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98"/>
        <v>577</v>
      </c>
      <c r="DR144" s="5" t="str">
        <f t="shared" ca="1" si="49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0"/>
        <v>648</v>
      </c>
      <c r="DW144" s="5" t="str">
        <f t="shared" ca="1" si="50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2"/>
        <v>627</v>
      </c>
      <c r="EB144" s="5" t="str">
        <f t="shared" ca="1" si="50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4"/>
        <v>589</v>
      </c>
      <c r="EG144" s="5" t="str">
        <f t="shared" ca="1" si="505"/>
        <v>VIGENTE</v>
      </c>
      <c r="EH144" s="3"/>
      <c r="EI144" s="3">
        <v>46015</v>
      </c>
      <c r="EJ144" s="4">
        <f t="shared" si="572"/>
        <v>46380</v>
      </c>
      <c r="EK144" s="8">
        <f t="shared" ca="1" si="506"/>
        <v>245</v>
      </c>
      <c r="EL144" s="5" t="str">
        <f t="shared" ca="1" si="50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08"/>
        <v>578</v>
      </c>
      <c r="EQ144" s="5" t="str">
        <f t="shared" ca="1" si="50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0"/>
        <v>594</v>
      </c>
      <c r="EV144" s="5" t="str">
        <f t="shared" ca="1" si="51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2"/>
        <v>559</v>
      </c>
      <c r="FA144" s="5" t="str">
        <f t="shared" ca="1" si="51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4"/>
        <v>612</v>
      </c>
      <c r="FF144" s="5" t="str">
        <f t="shared" ca="1" si="51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6"/>
        <v>564</v>
      </c>
      <c r="FK144" s="5" t="str">
        <f t="shared" ca="1" si="51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18"/>
        <v>634</v>
      </c>
      <c r="FP144" s="5" t="str">
        <f t="shared" ca="1" si="51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0"/>
        <v>629</v>
      </c>
      <c r="FU144" s="5" t="str">
        <f t="shared" ca="1" si="52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2"/>
        <v>588</v>
      </c>
      <c r="FZ144" s="5" t="str">
        <f t="shared" ca="1" si="52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4"/>
        <v>625</v>
      </c>
      <c r="GE144" s="5" t="str">
        <f t="shared" ca="1" si="52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6"/>
        <v>631</v>
      </c>
      <c r="GJ144" s="5" t="str">
        <f t="shared" ca="1" si="527"/>
        <v>VIGENTE</v>
      </c>
      <c r="GK144" s="3"/>
      <c r="GL144" s="4">
        <v>46044</v>
      </c>
      <c r="GM144" s="4">
        <f t="shared" si="585"/>
        <v>46774</v>
      </c>
      <c r="GN144" s="8">
        <f t="shared" ca="1" si="528"/>
        <v>639</v>
      </c>
      <c r="GO144" s="5" t="str">
        <f t="shared" ca="1" si="529"/>
        <v>VIGENTE</v>
      </c>
      <c r="GP144" s="4"/>
      <c r="GQ144" s="4">
        <v>45367</v>
      </c>
      <c r="GR144" s="4">
        <f t="shared" si="530"/>
        <v>47193</v>
      </c>
      <c r="GS144" s="8">
        <f t="shared" ca="1" si="416"/>
        <v>1058</v>
      </c>
      <c r="GT144" s="5" t="str">
        <f t="shared" ca="1" si="428"/>
        <v>VIGENTE</v>
      </c>
      <c r="GU144" s="4"/>
      <c r="GV144" s="4">
        <v>45389</v>
      </c>
      <c r="GW144" s="4">
        <f t="shared" si="531"/>
        <v>47215</v>
      </c>
      <c r="GX144" s="8">
        <f t="shared" ca="1" si="532"/>
        <v>1080</v>
      </c>
      <c r="GY144" s="5" t="str">
        <f t="shared" ca="1" si="435"/>
        <v>VIGENTE</v>
      </c>
      <c r="GZ144" s="6"/>
      <c r="HA144" s="4">
        <v>45343</v>
      </c>
      <c r="HB144" s="4">
        <f t="shared" si="533"/>
        <v>47170</v>
      </c>
      <c r="HC144" s="8">
        <f t="shared" ca="1" si="534"/>
        <v>1035</v>
      </c>
      <c r="HD144" s="5" t="str">
        <f t="shared" ca="1" si="43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36"/>
        <v>VIGENTE</v>
      </c>
      <c r="HJ144" s="6"/>
      <c r="HK144" s="6"/>
      <c r="HL144" s="4"/>
      <c r="HM144" s="8"/>
      <c r="HN144" s="5" t="str">
        <f t="shared" si="453"/>
        <v>NO APLICA</v>
      </c>
      <c r="HO144" s="2"/>
      <c r="HP144" s="2"/>
      <c r="HQ144" s="4"/>
      <c r="HR144" s="2"/>
      <c r="HS144" s="5" t="str">
        <f t="shared" si="535"/>
        <v>NO APLICA</v>
      </c>
      <c r="HT144" s="6"/>
      <c r="HU144" s="6"/>
      <c r="HV144" s="4"/>
      <c r="HW144" s="8"/>
      <c r="HX144" s="5" t="str">
        <f t="shared" si="536"/>
        <v>NO APLICA</v>
      </c>
      <c r="HY144" s="6"/>
      <c r="HZ144" s="6"/>
      <c r="IA144" s="4"/>
      <c r="IB144" s="8"/>
      <c r="IC144" s="5" t="str">
        <f t="shared" si="537"/>
        <v>NO APLICA</v>
      </c>
      <c r="ID144" s="6"/>
      <c r="IE144" s="6"/>
      <c r="IF144" s="4"/>
      <c r="IG144" s="8"/>
      <c r="IH144" s="5" t="str">
        <f t="shared" si="538"/>
        <v>NO APLICA</v>
      </c>
      <c r="II144" s="6"/>
      <c r="IJ144" s="6"/>
      <c r="IK144" s="4"/>
      <c r="IL144" s="6"/>
      <c r="IM144" s="5" t="str">
        <f t="shared" si="539"/>
        <v>NO APLICA</v>
      </c>
      <c r="IN144" s="6"/>
      <c r="IO144" s="6"/>
      <c r="IP144" s="4"/>
      <c r="IQ144" s="8"/>
      <c r="IR144" s="5" t="str">
        <f t="shared" si="540"/>
        <v>NO APLICA</v>
      </c>
      <c r="IS144" s="6"/>
      <c r="IT144" s="6"/>
      <c r="IU144" s="4"/>
      <c r="IV144" s="8"/>
      <c r="IW144" s="5" t="str">
        <f t="shared" si="541"/>
        <v>NO APLICA</v>
      </c>
      <c r="IX144" s="6"/>
      <c r="IY144" s="6"/>
      <c r="IZ144" s="4"/>
      <c r="JA144" s="8"/>
      <c r="JB144" s="5" t="str">
        <f t="shared" si="542"/>
        <v>NO APLICA</v>
      </c>
      <c r="JC144" s="3"/>
      <c r="JD144" s="3"/>
      <c r="JE144" s="4"/>
      <c r="JF144" s="8"/>
      <c r="JG144" s="5" t="str">
        <f t="shared" si="543"/>
        <v>NO APLICA</v>
      </c>
      <c r="JH144" s="6"/>
      <c r="JI144" s="6"/>
      <c r="JJ144" s="6"/>
      <c r="JK144" s="6"/>
      <c r="JL144" s="5" t="str">
        <f t="shared" si="544"/>
        <v>NO APLICA</v>
      </c>
      <c r="JM144" s="6"/>
      <c r="JN144" s="6"/>
      <c r="JO144" s="6"/>
      <c r="JP144" s="6"/>
      <c r="JQ144" s="5" t="str">
        <f t="shared" si="545"/>
        <v>NO APLICA</v>
      </c>
      <c r="JR144" s="6"/>
      <c r="JS144" s="6"/>
      <c r="JT144" s="6"/>
      <c r="JU144" s="6"/>
      <c r="JV144" s="5" t="str">
        <f t="shared" si="546"/>
        <v>NO APLICA</v>
      </c>
      <c r="JW144" s="5"/>
      <c r="JX144" s="3"/>
      <c r="JY144" s="4"/>
      <c r="JZ144" s="8"/>
      <c r="KA144" s="5" t="str">
        <f t="shared" si="547"/>
        <v>NO APLICA</v>
      </c>
      <c r="KB144" s="5"/>
      <c r="KC144" s="2"/>
      <c r="KD144" s="4"/>
      <c r="KE144" s="8"/>
      <c r="KF144" s="5" t="str">
        <f t="shared" si="548"/>
        <v>NO APLICA</v>
      </c>
      <c r="KG144" s="5"/>
      <c r="KH144" s="6"/>
      <c r="KI144" s="4"/>
      <c r="KJ144" s="8"/>
      <c r="KK144" s="5" t="str">
        <f t="shared" si="573"/>
        <v>NO APLICA</v>
      </c>
      <c r="KL144" s="5"/>
      <c r="KM144" s="2"/>
      <c r="KN144" s="4"/>
      <c r="KO144" s="8"/>
      <c r="KP144" s="5" t="str">
        <f t="shared" si="549"/>
        <v>NO APLICA</v>
      </c>
      <c r="KQ144" s="5"/>
      <c r="KR144" s="2"/>
      <c r="KS144" s="4"/>
      <c r="KT144" s="8"/>
      <c r="KU144" s="5" t="str">
        <f t="shared" si="574"/>
        <v>NO APLICA</v>
      </c>
      <c r="KV144" s="6"/>
      <c r="KW144" s="6"/>
      <c r="KX144" s="4"/>
      <c r="KY144" s="6"/>
      <c r="KZ144" s="5" t="str">
        <f t="shared" si="579"/>
        <v>NO APLICA</v>
      </c>
      <c r="LA144" s="5"/>
      <c r="LB144" s="6"/>
      <c r="LC144" s="4"/>
      <c r="LD144" s="6"/>
      <c r="LE144" s="5" t="str">
        <f t="shared" si="575"/>
        <v>NO APLICA</v>
      </c>
      <c r="LF144" s="6"/>
      <c r="LG144" s="6"/>
      <c r="LH144" s="6"/>
      <c r="LI144" s="6"/>
      <c r="LJ144" s="5" t="str">
        <f t="shared" si="581"/>
        <v>NO APLICA</v>
      </c>
      <c r="LK144" s="5"/>
      <c r="LL144" s="5"/>
      <c r="LM144" s="4"/>
      <c r="LN144" s="8"/>
      <c r="LO144" s="5" t="str">
        <f t="shared" si="580"/>
        <v>NO APLICA</v>
      </c>
      <c r="LP144" s="6"/>
      <c r="LQ144" s="6"/>
      <c r="LR144" s="4"/>
      <c r="LS144" s="8"/>
      <c r="LT144" s="5" t="str">
        <f t="shared" si="576"/>
        <v>NO APLICA</v>
      </c>
      <c r="LU144" s="6"/>
      <c r="LV144" s="6"/>
      <c r="LW144" s="4"/>
      <c r="LX144" s="6"/>
      <c r="LY144" s="5" t="str">
        <f t="shared" si="577"/>
        <v>NO APLICA</v>
      </c>
      <c r="LZ144" s="6"/>
      <c r="MA144" s="6"/>
      <c r="MB144" s="4"/>
      <c r="MC144" s="6"/>
      <c r="MD144" s="5" t="str">
        <f t="shared" si="578"/>
        <v>NO APLICA</v>
      </c>
      <c r="ME144" s="6"/>
      <c r="MF144" s="6"/>
      <c r="MG144" s="4"/>
      <c r="MH144" s="6"/>
      <c r="MI144" s="5" t="str">
        <f t="shared" si="551"/>
        <v>NO APLICA</v>
      </c>
      <c r="MJ144" s="6"/>
      <c r="MK144" s="6"/>
      <c r="ML144" s="4"/>
      <c r="MM144" s="6"/>
      <c r="MN144" s="5" t="str">
        <f t="shared" si="552"/>
        <v>NO APLICA</v>
      </c>
      <c r="MO144" s="5"/>
      <c r="MP144" s="6"/>
      <c r="MQ144" s="4"/>
      <c r="MR144" s="6"/>
      <c r="MS144" s="5" t="str">
        <f t="shared" si="553"/>
        <v>NO APLICA</v>
      </c>
      <c r="MT144" s="5"/>
      <c r="MU144" s="6"/>
      <c r="MV144" s="6"/>
      <c r="MW144" s="6"/>
      <c r="MX144" s="5" t="str">
        <f t="shared" si="554"/>
        <v>NO APLICA</v>
      </c>
      <c r="MY144" s="6"/>
      <c r="MZ144" s="6"/>
      <c r="NA144" s="4"/>
      <c r="NB144" s="6"/>
      <c r="NC144" s="5" t="str">
        <f t="shared" si="555"/>
        <v>NO APLICA</v>
      </c>
      <c r="ND144" s="6"/>
      <c r="NE144" s="6"/>
      <c r="NF144" s="4"/>
      <c r="NG144" s="6"/>
      <c r="NH144" s="5" t="str">
        <f t="shared" si="556"/>
        <v>NO APLICA</v>
      </c>
      <c r="NI144" s="6"/>
      <c r="NJ144" s="6"/>
      <c r="NK144" s="4"/>
      <c r="NL144" s="6"/>
      <c r="NM144" s="5" t="str">
        <f t="shared" si="557"/>
        <v>NO APLICA</v>
      </c>
      <c r="NN144" s="6"/>
      <c r="NO144" s="6"/>
      <c r="NP144" s="4"/>
      <c r="NQ144" s="6"/>
      <c r="NR144" s="5" t="str">
        <f t="shared" si="558"/>
        <v>NO APLICA</v>
      </c>
      <c r="NS144" s="6"/>
      <c r="NT144" s="6"/>
      <c r="NU144" s="4"/>
      <c r="NV144" s="6"/>
      <c r="NW144" s="5" t="str">
        <f t="shared" si="559"/>
        <v>NO APLICA</v>
      </c>
      <c r="NX144" s="6"/>
      <c r="NY144" s="6"/>
      <c r="NZ144" s="4"/>
      <c r="OA144" s="8"/>
      <c r="OB144" s="5" t="str">
        <f t="shared" si="560"/>
        <v>NO APLICA</v>
      </c>
      <c r="OC144" s="6"/>
      <c r="OD144" s="6"/>
      <c r="OE144" s="6"/>
      <c r="OF144" s="6"/>
      <c r="OG144" s="5" t="str">
        <f t="shared" si="561"/>
        <v>NO APLICA</v>
      </c>
      <c r="OH144" s="6"/>
      <c r="OI144" s="6"/>
      <c r="OJ144" s="6"/>
      <c r="OK144" s="6"/>
      <c r="OL144" s="5" t="str">
        <f t="shared" si="562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63"/>
        <v>VIGENTE</v>
      </c>
      <c r="OR144" s="6"/>
      <c r="OS144" s="6"/>
      <c r="OT144" s="6"/>
      <c r="OU144" s="6"/>
      <c r="OV144" s="5" t="str">
        <f t="shared" si="564"/>
        <v>NO APLICA</v>
      </c>
      <c r="OW144" s="6"/>
      <c r="OX144" s="6"/>
      <c r="OY144" s="6"/>
      <c r="OZ144" s="6"/>
      <c r="PA144" s="5" t="str">
        <f t="shared" si="565"/>
        <v>NO APLICA</v>
      </c>
      <c r="PB144" s="6"/>
      <c r="PC144" s="6"/>
      <c r="PD144" s="6"/>
      <c r="PE144" s="6"/>
      <c r="PF144" s="5" t="str">
        <f t="shared" si="566"/>
        <v>NO APLICA</v>
      </c>
      <c r="PG144" s="6"/>
      <c r="PH144" s="6"/>
      <c r="PI144" s="6"/>
      <c r="PJ144" s="6"/>
      <c r="PK144" s="5" t="str">
        <f t="shared" si="567"/>
        <v>NO APLICA</v>
      </c>
      <c r="PL144" s="5"/>
      <c r="PM144" s="6"/>
      <c r="PN144" s="6"/>
      <c r="PO144" s="6"/>
      <c r="PP144" s="5" t="str">
        <f t="shared" si="568"/>
        <v>NO APLICA</v>
      </c>
      <c r="PQ144" s="6"/>
      <c r="PR144" s="6"/>
      <c r="PS144" s="6"/>
      <c r="PT144" s="6"/>
      <c r="PU144" s="5" t="str">
        <f t="shared" si="569"/>
        <v>NO APLICA</v>
      </c>
      <c r="PV144" s="5"/>
      <c r="PW144" s="6"/>
      <c r="PX144" s="4"/>
      <c r="PY144" s="8"/>
      <c r="PZ144" s="5" t="str">
        <f t="shared" si="570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476</v>
      </c>
      <c r="D145" s="30" t="s">
        <v>69</v>
      </c>
      <c r="E145" s="31" t="s">
        <v>79</v>
      </c>
      <c r="F145" s="5"/>
      <c r="G145" s="6"/>
      <c r="H145" s="4"/>
      <c r="I145" s="8"/>
      <c r="J145" s="5" t="str">
        <f t="shared" si="464"/>
        <v>NO APLICA</v>
      </c>
      <c r="K145" s="2"/>
      <c r="L145" s="6"/>
      <c r="M145" s="6"/>
      <c r="N145" s="8"/>
      <c r="O145" s="5" t="str">
        <f t="shared" si="465"/>
        <v>NO APLICA</v>
      </c>
      <c r="P145" s="6"/>
      <c r="Q145" s="6"/>
      <c r="R145" s="4"/>
      <c r="S145" s="8"/>
      <c r="T145" s="5" t="str">
        <f t="shared" si="571"/>
        <v>NO APLICA</v>
      </c>
      <c r="U145" s="5"/>
      <c r="V145" s="2" t="s">
        <v>477</v>
      </c>
      <c r="W145" s="4">
        <v>45391</v>
      </c>
      <c r="X145" s="4">
        <f t="shared" si="419"/>
        <v>47217</v>
      </c>
      <c r="Y145" s="8">
        <f t="shared" ca="1" si="420"/>
        <v>1082</v>
      </c>
      <c r="Z145" s="5" t="str">
        <f t="shared" ca="1" si="421"/>
        <v>VIGENTE</v>
      </c>
      <c r="AA145" s="5"/>
      <c r="AB145" s="2" t="s">
        <v>478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6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67"/>
        <v>183</v>
      </c>
      <c r="AK145" s="5" t="str">
        <f t="shared" ca="1" si="417"/>
        <v>VIGENTE</v>
      </c>
      <c r="AL145" s="4"/>
      <c r="AM145" s="4">
        <v>45926</v>
      </c>
      <c r="AN145" s="4">
        <f t="shared" si="586"/>
        <v>46656</v>
      </c>
      <c r="AO145" s="8">
        <f t="shared" ca="1" si="468"/>
        <v>521</v>
      </c>
      <c r="AP145" s="5" t="str">
        <f t="shared" ca="1" si="469"/>
        <v>VIGENTE</v>
      </c>
      <c r="AQ145" s="3"/>
      <c r="AR145" s="4">
        <v>45989</v>
      </c>
      <c r="AS145" s="4">
        <f t="shared" si="582"/>
        <v>46719</v>
      </c>
      <c r="AT145" s="8">
        <f t="shared" ca="1" si="470"/>
        <v>584</v>
      </c>
      <c r="AU145" s="5" t="str">
        <f t="shared" ca="1" si="471"/>
        <v>VIGENTE</v>
      </c>
      <c r="AV145" s="3"/>
      <c r="AW145" s="4">
        <v>45972</v>
      </c>
      <c r="AX145" s="4">
        <f t="shared" si="583"/>
        <v>46702</v>
      </c>
      <c r="AY145" s="8">
        <f t="shared" ca="1" si="472"/>
        <v>567</v>
      </c>
      <c r="AZ145" s="5" t="str">
        <f t="shared" ca="1" si="47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4"/>
        <v>216</v>
      </c>
      <c r="BE145" s="5" t="str">
        <f t="shared" ca="1" si="47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6"/>
        <v>582</v>
      </c>
      <c r="BJ145" s="5" t="str">
        <f t="shared" ca="1" si="47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78"/>
        <v>651</v>
      </c>
      <c r="BO145" s="5" t="str">
        <f t="shared" ca="1" si="479"/>
        <v>VIGENTE</v>
      </c>
      <c r="BP145" s="3"/>
      <c r="BQ145" s="4">
        <v>46069</v>
      </c>
      <c r="BR145" s="4">
        <f t="shared" si="584"/>
        <v>46799</v>
      </c>
      <c r="BS145" s="8">
        <f t="shared" ca="1" si="480"/>
        <v>664</v>
      </c>
      <c r="BT145" s="5" t="str">
        <f t="shared" ca="1" si="48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2"/>
        <v>49</v>
      </c>
      <c r="BY145" s="5" t="str">
        <f t="shared" ca="1" si="48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4"/>
        <v>79</v>
      </c>
      <c r="CD145" s="5" t="str">
        <f t="shared" ca="1" si="485"/>
        <v>POR VENCER</v>
      </c>
      <c r="CE145" s="6" t="s">
        <v>73</v>
      </c>
      <c r="CF145" s="4">
        <v>45211</v>
      </c>
      <c r="CG145" s="4">
        <f t="shared" si="425"/>
        <v>46672</v>
      </c>
      <c r="CH145" s="8">
        <f t="shared" ca="1" si="426"/>
        <v>537</v>
      </c>
      <c r="CI145" s="5" t="str">
        <f t="shared" ca="1" si="587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6"/>
        <v>98</v>
      </c>
      <c r="CN145" s="5" t="str">
        <f t="shared" ca="1" si="48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88"/>
        <v>111</v>
      </c>
      <c r="CS145" s="5" t="str">
        <f t="shared" ca="1" si="48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0"/>
        <v>233</v>
      </c>
      <c r="CX145" s="5" t="str">
        <f t="shared" ca="1" si="49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2"/>
        <v>259</v>
      </c>
      <c r="DC145" s="5" t="str">
        <f t="shared" ca="1" si="49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4"/>
        <v>307</v>
      </c>
      <c r="DH145" s="5" t="str">
        <f t="shared" ca="1" si="49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6"/>
        <v>308</v>
      </c>
      <c r="DM145" s="5" t="str">
        <f t="shared" ca="1" si="49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98"/>
        <v>171</v>
      </c>
      <c r="DR145" s="5" t="str">
        <f t="shared" ca="1" si="49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0"/>
        <v>322</v>
      </c>
      <c r="DW145" s="5" t="str">
        <f t="shared" ca="1" si="50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2"/>
        <v>276</v>
      </c>
      <c r="EB145" s="5" t="str">
        <f t="shared" ca="1" si="50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4"/>
        <v>268</v>
      </c>
      <c r="EG145" s="5" t="str">
        <f t="shared" ca="1" si="505"/>
        <v>VIGENTE</v>
      </c>
      <c r="EH145" s="3"/>
      <c r="EI145" s="4">
        <v>45808</v>
      </c>
      <c r="EJ145" s="4">
        <f t="shared" si="572"/>
        <v>46173</v>
      </c>
      <c r="EK145" s="8">
        <f t="shared" ca="1" si="506"/>
        <v>38</v>
      </c>
      <c r="EL145" s="5" t="str">
        <f t="shared" ca="1" si="50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08"/>
        <v>265</v>
      </c>
      <c r="EQ145" s="5" t="str">
        <f t="shared" ca="1" si="50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0"/>
        <v>349</v>
      </c>
      <c r="EV145" s="5" t="str">
        <f t="shared" ca="1" si="51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2"/>
        <v>288</v>
      </c>
      <c r="FA145" s="5" t="str">
        <f t="shared" ca="1" si="51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4"/>
        <v>323</v>
      </c>
      <c r="FF145" s="5" t="str">
        <f t="shared" ca="1" si="51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6"/>
        <v>285</v>
      </c>
      <c r="FK145" s="5" t="str">
        <f t="shared" ca="1" si="51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18"/>
        <v>264</v>
      </c>
      <c r="FP145" s="5" t="str">
        <f t="shared" ca="1" si="51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0"/>
        <v>341</v>
      </c>
      <c r="FU145" s="5" t="str">
        <f t="shared" ca="1" si="52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2"/>
        <v>294</v>
      </c>
      <c r="FZ145" s="5" t="str">
        <f t="shared" ca="1" si="52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4"/>
        <v>189</v>
      </c>
      <c r="GE145" s="5" t="str">
        <f t="shared" ca="1" si="52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6"/>
        <v>306</v>
      </c>
      <c r="GJ145" s="5" t="str">
        <f t="shared" ca="1" si="527"/>
        <v>VIGENTE</v>
      </c>
      <c r="GK145" s="4"/>
      <c r="GL145" s="4">
        <v>45945</v>
      </c>
      <c r="GM145" s="4">
        <f t="shared" si="585"/>
        <v>46675</v>
      </c>
      <c r="GN145" s="8">
        <f t="shared" ca="1" si="528"/>
        <v>540</v>
      </c>
      <c r="GO145" s="5" t="str">
        <f t="shared" ca="1" si="529"/>
        <v>VIGENTE</v>
      </c>
      <c r="GP145" s="4"/>
      <c r="GQ145" s="4">
        <v>45299</v>
      </c>
      <c r="GR145" s="4">
        <f t="shared" si="530"/>
        <v>47126</v>
      </c>
      <c r="GS145" s="8">
        <f t="shared" ca="1" si="416"/>
        <v>991</v>
      </c>
      <c r="GT145" s="5" t="str">
        <f t="shared" ca="1" si="428"/>
        <v>VIGENTE</v>
      </c>
      <c r="GU145" s="3"/>
      <c r="GV145" s="4">
        <v>44910</v>
      </c>
      <c r="GW145" s="4">
        <f t="shared" si="531"/>
        <v>46736</v>
      </c>
      <c r="GX145" s="8">
        <f t="shared" ca="1" si="532"/>
        <v>601</v>
      </c>
      <c r="GY145" s="5" t="str">
        <f t="shared" ca="1" si="435"/>
        <v>VIGENTE</v>
      </c>
      <c r="GZ145" s="3"/>
      <c r="HA145" s="4">
        <v>45454</v>
      </c>
      <c r="HB145" s="4">
        <f t="shared" si="533"/>
        <v>47280</v>
      </c>
      <c r="HC145" s="8">
        <f t="shared" ca="1" si="534"/>
        <v>1145</v>
      </c>
      <c r="HD145" s="5" t="str">
        <f t="shared" ca="1" si="43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36"/>
        <v>VIGENTE</v>
      </c>
      <c r="HJ145" s="2"/>
      <c r="HK145" s="6"/>
      <c r="HL145" s="4"/>
      <c r="HM145" s="8"/>
      <c r="HN145" s="5" t="str">
        <f t="shared" si="453"/>
        <v>NO APLICA</v>
      </c>
      <c r="HO145" s="2"/>
      <c r="HP145" s="2"/>
      <c r="HQ145" s="4"/>
      <c r="HR145" s="2"/>
      <c r="HS145" s="5" t="str">
        <f t="shared" si="53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3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3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3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3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4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4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42"/>
        <v>VIGENTE</v>
      </c>
      <c r="JC145" s="3"/>
      <c r="JD145" s="3"/>
      <c r="JE145" s="4"/>
      <c r="JF145" s="8"/>
      <c r="JG145" s="5" t="str">
        <f t="shared" si="543"/>
        <v>NO APLICA</v>
      </c>
      <c r="JH145" s="6"/>
      <c r="JI145" s="6"/>
      <c r="JJ145" s="6"/>
      <c r="JK145" s="6"/>
      <c r="JL145" s="5" t="str">
        <f t="shared" si="544"/>
        <v>NO APLICA</v>
      </c>
      <c r="JM145" s="6"/>
      <c r="JN145" s="6"/>
      <c r="JO145" s="6"/>
      <c r="JP145" s="6"/>
      <c r="JQ145" s="5" t="str">
        <f t="shared" si="545"/>
        <v>NO APLICA</v>
      </c>
      <c r="JR145" s="6"/>
      <c r="JS145" s="6"/>
      <c r="JT145" s="6"/>
      <c r="JU145" s="6"/>
      <c r="JV145" s="5" t="str">
        <f t="shared" si="546"/>
        <v>NO APLICA</v>
      </c>
      <c r="JW145" s="5"/>
      <c r="JX145" s="5"/>
      <c r="JY145" s="5"/>
      <c r="JZ145" s="5"/>
      <c r="KA145" s="5" t="str">
        <f t="shared" si="547"/>
        <v>NO APLICA</v>
      </c>
      <c r="KB145" s="5"/>
      <c r="KC145" s="2"/>
      <c r="KD145" s="4"/>
      <c r="KE145" s="8"/>
      <c r="KF145" s="5" t="str">
        <f t="shared" si="548"/>
        <v>NO APLICA</v>
      </c>
      <c r="KG145" s="5"/>
      <c r="KH145" s="2"/>
      <c r="KI145" s="4"/>
      <c r="KJ145" s="8"/>
      <c r="KK145" s="5" t="str">
        <f t="shared" si="573"/>
        <v>NO APLICA</v>
      </c>
      <c r="KL145" s="5"/>
      <c r="KM145" s="2"/>
      <c r="KN145" s="4"/>
      <c r="KO145" s="8"/>
      <c r="KP145" s="5" t="str">
        <f t="shared" si="549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74"/>
        <v>VIGENTE</v>
      </c>
      <c r="KV145" s="2"/>
      <c r="KW145" s="6"/>
      <c r="KX145" s="4"/>
      <c r="KY145" s="8"/>
      <c r="KZ145" s="5" t="str">
        <f t="shared" si="579"/>
        <v>NO APLICA</v>
      </c>
      <c r="LA145" s="5"/>
      <c r="LB145" s="6"/>
      <c r="LC145" s="4"/>
      <c r="LD145" s="8"/>
      <c r="LE145" s="5" t="str">
        <f t="shared" si="575"/>
        <v>NO APLICA</v>
      </c>
      <c r="LF145" s="6"/>
      <c r="LG145" s="4"/>
      <c r="LH145" s="4"/>
      <c r="LI145" s="8"/>
      <c r="LJ145" s="5" t="str">
        <f t="shared" si="581"/>
        <v>NO APLICA</v>
      </c>
      <c r="LK145" s="5"/>
      <c r="LL145" s="5"/>
      <c r="LM145" s="4"/>
      <c r="LN145" s="8"/>
      <c r="LO145" s="5" t="str">
        <f t="shared" si="580"/>
        <v>NO APLICA</v>
      </c>
      <c r="LP145" s="2"/>
      <c r="LQ145" s="6"/>
      <c r="LR145" s="4"/>
      <c r="LS145" s="8"/>
      <c r="LT145" s="5" t="str">
        <f t="shared" si="576"/>
        <v>NO APLICA</v>
      </c>
      <c r="LU145" s="6"/>
      <c r="LV145" s="6"/>
      <c r="LW145" s="4"/>
      <c r="LX145" s="8"/>
      <c r="LY145" s="5" t="str">
        <f t="shared" si="577"/>
        <v>NO APLICA</v>
      </c>
      <c r="LZ145" s="6"/>
      <c r="MA145" s="6"/>
      <c r="MB145" s="4"/>
      <c r="MC145" s="8"/>
      <c r="MD145" s="5" t="str">
        <f t="shared" si="578"/>
        <v>NO APLICA</v>
      </c>
      <c r="ME145" s="2"/>
      <c r="MF145" s="2"/>
      <c r="MG145" s="4"/>
      <c r="MH145" s="8"/>
      <c r="MI145" s="5" t="str">
        <f t="shared" si="551"/>
        <v>NO APLICA</v>
      </c>
      <c r="MJ145" s="2"/>
      <c r="MK145" s="2"/>
      <c r="ML145" s="4"/>
      <c r="MM145" s="8"/>
      <c r="MN145" s="5" t="str">
        <f t="shared" si="552"/>
        <v>NO APLICA</v>
      </c>
      <c r="MO145" s="5"/>
      <c r="MP145" s="2"/>
      <c r="MQ145" s="4"/>
      <c r="MR145" s="8"/>
      <c r="MS145" s="5" t="str">
        <f t="shared" si="553"/>
        <v>NO APLICA</v>
      </c>
      <c r="MT145" s="5"/>
      <c r="MU145" s="2"/>
      <c r="MV145" s="4"/>
      <c r="MW145" s="2"/>
      <c r="MX145" s="5" t="str">
        <f t="shared" si="554"/>
        <v>NO APLICA</v>
      </c>
      <c r="MY145" s="2"/>
      <c r="MZ145" s="6"/>
      <c r="NA145" s="4"/>
      <c r="NB145" s="8"/>
      <c r="NC145" s="5" t="str">
        <f t="shared" si="555"/>
        <v>NO APLICA</v>
      </c>
      <c r="ND145" s="2"/>
      <c r="NE145" s="6"/>
      <c r="NF145" s="4"/>
      <c r="NG145" s="8"/>
      <c r="NH145" s="5" t="str">
        <f t="shared" si="556"/>
        <v>NO APLICA</v>
      </c>
      <c r="NI145" s="2"/>
      <c r="NJ145" s="6"/>
      <c r="NK145" s="4"/>
      <c r="NL145" s="8"/>
      <c r="NM145" s="5" t="str">
        <f t="shared" si="557"/>
        <v>NO APLICA</v>
      </c>
      <c r="NN145" s="2"/>
      <c r="NO145" s="2"/>
      <c r="NP145" s="4"/>
      <c r="NQ145" s="8"/>
      <c r="NR145" s="5" t="str">
        <f t="shared" si="558"/>
        <v>NO APLICA</v>
      </c>
      <c r="NS145" s="2"/>
      <c r="NT145" s="2"/>
      <c r="NU145" s="4"/>
      <c r="NV145" s="2"/>
      <c r="NW145" s="5" t="str">
        <f t="shared" si="559"/>
        <v>NO APLICA</v>
      </c>
      <c r="NX145" s="6"/>
      <c r="NY145" s="6"/>
      <c r="NZ145" s="4"/>
      <c r="OA145" s="8"/>
      <c r="OB145" s="5" t="str">
        <f t="shared" si="560"/>
        <v>NO APLICA</v>
      </c>
      <c r="OC145" s="6"/>
      <c r="OD145" s="6"/>
      <c r="OE145" s="6"/>
      <c r="OF145" s="6"/>
      <c r="OG145" s="5" t="str">
        <f t="shared" si="561"/>
        <v>NO APLICA</v>
      </c>
      <c r="OH145" s="2"/>
      <c r="OI145" s="2"/>
      <c r="OJ145" s="4"/>
      <c r="OK145" s="8"/>
      <c r="OL145" s="5" t="str">
        <f t="shared" si="562"/>
        <v>NO APLICA</v>
      </c>
      <c r="OM145" s="6"/>
      <c r="ON145" s="6"/>
      <c r="OO145" s="6"/>
      <c r="OP145" s="6"/>
      <c r="OQ145" s="5" t="str">
        <f t="shared" si="563"/>
        <v>NO APLICA</v>
      </c>
      <c r="OR145" s="6"/>
      <c r="OS145" s="6"/>
      <c r="OT145" s="6"/>
      <c r="OU145" s="6"/>
      <c r="OV145" s="5" t="str">
        <f t="shared" si="564"/>
        <v>NO APLICA</v>
      </c>
      <c r="OW145" s="6"/>
      <c r="OX145" s="6"/>
      <c r="OY145" s="6"/>
      <c r="OZ145" s="6"/>
      <c r="PA145" s="5" t="str">
        <f t="shared" si="565"/>
        <v>NO APLICA</v>
      </c>
      <c r="PB145" s="6"/>
      <c r="PC145" s="6"/>
      <c r="PD145" s="6"/>
      <c r="PE145" s="6"/>
      <c r="PF145" s="5" t="str">
        <f t="shared" si="566"/>
        <v>NO APLICA</v>
      </c>
      <c r="PG145" s="6"/>
      <c r="PH145" s="6"/>
      <c r="PI145" s="6"/>
      <c r="PJ145" s="6"/>
      <c r="PK145" s="5" t="str">
        <f t="shared" si="567"/>
        <v>NO APLICA</v>
      </c>
      <c r="PL145" s="5"/>
      <c r="PM145" s="6"/>
      <c r="PN145" s="4"/>
      <c r="PO145" s="8"/>
      <c r="PP145" s="5" t="str">
        <f t="shared" si="568"/>
        <v>NO APLICA</v>
      </c>
      <c r="PQ145" s="6"/>
      <c r="PR145" s="6"/>
      <c r="PS145" s="6"/>
      <c r="PT145" s="6"/>
      <c r="PU145" s="5" t="str">
        <f t="shared" si="569"/>
        <v>NO APLICA</v>
      </c>
      <c r="PV145" s="5"/>
      <c r="PW145" s="6"/>
      <c r="PX145" s="6"/>
      <c r="PY145" s="6"/>
      <c r="PZ145" s="5" t="str">
        <f t="shared" si="570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479</v>
      </c>
      <c r="D146" s="30" t="s">
        <v>115</v>
      </c>
      <c r="E146" s="31" t="s">
        <v>128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64"/>
        <v>VIGENTE</v>
      </c>
      <c r="K146" s="2"/>
      <c r="L146" s="6"/>
      <c r="M146" s="6"/>
      <c r="N146" s="8"/>
      <c r="O146" s="5" t="str">
        <f t="shared" si="465"/>
        <v>NO APLICA</v>
      </c>
      <c r="P146" s="6"/>
      <c r="Q146" s="6"/>
      <c r="R146" s="4"/>
      <c r="S146" s="8"/>
      <c r="T146" s="5" t="str">
        <f t="shared" si="571"/>
        <v>NO APLICA</v>
      </c>
      <c r="U146" s="5"/>
      <c r="V146" s="2" t="s">
        <v>480</v>
      </c>
      <c r="W146" s="4">
        <v>45282</v>
      </c>
      <c r="X146" s="4">
        <f t="shared" si="419"/>
        <v>47109</v>
      </c>
      <c r="Y146" s="8">
        <f t="shared" ca="1" si="420"/>
        <v>974</v>
      </c>
      <c r="Z146" s="5" t="str">
        <f t="shared" ca="1" si="421"/>
        <v>VIGENTE</v>
      </c>
      <c r="AA146" s="5"/>
      <c r="AB146" s="2"/>
      <c r="AC146" s="6"/>
      <c r="AD146" s="4"/>
      <c r="AE146" s="8"/>
      <c r="AF146" s="5" t="str">
        <f t="shared" si="46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67"/>
        <v>497</v>
      </c>
      <c r="AK146" s="5" t="str">
        <f t="shared" ca="1" si="417"/>
        <v>VIGENTE</v>
      </c>
      <c r="AL146" s="3"/>
      <c r="AM146" s="4">
        <v>45838</v>
      </c>
      <c r="AN146" s="4">
        <f t="shared" si="586"/>
        <v>46568</v>
      </c>
      <c r="AO146" s="8">
        <f t="shared" ca="1" si="468"/>
        <v>433</v>
      </c>
      <c r="AP146" s="5" t="str">
        <f t="shared" ca="1" si="469"/>
        <v>VIGENTE</v>
      </c>
      <c r="AQ146" s="3"/>
      <c r="AR146" s="4">
        <v>45904</v>
      </c>
      <c r="AS146" s="4">
        <f t="shared" si="582"/>
        <v>46634</v>
      </c>
      <c r="AT146" s="8">
        <f t="shared" ca="1" si="470"/>
        <v>499</v>
      </c>
      <c r="AU146" s="5" t="str">
        <f t="shared" ca="1" si="471"/>
        <v>VIGENTE</v>
      </c>
      <c r="AV146" s="3"/>
      <c r="AW146" s="4">
        <v>45927</v>
      </c>
      <c r="AX146" s="4">
        <f t="shared" si="583"/>
        <v>46657</v>
      </c>
      <c r="AY146" s="8">
        <f t="shared" ca="1" si="472"/>
        <v>522</v>
      </c>
      <c r="AZ146" s="5" t="str">
        <f t="shared" ca="1" si="47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4"/>
        <v>197</v>
      </c>
      <c r="BE146" s="5" t="str">
        <f t="shared" ca="1" si="47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6"/>
        <v>292</v>
      </c>
      <c r="BJ146" s="5" t="str">
        <f t="shared" ca="1" si="47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78"/>
        <v>194</v>
      </c>
      <c r="BO146" s="5" t="str">
        <f t="shared" ca="1" si="479"/>
        <v>VIGENTE</v>
      </c>
      <c r="BP146" s="3"/>
      <c r="BQ146" s="4">
        <v>46050</v>
      </c>
      <c r="BR146" s="4">
        <f t="shared" si="584"/>
        <v>46780</v>
      </c>
      <c r="BS146" s="8">
        <f t="shared" ca="1" si="480"/>
        <v>645</v>
      </c>
      <c r="BT146" s="5" t="str">
        <f t="shared" ca="1" si="48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2"/>
        <v>121</v>
      </c>
      <c r="BY146" s="5" t="str">
        <f t="shared" ca="1" si="483"/>
        <v>VIGENTE</v>
      </c>
      <c r="BZ146" s="3"/>
      <c r="CA146" s="4">
        <v>45944</v>
      </c>
      <c r="CB146" s="4">
        <f t="shared" ref="CB146:CB157" si="588">DATE(YEAR(CA146)+2,MONTH(CA146),DAY(CA146))</f>
        <v>46674</v>
      </c>
      <c r="CC146" s="8">
        <f t="shared" ca="1" si="484"/>
        <v>539</v>
      </c>
      <c r="CD146" s="5" t="str">
        <f t="shared" ca="1" si="485"/>
        <v>VIGENTE</v>
      </c>
      <c r="CE146" s="6" t="s">
        <v>73</v>
      </c>
      <c r="CF146" s="4">
        <v>45616</v>
      </c>
      <c r="CG146" s="4">
        <f t="shared" si="425"/>
        <v>47077</v>
      </c>
      <c r="CH146" s="8">
        <f t="shared" ca="1" si="426"/>
        <v>942</v>
      </c>
      <c r="CI146" s="5" t="str">
        <f t="shared" ca="1" si="587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6"/>
        <v>524</v>
      </c>
      <c r="CN146" s="5" t="str">
        <f t="shared" ca="1" si="48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88"/>
        <v>477</v>
      </c>
      <c r="CS146" s="5" t="str">
        <f t="shared" ca="1" si="48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0"/>
        <v>500</v>
      </c>
      <c r="CX146" s="5" t="str">
        <f t="shared" ca="1" si="49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2"/>
        <v>438</v>
      </c>
      <c r="DC146" s="5" t="str">
        <f t="shared" ca="1" si="49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4"/>
        <v>671</v>
      </c>
      <c r="DH146" s="5" t="str">
        <f t="shared" ca="1" si="49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6"/>
        <v>550</v>
      </c>
      <c r="DM146" s="5" t="str">
        <f t="shared" ca="1" si="49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98"/>
        <v>684</v>
      </c>
      <c r="DR146" s="5" t="str">
        <f t="shared" ca="1" si="49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0"/>
        <v>322</v>
      </c>
      <c r="DW146" s="5" t="str">
        <f t="shared" ca="1" si="50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2"/>
        <v>257</v>
      </c>
      <c r="EB146" s="5" t="str">
        <f t="shared" ca="1" si="50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4"/>
        <v>700</v>
      </c>
      <c r="EG146" s="5" t="str">
        <f t="shared" ca="1" si="505"/>
        <v>VIGENTE</v>
      </c>
      <c r="EH146" s="3"/>
      <c r="EI146" s="3">
        <v>46060</v>
      </c>
      <c r="EJ146" s="4">
        <f t="shared" si="572"/>
        <v>46425</v>
      </c>
      <c r="EK146" s="8">
        <f t="shared" ca="1" si="506"/>
        <v>290</v>
      </c>
      <c r="EL146" s="5" t="str">
        <f t="shared" ca="1" si="50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08"/>
        <v>190</v>
      </c>
      <c r="EQ146" s="5" t="str">
        <f t="shared" ca="1" si="50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0"/>
        <v>271</v>
      </c>
      <c r="EV146" s="5" t="str">
        <f t="shared" ca="1" si="511"/>
        <v>VIGENTE</v>
      </c>
      <c r="EW146" s="3"/>
      <c r="EX146" s="4">
        <v>45917</v>
      </c>
      <c r="EY146" s="4">
        <f t="shared" ref="EY146:EY157" si="589">DATE(YEAR(EX146)+2,MONTH(EX146),DAY(EX146))</f>
        <v>46647</v>
      </c>
      <c r="EZ146" s="8">
        <f t="shared" ca="1" si="512"/>
        <v>512</v>
      </c>
      <c r="FA146" s="5" t="str">
        <f t="shared" ca="1" si="513"/>
        <v>VIGENTE</v>
      </c>
      <c r="FB146" s="3"/>
      <c r="FC146" s="4">
        <v>45951</v>
      </c>
      <c r="FD146" s="4">
        <f t="shared" ref="FD146:FD157" si="590">DATE(YEAR(FC146)+2,MONTH(FC146),DAY(FC146))</f>
        <v>46681</v>
      </c>
      <c r="FE146" s="8">
        <f t="shared" ca="1" si="514"/>
        <v>546</v>
      </c>
      <c r="FF146" s="5" t="str">
        <f t="shared" ca="1" si="515"/>
        <v>VIGENTE</v>
      </c>
      <c r="FG146" s="3"/>
      <c r="FH146" s="4">
        <v>45919</v>
      </c>
      <c r="FI146" s="4">
        <f t="shared" ref="FI146:FI152" si="591">DATE(YEAR(FH146)+2,MONTH(FH146),DAY(FH146))</f>
        <v>46649</v>
      </c>
      <c r="FJ146" s="8">
        <f t="shared" ca="1" si="516"/>
        <v>514</v>
      </c>
      <c r="FK146" s="5" t="str">
        <f t="shared" ca="1" si="51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18"/>
        <v>644</v>
      </c>
      <c r="FP146" s="5" t="str">
        <f t="shared" ca="1" si="51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0"/>
        <v>629</v>
      </c>
      <c r="FU146" s="5" t="str">
        <f t="shared" ca="1" si="52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2"/>
        <v>588</v>
      </c>
      <c r="FZ146" s="5" t="str">
        <f t="shared" ca="1" si="52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4"/>
        <v>668</v>
      </c>
      <c r="GE146" s="5" t="str">
        <f t="shared" ca="1" si="52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6"/>
        <v>266</v>
      </c>
      <c r="GJ146" s="5" t="str">
        <f t="shared" ca="1" si="527"/>
        <v>VIGENTE</v>
      </c>
      <c r="GK146" s="3"/>
      <c r="GL146" s="4">
        <v>46044</v>
      </c>
      <c r="GM146" s="4">
        <f t="shared" si="585"/>
        <v>46774</v>
      </c>
      <c r="GN146" s="8">
        <f t="shared" ca="1" si="528"/>
        <v>639</v>
      </c>
      <c r="GO146" s="5" t="str">
        <f t="shared" ca="1" si="529"/>
        <v>VIGENTE</v>
      </c>
      <c r="GP146" s="4"/>
      <c r="GQ146" s="4">
        <v>45367</v>
      </c>
      <c r="GR146" s="4">
        <f t="shared" si="530"/>
        <v>47193</v>
      </c>
      <c r="GS146" s="8">
        <f t="shared" ca="1" si="416"/>
        <v>1058</v>
      </c>
      <c r="GT146" s="5" t="str">
        <f t="shared" ca="1" si="428"/>
        <v>VIGENTE</v>
      </c>
      <c r="GU146" s="3"/>
      <c r="GV146" s="4">
        <v>45432</v>
      </c>
      <c r="GW146" s="4">
        <f t="shared" si="531"/>
        <v>47258</v>
      </c>
      <c r="GX146" s="8">
        <f t="shared" ca="1" si="532"/>
        <v>1123</v>
      </c>
      <c r="GY146" s="5" t="str">
        <f t="shared" ca="1" si="435"/>
        <v>VIGENTE</v>
      </c>
      <c r="GZ146" s="3"/>
      <c r="HA146" s="4">
        <v>45454</v>
      </c>
      <c r="HB146" s="4">
        <f t="shared" si="533"/>
        <v>47280</v>
      </c>
      <c r="HC146" s="8">
        <f t="shared" ca="1" si="534"/>
        <v>1145</v>
      </c>
      <c r="HD146" s="5" t="str">
        <f t="shared" ca="1" si="430"/>
        <v>VIGENTE</v>
      </c>
      <c r="HE146" s="6"/>
      <c r="HF146" s="6"/>
      <c r="HG146" s="4"/>
      <c r="HH146" s="8"/>
      <c r="HI146" s="5" t="str">
        <f t="shared" si="436"/>
        <v>NO APLICA</v>
      </c>
      <c r="HJ146" s="2"/>
      <c r="HK146" s="6"/>
      <c r="HL146" s="4"/>
      <c r="HM146" s="8"/>
      <c r="HN146" s="5" t="str">
        <f t="shared" si="453"/>
        <v>NO APLICA</v>
      </c>
      <c r="HO146" s="2"/>
      <c r="HP146" s="2"/>
      <c r="HQ146" s="4"/>
      <c r="HR146" s="2"/>
      <c r="HS146" s="5" t="str">
        <f t="shared" si="535"/>
        <v>NO APLICA</v>
      </c>
      <c r="HT146" s="2"/>
      <c r="HU146" s="6"/>
      <c r="HV146" s="4"/>
      <c r="HW146" s="8"/>
      <c r="HX146" s="5" t="str">
        <f t="shared" si="536"/>
        <v>NO APLICA</v>
      </c>
      <c r="HY146" s="2"/>
      <c r="HZ146" s="6"/>
      <c r="IA146" s="4"/>
      <c r="IB146" s="8"/>
      <c r="IC146" s="5" t="str">
        <f t="shared" si="537"/>
        <v>NO APLICA</v>
      </c>
      <c r="ID146" s="2"/>
      <c r="IE146" s="6"/>
      <c r="IF146" s="4"/>
      <c r="IG146" s="8"/>
      <c r="IH146" s="5" t="str">
        <f t="shared" si="538"/>
        <v>NO APLICA</v>
      </c>
      <c r="II146" s="6"/>
      <c r="IJ146" s="6"/>
      <c r="IK146" s="4"/>
      <c r="IL146" s="8"/>
      <c r="IM146" s="5" t="str">
        <f t="shared" si="539"/>
        <v>NO APLICA</v>
      </c>
      <c r="IN146" s="2"/>
      <c r="IO146" s="6"/>
      <c r="IP146" s="4"/>
      <c r="IQ146" s="8"/>
      <c r="IR146" s="5" t="str">
        <f t="shared" si="540"/>
        <v>NO APLICA</v>
      </c>
      <c r="IS146" s="2"/>
      <c r="IT146" s="6"/>
      <c r="IU146" s="4"/>
      <c r="IV146" s="8"/>
      <c r="IW146" s="5" t="str">
        <f t="shared" si="541"/>
        <v>NO APLICA</v>
      </c>
      <c r="IX146" s="2"/>
      <c r="IY146" s="6"/>
      <c r="IZ146" s="4"/>
      <c r="JA146" s="8"/>
      <c r="JB146" s="5" t="str">
        <f t="shared" si="542"/>
        <v>NO APLICA</v>
      </c>
      <c r="JC146" s="3"/>
      <c r="JD146" s="3"/>
      <c r="JE146" s="4"/>
      <c r="JF146" s="8"/>
      <c r="JG146" s="5" t="str">
        <f t="shared" si="543"/>
        <v>NO APLICA</v>
      </c>
      <c r="JH146" s="6"/>
      <c r="JI146" s="6"/>
      <c r="JJ146" s="6"/>
      <c r="JK146" s="6"/>
      <c r="JL146" s="5" t="str">
        <f t="shared" si="544"/>
        <v>NO APLICA</v>
      </c>
      <c r="JM146" s="6"/>
      <c r="JN146" s="6"/>
      <c r="JO146" s="6"/>
      <c r="JP146" s="6"/>
      <c r="JQ146" s="5" t="str">
        <f t="shared" si="545"/>
        <v>NO APLICA</v>
      </c>
      <c r="JR146" s="6"/>
      <c r="JS146" s="6"/>
      <c r="JT146" s="6"/>
      <c r="JU146" s="6"/>
      <c r="JV146" s="5" t="str">
        <f t="shared" si="546"/>
        <v>NO APLICA</v>
      </c>
      <c r="JW146" s="5"/>
      <c r="JX146" s="5"/>
      <c r="JY146" s="5"/>
      <c r="JZ146" s="5"/>
      <c r="KA146" s="5" t="str">
        <f t="shared" si="547"/>
        <v>NO APLICA</v>
      </c>
      <c r="KB146" s="5"/>
      <c r="KC146" s="2"/>
      <c r="KD146" s="4"/>
      <c r="KE146" s="8"/>
      <c r="KF146" s="5" t="str">
        <f t="shared" si="548"/>
        <v>NO APLICA</v>
      </c>
      <c r="KG146" s="5"/>
      <c r="KH146" s="2"/>
      <c r="KI146" s="4"/>
      <c r="KJ146" s="8"/>
      <c r="KK146" s="5" t="str">
        <f t="shared" si="573"/>
        <v>NO APLICA</v>
      </c>
      <c r="KL146" s="5"/>
      <c r="KM146" s="2"/>
      <c r="KN146" s="4"/>
      <c r="KO146" s="8"/>
      <c r="KP146" s="5" t="str">
        <f t="shared" si="549"/>
        <v>NO APLICA</v>
      </c>
      <c r="KQ146" s="5"/>
      <c r="KR146" s="2"/>
      <c r="KS146" s="4"/>
      <c r="KT146" s="8"/>
      <c r="KU146" s="5" t="str">
        <f t="shared" si="574"/>
        <v>NO APLICA</v>
      </c>
      <c r="KV146" s="2"/>
      <c r="KW146" s="6"/>
      <c r="KX146" s="4"/>
      <c r="KY146" s="8"/>
      <c r="KZ146" s="5" t="str">
        <f t="shared" si="579"/>
        <v>NO APLICA</v>
      </c>
      <c r="LA146" s="5"/>
      <c r="LB146" s="6"/>
      <c r="LC146" s="4"/>
      <c r="LD146" s="8"/>
      <c r="LE146" s="5" t="str">
        <f t="shared" si="575"/>
        <v>NO APLICA</v>
      </c>
      <c r="LF146" s="6"/>
      <c r="LG146" s="6"/>
      <c r="LH146" s="4"/>
      <c r="LI146" s="8"/>
      <c r="LJ146" s="5" t="str">
        <f t="shared" si="581"/>
        <v>NO APLICA</v>
      </c>
      <c r="LK146" s="5"/>
      <c r="LL146" s="5"/>
      <c r="LM146" s="4"/>
      <c r="LN146" s="8"/>
      <c r="LO146" s="5" t="str">
        <f t="shared" si="580"/>
        <v>NO APLICA</v>
      </c>
      <c r="LP146" s="2"/>
      <c r="LQ146" s="6"/>
      <c r="LR146" s="4"/>
      <c r="LS146" s="8"/>
      <c r="LT146" s="5" t="str">
        <f t="shared" si="576"/>
        <v>NO APLICA</v>
      </c>
      <c r="LU146" s="6"/>
      <c r="LV146" s="6"/>
      <c r="LW146" s="4"/>
      <c r="LX146" s="8"/>
      <c r="LY146" s="5" t="str">
        <f t="shared" si="577"/>
        <v>NO APLICA</v>
      </c>
      <c r="LZ146" s="6"/>
      <c r="MA146" s="6"/>
      <c r="MB146" s="4"/>
      <c r="MC146" s="8"/>
      <c r="MD146" s="5" t="str">
        <f t="shared" si="578"/>
        <v>NO APLICA</v>
      </c>
      <c r="ME146" s="2"/>
      <c r="MF146" s="2"/>
      <c r="MG146" s="4"/>
      <c r="MH146" s="8"/>
      <c r="MI146" s="5" t="str">
        <f t="shared" si="551"/>
        <v>NO APLICA</v>
      </c>
      <c r="MJ146" s="2"/>
      <c r="MK146" s="2"/>
      <c r="ML146" s="4"/>
      <c r="MM146" s="8"/>
      <c r="MN146" s="5" t="str">
        <f t="shared" si="552"/>
        <v>NO APLICA</v>
      </c>
      <c r="MO146" s="5"/>
      <c r="MP146" s="2"/>
      <c r="MQ146" s="4"/>
      <c r="MR146" s="8"/>
      <c r="MS146" s="5" t="str">
        <f t="shared" si="553"/>
        <v>NO APLICA</v>
      </c>
      <c r="MT146" s="5"/>
      <c r="MU146" s="2"/>
      <c r="MV146" s="4"/>
      <c r="MW146" s="2"/>
      <c r="MX146" s="5" t="str">
        <f t="shared" si="554"/>
        <v>NO APLICA</v>
      </c>
      <c r="MY146" s="2"/>
      <c r="MZ146" s="6"/>
      <c r="NA146" s="4"/>
      <c r="NB146" s="8"/>
      <c r="NC146" s="5" t="str">
        <f t="shared" si="555"/>
        <v>NO APLICA</v>
      </c>
      <c r="ND146" s="2"/>
      <c r="NE146" s="6"/>
      <c r="NF146" s="4"/>
      <c r="NG146" s="8"/>
      <c r="NH146" s="5" t="str">
        <f t="shared" si="556"/>
        <v>NO APLICA</v>
      </c>
      <c r="NI146" s="2"/>
      <c r="NJ146" s="6"/>
      <c r="NK146" s="4"/>
      <c r="NL146" s="8"/>
      <c r="NM146" s="5" t="str">
        <f t="shared" si="557"/>
        <v>NO APLICA</v>
      </c>
      <c r="NN146" s="2"/>
      <c r="NO146" s="2"/>
      <c r="NP146" s="4"/>
      <c r="NQ146" s="8"/>
      <c r="NR146" s="5" t="str">
        <f t="shared" si="558"/>
        <v>NO APLICA</v>
      </c>
      <c r="NS146" s="2"/>
      <c r="NT146" s="2"/>
      <c r="NU146" s="4"/>
      <c r="NV146" s="2"/>
      <c r="NW146" s="5" t="str">
        <f t="shared" si="559"/>
        <v>NO APLICA</v>
      </c>
      <c r="NX146" s="6"/>
      <c r="NY146" s="6"/>
      <c r="NZ146" s="4"/>
      <c r="OA146" s="8"/>
      <c r="OB146" s="5" t="str">
        <f t="shared" si="560"/>
        <v>NO APLICA</v>
      </c>
      <c r="OC146" s="6"/>
      <c r="OD146" s="6"/>
      <c r="OE146" s="6"/>
      <c r="OF146" s="6"/>
      <c r="OG146" s="5" t="str">
        <f t="shared" si="561"/>
        <v>NO APLICA</v>
      </c>
      <c r="OH146" s="2"/>
      <c r="OI146" s="2"/>
      <c r="OJ146" s="4"/>
      <c r="OK146" s="8"/>
      <c r="OL146" s="5" t="str">
        <f t="shared" si="562"/>
        <v>NO APLICA</v>
      </c>
      <c r="OM146" s="6"/>
      <c r="ON146" s="6"/>
      <c r="OO146" s="6"/>
      <c r="OP146" s="6"/>
      <c r="OQ146" s="5" t="str">
        <f t="shared" si="563"/>
        <v>NO APLICA</v>
      </c>
      <c r="OR146" s="6"/>
      <c r="OS146" s="6"/>
      <c r="OT146" s="6"/>
      <c r="OU146" s="6"/>
      <c r="OV146" s="5" t="str">
        <f t="shared" si="564"/>
        <v>NO APLICA</v>
      </c>
      <c r="OW146" s="6"/>
      <c r="OX146" s="6"/>
      <c r="OY146" s="6"/>
      <c r="OZ146" s="6"/>
      <c r="PA146" s="5" t="str">
        <f t="shared" si="565"/>
        <v>NO APLICA</v>
      </c>
      <c r="PB146" s="6"/>
      <c r="PC146" s="6"/>
      <c r="PD146" s="6"/>
      <c r="PE146" s="6"/>
      <c r="PF146" s="5" t="str">
        <f t="shared" si="566"/>
        <v>NO APLICA</v>
      </c>
      <c r="PG146" s="6"/>
      <c r="PH146" s="6"/>
      <c r="PI146" s="6"/>
      <c r="PJ146" s="6"/>
      <c r="PK146" s="5" t="str">
        <f t="shared" si="567"/>
        <v>NO APLICA</v>
      </c>
      <c r="PL146" s="5"/>
      <c r="PM146" s="6"/>
      <c r="PN146" s="4"/>
      <c r="PO146" s="8"/>
      <c r="PP146" s="5" t="str">
        <f t="shared" si="568"/>
        <v>NO APLICA</v>
      </c>
      <c r="PQ146" s="6"/>
      <c r="PR146" s="6"/>
      <c r="PS146" s="6"/>
      <c r="PT146" s="6"/>
      <c r="PU146" s="5" t="str">
        <f t="shared" si="569"/>
        <v>NO APLICA</v>
      </c>
      <c r="PV146" s="5"/>
      <c r="PW146" s="6"/>
      <c r="PX146" s="6"/>
      <c r="PY146" s="6"/>
      <c r="PZ146" s="5" t="str">
        <f t="shared" si="570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481</v>
      </c>
      <c r="D147" s="30" t="s">
        <v>69</v>
      </c>
      <c r="E147" s="31" t="s">
        <v>75</v>
      </c>
      <c r="F147" s="6"/>
      <c r="G147" s="6"/>
      <c r="H147" s="6"/>
      <c r="I147" s="6"/>
      <c r="J147" s="5" t="str">
        <f t="shared" si="464"/>
        <v>NO APLICA</v>
      </c>
      <c r="K147" s="6"/>
      <c r="L147" s="6"/>
      <c r="M147" s="6"/>
      <c r="N147" s="6"/>
      <c r="O147" s="5" t="str">
        <f t="shared" si="465"/>
        <v>NO APLICA</v>
      </c>
      <c r="P147" s="6"/>
      <c r="Q147" s="6"/>
      <c r="R147" s="6"/>
      <c r="S147" s="6"/>
      <c r="T147" s="5" t="str">
        <f t="shared" si="571"/>
        <v>NO APLICA</v>
      </c>
      <c r="U147" s="5"/>
      <c r="V147" s="6" t="s">
        <v>482</v>
      </c>
      <c r="W147" s="4">
        <v>45391</v>
      </c>
      <c r="X147" s="4">
        <f t="shared" si="419"/>
        <v>47217</v>
      </c>
      <c r="Y147" s="8">
        <f t="shared" ca="1" si="420"/>
        <v>1082</v>
      </c>
      <c r="Z147" s="5" t="str">
        <f t="shared" ca="1" si="421"/>
        <v>VIGENTE</v>
      </c>
      <c r="AA147" s="5"/>
      <c r="AB147" s="6" t="s">
        <v>483</v>
      </c>
      <c r="AC147" s="4">
        <v>45464</v>
      </c>
      <c r="AD147" s="4">
        <f t="shared" ref="AD147:AD152" si="592">DATE(YEAR(AC147)+5,MONTH(AC147),DAY(AC147))</f>
        <v>47290</v>
      </c>
      <c r="AE147" s="8">
        <f t="shared" ref="AE147:AE152" ca="1" si="593">AD147-TODAY()</f>
        <v>1155</v>
      </c>
      <c r="AF147" s="5" t="str">
        <f t="shared" ca="1" si="46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67"/>
        <v>681</v>
      </c>
      <c r="AK147" s="5" t="str">
        <f t="shared" ca="1" si="417"/>
        <v>VIGENTE</v>
      </c>
      <c r="AL147" s="6"/>
      <c r="AM147" s="4">
        <v>46062</v>
      </c>
      <c r="AN147" s="4">
        <f t="shared" si="586"/>
        <v>46792</v>
      </c>
      <c r="AO147" s="8">
        <f t="shared" ca="1" si="468"/>
        <v>657</v>
      </c>
      <c r="AP147" s="5" t="str">
        <f t="shared" ca="1" si="469"/>
        <v>VIGENTE</v>
      </c>
      <c r="AQ147" s="6"/>
      <c r="AR147" s="4">
        <v>46048</v>
      </c>
      <c r="AS147" s="4">
        <f t="shared" si="582"/>
        <v>46778</v>
      </c>
      <c r="AT147" s="8">
        <f t="shared" ca="1" si="470"/>
        <v>643</v>
      </c>
      <c r="AU147" s="5" t="str">
        <f t="shared" ca="1" si="471"/>
        <v>VIGENTE</v>
      </c>
      <c r="AV147" s="6"/>
      <c r="AW147" s="4">
        <v>46070</v>
      </c>
      <c r="AX147" s="4">
        <f t="shared" si="583"/>
        <v>46800</v>
      </c>
      <c r="AY147" s="8">
        <f t="shared" ca="1" si="472"/>
        <v>665</v>
      </c>
      <c r="AZ147" s="5" t="str">
        <f t="shared" ca="1" si="47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4"/>
        <v>636</v>
      </c>
      <c r="BE147" s="5" t="str">
        <f t="shared" ca="1" si="47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6"/>
        <v>622</v>
      </c>
      <c r="BJ147" s="5" t="str">
        <f t="shared" ca="1" si="47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78"/>
        <v>630</v>
      </c>
      <c r="BO147" s="5" t="str">
        <f t="shared" ca="1" si="479"/>
        <v>VIGENTE</v>
      </c>
      <c r="BP147" s="4"/>
      <c r="BQ147" s="4">
        <v>46050</v>
      </c>
      <c r="BR147" s="4">
        <f t="shared" si="584"/>
        <v>46780</v>
      </c>
      <c r="BS147" s="8">
        <f t="shared" ca="1" si="480"/>
        <v>645</v>
      </c>
      <c r="BT147" s="5" t="str">
        <f t="shared" ca="1" si="48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2"/>
        <v>658</v>
      </c>
      <c r="BY147" s="5" t="str">
        <f t="shared" ca="1" si="483"/>
        <v>VIGENTE</v>
      </c>
      <c r="BZ147" s="6"/>
      <c r="CA147" s="4">
        <v>45986</v>
      </c>
      <c r="CB147" s="4">
        <f t="shared" si="588"/>
        <v>46716</v>
      </c>
      <c r="CC147" s="8">
        <f t="shared" ca="1" si="484"/>
        <v>581</v>
      </c>
      <c r="CD147" s="5" t="str">
        <f t="shared" ca="1" si="485"/>
        <v>VIGENTE</v>
      </c>
      <c r="CE147" s="6" t="s">
        <v>73</v>
      </c>
      <c r="CF147" s="4">
        <v>45616</v>
      </c>
      <c r="CG147" s="4">
        <f t="shared" si="425"/>
        <v>47077</v>
      </c>
      <c r="CH147" s="8">
        <f t="shared" ca="1" si="426"/>
        <v>942</v>
      </c>
      <c r="CI147" s="5" t="str">
        <f t="shared" ca="1" si="587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6"/>
        <v>613</v>
      </c>
      <c r="CN147" s="5" t="str">
        <f t="shared" ca="1" si="48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88"/>
        <v>697</v>
      </c>
      <c r="CS147" s="5" t="str">
        <f t="shared" ca="1" si="48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0"/>
        <v>638</v>
      </c>
      <c r="CX147" s="5" t="str">
        <f t="shared" ca="1" si="49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2"/>
        <v>595</v>
      </c>
      <c r="DC147" s="5" t="str">
        <f t="shared" ca="1" si="49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4"/>
        <v>640</v>
      </c>
      <c r="DH147" s="5" t="str">
        <f t="shared" ca="1" si="49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6"/>
        <v>624</v>
      </c>
      <c r="DM147" s="5" t="str">
        <f t="shared" ca="1" si="49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98"/>
        <v>577</v>
      </c>
      <c r="DR147" s="5" t="str">
        <f t="shared" ca="1" si="49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0"/>
        <v>648</v>
      </c>
      <c r="DW147" s="5" t="str">
        <f t="shared" ca="1" si="50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2"/>
        <v>695</v>
      </c>
      <c r="EB147" s="5" t="str">
        <f t="shared" ca="1" si="50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4"/>
        <v>700</v>
      </c>
      <c r="EG147" s="5" t="str">
        <f t="shared" ca="1" si="505"/>
        <v>VIGENTE</v>
      </c>
      <c r="EH147" s="4"/>
      <c r="EI147" s="4">
        <v>45812</v>
      </c>
      <c r="EJ147" s="4">
        <f t="shared" si="572"/>
        <v>46177</v>
      </c>
      <c r="EK147" s="8">
        <f t="shared" ca="1" si="506"/>
        <v>42</v>
      </c>
      <c r="EL147" s="5" t="str">
        <f t="shared" ca="1" si="50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08"/>
        <v>696</v>
      </c>
      <c r="EQ147" s="5" t="str">
        <f t="shared" ca="1" si="50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0"/>
        <v>594</v>
      </c>
      <c r="EV147" s="5" t="str">
        <f t="shared" ca="1" si="511"/>
        <v>VIGENTE</v>
      </c>
      <c r="EW147" s="4"/>
      <c r="EX147" s="4">
        <v>46037</v>
      </c>
      <c r="EY147" s="4">
        <f t="shared" si="589"/>
        <v>46767</v>
      </c>
      <c r="EZ147" s="8">
        <f t="shared" ca="1" si="512"/>
        <v>632</v>
      </c>
      <c r="FA147" s="5" t="str">
        <f t="shared" ca="1" si="513"/>
        <v>VIGENTE</v>
      </c>
      <c r="FB147" s="6"/>
      <c r="FC147" s="4">
        <v>46091</v>
      </c>
      <c r="FD147" s="4">
        <f t="shared" si="590"/>
        <v>46822</v>
      </c>
      <c r="FE147" s="8">
        <f t="shared" ca="1" si="514"/>
        <v>687</v>
      </c>
      <c r="FF147" s="5" t="str">
        <f t="shared" ca="1" si="515"/>
        <v>VIGENTE</v>
      </c>
      <c r="FG147" s="4"/>
      <c r="FH147" s="4">
        <v>45969</v>
      </c>
      <c r="FI147" s="4">
        <f t="shared" si="591"/>
        <v>46699</v>
      </c>
      <c r="FJ147" s="8">
        <f t="shared" ca="1" si="516"/>
        <v>564</v>
      </c>
      <c r="FK147" s="5" t="str">
        <f t="shared" ca="1" si="51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18"/>
        <v>634</v>
      </c>
      <c r="FP147" s="5" t="str">
        <f t="shared" ca="1" si="51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0"/>
        <v>675</v>
      </c>
      <c r="FU147" s="5" t="str">
        <f t="shared" ca="1" si="52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2"/>
        <v>609</v>
      </c>
      <c r="FZ147" s="5" t="str">
        <f t="shared" ca="1" si="52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4"/>
        <v>625</v>
      </c>
      <c r="GE147" s="5" t="str">
        <f t="shared" ca="1" si="52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6"/>
        <v>555</v>
      </c>
      <c r="GJ147" s="5" t="str">
        <f t="shared" ca="1" si="527"/>
        <v>VIGENTE</v>
      </c>
      <c r="GK147" s="4"/>
      <c r="GL147" s="4">
        <v>46093</v>
      </c>
      <c r="GM147" s="4">
        <f t="shared" si="585"/>
        <v>46824</v>
      </c>
      <c r="GN147" s="8">
        <f t="shared" ca="1" si="528"/>
        <v>689</v>
      </c>
      <c r="GO147" s="5" t="str">
        <f t="shared" ca="1" si="529"/>
        <v>VIGENTE</v>
      </c>
      <c r="GP147" s="4"/>
      <c r="GQ147" s="4">
        <v>45421</v>
      </c>
      <c r="GR147" s="4">
        <f t="shared" si="530"/>
        <v>47247</v>
      </c>
      <c r="GS147" s="8">
        <f t="shared" ca="1" si="416"/>
        <v>1112</v>
      </c>
      <c r="GT147" s="5" t="str">
        <f t="shared" ca="1" si="428"/>
        <v>VIGENTE</v>
      </c>
      <c r="GU147" s="4"/>
      <c r="GV147" s="4">
        <v>45417</v>
      </c>
      <c r="GW147" s="4">
        <f t="shared" si="531"/>
        <v>47243</v>
      </c>
      <c r="GX147" s="8">
        <f t="shared" ca="1" si="532"/>
        <v>1108</v>
      </c>
      <c r="GY147" s="5" t="str">
        <f t="shared" ca="1" si="435"/>
        <v>VIGENTE</v>
      </c>
      <c r="GZ147" s="6"/>
      <c r="HA147" s="4">
        <v>45415</v>
      </c>
      <c r="HB147" s="4">
        <f t="shared" si="533"/>
        <v>47241</v>
      </c>
      <c r="HC147" s="8">
        <f t="shared" ca="1" si="534"/>
        <v>1106</v>
      </c>
      <c r="HD147" s="5" t="str">
        <f t="shared" ca="1" si="430"/>
        <v>VIGENTE</v>
      </c>
      <c r="HE147" s="6"/>
      <c r="HF147" s="4">
        <v>45401</v>
      </c>
      <c r="HG147" s="4">
        <f t="shared" ref="HG147:HG152" si="594">DATE(YEAR(HF147)+5,MONTH(HF147),DAY(HF147))</f>
        <v>47227</v>
      </c>
      <c r="HH147" s="8">
        <f t="shared" ref="HH147:HH152" ca="1" si="595">HG147-TODAY()</f>
        <v>1092</v>
      </c>
      <c r="HI147" s="5" t="str">
        <f t="shared" ca="1" si="436"/>
        <v>VIGENTE</v>
      </c>
      <c r="HJ147" s="6"/>
      <c r="HK147" s="6"/>
      <c r="HL147" s="4"/>
      <c r="HM147" s="8"/>
      <c r="HN147" s="5" t="str">
        <f t="shared" si="453"/>
        <v>NO APLICA</v>
      </c>
      <c r="HO147" s="2"/>
      <c r="HP147" s="5"/>
      <c r="HQ147" s="4"/>
      <c r="HR147" s="5"/>
      <c r="HS147" s="5" t="str">
        <f t="shared" si="535"/>
        <v>NO APLICA</v>
      </c>
      <c r="HT147" s="6"/>
      <c r="HU147" s="6"/>
      <c r="HV147" s="4"/>
      <c r="HW147" s="8"/>
      <c r="HX147" s="5" t="str">
        <f t="shared" si="536"/>
        <v>NO APLICA</v>
      </c>
      <c r="HY147" s="6"/>
      <c r="HZ147" s="6"/>
      <c r="IA147" s="4"/>
      <c r="IB147" s="8"/>
      <c r="IC147" s="5" t="str">
        <f t="shared" si="537"/>
        <v>NO APLICA</v>
      </c>
      <c r="ID147" s="6"/>
      <c r="IE147" s="6"/>
      <c r="IF147" s="4"/>
      <c r="IG147" s="8"/>
      <c r="IH147" s="5" t="str">
        <f t="shared" si="538"/>
        <v>NO APLICA</v>
      </c>
      <c r="II147" s="6"/>
      <c r="IJ147" s="6"/>
      <c r="IK147" s="4"/>
      <c r="IL147" s="6"/>
      <c r="IM147" s="5" t="str">
        <f t="shared" si="539"/>
        <v>NO APLICA</v>
      </c>
      <c r="IN147" s="6"/>
      <c r="IO147" s="6"/>
      <c r="IP147" s="4"/>
      <c r="IQ147" s="8"/>
      <c r="IR147" s="5" t="str">
        <f t="shared" si="540"/>
        <v>NO APLICA</v>
      </c>
      <c r="IS147" s="6"/>
      <c r="IT147" s="6"/>
      <c r="IU147" s="4"/>
      <c r="IV147" s="8"/>
      <c r="IW147" s="5" t="str">
        <f t="shared" si="541"/>
        <v>NO APLICA</v>
      </c>
      <c r="IX147" s="6"/>
      <c r="IY147" s="6"/>
      <c r="IZ147" s="4"/>
      <c r="JA147" s="8"/>
      <c r="JB147" s="5" t="str">
        <f t="shared" si="542"/>
        <v>NO APLICA</v>
      </c>
      <c r="JC147" s="3"/>
      <c r="JD147" s="3"/>
      <c r="JE147" s="4"/>
      <c r="JF147" s="8"/>
      <c r="JG147" s="5" t="str">
        <f t="shared" si="543"/>
        <v>NO APLICA</v>
      </c>
      <c r="JH147" s="6"/>
      <c r="JI147" s="6"/>
      <c r="JJ147" s="6"/>
      <c r="JK147" s="6"/>
      <c r="JL147" s="5" t="str">
        <f t="shared" si="544"/>
        <v>NO APLICA</v>
      </c>
      <c r="JM147" s="6"/>
      <c r="JN147" s="6"/>
      <c r="JO147" s="6"/>
      <c r="JP147" s="6"/>
      <c r="JQ147" s="5" t="str">
        <f t="shared" si="545"/>
        <v>NO APLICA</v>
      </c>
      <c r="JR147" s="6"/>
      <c r="JS147" s="6"/>
      <c r="JT147" s="6"/>
      <c r="JU147" s="6"/>
      <c r="JV147" s="5" t="str">
        <f t="shared" si="546"/>
        <v>NO APLICA</v>
      </c>
      <c r="JW147" s="5"/>
      <c r="JX147" s="5"/>
      <c r="JY147" s="5"/>
      <c r="JZ147" s="5"/>
      <c r="KA147" s="5" t="str">
        <f t="shared" si="547"/>
        <v>NO APLICA</v>
      </c>
      <c r="KB147" s="5"/>
      <c r="KC147" s="6"/>
      <c r="KD147" s="4"/>
      <c r="KE147" s="8"/>
      <c r="KF147" s="5" t="str">
        <f t="shared" si="548"/>
        <v>NO APLICA</v>
      </c>
      <c r="KG147" s="5"/>
      <c r="KH147" s="6"/>
      <c r="KI147" s="4"/>
      <c r="KJ147" s="6"/>
      <c r="KK147" s="5" t="str">
        <f t="shared" si="573"/>
        <v>NO APLICA</v>
      </c>
      <c r="KL147" s="5"/>
      <c r="KM147" s="6"/>
      <c r="KN147" s="4"/>
      <c r="KO147" s="8"/>
      <c r="KP147" s="5" t="str">
        <f t="shared" si="549"/>
        <v>NO APLICA</v>
      </c>
      <c r="KQ147" s="5"/>
      <c r="KR147" s="2"/>
      <c r="KS147" s="4"/>
      <c r="KT147" s="8"/>
      <c r="KU147" s="5" t="str">
        <f t="shared" si="574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79"/>
        <v>VIGENTE</v>
      </c>
      <c r="LA147" s="5"/>
      <c r="LB147" s="6"/>
      <c r="LC147" s="4"/>
      <c r="LD147" s="6"/>
      <c r="LE147" s="5" t="str">
        <f t="shared" si="575"/>
        <v>NO APLICA</v>
      </c>
      <c r="LF147" s="6"/>
      <c r="LG147" s="6"/>
      <c r="LH147" s="6"/>
      <c r="LI147" s="6"/>
      <c r="LJ147" s="5" t="str">
        <f t="shared" si="581"/>
        <v>NO APLICA</v>
      </c>
      <c r="LK147" s="5"/>
      <c r="LL147" s="5"/>
      <c r="LM147" s="4"/>
      <c r="LN147" s="8"/>
      <c r="LO147" s="5" t="str">
        <f t="shared" si="580"/>
        <v>NO APLICA</v>
      </c>
      <c r="LP147" s="6"/>
      <c r="LQ147" s="6"/>
      <c r="LR147" s="4"/>
      <c r="LS147" s="8"/>
      <c r="LT147" s="5" t="str">
        <f t="shared" si="576"/>
        <v>NO APLICA</v>
      </c>
      <c r="LU147" s="6"/>
      <c r="LV147" s="6"/>
      <c r="LW147" s="4"/>
      <c r="LX147" s="6"/>
      <c r="LY147" s="5" t="str">
        <f t="shared" si="577"/>
        <v>NO APLICA</v>
      </c>
      <c r="LZ147" s="6"/>
      <c r="MA147" s="6"/>
      <c r="MB147" s="4"/>
      <c r="MC147" s="6"/>
      <c r="MD147" s="5" t="str">
        <f t="shared" si="578"/>
        <v>NO APLICA</v>
      </c>
      <c r="ME147" s="6"/>
      <c r="MF147" s="6"/>
      <c r="MG147" s="4"/>
      <c r="MH147" s="6"/>
      <c r="MI147" s="5" t="str">
        <f t="shared" si="551"/>
        <v>NO APLICA</v>
      </c>
      <c r="MJ147" s="6"/>
      <c r="MK147" s="6"/>
      <c r="ML147" s="4"/>
      <c r="MM147" s="6"/>
      <c r="MN147" s="5" t="str">
        <f t="shared" si="552"/>
        <v>NO APLICA</v>
      </c>
      <c r="MO147" s="5"/>
      <c r="MP147" s="6"/>
      <c r="MQ147" s="4"/>
      <c r="MR147" s="6"/>
      <c r="MS147" s="5" t="str">
        <f t="shared" si="553"/>
        <v>NO APLICA</v>
      </c>
      <c r="MT147" s="5"/>
      <c r="MU147" s="6"/>
      <c r="MV147" s="6"/>
      <c r="MW147" s="6"/>
      <c r="MX147" s="5" t="str">
        <f t="shared" si="554"/>
        <v>NO APLICA</v>
      </c>
      <c r="MY147" s="6"/>
      <c r="MZ147" s="6"/>
      <c r="NA147" s="4"/>
      <c r="NB147" s="6"/>
      <c r="NC147" s="5" t="str">
        <f t="shared" si="555"/>
        <v>NO APLICA</v>
      </c>
      <c r="ND147" s="6"/>
      <c r="NE147" s="6"/>
      <c r="NF147" s="4"/>
      <c r="NG147" s="6"/>
      <c r="NH147" s="5" t="str">
        <f t="shared" si="556"/>
        <v>NO APLICA</v>
      </c>
      <c r="NI147" s="6"/>
      <c r="NJ147" s="6"/>
      <c r="NK147" s="4"/>
      <c r="NL147" s="6"/>
      <c r="NM147" s="5" t="str">
        <f t="shared" si="557"/>
        <v>NO APLICA</v>
      </c>
      <c r="NN147" s="6"/>
      <c r="NO147" s="6"/>
      <c r="NP147" s="4"/>
      <c r="NQ147" s="6"/>
      <c r="NR147" s="5" t="str">
        <f t="shared" si="558"/>
        <v>NO APLICA</v>
      </c>
      <c r="NS147" s="6"/>
      <c r="NT147" s="6"/>
      <c r="NU147" s="4"/>
      <c r="NV147" s="6"/>
      <c r="NW147" s="5" t="str">
        <f t="shared" si="559"/>
        <v>NO APLICA</v>
      </c>
      <c r="NX147" s="6"/>
      <c r="NY147" s="6"/>
      <c r="NZ147" s="4"/>
      <c r="OA147" s="8"/>
      <c r="OB147" s="5" t="str">
        <f t="shared" si="560"/>
        <v>NO APLICA</v>
      </c>
      <c r="OC147" s="6"/>
      <c r="OD147" s="6"/>
      <c r="OE147" s="6"/>
      <c r="OF147" s="6"/>
      <c r="OG147" s="5" t="str">
        <f t="shared" si="561"/>
        <v>NO APLICA</v>
      </c>
      <c r="OH147" s="6"/>
      <c r="OI147" s="6"/>
      <c r="OJ147" s="6"/>
      <c r="OK147" s="6"/>
      <c r="OL147" s="5" t="str">
        <f t="shared" si="562"/>
        <v>NO APLICA</v>
      </c>
      <c r="OM147" s="6"/>
      <c r="ON147" s="6"/>
      <c r="OO147" s="4"/>
      <c r="OP147" s="8"/>
      <c r="OQ147" s="5" t="str">
        <f t="shared" si="563"/>
        <v>NO APLICA</v>
      </c>
      <c r="OR147" s="6"/>
      <c r="OS147" s="6"/>
      <c r="OT147" s="6"/>
      <c r="OU147" s="6"/>
      <c r="OV147" s="5" t="str">
        <f t="shared" si="564"/>
        <v>NO APLICA</v>
      </c>
      <c r="OW147" s="6"/>
      <c r="OX147" s="6"/>
      <c r="OY147" s="6"/>
      <c r="OZ147" s="6"/>
      <c r="PA147" s="5" t="str">
        <f t="shared" si="565"/>
        <v>NO APLICA</v>
      </c>
      <c r="PB147" s="6"/>
      <c r="PC147" s="6"/>
      <c r="PD147" s="6"/>
      <c r="PE147" s="6"/>
      <c r="PF147" s="5" t="str">
        <f t="shared" si="566"/>
        <v>NO APLICA</v>
      </c>
      <c r="PG147" s="6"/>
      <c r="PH147" s="6"/>
      <c r="PI147" s="6"/>
      <c r="PJ147" s="6"/>
      <c r="PK147" s="5" t="str">
        <f t="shared" si="567"/>
        <v>NO APLICA</v>
      </c>
      <c r="PL147" s="5"/>
      <c r="PM147" s="6"/>
      <c r="PN147" s="6"/>
      <c r="PO147" s="6"/>
      <c r="PP147" s="5" t="str">
        <f t="shared" si="568"/>
        <v>NO APLICA</v>
      </c>
      <c r="PQ147" s="6"/>
      <c r="PR147" s="6"/>
      <c r="PS147" s="6"/>
      <c r="PT147" s="6"/>
      <c r="PU147" s="5" t="str">
        <f t="shared" si="569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70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484</v>
      </c>
      <c r="D148" s="30" t="s">
        <v>69</v>
      </c>
      <c r="E148" s="31" t="s">
        <v>124</v>
      </c>
      <c r="F148" s="5"/>
      <c r="G148" s="6"/>
      <c r="H148" s="4"/>
      <c r="I148" s="8"/>
      <c r="J148" s="5" t="str">
        <f t="shared" si="464"/>
        <v>NO APLICA</v>
      </c>
      <c r="K148" s="5"/>
      <c r="L148" s="6"/>
      <c r="M148" s="6"/>
      <c r="N148" s="8"/>
      <c r="O148" s="5" t="str">
        <f t="shared" si="465"/>
        <v>NO APLICA</v>
      </c>
      <c r="P148" s="6"/>
      <c r="Q148" s="6"/>
      <c r="R148" s="4"/>
      <c r="S148" s="8"/>
      <c r="T148" s="5" t="str">
        <f t="shared" si="571"/>
        <v>NO APLICA</v>
      </c>
      <c r="U148" s="5"/>
      <c r="V148" s="2" t="s">
        <v>485</v>
      </c>
      <c r="W148" s="4">
        <v>45426</v>
      </c>
      <c r="X148" s="4">
        <f t="shared" si="419"/>
        <v>47252</v>
      </c>
      <c r="Y148" s="8">
        <f t="shared" ca="1" si="420"/>
        <v>1117</v>
      </c>
      <c r="Z148" s="5" t="str">
        <f t="shared" ca="1" si="421"/>
        <v>VIGENTE</v>
      </c>
      <c r="AA148" s="5"/>
      <c r="AB148" s="2" t="s">
        <v>486</v>
      </c>
      <c r="AC148" s="4">
        <v>44824</v>
      </c>
      <c r="AD148" s="4">
        <f t="shared" si="592"/>
        <v>46650</v>
      </c>
      <c r="AE148" s="8">
        <f t="shared" ca="1" si="593"/>
        <v>515</v>
      </c>
      <c r="AF148" s="5" t="str">
        <f t="shared" ca="1" si="46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67"/>
        <v>211</v>
      </c>
      <c r="AK148" s="5" t="str">
        <f t="shared" ca="1" si="417"/>
        <v>VIGENTE</v>
      </c>
      <c r="AL148" s="3"/>
      <c r="AM148" s="4">
        <v>45926</v>
      </c>
      <c r="AN148" s="4">
        <f t="shared" si="586"/>
        <v>46656</v>
      </c>
      <c r="AO148" s="8">
        <f t="shared" ca="1" si="468"/>
        <v>521</v>
      </c>
      <c r="AP148" s="5" t="str">
        <f t="shared" ca="1" si="469"/>
        <v>VIGENTE</v>
      </c>
      <c r="AQ148" s="3"/>
      <c r="AR148" s="4">
        <v>45887</v>
      </c>
      <c r="AS148" s="4">
        <f t="shared" si="582"/>
        <v>46617</v>
      </c>
      <c r="AT148" s="8">
        <f t="shared" ca="1" si="470"/>
        <v>482</v>
      </c>
      <c r="AU148" s="5" t="str">
        <f t="shared" ca="1" si="471"/>
        <v>VIGENTE</v>
      </c>
      <c r="AV148" s="3"/>
      <c r="AW148" s="4">
        <v>45972</v>
      </c>
      <c r="AX148" s="4">
        <f t="shared" si="583"/>
        <v>46702</v>
      </c>
      <c r="AY148" s="8">
        <f t="shared" ca="1" si="472"/>
        <v>567</v>
      </c>
      <c r="AZ148" s="5" t="str">
        <f t="shared" ca="1" si="47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4"/>
        <v>109</v>
      </c>
      <c r="BE148" s="5" t="str">
        <f t="shared" ca="1" si="47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6"/>
        <v>563</v>
      </c>
      <c r="BJ148" s="5" t="str">
        <f t="shared" ca="1" si="47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78"/>
        <v>194</v>
      </c>
      <c r="BO148" s="5" t="str">
        <f t="shared" ca="1" si="479"/>
        <v>VIGENTE</v>
      </c>
      <c r="BP148" s="3"/>
      <c r="BQ148" s="4">
        <v>46069</v>
      </c>
      <c r="BR148" s="4">
        <f t="shared" si="584"/>
        <v>46799</v>
      </c>
      <c r="BS148" s="8">
        <f t="shared" ca="1" si="480"/>
        <v>664</v>
      </c>
      <c r="BT148" s="5" t="str">
        <f t="shared" ca="1" si="48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2"/>
        <v>49</v>
      </c>
      <c r="BY148" s="5" t="str">
        <f t="shared" ca="1" si="483"/>
        <v>POR VENCER</v>
      </c>
      <c r="BZ148" s="3"/>
      <c r="CA148" s="4">
        <v>45954</v>
      </c>
      <c r="CB148" s="4">
        <f t="shared" si="588"/>
        <v>46684</v>
      </c>
      <c r="CC148" s="8">
        <f t="shared" ca="1" si="484"/>
        <v>549</v>
      </c>
      <c r="CD148" s="5" t="str">
        <f t="shared" ca="1" si="485"/>
        <v>VIGENTE</v>
      </c>
      <c r="CE148" s="6" t="s">
        <v>73</v>
      </c>
      <c r="CF148" s="4">
        <v>45262</v>
      </c>
      <c r="CG148" s="4">
        <f t="shared" si="425"/>
        <v>46723</v>
      </c>
      <c r="CH148" s="8">
        <f t="shared" ca="1" si="426"/>
        <v>588</v>
      </c>
      <c r="CI148" s="5" t="str">
        <f t="shared" ca="1" si="587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6"/>
        <v>98</v>
      </c>
      <c r="CN148" s="5" t="str">
        <f t="shared" ca="1" si="48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88"/>
        <v>111</v>
      </c>
      <c r="CS148" s="5" t="str">
        <f t="shared" ca="1" si="48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0"/>
        <v>239</v>
      </c>
      <c r="CX148" s="5" t="str">
        <f t="shared" ca="1" si="49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2"/>
        <v>255</v>
      </c>
      <c r="DC148" s="5" t="str">
        <f t="shared" ca="1" si="49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4"/>
        <v>283</v>
      </c>
      <c r="DH148" s="5" t="str">
        <f t="shared" ca="1" si="49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6"/>
        <v>290</v>
      </c>
      <c r="DM148" s="5" t="str">
        <f t="shared" ca="1" si="49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98"/>
        <v>80</v>
      </c>
      <c r="DR148" s="5" t="str">
        <f t="shared" ca="1" si="49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0"/>
        <v>213</v>
      </c>
      <c r="DW148" s="5" t="str">
        <f t="shared" ca="1" si="50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2"/>
        <v>303</v>
      </c>
      <c r="EB148" s="5" t="str">
        <f t="shared" ca="1" si="50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4"/>
        <v>268</v>
      </c>
      <c r="EG148" s="5" t="str">
        <f t="shared" ca="1" si="505"/>
        <v>VIGENTE</v>
      </c>
      <c r="EH148" s="3"/>
      <c r="EI148" s="3">
        <v>46085</v>
      </c>
      <c r="EJ148" s="4">
        <f t="shared" si="572"/>
        <v>46450</v>
      </c>
      <c r="EK148" s="8">
        <f t="shared" ca="1" si="506"/>
        <v>315</v>
      </c>
      <c r="EL148" s="5" t="str">
        <f t="shared" ca="1" si="50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08"/>
        <v>265</v>
      </c>
      <c r="EQ148" s="5" t="str">
        <f t="shared" ca="1" si="50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0"/>
        <v>329</v>
      </c>
      <c r="EV148" s="5" t="str">
        <f t="shared" ca="1" si="511"/>
        <v>VIGENTE</v>
      </c>
      <c r="EW148" s="3"/>
      <c r="EX148" s="4">
        <v>45953</v>
      </c>
      <c r="EY148" s="4">
        <f t="shared" si="589"/>
        <v>46683</v>
      </c>
      <c r="EZ148" s="8">
        <f t="shared" ca="1" si="512"/>
        <v>548</v>
      </c>
      <c r="FA148" s="5" t="str">
        <f t="shared" ca="1" si="513"/>
        <v>VIGENTE</v>
      </c>
      <c r="FB148" s="3"/>
      <c r="FC148" s="4">
        <v>46017</v>
      </c>
      <c r="FD148" s="4">
        <f t="shared" si="590"/>
        <v>46747</v>
      </c>
      <c r="FE148" s="8">
        <f t="shared" ca="1" si="514"/>
        <v>612</v>
      </c>
      <c r="FF148" s="5" t="str">
        <f t="shared" ca="1" si="515"/>
        <v>VIGENTE</v>
      </c>
      <c r="FG148" s="3"/>
      <c r="FH148" s="4">
        <v>45969</v>
      </c>
      <c r="FI148" s="4">
        <f t="shared" si="591"/>
        <v>46699</v>
      </c>
      <c r="FJ148" s="8">
        <f t="shared" ca="1" si="516"/>
        <v>564</v>
      </c>
      <c r="FK148" s="5" t="str">
        <f t="shared" ca="1" si="51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18"/>
        <v>264</v>
      </c>
      <c r="FP148" s="5" t="str">
        <f t="shared" ca="1" si="51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0"/>
        <v>318</v>
      </c>
      <c r="FU148" s="5" t="str">
        <f t="shared" ca="1" si="52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2"/>
        <v>210</v>
      </c>
      <c r="FZ148" s="5" t="str">
        <f t="shared" ca="1" si="52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4"/>
        <v>261</v>
      </c>
      <c r="GE148" s="5" t="str">
        <f t="shared" ca="1" si="52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6"/>
        <v>266</v>
      </c>
      <c r="GJ148" s="5" t="str">
        <f t="shared" ca="1" si="527"/>
        <v>VIGENTE</v>
      </c>
      <c r="GK148" s="3"/>
      <c r="GL148" s="4">
        <v>45958</v>
      </c>
      <c r="GM148" s="4">
        <f t="shared" si="585"/>
        <v>46688</v>
      </c>
      <c r="GN148" s="8">
        <f t="shared" ca="1" si="528"/>
        <v>553</v>
      </c>
      <c r="GO148" s="5" t="str">
        <f t="shared" ca="1" si="529"/>
        <v>VIGENTE</v>
      </c>
      <c r="GP148" s="4"/>
      <c r="GQ148" s="4">
        <v>44952</v>
      </c>
      <c r="GR148" s="4">
        <f t="shared" si="530"/>
        <v>46778</v>
      </c>
      <c r="GS148" s="8">
        <f t="shared" ca="1" si="416"/>
        <v>643</v>
      </c>
      <c r="GT148" s="5" t="str">
        <f t="shared" ca="1" si="428"/>
        <v>VIGENTE</v>
      </c>
      <c r="GU148" s="3"/>
      <c r="GV148" s="4">
        <v>44979</v>
      </c>
      <c r="GW148" s="4">
        <f t="shared" si="531"/>
        <v>46805</v>
      </c>
      <c r="GX148" s="8">
        <f t="shared" ca="1" si="532"/>
        <v>670</v>
      </c>
      <c r="GY148" s="5" t="str">
        <f t="shared" ca="1" si="435"/>
        <v>VIGENTE</v>
      </c>
      <c r="GZ148" s="3"/>
      <c r="HA148" s="4">
        <v>45499</v>
      </c>
      <c r="HB148" s="4">
        <f t="shared" si="533"/>
        <v>47325</v>
      </c>
      <c r="HC148" s="8">
        <f t="shared" ca="1" si="534"/>
        <v>1190</v>
      </c>
      <c r="HD148" s="5" t="str">
        <f t="shared" ca="1" si="430"/>
        <v>VIGENTE</v>
      </c>
      <c r="HE148" s="6"/>
      <c r="HF148" s="4">
        <v>44879</v>
      </c>
      <c r="HG148" s="4">
        <f t="shared" si="594"/>
        <v>46705</v>
      </c>
      <c r="HH148" s="8">
        <f t="shared" ca="1" si="595"/>
        <v>570</v>
      </c>
      <c r="HI148" s="5" t="str">
        <f t="shared" ca="1" si="436"/>
        <v>VIGENTE</v>
      </c>
      <c r="HJ148" s="2"/>
      <c r="HK148" s="6"/>
      <c r="HL148" s="4"/>
      <c r="HM148" s="8"/>
      <c r="HN148" s="5" t="str">
        <f t="shared" si="453"/>
        <v>NO APLICA</v>
      </c>
      <c r="HO148" s="2"/>
      <c r="HP148" s="2"/>
      <c r="HQ148" s="4"/>
      <c r="HR148" s="2"/>
      <c r="HS148" s="5" t="str">
        <f t="shared" si="53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3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3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3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3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4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4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42"/>
        <v>VIGENTE</v>
      </c>
      <c r="JC148" s="3"/>
      <c r="JD148" s="3"/>
      <c r="JE148" s="4"/>
      <c r="JF148" s="8"/>
      <c r="JG148" s="5" t="str">
        <f t="shared" si="543"/>
        <v>NO APLICA</v>
      </c>
      <c r="JH148" s="6"/>
      <c r="JI148" s="6"/>
      <c r="JJ148" s="6"/>
      <c r="JK148" s="6"/>
      <c r="JL148" s="5" t="str">
        <f t="shared" si="544"/>
        <v>NO APLICA</v>
      </c>
      <c r="JM148" s="6"/>
      <c r="JN148" s="6"/>
      <c r="JO148" s="6"/>
      <c r="JP148" s="6"/>
      <c r="JQ148" s="5" t="str">
        <f t="shared" si="545"/>
        <v>NO APLICA</v>
      </c>
      <c r="JR148" s="6"/>
      <c r="JS148" s="6"/>
      <c r="JT148" s="6"/>
      <c r="JU148" s="6"/>
      <c r="JV148" s="5" t="str">
        <f t="shared" si="546"/>
        <v>NO APLICA</v>
      </c>
      <c r="JW148" s="5"/>
      <c r="JX148" s="5"/>
      <c r="JY148" s="5"/>
      <c r="JZ148" s="5"/>
      <c r="KA148" s="5" t="str">
        <f t="shared" si="547"/>
        <v>NO APLICA</v>
      </c>
      <c r="KB148" s="5"/>
      <c r="KC148" s="2"/>
      <c r="KD148" s="4"/>
      <c r="KE148" s="8"/>
      <c r="KF148" s="5" t="str">
        <f t="shared" si="548"/>
        <v>NO APLICA</v>
      </c>
      <c r="KG148" s="5"/>
      <c r="KH148" s="2"/>
      <c r="KI148" s="4"/>
      <c r="KJ148" s="8"/>
      <c r="KK148" s="5" t="str">
        <f t="shared" si="573"/>
        <v>NO APLICA</v>
      </c>
      <c r="KL148" s="5"/>
      <c r="KM148" s="2"/>
      <c r="KN148" s="4"/>
      <c r="KO148" s="8"/>
      <c r="KP148" s="5" t="str">
        <f t="shared" si="549"/>
        <v>NO APLICA</v>
      </c>
      <c r="KQ148" s="5"/>
      <c r="KR148" s="2"/>
      <c r="KS148" s="4"/>
      <c r="KT148" s="8"/>
      <c r="KU148" s="5" t="str">
        <f t="shared" si="574"/>
        <v>NO APLICA</v>
      </c>
      <c r="KV148" s="2"/>
      <c r="KW148" s="6"/>
      <c r="KX148" s="4"/>
      <c r="KY148" s="8"/>
      <c r="KZ148" s="5" t="str">
        <f t="shared" si="579"/>
        <v>NO APLICA</v>
      </c>
      <c r="LA148" s="5"/>
      <c r="LB148" s="6"/>
      <c r="LC148" s="4"/>
      <c r="LD148" s="8"/>
      <c r="LE148" s="5" t="str">
        <f t="shared" si="575"/>
        <v>NO APLICA</v>
      </c>
      <c r="LF148" s="6"/>
      <c r="LG148" s="4"/>
      <c r="LH148" s="4"/>
      <c r="LI148" s="8"/>
      <c r="LJ148" s="5" t="str">
        <f t="shared" si="581"/>
        <v>NO APLICA</v>
      </c>
      <c r="LK148" s="5"/>
      <c r="LL148" s="5"/>
      <c r="LM148" s="5"/>
      <c r="LN148" s="5"/>
      <c r="LO148" s="5" t="str">
        <f t="shared" si="580"/>
        <v>NO APLICA</v>
      </c>
      <c r="LP148" s="2"/>
      <c r="LQ148" s="6"/>
      <c r="LR148" s="4"/>
      <c r="LS148" s="8"/>
      <c r="LT148" s="5" t="str">
        <f t="shared" si="576"/>
        <v>NO APLICA</v>
      </c>
      <c r="LU148" s="6"/>
      <c r="LV148" s="6"/>
      <c r="LW148" s="4"/>
      <c r="LX148" s="8"/>
      <c r="LY148" s="5" t="str">
        <f t="shared" si="577"/>
        <v>NO APLICA</v>
      </c>
      <c r="LZ148" s="6"/>
      <c r="MA148" s="6"/>
      <c r="MB148" s="4"/>
      <c r="MC148" s="8"/>
      <c r="MD148" s="5" t="str">
        <f t="shared" si="578"/>
        <v>NO APLICA</v>
      </c>
      <c r="ME148" s="2"/>
      <c r="MF148" s="2"/>
      <c r="MG148" s="4"/>
      <c r="MH148" s="8"/>
      <c r="MI148" s="5" t="str">
        <f t="shared" si="551"/>
        <v>NO APLICA</v>
      </c>
      <c r="MJ148" s="2"/>
      <c r="MK148" s="2"/>
      <c r="ML148" s="4"/>
      <c r="MM148" s="8"/>
      <c r="MN148" s="5" t="str">
        <f t="shared" si="552"/>
        <v>NO APLICA</v>
      </c>
      <c r="MO148" s="5"/>
      <c r="MP148" s="2"/>
      <c r="MQ148" s="4"/>
      <c r="MR148" s="8"/>
      <c r="MS148" s="5" t="str">
        <f t="shared" si="553"/>
        <v>NO APLICA</v>
      </c>
      <c r="MT148" s="5"/>
      <c r="MU148" s="2"/>
      <c r="MV148" s="4"/>
      <c r="MW148" s="2"/>
      <c r="MX148" s="5" t="str">
        <f t="shared" si="554"/>
        <v>NO APLICA</v>
      </c>
      <c r="MY148" s="2"/>
      <c r="MZ148" s="6"/>
      <c r="NA148" s="4"/>
      <c r="NB148" s="8"/>
      <c r="NC148" s="5" t="str">
        <f t="shared" si="555"/>
        <v>NO APLICA</v>
      </c>
      <c r="ND148" s="2"/>
      <c r="NE148" s="6"/>
      <c r="NF148" s="4"/>
      <c r="NG148" s="8"/>
      <c r="NH148" s="5" t="str">
        <f t="shared" si="556"/>
        <v>NO APLICA</v>
      </c>
      <c r="NI148" s="2"/>
      <c r="NJ148" s="6"/>
      <c r="NK148" s="4"/>
      <c r="NL148" s="8"/>
      <c r="NM148" s="5" t="str">
        <f t="shared" si="557"/>
        <v>NO APLICA</v>
      </c>
      <c r="NN148" s="2"/>
      <c r="NO148" s="2"/>
      <c r="NP148" s="4"/>
      <c r="NQ148" s="2"/>
      <c r="NR148" s="5" t="str">
        <f t="shared" si="558"/>
        <v>NO APLICA</v>
      </c>
      <c r="NS148" s="2"/>
      <c r="NT148" s="2"/>
      <c r="NU148" s="2"/>
      <c r="NV148" s="2"/>
      <c r="NW148" s="5" t="str">
        <f t="shared" si="559"/>
        <v>NO APLICA</v>
      </c>
      <c r="NX148" s="6"/>
      <c r="NY148" s="6"/>
      <c r="NZ148" s="4"/>
      <c r="OA148" s="8"/>
      <c r="OB148" s="5" t="str">
        <f t="shared" si="560"/>
        <v>NO APLICA</v>
      </c>
      <c r="OC148" s="6"/>
      <c r="OD148" s="6"/>
      <c r="OE148" s="6"/>
      <c r="OF148" s="6"/>
      <c r="OG148" s="5" t="str">
        <f t="shared" si="561"/>
        <v>NO APLICA</v>
      </c>
      <c r="OH148" s="6"/>
      <c r="OI148" s="6"/>
      <c r="OJ148" s="4"/>
      <c r="OK148" s="8"/>
      <c r="OL148" s="5" t="str">
        <f t="shared" si="562"/>
        <v>NO APLICA</v>
      </c>
      <c r="OM148" s="6"/>
      <c r="ON148" s="6"/>
      <c r="OO148" s="6"/>
      <c r="OP148" s="6"/>
      <c r="OQ148" s="5" t="str">
        <f t="shared" si="563"/>
        <v>NO APLICA</v>
      </c>
      <c r="OR148" s="6"/>
      <c r="OS148" s="6"/>
      <c r="OT148" s="6"/>
      <c r="OU148" s="6"/>
      <c r="OV148" s="5" t="str">
        <f t="shared" si="564"/>
        <v>NO APLICA</v>
      </c>
      <c r="OW148" s="6"/>
      <c r="OX148" s="6"/>
      <c r="OY148" s="6"/>
      <c r="OZ148" s="6"/>
      <c r="PA148" s="5" t="str">
        <f t="shared" si="565"/>
        <v>NO APLICA</v>
      </c>
      <c r="PB148" s="6"/>
      <c r="PC148" s="6"/>
      <c r="PD148" s="6"/>
      <c r="PE148" s="6"/>
      <c r="PF148" s="5" t="str">
        <f t="shared" si="566"/>
        <v>NO APLICA</v>
      </c>
      <c r="PG148" s="6"/>
      <c r="PH148" s="6"/>
      <c r="PI148" s="6"/>
      <c r="PJ148" s="6"/>
      <c r="PK148" s="5" t="str">
        <f t="shared" si="567"/>
        <v>NO APLICA</v>
      </c>
      <c r="PL148" s="5"/>
      <c r="PM148" s="6"/>
      <c r="PN148" s="4"/>
      <c r="PO148" s="8"/>
      <c r="PP148" s="5" t="str">
        <f t="shared" si="568"/>
        <v>NO APLICA</v>
      </c>
      <c r="PQ148" s="6"/>
      <c r="PR148" s="6"/>
      <c r="PS148" s="6"/>
      <c r="PT148" s="6"/>
      <c r="PU148" s="5" t="str">
        <f t="shared" si="569"/>
        <v>NO APLICA</v>
      </c>
      <c r="PV148" s="5"/>
      <c r="PW148" s="6"/>
      <c r="PX148" s="6"/>
      <c r="PY148" s="6"/>
      <c r="PZ148" s="5" t="str">
        <f t="shared" si="570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487</v>
      </c>
      <c r="D149" s="30" t="s">
        <v>69</v>
      </c>
      <c r="E149" s="31" t="s">
        <v>167</v>
      </c>
      <c r="F149" s="5"/>
      <c r="G149" s="6"/>
      <c r="H149" s="4"/>
      <c r="I149" s="8"/>
      <c r="J149" s="5" t="str">
        <f t="shared" si="464"/>
        <v>NO APLICA</v>
      </c>
      <c r="K149" s="2"/>
      <c r="L149" s="6"/>
      <c r="M149" s="6"/>
      <c r="N149" s="8"/>
      <c r="O149" s="5" t="str">
        <f t="shared" si="465"/>
        <v>NO APLICA</v>
      </c>
      <c r="P149" s="6"/>
      <c r="Q149" s="6"/>
      <c r="R149" s="4"/>
      <c r="S149" s="8"/>
      <c r="T149" s="5" t="str">
        <f t="shared" si="571"/>
        <v>NO APLICA</v>
      </c>
      <c r="U149" s="5"/>
      <c r="V149" s="2" t="s">
        <v>488</v>
      </c>
      <c r="W149" s="4">
        <v>44801</v>
      </c>
      <c r="X149" s="4">
        <f t="shared" si="419"/>
        <v>46627</v>
      </c>
      <c r="Y149" s="8">
        <f t="shared" ca="1" si="420"/>
        <v>492</v>
      </c>
      <c r="Z149" s="5" t="str">
        <f t="shared" ca="1" si="421"/>
        <v>VIGENTE</v>
      </c>
      <c r="AA149" s="5"/>
      <c r="AB149" s="2" t="s">
        <v>489</v>
      </c>
      <c r="AC149" s="4">
        <v>44831</v>
      </c>
      <c r="AD149" s="4">
        <f t="shared" si="592"/>
        <v>46657</v>
      </c>
      <c r="AE149" s="8">
        <f t="shared" ca="1" si="593"/>
        <v>522</v>
      </c>
      <c r="AF149" s="5" t="str">
        <f t="shared" ca="1" si="46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67"/>
        <v>188</v>
      </c>
      <c r="AK149" s="5" t="str">
        <f t="shared" ca="1" si="417"/>
        <v>VIGENTE</v>
      </c>
      <c r="AL149" s="3"/>
      <c r="AM149" s="4">
        <v>45937</v>
      </c>
      <c r="AN149" s="4">
        <f t="shared" si="586"/>
        <v>46667</v>
      </c>
      <c r="AO149" s="8">
        <f t="shared" ca="1" si="468"/>
        <v>532</v>
      </c>
      <c r="AP149" s="5" t="str">
        <f t="shared" ca="1" si="469"/>
        <v>VIGENTE</v>
      </c>
      <c r="AQ149" s="3"/>
      <c r="AR149" s="4">
        <v>45967</v>
      </c>
      <c r="AS149" s="4">
        <f t="shared" si="582"/>
        <v>46697</v>
      </c>
      <c r="AT149" s="8">
        <f t="shared" ca="1" si="470"/>
        <v>562</v>
      </c>
      <c r="AU149" s="5" t="str">
        <f t="shared" ca="1" si="471"/>
        <v>VIGENTE</v>
      </c>
      <c r="AV149" s="3"/>
      <c r="AW149" s="4">
        <v>45952</v>
      </c>
      <c r="AX149" s="4">
        <f t="shared" si="583"/>
        <v>46682</v>
      </c>
      <c r="AY149" s="8">
        <f t="shared" ca="1" si="472"/>
        <v>547</v>
      </c>
      <c r="AZ149" s="5" t="str">
        <f t="shared" ca="1" si="47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4"/>
        <v>666</v>
      </c>
      <c r="BE149" s="5" t="str">
        <f t="shared" ca="1" si="47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6"/>
        <v>563</v>
      </c>
      <c r="BJ149" s="5" t="str">
        <f t="shared" ca="1" si="47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78"/>
        <v>686</v>
      </c>
      <c r="BO149" s="5" t="str">
        <f t="shared" ca="1" si="479"/>
        <v>VIGENTE</v>
      </c>
      <c r="BP149" s="3"/>
      <c r="BQ149" s="4">
        <v>46069</v>
      </c>
      <c r="BR149" s="4">
        <f t="shared" si="584"/>
        <v>46799</v>
      </c>
      <c r="BS149" s="8">
        <f t="shared" ca="1" si="480"/>
        <v>664</v>
      </c>
      <c r="BT149" s="5" t="str">
        <f t="shared" ca="1" si="48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2"/>
        <v>545</v>
      </c>
      <c r="BY149" s="5" t="str">
        <f t="shared" ca="1" si="483"/>
        <v>VIGENTE</v>
      </c>
      <c r="BZ149" s="3"/>
      <c r="CA149" s="4">
        <v>45954</v>
      </c>
      <c r="CB149" s="4">
        <f t="shared" si="588"/>
        <v>46684</v>
      </c>
      <c r="CC149" s="8">
        <f t="shared" ca="1" si="484"/>
        <v>549</v>
      </c>
      <c r="CD149" s="5" t="str">
        <f t="shared" ca="1" si="485"/>
        <v>VIGENTE</v>
      </c>
      <c r="CE149" s="6" t="s">
        <v>73</v>
      </c>
      <c r="CF149" s="4">
        <v>45227</v>
      </c>
      <c r="CG149" s="4">
        <f t="shared" si="425"/>
        <v>46688</v>
      </c>
      <c r="CH149" s="8">
        <f t="shared" ca="1" si="426"/>
        <v>553</v>
      </c>
      <c r="CI149" s="5" t="str">
        <f t="shared" ca="1" si="587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6"/>
        <v>120</v>
      </c>
      <c r="CN149" s="5" t="str">
        <f t="shared" ca="1" si="48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88"/>
        <v>107</v>
      </c>
      <c r="CS149" s="5" t="str">
        <f t="shared" ca="1" si="48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0"/>
        <v>233</v>
      </c>
      <c r="CX149" s="5" t="str">
        <f t="shared" ca="1" si="49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2"/>
        <v>259</v>
      </c>
      <c r="DC149" s="5" t="str">
        <f t="shared" ca="1" si="49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4"/>
        <v>283</v>
      </c>
      <c r="DH149" s="5" t="str">
        <f t="shared" ca="1" si="49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6"/>
        <v>550</v>
      </c>
      <c r="DM149" s="5" t="str">
        <f t="shared" ca="1" si="49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98"/>
        <v>603</v>
      </c>
      <c r="DR149" s="5" t="str">
        <f t="shared" ca="1" si="49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0"/>
        <v>667</v>
      </c>
      <c r="DW149" s="5" t="str">
        <f t="shared" ca="1" si="50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2"/>
        <v>695</v>
      </c>
      <c r="EB149" s="5" t="str">
        <f t="shared" ca="1" si="50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4"/>
        <v>589</v>
      </c>
      <c r="EG149" s="5" t="str">
        <f t="shared" ca="1" si="505"/>
        <v>VIGENTE</v>
      </c>
      <c r="EH149" s="3"/>
      <c r="EI149" s="3">
        <v>46015</v>
      </c>
      <c r="EJ149" s="4">
        <f t="shared" si="572"/>
        <v>46380</v>
      </c>
      <c r="EK149" s="8">
        <f t="shared" ca="1" si="506"/>
        <v>245</v>
      </c>
      <c r="EL149" s="5" t="str">
        <f t="shared" ca="1" si="50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08"/>
        <v>696</v>
      </c>
      <c r="EQ149" s="5" t="str">
        <f t="shared" ca="1" si="50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0"/>
        <v>690</v>
      </c>
      <c r="EV149" s="5" t="str">
        <f t="shared" ca="1" si="511"/>
        <v>VIGENTE</v>
      </c>
      <c r="EW149" s="3"/>
      <c r="EX149" s="4">
        <v>45953</v>
      </c>
      <c r="EY149" s="4">
        <f t="shared" si="589"/>
        <v>46683</v>
      </c>
      <c r="EZ149" s="8">
        <f t="shared" ca="1" si="512"/>
        <v>548</v>
      </c>
      <c r="FA149" s="5" t="str">
        <f t="shared" ca="1" si="513"/>
        <v>VIGENTE</v>
      </c>
      <c r="FB149" s="3"/>
      <c r="FC149" s="4">
        <v>45951</v>
      </c>
      <c r="FD149" s="4">
        <f t="shared" si="590"/>
        <v>46681</v>
      </c>
      <c r="FE149" s="8">
        <f t="shared" ca="1" si="514"/>
        <v>546</v>
      </c>
      <c r="FF149" s="5" t="str">
        <f t="shared" ca="1" si="515"/>
        <v>VIGENTE</v>
      </c>
      <c r="FG149" s="3"/>
      <c r="FH149" s="4">
        <v>45992</v>
      </c>
      <c r="FI149" s="4">
        <f t="shared" si="591"/>
        <v>46722</v>
      </c>
      <c r="FJ149" s="8">
        <f t="shared" ca="1" si="516"/>
        <v>587</v>
      </c>
      <c r="FK149" s="5" t="str">
        <f t="shared" ca="1" si="51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18"/>
        <v>634</v>
      </c>
      <c r="FP149" s="5" t="str">
        <f t="shared" ca="1" si="51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0"/>
        <v>672</v>
      </c>
      <c r="FU149" s="5" t="str">
        <f t="shared" ca="1" si="52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2"/>
        <v>135</v>
      </c>
      <c r="FZ149" s="5" t="str">
        <f t="shared" ca="1" si="52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4"/>
        <v>625</v>
      </c>
      <c r="GE149" s="5" t="str">
        <f t="shared" ca="1" si="52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6"/>
        <v>444</v>
      </c>
      <c r="GJ149" s="5" t="str">
        <f t="shared" ca="1" si="527"/>
        <v>VIGENTE</v>
      </c>
      <c r="GK149" s="3"/>
      <c r="GL149" s="4">
        <v>45945</v>
      </c>
      <c r="GM149" s="4">
        <f t="shared" si="585"/>
        <v>46675</v>
      </c>
      <c r="GN149" s="8">
        <f t="shared" ca="1" si="528"/>
        <v>540</v>
      </c>
      <c r="GO149" s="5" t="str">
        <f t="shared" ca="1" si="529"/>
        <v>VIGENTE</v>
      </c>
      <c r="GP149" s="4"/>
      <c r="GQ149" s="4">
        <v>45421</v>
      </c>
      <c r="GR149" s="4">
        <f t="shared" si="530"/>
        <v>47247</v>
      </c>
      <c r="GS149" s="8">
        <f t="shared" ca="1" si="416"/>
        <v>1112</v>
      </c>
      <c r="GT149" s="5" t="str">
        <f t="shared" ca="1" si="428"/>
        <v>VIGENTE</v>
      </c>
      <c r="GU149" s="3"/>
      <c r="GV149" s="4">
        <v>45200</v>
      </c>
      <c r="GW149" s="4">
        <f t="shared" si="531"/>
        <v>47027</v>
      </c>
      <c r="GX149" s="8">
        <f t="shared" ca="1" si="532"/>
        <v>892</v>
      </c>
      <c r="GY149" s="5" t="str">
        <f t="shared" ca="1" si="435"/>
        <v>VIGENTE</v>
      </c>
      <c r="GZ149" s="3"/>
      <c r="HA149" s="4">
        <v>45294</v>
      </c>
      <c r="HB149" s="4">
        <f t="shared" si="533"/>
        <v>47121</v>
      </c>
      <c r="HC149" s="8">
        <f t="shared" ca="1" si="534"/>
        <v>986</v>
      </c>
      <c r="HD149" s="5" t="str">
        <f t="shared" ca="1" si="430"/>
        <v>VIGENTE</v>
      </c>
      <c r="HE149" s="6"/>
      <c r="HF149" s="4">
        <v>45196</v>
      </c>
      <c r="HG149" s="4">
        <f t="shared" si="594"/>
        <v>47023</v>
      </c>
      <c r="HH149" s="8">
        <f t="shared" ca="1" si="595"/>
        <v>888</v>
      </c>
      <c r="HI149" s="5" t="str">
        <f t="shared" ca="1" si="436"/>
        <v>VIGENTE</v>
      </c>
      <c r="HJ149" s="2"/>
      <c r="HK149" s="6"/>
      <c r="HL149" s="4"/>
      <c r="HM149" s="8"/>
      <c r="HN149" s="5" t="str">
        <f t="shared" si="453"/>
        <v>NO APLICA</v>
      </c>
      <c r="HO149" s="2"/>
      <c r="HP149" s="2"/>
      <c r="HQ149" s="4"/>
      <c r="HR149" s="2"/>
      <c r="HS149" s="5" t="str">
        <f t="shared" si="53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3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3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3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3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4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4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42"/>
        <v>VIGENTE</v>
      </c>
      <c r="JC149" s="3"/>
      <c r="JD149" s="3"/>
      <c r="JE149" s="4"/>
      <c r="JF149" s="8"/>
      <c r="JG149" s="5" t="str">
        <f t="shared" si="543"/>
        <v>NO APLICA</v>
      </c>
      <c r="JH149" s="6"/>
      <c r="JI149" s="6"/>
      <c r="JJ149" s="6"/>
      <c r="JK149" s="6"/>
      <c r="JL149" s="5" t="str">
        <f t="shared" si="544"/>
        <v>NO APLICA</v>
      </c>
      <c r="JM149" s="6"/>
      <c r="JN149" s="6"/>
      <c r="JO149" s="6"/>
      <c r="JP149" s="6"/>
      <c r="JQ149" s="5" t="str">
        <f t="shared" si="545"/>
        <v>NO APLICA</v>
      </c>
      <c r="JR149" s="6"/>
      <c r="JS149" s="6"/>
      <c r="JT149" s="6"/>
      <c r="JU149" s="6"/>
      <c r="JV149" s="5" t="str">
        <f t="shared" si="546"/>
        <v>NO APLICA</v>
      </c>
      <c r="JW149" s="5"/>
      <c r="JX149" s="3"/>
      <c r="JY149" s="4"/>
      <c r="JZ149" s="8"/>
      <c r="KA149" s="5" t="str">
        <f t="shared" si="547"/>
        <v>NO APLICA</v>
      </c>
      <c r="KB149" s="5"/>
      <c r="KC149" s="2"/>
      <c r="KD149" s="4"/>
      <c r="KE149" s="8"/>
      <c r="KF149" s="5" t="str">
        <f t="shared" si="548"/>
        <v>NO APLICA</v>
      </c>
      <c r="KG149" s="5"/>
      <c r="KH149" s="2"/>
      <c r="KI149" s="4"/>
      <c r="KJ149" s="8"/>
      <c r="KK149" s="5" t="str">
        <f t="shared" si="573"/>
        <v>NO APLICA</v>
      </c>
      <c r="KL149" s="5"/>
      <c r="KM149" s="2"/>
      <c r="KN149" s="4"/>
      <c r="KO149" s="8"/>
      <c r="KP149" s="5" t="str">
        <f t="shared" si="549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74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79"/>
        <v>VIGENTE</v>
      </c>
      <c r="LA149" s="5"/>
      <c r="LB149" s="6"/>
      <c r="LC149" s="4"/>
      <c r="LD149" s="8"/>
      <c r="LE149" s="5" t="str">
        <f t="shared" si="575"/>
        <v>NO APLICA</v>
      </c>
      <c r="LF149" s="6"/>
      <c r="LG149" s="4"/>
      <c r="LH149" s="4"/>
      <c r="LI149" s="8"/>
      <c r="LJ149" s="5" t="str">
        <f t="shared" si="581"/>
        <v>NO APLICA</v>
      </c>
      <c r="LK149" s="5"/>
      <c r="LL149" s="5"/>
      <c r="LM149" s="4"/>
      <c r="LN149" s="8"/>
      <c r="LO149" s="5" t="str">
        <f t="shared" si="580"/>
        <v>NO APLICA</v>
      </c>
      <c r="LP149" s="2"/>
      <c r="LQ149" s="6"/>
      <c r="LR149" s="4"/>
      <c r="LS149" s="8"/>
      <c r="LT149" s="5" t="str">
        <f t="shared" si="576"/>
        <v>NO APLICA</v>
      </c>
      <c r="LU149" s="6"/>
      <c r="LV149" s="6"/>
      <c r="LW149" s="4"/>
      <c r="LX149" s="8"/>
      <c r="LY149" s="5" t="str">
        <f t="shared" si="577"/>
        <v>NO APLICA</v>
      </c>
      <c r="LZ149" s="6"/>
      <c r="MA149" s="6"/>
      <c r="MB149" s="4"/>
      <c r="MC149" s="8"/>
      <c r="MD149" s="5" t="str">
        <f t="shared" si="578"/>
        <v>NO APLICA</v>
      </c>
      <c r="ME149" s="2"/>
      <c r="MF149" s="2"/>
      <c r="MG149" s="4"/>
      <c r="MH149" s="8"/>
      <c r="MI149" s="5" t="str">
        <f t="shared" si="551"/>
        <v>NO APLICA</v>
      </c>
      <c r="MJ149" s="2"/>
      <c r="MK149" s="2"/>
      <c r="ML149" s="4"/>
      <c r="MM149" s="8"/>
      <c r="MN149" s="5" t="str">
        <f t="shared" si="552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53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54"/>
        <v>VIGENTE</v>
      </c>
      <c r="MY149" s="2"/>
      <c r="MZ149" s="6"/>
      <c r="NA149" s="4"/>
      <c r="NB149" s="8"/>
      <c r="NC149" s="5" t="str">
        <f t="shared" si="555"/>
        <v>NO APLICA</v>
      </c>
      <c r="ND149" s="2"/>
      <c r="NE149" s="6"/>
      <c r="NF149" s="4"/>
      <c r="NG149" s="8"/>
      <c r="NH149" s="5" t="str">
        <f t="shared" si="556"/>
        <v>NO APLICA</v>
      </c>
      <c r="NI149" s="2"/>
      <c r="NJ149" s="6"/>
      <c r="NK149" s="4"/>
      <c r="NL149" s="8"/>
      <c r="NM149" s="5" t="str">
        <f t="shared" si="557"/>
        <v>NO APLICA</v>
      </c>
      <c r="NN149" s="2"/>
      <c r="NO149" s="2"/>
      <c r="NP149" s="4"/>
      <c r="NQ149" s="8"/>
      <c r="NR149" s="5" t="str">
        <f t="shared" si="558"/>
        <v>NO APLICA</v>
      </c>
      <c r="NS149" s="2"/>
      <c r="NT149" s="2"/>
      <c r="NU149" s="4"/>
      <c r="NV149" s="2"/>
      <c r="NW149" s="5" t="str">
        <f t="shared" si="559"/>
        <v>NO APLICA</v>
      </c>
      <c r="NX149" s="6"/>
      <c r="NY149" s="6"/>
      <c r="NZ149" s="4"/>
      <c r="OA149" s="8"/>
      <c r="OB149" s="5" t="str">
        <f t="shared" si="560"/>
        <v>NO APLICA</v>
      </c>
      <c r="OC149" s="6"/>
      <c r="OD149" s="6"/>
      <c r="OE149" s="6"/>
      <c r="OF149" s="6"/>
      <c r="OG149" s="5" t="str">
        <f t="shared" si="561"/>
        <v>NO APLICA</v>
      </c>
      <c r="OH149" s="6"/>
      <c r="OI149" s="6"/>
      <c r="OJ149" s="4"/>
      <c r="OK149" s="8"/>
      <c r="OL149" s="5" t="str">
        <f t="shared" si="562"/>
        <v>NO APLICA</v>
      </c>
      <c r="OM149" s="6"/>
      <c r="ON149" s="6"/>
      <c r="OO149" s="6"/>
      <c r="OP149" s="6"/>
      <c r="OQ149" s="5" t="str">
        <f t="shared" si="563"/>
        <v>NO APLICA</v>
      </c>
      <c r="OR149" s="6"/>
      <c r="OS149" s="6"/>
      <c r="OT149" s="6"/>
      <c r="OU149" s="6"/>
      <c r="OV149" s="5" t="str">
        <f t="shared" si="564"/>
        <v>NO APLICA</v>
      </c>
      <c r="OW149" s="6"/>
      <c r="OX149" s="6"/>
      <c r="OY149" s="6"/>
      <c r="OZ149" s="6"/>
      <c r="PA149" s="5" t="str">
        <f t="shared" si="565"/>
        <v>NO APLICA</v>
      </c>
      <c r="PB149" s="6"/>
      <c r="PC149" s="6"/>
      <c r="PD149" s="6"/>
      <c r="PE149" s="6"/>
      <c r="PF149" s="5" t="str">
        <f t="shared" si="566"/>
        <v>NO APLICA</v>
      </c>
      <c r="PG149" s="6"/>
      <c r="PH149" s="6"/>
      <c r="PI149" s="6"/>
      <c r="PJ149" s="6"/>
      <c r="PK149" s="5" t="str">
        <f t="shared" si="567"/>
        <v>NO APLICA</v>
      </c>
      <c r="PL149" s="5"/>
      <c r="PM149" s="6"/>
      <c r="PN149" s="4"/>
      <c r="PO149" s="8"/>
      <c r="PP149" s="5" t="str">
        <f t="shared" si="568"/>
        <v>NO APLICA</v>
      </c>
      <c r="PQ149" s="6"/>
      <c r="PR149" s="6"/>
      <c r="PS149" s="6"/>
      <c r="PT149" s="6"/>
      <c r="PU149" s="5" t="str">
        <f t="shared" si="569"/>
        <v>NO APLICA</v>
      </c>
      <c r="PV149" s="5"/>
      <c r="PW149" s="6"/>
      <c r="PX149" s="6"/>
      <c r="PY149" s="6"/>
      <c r="PZ149" s="5" t="str">
        <f t="shared" si="570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490</v>
      </c>
      <c r="D150" s="30" t="s">
        <v>64</v>
      </c>
      <c r="E150" s="31" t="s">
        <v>491</v>
      </c>
      <c r="F150" s="5"/>
      <c r="G150" s="6"/>
      <c r="H150" s="4"/>
      <c r="I150" s="8"/>
      <c r="J150" s="5" t="str">
        <f t="shared" si="464"/>
        <v>NO APLICA</v>
      </c>
      <c r="K150" s="5"/>
      <c r="L150" s="6"/>
      <c r="M150" s="6"/>
      <c r="N150" s="8"/>
      <c r="O150" s="5" t="str">
        <f t="shared" si="46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71"/>
        <v>VIGENTE</v>
      </c>
      <c r="U150" s="5"/>
      <c r="V150" s="2" t="s">
        <v>492</v>
      </c>
      <c r="W150" s="4">
        <v>44590</v>
      </c>
      <c r="X150" s="4">
        <f t="shared" si="419"/>
        <v>46416</v>
      </c>
      <c r="Y150" s="8">
        <f t="shared" ca="1" si="420"/>
        <v>281</v>
      </c>
      <c r="Z150" s="5" t="str">
        <f t="shared" ca="1" si="421"/>
        <v>VIGENTE</v>
      </c>
      <c r="AA150" s="5"/>
      <c r="AB150" s="2" t="s">
        <v>493</v>
      </c>
      <c r="AC150" s="4">
        <v>45192</v>
      </c>
      <c r="AD150" s="4">
        <f t="shared" si="592"/>
        <v>47019</v>
      </c>
      <c r="AE150" s="8">
        <f t="shared" ca="1" si="593"/>
        <v>884</v>
      </c>
      <c r="AF150" s="5" t="str">
        <f t="shared" ca="1" si="46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67"/>
        <v>531</v>
      </c>
      <c r="AK150" s="5" t="str">
        <f t="shared" ca="1" si="417"/>
        <v>VIGENTE</v>
      </c>
      <c r="AL150" s="2"/>
      <c r="AM150" s="4">
        <v>45937</v>
      </c>
      <c r="AN150" s="4">
        <f t="shared" si="586"/>
        <v>46667</v>
      </c>
      <c r="AO150" s="8">
        <f t="shared" ca="1" si="468"/>
        <v>532</v>
      </c>
      <c r="AP150" s="5" t="str">
        <f t="shared" ca="1" si="469"/>
        <v>VIGENTE</v>
      </c>
      <c r="AQ150" s="2"/>
      <c r="AR150" s="4">
        <v>45904</v>
      </c>
      <c r="AS150" s="4">
        <f t="shared" si="582"/>
        <v>46634</v>
      </c>
      <c r="AT150" s="8">
        <f t="shared" ca="1" si="470"/>
        <v>499</v>
      </c>
      <c r="AU150" s="5" t="str">
        <f t="shared" ca="1" si="471"/>
        <v>VIGENTE</v>
      </c>
      <c r="AV150" s="2"/>
      <c r="AW150" s="4">
        <v>45927</v>
      </c>
      <c r="AX150" s="4">
        <f t="shared" si="583"/>
        <v>46657</v>
      </c>
      <c r="AY150" s="8">
        <f t="shared" ca="1" si="472"/>
        <v>522</v>
      </c>
      <c r="AZ150" s="5" t="str">
        <f t="shared" ca="1" si="47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4"/>
        <v>636</v>
      </c>
      <c r="BE150" s="5" t="str">
        <f t="shared" ca="1" si="47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6"/>
        <v>592</v>
      </c>
      <c r="BJ150" s="5" t="str">
        <f t="shared" ca="1" si="47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78"/>
        <v>612</v>
      </c>
      <c r="BO150" s="5" t="str">
        <f t="shared" ca="1" si="479"/>
        <v>VIGENTE</v>
      </c>
      <c r="BP150" s="3"/>
      <c r="BQ150" s="4">
        <v>45988</v>
      </c>
      <c r="BR150" s="4">
        <f t="shared" si="584"/>
        <v>46718</v>
      </c>
      <c r="BS150" s="8">
        <f t="shared" ca="1" si="480"/>
        <v>583</v>
      </c>
      <c r="BT150" s="5" t="str">
        <f t="shared" ca="1" si="48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2"/>
        <v>626</v>
      </c>
      <c r="BY150" s="5" t="str">
        <f t="shared" ca="1" si="483"/>
        <v>VIGENTE</v>
      </c>
      <c r="BZ150" s="2"/>
      <c r="CA150" s="4">
        <v>45986</v>
      </c>
      <c r="CB150" s="4">
        <f t="shared" si="588"/>
        <v>46716</v>
      </c>
      <c r="CC150" s="8">
        <f t="shared" ca="1" si="484"/>
        <v>581</v>
      </c>
      <c r="CD150" s="5" t="str">
        <f t="shared" ca="1" si="485"/>
        <v>VIGENTE</v>
      </c>
      <c r="CE150" s="6" t="s">
        <v>68</v>
      </c>
      <c r="CF150" s="4">
        <v>45832</v>
      </c>
      <c r="CG150" s="4">
        <f t="shared" si="425"/>
        <v>47293</v>
      </c>
      <c r="CH150" s="8">
        <f t="shared" ca="1" si="426"/>
        <v>1158</v>
      </c>
      <c r="CI150" s="5" t="str">
        <f t="shared" ca="1" si="587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6"/>
        <v>613</v>
      </c>
      <c r="CN150" s="5" t="str">
        <f t="shared" ca="1" si="48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88"/>
        <v>574</v>
      </c>
      <c r="CS150" s="5" t="str">
        <f t="shared" ca="1" si="48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0"/>
        <v>500</v>
      </c>
      <c r="CX150" s="5" t="str">
        <f t="shared" ca="1" si="49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2"/>
        <v>595</v>
      </c>
      <c r="DC150" s="5" t="str">
        <f t="shared" ca="1" si="49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4"/>
        <v>591</v>
      </c>
      <c r="DH150" s="5" t="str">
        <f t="shared" ca="1" si="49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6"/>
        <v>570</v>
      </c>
      <c r="DM150" s="5" t="str">
        <f t="shared" ca="1" si="49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98"/>
        <v>602</v>
      </c>
      <c r="DR150" s="5" t="str">
        <f t="shared" ca="1" si="49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0"/>
        <v>604</v>
      </c>
      <c r="DW150" s="5" t="str">
        <f t="shared" ca="1" si="50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2"/>
        <v>627</v>
      </c>
      <c r="EB150" s="5" t="str">
        <f t="shared" ca="1" si="50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4"/>
        <v>589</v>
      </c>
      <c r="EG150" s="5" t="str">
        <f t="shared" ca="1" si="505"/>
        <v>VIGENTE</v>
      </c>
      <c r="EH150" s="3"/>
      <c r="EI150" s="3">
        <v>46015</v>
      </c>
      <c r="EJ150" s="4">
        <f t="shared" si="572"/>
        <v>46380</v>
      </c>
      <c r="EK150" s="8">
        <f t="shared" ca="1" si="506"/>
        <v>245</v>
      </c>
      <c r="EL150" s="5" t="str">
        <f t="shared" ca="1" si="50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08"/>
        <v>578</v>
      </c>
      <c r="EQ150" s="5" t="str">
        <f t="shared" ca="1" si="50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0"/>
        <v>594</v>
      </c>
      <c r="EV150" s="5" t="str">
        <f t="shared" ca="1" si="511"/>
        <v>VIGENTE</v>
      </c>
      <c r="EW150" s="3"/>
      <c r="EX150" s="4">
        <v>46037</v>
      </c>
      <c r="EY150" s="4">
        <f t="shared" si="589"/>
        <v>46767</v>
      </c>
      <c r="EZ150" s="8">
        <f t="shared" ca="1" si="512"/>
        <v>632</v>
      </c>
      <c r="FA150" s="5" t="str">
        <f t="shared" ca="1" si="513"/>
        <v>VIGENTE</v>
      </c>
      <c r="FB150" s="4"/>
      <c r="FC150" s="4">
        <v>46010</v>
      </c>
      <c r="FD150" s="4">
        <f t="shared" si="590"/>
        <v>46740</v>
      </c>
      <c r="FE150" s="8">
        <f t="shared" ca="1" si="514"/>
        <v>605</v>
      </c>
      <c r="FF150" s="5" t="str">
        <f t="shared" ca="1" si="515"/>
        <v>VIGENTE</v>
      </c>
      <c r="FG150" s="4"/>
      <c r="FH150" s="4">
        <v>45962</v>
      </c>
      <c r="FI150" s="4">
        <f t="shared" si="591"/>
        <v>46692</v>
      </c>
      <c r="FJ150" s="8">
        <f t="shared" ca="1" si="516"/>
        <v>557</v>
      </c>
      <c r="FK150" s="5" t="str">
        <f t="shared" ca="1" si="51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18"/>
        <v>634</v>
      </c>
      <c r="FP150" s="5" t="str">
        <f t="shared" ca="1" si="51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0"/>
        <v>629</v>
      </c>
      <c r="FU150" s="5" t="str">
        <f t="shared" ca="1" si="52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2"/>
        <v>599</v>
      </c>
      <c r="FZ150" s="5" t="str">
        <f t="shared" ca="1" si="52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4"/>
        <v>520</v>
      </c>
      <c r="GE150" s="5" t="str">
        <f t="shared" ca="1" si="52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6"/>
        <v>555</v>
      </c>
      <c r="GJ150" s="5" t="str">
        <f t="shared" ca="1" si="527"/>
        <v>VIGENTE</v>
      </c>
      <c r="GK150" s="3"/>
      <c r="GL150" s="4">
        <v>46071</v>
      </c>
      <c r="GM150" s="4">
        <f t="shared" si="585"/>
        <v>46801</v>
      </c>
      <c r="GN150" s="8">
        <f t="shared" ca="1" si="528"/>
        <v>666</v>
      </c>
      <c r="GO150" s="5" t="str">
        <f t="shared" ca="1" si="529"/>
        <v>VIGENTE</v>
      </c>
      <c r="GP150" s="4"/>
      <c r="GQ150" s="4">
        <v>45299</v>
      </c>
      <c r="GR150" s="4">
        <f t="shared" si="530"/>
        <v>47126</v>
      </c>
      <c r="GS150" s="8">
        <f t="shared" ca="1" si="416"/>
        <v>991</v>
      </c>
      <c r="GT150" s="5" t="str">
        <f t="shared" ca="1" si="428"/>
        <v>VIGENTE</v>
      </c>
      <c r="GU150" s="3"/>
      <c r="GV150" s="4">
        <v>45329</v>
      </c>
      <c r="GW150" s="4">
        <f t="shared" si="531"/>
        <v>47156</v>
      </c>
      <c r="GX150" s="8">
        <f t="shared" ca="1" si="532"/>
        <v>1021</v>
      </c>
      <c r="GY150" s="5" t="str">
        <f t="shared" ca="1" si="435"/>
        <v>VIGENTE</v>
      </c>
      <c r="GZ150" s="2"/>
      <c r="HA150" s="4">
        <v>45343</v>
      </c>
      <c r="HB150" s="4">
        <f t="shared" si="533"/>
        <v>47170</v>
      </c>
      <c r="HC150" s="8">
        <f t="shared" ca="1" si="534"/>
        <v>1035</v>
      </c>
      <c r="HD150" s="5" t="str">
        <f t="shared" ca="1" si="430"/>
        <v>VIGENTE</v>
      </c>
      <c r="HE150" s="6"/>
      <c r="HF150" s="4">
        <v>45317</v>
      </c>
      <c r="HG150" s="4">
        <f t="shared" si="594"/>
        <v>47144</v>
      </c>
      <c r="HH150" s="8">
        <f t="shared" ca="1" si="595"/>
        <v>1009</v>
      </c>
      <c r="HI150" s="5" t="str">
        <f t="shared" ca="1" si="436"/>
        <v>VIGENTE</v>
      </c>
      <c r="HJ150" s="2"/>
      <c r="HK150" s="6"/>
      <c r="HL150" s="4"/>
      <c r="HM150" s="8"/>
      <c r="HN150" s="5" t="str">
        <f t="shared" si="453"/>
        <v>NO APLICA</v>
      </c>
      <c r="HO150" s="2"/>
      <c r="HP150" s="2"/>
      <c r="HQ150" s="4"/>
      <c r="HR150" s="2"/>
      <c r="HS150" s="5" t="str">
        <f t="shared" si="535"/>
        <v>NO APLICA</v>
      </c>
      <c r="HT150" s="2"/>
      <c r="HU150" s="6"/>
      <c r="HV150" s="4"/>
      <c r="HW150" s="8"/>
      <c r="HX150" s="5" t="str">
        <f t="shared" si="536"/>
        <v>NO APLICA</v>
      </c>
      <c r="HY150" s="2"/>
      <c r="HZ150" s="6"/>
      <c r="IA150" s="4"/>
      <c r="IB150" s="8"/>
      <c r="IC150" s="5" t="str">
        <f t="shared" si="537"/>
        <v>NO APLICA</v>
      </c>
      <c r="ID150" s="2"/>
      <c r="IE150" s="6"/>
      <c r="IF150" s="4"/>
      <c r="IG150" s="8"/>
      <c r="IH150" s="5" t="str">
        <f t="shared" si="538"/>
        <v>NO APLICA</v>
      </c>
      <c r="II150" s="6"/>
      <c r="IJ150" s="6"/>
      <c r="IK150" s="4"/>
      <c r="IL150" s="8"/>
      <c r="IM150" s="5" t="str">
        <f t="shared" si="539"/>
        <v>NO APLICA</v>
      </c>
      <c r="IN150" s="2"/>
      <c r="IO150" s="6"/>
      <c r="IP150" s="4"/>
      <c r="IQ150" s="8"/>
      <c r="IR150" s="5" t="str">
        <f t="shared" si="540"/>
        <v>NO APLICA</v>
      </c>
      <c r="IS150" s="2"/>
      <c r="IT150" s="6"/>
      <c r="IU150" s="4"/>
      <c r="IV150" s="8"/>
      <c r="IW150" s="5" t="str">
        <f t="shared" si="541"/>
        <v>NO APLICA</v>
      </c>
      <c r="IX150" s="2"/>
      <c r="IY150" s="6"/>
      <c r="IZ150" s="4"/>
      <c r="JA150" s="8"/>
      <c r="JB150" s="5" t="str">
        <f t="shared" si="542"/>
        <v>NO APLICA</v>
      </c>
      <c r="JC150" s="3"/>
      <c r="JD150" s="3"/>
      <c r="JE150" s="4"/>
      <c r="JF150" s="8"/>
      <c r="JG150" s="5" t="str">
        <f t="shared" si="543"/>
        <v>NO APLICA</v>
      </c>
      <c r="JH150" s="6"/>
      <c r="JI150" s="6"/>
      <c r="JJ150" s="6"/>
      <c r="JK150" s="6"/>
      <c r="JL150" s="5" t="str">
        <f t="shared" si="544"/>
        <v>NO APLICA</v>
      </c>
      <c r="JM150" s="6"/>
      <c r="JN150" s="6"/>
      <c r="JO150" s="6"/>
      <c r="JP150" s="6"/>
      <c r="JQ150" s="5" t="str">
        <f t="shared" si="545"/>
        <v>NO APLICA</v>
      </c>
      <c r="JR150" s="6"/>
      <c r="JS150" s="6"/>
      <c r="JT150" s="6"/>
      <c r="JU150" s="6"/>
      <c r="JV150" s="5" t="str">
        <f t="shared" si="546"/>
        <v>NO APLICA</v>
      </c>
      <c r="JW150" s="5"/>
      <c r="JX150" s="5"/>
      <c r="JY150" s="5"/>
      <c r="JZ150" s="5"/>
      <c r="KA150" s="5" t="str">
        <f t="shared" si="547"/>
        <v>NO APLICA</v>
      </c>
      <c r="KB150" s="5"/>
      <c r="KC150" s="2"/>
      <c r="KD150" s="4"/>
      <c r="KE150" s="8"/>
      <c r="KF150" s="5" t="str">
        <f t="shared" si="548"/>
        <v>NO APLICA</v>
      </c>
      <c r="KG150" s="5"/>
      <c r="KH150" s="2"/>
      <c r="KI150" s="4"/>
      <c r="KJ150" s="8"/>
      <c r="KK150" s="5" t="str">
        <f t="shared" si="573"/>
        <v>NO APLICA</v>
      </c>
      <c r="KL150" s="5"/>
      <c r="KM150" s="2"/>
      <c r="KN150" s="4"/>
      <c r="KO150" s="8"/>
      <c r="KP150" s="5" t="str">
        <f t="shared" si="549"/>
        <v>NO APLICA</v>
      </c>
      <c r="KQ150" s="5"/>
      <c r="KR150" s="2"/>
      <c r="KS150" s="4"/>
      <c r="KT150" s="8"/>
      <c r="KU150" s="5" t="str">
        <f t="shared" si="574"/>
        <v>NO APLICA</v>
      </c>
      <c r="KV150" s="2"/>
      <c r="KW150" s="6"/>
      <c r="KX150" s="4"/>
      <c r="KY150" s="8"/>
      <c r="KZ150" s="5" t="str">
        <f t="shared" si="579"/>
        <v>NO APLICA</v>
      </c>
      <c r="LA150" s="5"/>
      <c r="LB150" s="6"/>
      <c r="LC150" s="4"/>
      <c r="LD150" s="8"/>
      <c r="LE150" s="5" t="str">
        <f t="shared" si="575"/>
        <v>NO APLICA</v>
      </c>
      <c r="LF150" s="6"/>
      <c r="LG150" s="6"/>
      <c r="LH150" s="4"/>
      <c r="LI150" s="8"/>
      <c r="LJ150" s="5" t="str">
        <f t="shared" si="581"/>
        <v>NO APLICA</v>
      </c>
      <c r="LK150" s="5"/>
      <c r="LL150" s="5"/>
      <c r="LM150" s="5"/>
      <c r="LN150" s="5"/>
      <c r="LO150" s="5" t="str">
        <f t="shared" si="580"/>
        <v>NO APLICA</v>
      </c>
      <c r="LP150" s="2"/>
      <c r="LQ150" s="6"/>
      <c r="LR150" s="4"/>
      <c r="LS150" s="8"/>
      <c r="LT150" s="5" t="str">
        <f t="shared" si="576"/>
        <v>NO APLICA</v>
      </c>
      <c r="LU150" s="6"/>
      <c r="LV150" s="6"/>
      <c r="LW150" s="4"/>
      <c r="LX150" s="8"/>
      <c r="LY150" s="5" t="str">
        <f t="shared" si="577"/>
        <v>NO APLICA</v>
      </c>
      <c r="LZ150" s="6"/>
      <c r="MA150" s="6"/>
      <c r="MB150" s="4"/>
      <c r="MC150" s="8"/>
      <c r="MD150" s="5" t="str">
        <f t="shared" si="578"/>
        <v>NO APLICA</v>
      </c>
      <c r="ME150" s="2"/>
      <c r="MF150" s="2"/>
      <c r="MG150" s="4"/>
      <c r="MH150" s="8"/>
      <c r="MI150" s="5" t="str">
        <f t="shared" si="551"/>
        <v>NO APLICA</v>
      </c>
      <c r="MJ150" s="2"/>
      <c r="MK150" s="2"/>
      <c r="ML150" s="4"/>
      <c r="MM150" s="8"/>
      <c r="MN150" s="5" t="str">
        <f t="shared" si="552"/>
        <v>NO APLICA</v>
      </c>
      <c r="MO150" s="5"/>
      <c r="MP150" s="2"/>
      <c r="MQ150" s="4"/>
      <c r="MR150" s="8"/>
      <c r="MS150" s="5" t="str">
        <f t="shared" si="553"/>
        <v>NO APLICA</v>
      </c>
      <c r="MT150" s="5"/>
      <c r="MU150" s="2"/>
      <c r="MV150" s="4"/>
      <c r="MW150" s="2"/>
      <c r="MX150" s="5" t="str">
        <f t="shared" si="554"/>
        <v>NO APLICA</v>
      </c>
      <c r="MY150" s="2"/>
      <c r="MZ150" s="6"/>
      <c r="NA150" s="4"/>
      <c r="NB150" s="8"/>
      <c r="NC150" s="5" t="str">
        <f t="shared" si="555"/>
        <v>NO APLICA</v>
      </c>
      <c r="ND150" s="2"/>
      <c r="NE150" s="6"/>
      <c r="NF150" s="4"/>
      <c r="NG150" s="8"/>
      <c r="NH150" s="5" t="str">
        <f t="shared" si="556"/>
        <v>NO APLICA</v>
      </c>
      <c r="NI150" s="2"/>
      <c r="NJ150" s="6"/>
      <c r="NK150" s="4"/>
      <c r="NL150" s="8"/>
      <c r="NM150" s="5" t="str">
        <f t="shared" si="557"/>
        <v>NO APLICA</v>
      </c>
      <c r="NN150" s="2"/>
      <c r="NO150" s="2"/>
      <c r="NP150" s="4"/>
      <c r="NQ150" s="2"/>
      <c r="NR150" s="5" t="str">
        <f t="shared" si="558"/>
        <v>NO APLICA</v>
      </c>
      <c r="NS150" s="2"/>
      <c r="NT150" s="2"/>
      <c r="NU150" s="4"/>
      <c r="NV150" s="2"/>
      <c r="NW150" s="5" t="str">
        <f t="shared" si="559"/>
        <v>NO APLICA</v>
      </c>
      <c r="NX150" s="6"/>
      <c r="NY150" s="6"/>
      <c r="NZ150" s="4"/>
      <c r="OA150" s="8"/>
      <c r="OB150" s="5" t="str">
        <f t="shared" si="560"/>
        <v>NO APLICA</v>
      </c>
      <c r="OC150" s="6"/>
      <c r="OD150" s="6"/>
      <c r="OE150" s="6"/>
      <c r="OF150" s="6"/>
      <c r="OG150" s="5" t="str">
        <f t="shared" si="561"/>
        <v>NO APLICA</v>
      </c>
      <c r="OH150" s="6"/>
      <c r="OI150" s="6"/>
      <c r="OJ150" s="4"/>
      <c r="OK150" s="8"/>
      <c r="OL150" s="5" t="str">
        <f t="shared" si="562"/>
        <v>NO APLICA</v>
      </c>
      <c r="OM150" s="6"/>
      <c r="ON150" s="6"/>
      <c r="OO150" s="6"/>
      <c r="OP150" s="6"/>
      <c r="OQ150" s="5" t="str">
        <f t="shared" si="563"/>
        <v>NO APLICA</v>
      </c>
      <c r="OR150" s="6"/>
      <c r="OS150" s="6"/>
      <c r="OT150" s="6"/>
      <c r="OU150" s="6"/>
      <c r="OV150" s="5" t="str">
        <f t="shared" si="564"/>
        <v>NO APLICA</v>
      </c>
      <c r="OW150" s="6"/>
      <c r="OX150" s="6"/>
      <c r="OY150" s="6"/>
      <c r="OZ150" s="6"/>
      <c r="PA150" s="5" t="str">
        <f t="shared" si="565"/>
        <v>NO APLICA</v>
      </c>
      <c r="PB150" s="6"/>
      <c r="PC150" s="6"/>
      <c r="PD150" s="6"/>
      <c r="PE150" s="6"/>
      <c r="PF150" s="5" t="str">
        <f t="shared" si="566"/>
        <v>NO APLICA</v>
      </c>
      <c r="PG150" s="6"/>
      <c r="PH150" s="6"/>
      <c r="PI150" s="6"/>
      <c r="PJ150" s="6"/>
      <c r="PK150" s="5" t="str">
        <f t="shared" si="567"/>
        <v>NO APLICA</v>
      </c>
      <c r="PL150" s="5"/>
      <c r="PM150" s="6"/>
      <c r="PN150" s="4"/>
      <c r="PO150" s="8"/>
      <c r="PP150" s="5" t="str">
        <f t="shared" si="568"/>
        <v>NO APLICA</v>
      </c>
      <c r="PQ150" s="6"/>
      <c r="PR150" s="6"/>
      <c r="PS150" s="6"/>
      <c r="PT150" s="6"/>
      <c r="PU150" s="5" t="str">
        <f t="shared" si="569"/>
        <v>NO APLICA</v>
      </c>
      <c r="PV150" s="5"/>
      <c r="PW150" s="6"/>
      <c r="PX150" s="6"/>
      <c r="PY150" s="6"/>
      <c r="PZ150" s="5" t="str">
        <f t="shared" si="570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494</v>
      </c>
      <c r="D151" s="30" t="s">
        <v>69</v>
      </c>
      <c r="E151" s="31" t="s">
        <v>79</v>
      </c>
      <c r="F151" s="5"/>
      <c r="G151" s="6"/>
      <c r="H151" s="4"/>
      <c r="I151" s="8"/>
      <c r="J151" s="5" t="str">
        <f t="shared" si="464"/>
        <v>NO APLICA</v>
      </c>
      <c r="K151" s="5"/>
      <c r="L151" s="6"/>
      <c r="M151" s="6"/>
      <c r="N151" s="8"/>
      <c r="O151" s="5" t="str">
        <f t="shared" si="465"/>
        <v>NO APLICA</v>
      </c>
      <c r="P151" s="6"/>
      <c r="Q151" s="6"/>
      <c r="R151" s="4"/>
      <c r="S151" s="8"/>
      <c r="T151" s="5" t="str">
        <f t="shared" si="571"/>
        <v>NO APLICA</v>
      </c>
      <c r="U151" s="5"/>
      <c r="V151" s="2" t="s">
        <v>495</v>
      </c>
      <c r="W151" s="4">
        <v>45849</v>
      </c>
      <c r="X151" s="4">
        <f t="shared" si="419"/>
        <v>47675</v>
      </c>
      <c r="Y151" s="8">
        <f t="shared" ca="1" si="420"/>
        <v>1540</v>
      </c>
      <c r="Z151" s="5" t="str">
        <f t="shared" ca="1" si="421"/>
        <v>VIGENTE</v>
      </c>
      <c r="AA151" s="5"/>
      <c r="AB151" s="2" t="s">
        <v>496</v>
      </c>
      <c r="AC151" s="4">
        <v>44603</v>
      </c>
      <c r="AD151" s="4">
        <f t="shared" si="592"/>
        <v>46429</v>
      </c>
      <c r="AE151" s="8">
        <f t="shared" ca="1" si="593"/>
        <v>294</v>
      </c>
      <c r="AF151" s="5" t="str">
        <f t="shared" ca="1" si="46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67"/>
        <v>188</v>
      </c>
      <c r="AK151" s="5" t="str">
        <f t="shared" ca="1" si="417"/>
        <v>VIGENTE</v>
      </c>
      <c r="AL151" s="3"/>
      <c r="AM151" s="4">
        <v>45937</v>
      </c>
      <c r="AN151" s="4">
        <f t="shared" si="586"/>
        <v>46667</v>
      </c>
      <c r="AO151" s="8">
        <f t="shared" ca="1" si="468"/>
        <v>532</v>
      </c>
      <c r="AP151" s="5" t="str">
        <f t="shared" ca="1" si="469"/>
        <v>VIGENTE</v>
      </c>
      <c r="AQ151" s="3"/>
      <c r="AR151" s="4">
        <v>45989</v>
      </c>
      <c r="AS151" s="4">
        <f t="shared" si="582"/>
        <v>46719</v>
      </c>
      <c r="AT151" s="8">
        <f t="shared" ca="1" si="470"/>
        <v>584</v>
      </c>
      <c r="AU151" s="5" t="str">
        <f t="shared" ca="1" si="471"/>
        <v>VIGENTE</v>
      </c>
      <c r="AV151" s="3"/>
      <c r="AW151" s="4">
        <v>46070</v>
      </c>
      <c r="AX151" s="4">
        <f t="shared" si="583"/>
        <v>46800</v>
      </c>
      <c r="AY151" s="8">
        <f t="shared" ca="1" si="472"/>
        <v>665</v>
      </c>
      <c r="AZ151" s="5" t="str">
        <f t="shared" ca="1" si="47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4"/>
        <v>197</v>
      </c>
      <c r="BE151" s="5" t="str">
        <f t="shared" ca="1" si="47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6"/>
        <v>237</v>
      </c>
      <c r="BJ151" s="5" t="str">
        <f t="shared" ca="1" si="47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78"/>
        <v>630</v>
      </c>
      <c r="BO151" s="5" t="str">
        <f t="shared" ca="1" si="47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0"/>
        <v>295</v>
      </c>
      <c r="BT151" s="5" t="str">
        <f t="shared" ca="1" si="48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2"/>
        <v>330</v>
      </c>
      <c r="BY151" s="5" t="str">
        <f t="shared" ca="1" si="483"/>
        <v>VIGENTE</v>
      </c>
      <c r="BZ151" s="3"/>
      <c r="CA151" s="4">
        <v>45944</v>
      </c>
      <c r="CB151" s="4">
        <f t="shared" si="588"/>
        <v>46674</v>
      </c>
      <c r="CC151" s="8">
        <f t="shared" ca="1" si="484"/>
        <v>539</v>
      </c>
      <c r="CD151" s="5" t="str">
        <f t="shared" ca="1" si="485"/>
        <v>VIGENTE</v>
      </c>
      <c r="CE151" s="6" t="s">
        <v>73</v>
      </c>
      <c r="CF151" s="4">
        <v>45262</v>
      </c>
      <c r="CG151" s="4">
        <f t="shared" si="425"/>
        <v>46723</v>
      </c>
      <c r="CH151" s="8">
        <f t="shared" ca="1" si="426"/>
        <v>588</v>
      </c>
      <c r="CI151" s="5" t="str">
        <f t="shared" ca="1" si="587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6"/>
        <v>282</v>
      </c>
      <c r="CN151" s="5" t="str">
        <f t="shared" ca="1" si="48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88"/>
        <v>320</v>
      </c>
      <c r="CS151" s="5" t="str">
        <f t="shared" ca="1" si="48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0"/>
        <v>233</v>
      </c>
      <c r="CX151" s="5" t="str">
        <f t="shared" ca="1" si="49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2"/>
        <v>259</v>
      </c>
      <c r="DC151" s="5" t="str">
        <f t="shared" ca="1" si="49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4"/>
        <v>283</v>
      </c>
      <c r="DH151" s="5" t="str">
        <f t="shared" ca="1" si="49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6"/>
        <v>668</v>
      </c>
      <c r="DM151" s="5" t="str">
        <f t="shared" ca="1" si="49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98"/>
        <v>577</v>
      </c>
      <c r="DR151" s="5" t="str">
        <f t="shared" ca="1" si="49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0"/>
        <v>279</v>
      </c>
      <c r="DW151" s="5" t="str">
        <f t="shared" ca="1" si="50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2"/>
        <v>257</v>
      </c>
      <c r="EB151" s="5" t="str">
        <f t="shared" ca="1" si="50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4"/>
        <v>177</v>
      </c>
      <c r="EG151" s="5" t="str">
        <f t="shared" ca="1" si="505"/>
        <v>VIGENTE</v>
      </c>
      <c r="EH151" s="3"/>
      <c r="EI151" s="3">
        <v>46085</v>
      </c>
      <c r="EJ151" s="4">
        <f t="shared" si="572"/>
        <v>46450</v>
      </c>
      <c r="EK151" s="8">
        <f t="shared" ca="1" si="506"/>
        <v>315</v>
      </c>
      <c r="EL151" s="5" t="str">
        <f t="shared" ca="1" si="50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08"/>
        <v>265</v>
      </c>
      <c r="EQ151" s="5" t="str">
        <f t="shared" ca="1" si="50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0"/>
        <v>271</v>
      </c>
      <c r="EV151" s="5" t="str">
        <f t="shared" ca="1" si="511"/>
        <v>VIGENTE</v>
      </c>
      <c r="EW151" s="3"/>
      <c r="EX151" s="4">
        <v>45953</v>
      </c>
      <c r="EY151" s="4">
        <f t="shared" si="589"/>
        <v>46683</v>
      </c>
      <c r="EZ151" s="8">
        <f t="shared" ca="1" si="512"/>
        <v>548</v>
      </c>
      <c r="FA151" s="5" t="str">
        <f t="shared" ca="1" si="513"/>
        <v>VIGENTE</v>
      </c>
      <c r="FB151" s="3"/>
      <c r="FC151" s="4">
        <v>45931</v>
      </c>
      <c r="FD151" s="4">
        <f t="shared" si="590"/>
        <v>46661</v>
      </c>
      <c r="FE151" s="8">
        <f t="shared" ca="1" si="514"/>
        <v>526</v>
      </c>
      <c r="FF151" s="5" t="str">
        <f t="shared" ca="1" si="515"/>
        <v>VIGENTE</v>
      </c>
      <c r="FG151" s="3"/>
      <c r="FH151" s="4">
        <v>45992</v>
      </c>
      <c r="FI151" s="4">
        <f t="shared" si="591"/>
        <v>46722</v>
      </c>
      <c r="FJ151" s="8">
        <f t="shared" ca="1" si="516"/>
        <v>587</v>
      </c>
      <c r="FK151" s="5" t="str">
        <f t="shared" ca="1" si="51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18"/>
        <v>332</v>
      </c>
      <c r="FP151" s="5" t="str">
        <f t="shared" ca="1" si="51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0"/>
        <v>272</v>
      </c>
      <c r="FU151" s="5" t="str">
        <f t="shared" ca="1" si="52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2"/>
        <v>609</v>
      </c>
      <c r="FZ151" s="5" t="str">
        <f t="shared" ca="1" si="52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4"/>
        <v>261</v>
      </c>
      <c r="GE151" s="5" t="str">
        <f t="shared" ca="1" si="52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6"/>
        <v>266</v>
      </c>
      <c r="GJ151" s="5" t="str">
        <f t="shared" ca="1" si="52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28"/>
        <v>227</v>
      </c>
      <c r="GO151" s="5" t="str">
        <f t="shared" ca="1" si="529"/>
        <v>VIGENTE</v>
      </c>
      <c r="GP151" s="4"/>
      <c r="GQ151" s="4">
        <v>45299</v>
      </c>
      <c r="GR151" s="4">
        <f t="shared" si="530"/>
        <v>47126</v>
      </c>
      <c r="GS151" s="8">
        <f t="shared" ca="1" si="416"/>
        <v>991</v>
      </c>
      <c r="GT151" s="5" t="str">
        <f t="shared" ca="1" si="428"/>
        <v>VIGENTE</v>
      </c>
      <c r="GU151" s="3"/>
      <c r="GV151" s="4">
        <v>45195</v>
      </c>
      <c r="GW151" s="4">
        <f t="shared" si="531"/>
        <v>47022</v>
      </c>
      <c r="GX151" s="8">
        <f t="shared" ca="1" si="532"/>
        <v>887</v>
      </c>
      <c r="GY151" s="5" t="str">
        <f t="shared" ca="1" si="435"/>
        <v>VIGENTE</v>
      </c>
      <c r="GZ151" s="3"/>
      <c r="HA151" s="4">
        <v>45258</v>
      </c>
      <c r="HB151" s="4">
        <f t="shared" si="533"/>
        <v>47085</v>
      </c>
      <c r="HC151" s="8">
        <f t="shared" ca="1" si="534"/>
        <v>950</v>
      </c>
      <c r="HD151" s="5" t="str">
        <f t="shared" ca="1" si="430"/>
        <v>VIGENTE</v>
      </c>
      <c r="HE151" s="6"/>
      <c r="HF151" s="4">
        <v>44879</v>
      </c>
      <c r="HG151" s="4">
        <f t="shared" si="594"/>
        <v>46705</v>
      </c>
      <c r="HH151" s="8">
        <f t="shared" ca="1" si="595"/>
        <v>570</v>
      </c>
      <c r="HI151" s="5" t="str">
        <f t="shared" ca="1" si="436"/>
        <v>VIGENTE</v>
      </c>
      <c r="HJ151" s="2"/>
      <c r="HK151" s="6"/>
      <c r="HL151" s="4"/>
      <c r="HM151" s="8"/>
      <c r="HN151" s="5" t="str">
        <f t="shared" si="453"/>
        <v>NO APLICA</v>
      </c>
      <c r="HO151" s="2"/>
      <c r="HP151" s="2"/>
      <c r="HQ151" s="4"/>
      <c r="HR151" s="2"/>
      <c r="HS151" s="5" t="str">
        <f t="shared" si="53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3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3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3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3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4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4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42"/>
        <v>VIGENTE</v>
      </c>
      <c r="JC151" s="3"/>
      <c r="JD151" s="3"/>
      <c r="JE151" s="4"/>
      <c r="JF151" s="8"/>
      <c r="JG151" s="5" t="str">
        <f t="shared" si="543"/>
        <v>NO APLICA</v>
      </c>
      <c r="JH151" s="6"/>
      <c r="JI151" s="6"/>
      <c r="JJ151" s="6"/>
      <c r="JK151" s="6"/>
      <c r="JL151" s="5" t="str">
        <f t="shared" si="544"/>
        <v>NO APLICA</v>
      </c>
      <c r="JM151" s="6"/>
      <c r="JN151" s="6"/>
      <c r="JO151" s="6"/>
      <c r="JP151" s="6"/>
      <c r="JQ151" s="5" t="str">
        <f t="shared" si="545"/>
        <v>NO APLICA</v>
      </c>
      <c r="JR151" s="6"/>
      <c r="JS151" s="6"/>
      <c r="JT151" s="6"/>
      <c r="JU151" s="6"/>
      <c r="JV151" s="5" t="str">
        <f t="shared" si="546"/>
        <v>NO APLICA</v>
      </c>
      <c r="JW151" s="5"/>
      <c r="JX151" s="5"/>
      <c r="JY151" s="5"/>
      <c r="JZ151" s="5"/>
      <c r="KA151" s="5" t="str">
        <f t="shared" si="547"/>
        <v>NO APLICA</v>
      </c>
      <c r="KB151" s="5"/>
      <c r="KC151" s="2"/>
      <c r="KD151" s="4"/>
      <c r="KE151" s="8"/>
      <c r="KF151" s="5" t="str">
        <f t="shared" si="548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73"/>
        <v>VIGENTE</v>
      </c>
      <c r="KL151" s="5"/>
      <c r="KM151" s="2"/>
      <c r="KN151" s="4"/>
      <c r="KO151" s="8"/>
      <c r="KP151" s="5" t="str">
        <f t="shared" si="549"/>
        <v>NO APLICA</v>
      </c>
      <c r="KQ151" s="5"/>
      <c r="KR151" s="2"/>
      <c r="KS151" s="4"/>
      <c r="KT151" s="8"/>
      <c r="KU151" s="5" t="str">
        <f t="shared" si="574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79"/>
        <v>VIGENTE</v>
      </c>
      <c r="LA151" s="5"/>
      <c r="LB151" s="6"/>
      <c r="LC151" s="4"/>
      <c r="LD151" s="8"/>
      <c r="LE151" s="5" t="str">
        <f t="shared" si="575"/>
        <v>NO APLICA</v>
      </c>
      <c r="LF151" s="6"/>
      <c r="LG151" s="4"/>
      <c r="LH151" s="4"/>
      <c r="LI151" s="8"/>
      <c r="LJ151" s="5" t="str">
        <f t="shared" si="581"/>
        <v>NO APLICA</v>
      </c>
      <c r="LK151" s="5"/>
      <c r="LL151" s="5"/>
      <c r="LM151" s="5"/>
      <c r="LN151" s="5"/>
      <c r="LO151" s="5" t="str">
        <f t="shared" si="580"/>
        <v>NO APLICA</v>
      </c>
      <c r="LP151" s="2"/>
      <c r="LQ151" s="6"/>
      <c r="LR151" s="4"/>
      <c r="LS151" s="8"/>
      <c r="LT151" s="5" t="str">
        <f t="shared" si="576"/>
        <v>NO APLICA</v>
      </c>
      <c r="LU151" s="6"/>
      <c r="LV151" s="6"/>
      <c r="LW151" s="4"/>
      <c r="LX151" s="8"/>
      <c r="LY151" s="5" t="str">
        <f t="shared" si="577"/>
        <v>NO APLICA</v>
      </c>
      <c r="LZ151" s="6"/>
      <c r="MA151" s="6"/>
      <c r="MB151" s="4"/>
      <c r="MC151" s="8"/>
      <c r="MD151" s="5" t="str">
        <f t="shared" si="578"/>
        <v>NO APLICA</v>
      </c>
      <c r="ME151" s="2"/>
      <c r="MF151" s="2"/>
      <c r="MG151" s="4"/>
      <c r="MH151" s="8"/>
      <c r="MI151" s="5" t="str">
        <f t="shared" si="551"/>
        <v>NO APLICA</v>
      </c>
      <c r="MJ151" s="2"/>
      <c r="MK151" s="2"/>
      <c r="ML151" s="4"/>
      <c r="MM151" s="8"/>
      <c r="MN151" s="5" t="str">
        <f t="shared" si="552"/>
        <v>NO APLICA</v>
      </c>
      <c r="MO151" s="5"/>
      <c r="MP151" s="2"/>
      <c r="MQ151" s="4"/>
      <c r="MR151" s="8"/>
      <c r="MS151" s="5" t="str">
        <f t="shared" si="553"/>
        <v>NO APLICA</v>
      </c>
      <c r="MT151" s="5"/>
      <c r="MU151" s="2"/>
      <c r="MV151" s="4"/>
      <c r="MW151" s="2"/>
      <c r="MX151" s="5" t="str">
        <f t="shared" si="554"/>
        <v>NO APLICA</v>
      </c>
      <c r="MY151" s="2"/>
      <c r="MZ151" s="6"/>
      <c r="NA151" s="4"/>
      <c r="NB151" s="8"/>
      <c r="NC151" s="5" t="str">
        <f t="shared" si="555"/>
        <v>NO APLICA</v>
      </c>
      <c r="ND151" s="2"/>
      <c r="NE151" s="6"/>
      <c r="NF151" s="4"/>
      <c r="NG151" s="8"/>
      <c r="NH151" s="5" t="str">
        <f t="shared" si="556"/>
        <v>NO APLICA</v>
      </c>
      <c r="NI151" s="2"/>
      <c r="NJ151" s="6"/>
      <c r="NK151" s="4"/>
      <c r="NL151" s="8"/>
      <c r="NM151" s="5" t="str">
        <f t="shared" si="557"/>
        <v>NO APLICA</v>
      </c>
      <c r="NN151" s="2"/>
      <c r="NO151" s="2"/>
      <c r="NP151" s="4"/>
      <c r="NQ151" s="2"/>
      <c r="NR151" s="5" t="str">
        <f t="shared" si="558"/>
        <v>NO APLICA</v>
      </c>
      <c r="NS151" s="2"/>
      <c r="NT151" s="2"/>
      <c r="NU151" s="2"/>
      <c r="NV151" s="2"/>
      <c r="NW151" s="5" t="str">
        <f t="shared" si="559"/>
        <v>NO APLICA</v>
      </c>
      <c r="NX151" s="6"/>
      <c r="NY151" s="6"/>
      <c r="NZ151" s="4"/>
      <c r="OA151" s="8"/>
      <c r="OB151" s="5" t="str">
        <f t="shared" si="560"/>
        <v>NO APLICA</v>
      </c>
      <c r="OC151" s="6"/>
      <c r="OD151" s="6"/>
      <c r="OE151" s="6"/>
      <c r="OF151" s="6"/>
      <c r="OG151" s="5" t="str">
        <f t="shared" si="561"/>
        <v>NO APLICA</v>
      </c>
      <c r="OH151" s="6"/>
      <c r="OI151" s="6"/>
      <c r="OJ151" s="4"/>
      <c r="OK151" s="8"/>
      <c r="OL151" s="5" t="str">
        <f t="shared" si="562"/>
        <v>NO APLICA</v>
      </c>
      <c r="OM151" s="6"/>
      <c r="ON151" s="6"/>
      <c r="OO151" s="6"/>
      <c r="OP151" s="6"/>
      <c r="OQ151" s="5" t="str">
        <f t="shared" si="563"/>
        <v>NO APLICA</v>
      </c>
      <c r="OR151" s="6"/>
      <c r="OS151" s="6"/>
      <c r="OT151" s="6"/>
      <c r="OU151" s="6"/>
      <c r="OV151" s="5" t="str">
        <f t="shared" si="564"/>
        <v>NO APLICA</v>
      </c>
      <c r="OW151" s="6"/>
      <c r="OX151" s="6"/>
      <c r="OY151" s="6"/>
      <c r="OZ151" s="6"/>
      <c r="PA151" s="5" t="str">
        <f t="shared" si="565"/>
        <v>NO APLICA</v>
      </c>
      <c r="PB151" s="6"/>
      <c r="PC151" s="6"/>
      <c r="PD151" s="6"/>
      <c r="PE151" s="6"/>
      <c r="PF151" s="5" t="str">
        <f t="shared" si="566"/>
        <v>NO APLICA</v>
      </c>
      <c r="PG151" s="6"/>
      <c r="PH151" s="6"/>
      <c r="PI151" s="6"/>
      <c r="PJ151" s="6"/>
      <c r="PK151" s="5" t="str">
        <f t="shared" si="567"/>
        <v>NO APLICA</v>
      </c>
      <c r="PL151" s="5"/>
      <c r="PM151" s="6"/>
      <c r="PN151" s="4"/>
      <c r="PO151" s="8"/>
      <c r="PP151" s="5" t="str">
        <f t="shared" si="568"/>
        <v>NO APLICA</v>
      </c>
      <c r="PQ151" s="6"/>
      <c r="PR151" s="6"/>
      <c r="PS151" s="6"/>
      <c r="PT151" s="6"/>
      <c r="PU151" s="5" t="str">
        <f t="shared" si="569"/>
        <v>NO APLICA</v>
      </c>
      <c r="PV151" s="5"/>
      <c r="PW151" s="6"/>
      <c r="PX151" s="6"/>
      <c r="PY151" s="6"/>
      <c r="PZ151" s="5" t="str">
        <f t="shared" si="570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497</v>
      </c>
      <c r="D152" s="30" t="s">
        <v>69</v>
      </c>
      <c r="E152" s="31" t="s">
        <v>95</v>
      </c>
      <c r="F152" s="5"/>
      <c r="G152" s="6"/>
      <c r="H152" s="4"/>
      <c r="I152" s="8"/>
      <c r="J152" s="5" t="str">
        <f t="shared" si="464"/>
        <v>NO APLICA</v>
      </c>
      <c r="K152" s="5"/>
      <c r="L152" s="6"/>
      <c r="M152" s="6"/>
      <c r="N152" s="8"/>
      <c r="O152" s="5" t="str">
        <f t="shared" si="46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71"/>
        <v>VIGENTE</v>
      </c>
      <c r="U152" s="5"/>
      <c r="V152" s="2" t="s">
        <v>498</v>
      </c>
      <c r="W152" s="4">
        <v>45309</v>
      </c>
      <c r="X152" s="4">
        <f t="shared" si="419"/>
        <v>47136</v>
      </c>
      <c r="Y152" s="8">
        <f t="shared" ca="1" si="420"/>
        <v>1001</v>
      </c>
      <c r="Z152" s="5" t="str">
        <f t="shared" ca="1" si="421"/>
        <v>VIGENTE</v>
      </c>
      <c r="AA152" s="5"/>
      <c r="AB152" s="2" t="s">
        <v>499</v>
      </c>
      <c r="AC152" s="4">
        <v>44579</v>
      </c>
      <c r="AD152" s="4">
        <f t="shared" si="592"/>
        <v>46405</v>
      </c>
      <c r="AE152" s="8">
        <f t="shared" ca="1" si="593"/>
        <v>270</v>
      </c>
      <c r="AF152" s="5" t="str">
        <f t="shared" ca="1" si="46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67"/>
        <v>183</v>
      </c>
      <c r="AK152" s="5" t="str">
        <f t="shared" ca="1" si="417"/>
        <v>VIGENTE</v>
      </c>
      <c r="AL152" s="3"/>
      <c r="AM152" s="4">
        <v>45937</v>
      </c>
      <c r="AN152" s="4">
        <f t="shared" si="586"/>
        <v>46667</v>
      </c>
      <c r="AO152" s="8">
        <f t="shared" ca="1" si="468"/>
        <v>532</v>
      </c>
      <c r="AP152" s="5" t="str">
        <f t="shared" ca="1" si="469"/>
        <v>VIGENTE</v>
      </c>
      <c r="AQ152" s="3"/>
      <c r="AR152" s="4">
        <v>45904</v>
      </c>
      <c r="AS152" s="4">
        <f t="shared" si="582"/>
        <v>46634</v>
      </c>
      <c r="AT152" s="8">
        <f t="shared" ca="1" si="470"/>
        <v>499</v>
      </c>
      <c r="AU152" s="5" t="str">
        <f t="shared" ca="1" si="471"/>
        <v>VIGENTE</v>
      </c>
      <c r="AV152" s="3"/>
      <c r="AW152" s="4">
        <v>45972</v>
      </c>
      <c r="AX152" s="4">
        <f t="shared" si="583"/>
        <v>46702</v>
      </c>
      <c r="AY152" s="8">
        <f t="shared" ca="1" si="472"/>
        <v>567</v>
      </c>
      <c r="AZ152" s="5" t="str">
        <f t="shared" ca="1" si="47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4"/>
        <v>636</v>
      </c>
      <c r="BE152" s="5" t="str">
        <f t="shared" ca="1" si="475"/>
        <v>VIGENTE</v>
      </c>
      <c r="BF152" s="3"/>
      <c r="BG152" s="4">
        <v>46027</v>
      </c>
      <c r="BH152" s="4">
        <f t="shared" ref="BH152:BH157" si="596">DATE(YEAR(BG152)+2,MONTH(BG152),DAY(BG152))</f>
        <v>46757</v>
      </c>
      <c r="BI152" s="8">
        <f t="shared" ca="1" si="476"/>
        <v>622</v>
      </c>
      <c r="BJ152" s="5" t="str">
        <f t="shared" ca="1" si="47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78"/>
        <v>646</v>
      </c>
      <c r="BO152" s="5" t="str">
        <f t="shared" ca="1" si="47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0"/>
        <v>664</v>
      </c>
      <c r="BT152" s="5" t="str">
        <f t="shared" ca="1" si="48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2"/>
        <v>658</v>
      </c>
      <c r="BY152" s="5" t="str">
        <f t="shared" ca="1" si="483"/>
        <v>VIGENTE</v>
      </c>
      <c r="BZ152" s="3"/>
      <c r="CA152" s="4">
        <v>45944</v>
      </c>
      <c r="CB152" s="4">
        <f t="shared" si="588"/>
        <v>46674</v>
      </c>
      <c r="CC152" s="8">
        <f t="shared" ca="1" si="484"/>
        <v>539</v>
      </c>
      <c r="CD152" s="5" t="str">
        <f t="shared" ca="1" si="485"/>
        <v>VIGENTE</v>
      </c>
      <c r="CE152" s="6" t="s">
        <v>73</v>
      </c>
      <c r="CF152" s="4">
        <v>45247</v>
      </c>
      <c r="CG152" s="4">
        <f t="shared" si="425"/>
        <v>46708</v>
      </c>
      <c r="CH152" s="8">
        <f t="shared" ca="1" si="426"/>
        <v>573</v>
      </c>
      <c r="CI152" s="5" t="str">
        <f t="shared" ca="1" si="587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6"/>
        <v>490</v>
      </c>
      <c r="CN152" s="5" t="str">
        <f t="shared" ca="1" si="48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88"/>
        <v>111</v>
      </c>
      <c r="CS152" s="5" t="str">
        <f t="shared" ca="1" si="48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0"/>
        <v>225</v>
      </c>
      <c r="CX152" s="5" t="str">
        <f t="shared" ca="1" si="49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2"/>
        <v>338</v>
      </c>
      <c r="DC152" s="5" t="str">
        <f t="shared" ca="1" si="49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4"/>
        <v>283</v>
      </c>
      <c r="DH152" s="5" t="str">
        <f t="shared" ca="1" si="49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6"/>
        <v>290</v>
      </c>
      <c r="DM152" s="5" t="str">
        <f t="shared" ca="1" si="49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98"/>
        <v>577</v>
      </c>
      <c r="DR152" s="5" t="str">
        <f t="shared" ca="1" si="49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0"/>
        <v>667</v>
      </c>
      <c r="DW152" s="5" t="str">
        <f t="shared" ca="1" si="50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2"/>
        <v>276</v>
      </c>
      <c r="EB152" s="5" t="str">
        <f t="shared" ca="1" si="50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4"/>
        <v>268</v>
      </c>
      <c r="EG152" s="5" t="str">
        <f t="shared" ca="1" si="505"/>
        <v>VIGENTE</v>
      </c>
      <c r="EH152" s="3"/>
      <c r="EI152" s="4">
        <v>45812</v>
      </c>
      <c r="EJ152" s="4">
        <f t="shared" si="572"/>
        <v>46177</v>
      </c>
      <c r="EK152" s="8">
        <f t="shared" ca="1" si="506"/>
        <v>42</v>
      </c>
      <c r="EL152" s="5" t="str">
        <f t="shared" ca="1" si="50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08"/>
        <v>265</v>
      </c>
      <c r="EQ152" s="5" t="str">
        <f t="shared" ca="1" si="50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0"/>
        <v>637</v>
      </c>
      <c r="EV152" s="5" t="str">
        <f t="shared" ca="1" si="511"/>
        <v>VIGENTE</v>
      </c>
      <c r="EW152" s="3"/>
      <c r="EX152" s="4">
        <v>45953</v>
      </c>
      <c r="EY152" s="4">
        <f t="shared" si="589"/>
        <v>46683</v>
      </c>
      <c r="EZ152" s="8">
        <f t="shared" ca="1" si="512"/>
        <v>548</v>
      </c>
      <c r="FA152" s="5" t="str">
        <f t="shared" ca="1" si="513"/>
        <v>VIGENTE</v>
      </c>
      <c r="FB152" s="3"/>
      <c r="FC152" s="4">
        <v>45922</v>
      </c>
      <c r="FD152" s="4">
        <f t="shared" si="590"/>
        <v>46652</v>
      </c>
      <c r="FE152" s="8">
        <f t="shared" ca="1" si="514"/>
        <v>517</v>
      </c>
      <c r="FF152" s="5" t="str">
        <f t="shared" ca="1" si="515"/>
        <v>VIGENTE</v>
      </c>
      <c r="FG152" s="3"/>
      <c r="FH152" s="4">
        <v>45919</v>
      </c>
      <c r="FI152" s="4">
        <f t="shared" si="591"/>
        <v>46649</v>
      </c>
      <c r="FJ152" s="8">
        <f t="shared" ca="1" si="516"/>
        <v>514</v>
      </c>
      <c r="FK152" s="5" t="str">
        <f t="shared" ca="1" si="51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18"/>
        <v>264</v>
      </c>
      <c r="FP152" s="5" t="str">
        <f t="shared" ca="1" si="51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0"/>
        <v>272</v>
      </c>
      <c r="FU152" s="5" t="str">
        <f t="shared" ca="1" si="52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2"/>
        <v>168</v>
      </c>
      <c r="FZ152" s="5" t="str">
        <f t="shared" ca="1" si="52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4"/>
        <v>625</v>
      </c>
      <c r="GE152" s="5" t="str">
        <f t="shared" ca="1" si="52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6"/>
        <v>266</v>
      </c>
      <c r="GJ152" s="5" t="str">
        <f t="shared" ca="1" si="52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28"/>
        <v>443</v>
      </c>
      <c r="GO152" s="5" t="str">
        <f t="shared" ca="1" si="529"/>
        <v>VIGENTE</v>
      </c>
      <c r="GP152" s="4"/>
      <c r="GQ152" s="4">
        <v>45219</v>
      </c>
      <c r="GR152" s="4">
        <f t="shared" si="530"/>
        <v>47046</v>
      </c>
      <c r="GS152" s="8">
        <f t="shared" ca="1" si="416"/>
        <v>911</v>
      </c>
      <c r="GT152" s="5" t="str">
        <f t="shared" ca="1" si="428"/>
        <v>VIGENTE</v>
      </c>
      <c r="GU152" s="3"/>
      <c r="GV152" s="4">
        <v>45200</v>
      </c>
      <c r="GW152" s="4">
        <f t="shared" si="531"/>
        <v>47027</v>
      </c>
      <c r="GX152" s="8">
        <f t="shared" ca="1" si="532"/>
        <v>892</v>
      </c>
      <c r="GY152" s="5" t="str">
        <f t="shared" ca="1" si="435"/>
        <v>VIGENTE</v>
      </c>
      <c r="GZ152" s="3"/>
      <c r="HA152" s="4">
        <v>45251</v>
      </c>
      <c r="HB152" s="4">
        <f t="shared" si="533"/>
        <v>47078</v>
      </c>
      <c r="HC152" s="8">
        <f t="shared" ca="1" si="534"/>
        <v>943</v>
      </c>
      <c r="HD152" s="5" t="str">
        <f t="shared" ca="1" si="430"/>
        <v>VIGENTE</v>
      </c>
      <c r="HE152" s="6"/>
      <c r="HF152" s="4">
        <v>45020</v>
      </c>
      <c r="HG152" s="4">
        <f t="shared" si="594"/>
        <v>46847</v>
      </c>
      <c r="HH152" s="8">
        <f t="shared" ca="1" si="595"/>
        <v>712</v>
      </c>
      <c r="HI152" s="5" t="str">
        <f t="shared" ca="1" si="43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5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3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3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3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3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3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4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4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42"/>
        <v>VIGENTE</v>
      </c>
      <c r="JC152" s="3"/>
      <c r="JD152" s="3"/>
      <c r="JE152" s="4"/>
      <c r="JF152" s="8"/>
      <c r="JG152" s="5" t="str">
        <f t="shared" si="543"/>
        <v>NO APLICA</v>
      </c>
      <c r="JH152" s="6"/>
      <c r="JI152" s="6"/>
      <c r="JJ152" s="6"/>
      <c r="JK152" s="6"/>
      <c r="JL152" s="5" t="str">
        <f t="shared" si="544"/>
        <v>NO APLICA</v>
      </c>
      <c r="JM152" s="6"/>
      <c r="JN152" s="6"/>
      <c r="JO152" s="6"/>
      <c r="JP152" s="6"/>
      <c r="JQ152" s="5" t="str">
        <f t="shared" si="545"/>
        <v>NO APLICA</v>
      </c>
      <c r="JR152" s="6"/>
      <c r="JS152" s="6"/>
      <c r="JT152" s="6"/>
      <c r="JU152" s="6"/>
      <c r="JV152" s="5" t="str">
        <f t="shared" si="546"/>
        <v>NO APLICA</v>
      </c>
      <c r="JW152" s="5"/>
      <c r="JX152" s="5"/>
      <c r="JY152" s="5"/>
      <c r="JZ152" s="5"/>
      <c r="KA152" s="5" t="str">
        <f t="shared" si="547"/>
        <v>NO APLICA</v>
      </c>
      <c r="KB152" s="5"/>
      <c r="KC152" s="5"/>
      <c r="KD152" s="4"/>
      <c r="KE152" s="8"/>
      <c r="KF152" s="5" t="str">
        <f t="shared" si="548"/>
        <v>NO APLICA</v>
      </c>
      <c r="KG152" s="5"/>
      <c r="KH152" s="5"/>
      <c r="KI152" s="4"/>
      <c r="KJ152" s="8"/>
      <c r="KK152" s="5" t="str">
        <f t="shared" si="573"/>
        <v>NO APLICA</v>
      </c>
      <c r="KL152" s="5"/>
      <c r="KM152" s="5"/>
      <c r="KN152" s="4"/>
      <c r="KO152" s="8"/>
      <c r="KP152" s="5" t="str">
        <f t="shared" si="549"/>
        <v>NO APLICA</v>
      </c>
      <c r="KQ152" s="5"/>
      <c r="KR152" s="2"/>
      <c r="KS152" s="4"/>
      <c r="KT152" s="8"/>
      <c r="KU152" s="5" t="str">
        <f t="shared" si="574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79"/>
        <v>VIGENTE</v>
      </c>
      <c r="LA152" s="5"/>
      <c r="LB152" s="6"/>
      <c r="LC152" s="4"/>
      <c r="LD152" s="8"/>
      <c r="LE152" s="5" t="str">
        <f t="shared" si="575"/>
        <v>NO APLICA</v>
      </c>
      <c r="LF152" s="6"/>
      <c r="LG152" s="6"/>
      <c r="LH152" s="4"/>
      <c r="LI152" s="8"/>
      <c r="LJ152" s="5" t="str">
        <f t="shared" si="581"/>
        <v>NO APLICA</v>
      </c>
      <c r="LK152" s="5"/>
      <c r="LL152" s="5"/>
      <c r="LM152" s="4"/>
      <c r="LN152" s="8"/>
      <c r="LO152" s="5" t="str">
        <f t="shared" si="580"/>
        <v>NO APLICA</v>
      </c>
      <c r="LP152" s="5"/>
      <c r="LQ152" s="6"/>
      <c r="LR152" s="4"/>
      <c r="LS152" s="8"/>
      <c r="LT152" s="5" t="str">
        <f t="shared" si="576"/>
        <v>NO APLICA</v>
      </c>
      <c r="LU152" s="6"/>
      <c r="LV152" s="6"/>
      <c r="LW152" s="4"/>
      <c r="LX152" s="8"/>
      <c r="LY152" s="5" t="str">
        <f t="shared" si="577"/>
        <v>NO APLICA</v>
      </c>
      <c r="LZ152" s="6"/>
      <c r="MA152" s="6"/>
      <c r="MB152" s="4"/>
      <c r="MC152" s="8"/>
      <c r="MD152" s="5" t="str">
        <f t="shared" si="578"/>
        <v>NO APLICA</v>
      </c>
      <c r="ME152" s="5"/>
      <c r="MF152" s="5"/>
      <c r="MG152" s="4"/>
      <c r="MH152" s="8"/>
      <c r="MI152" s="5" t="str">
        <f t="shared" si="551"/>
        <v>NO APLICA</v>
      </c>
      <c r="MJ152" s="5"/>
      <c r="MK152" s="5"/>
      <c r="ML152" s="4"/>
      <c r="MM152" s="8"/>
      <c r="MN152" s="5" t="str">
        <f t="shared" si="552"/>
        <v>NO APLICA</v>
      </c>
      <c r="MO152" s="5"/>
      <c r="MP152" s="5"/>
      <c r="MQ152" s="4"/>
      <c r="MR152" s="8"/>
      <c r="MS152" s="5" t="str">
        <f t="shared" si="553"/>
        <v>NO APLICA</v>
      </c>
      <c r="MT152" s="5"/>
      <c r="MU152" s="5"/>
      <c r="MV152" s="4"/>
      <c r="MW152" s="5"/>
      <c r="MX152" s="5" t="str">
        <f t="shared" si="554"/>
        <v>NO APLICA</v>
      </c>
      <c r="MY152" s="5"/>
      <c r="MZ152" s="6"/>
      <c r="NA152" s="4"/>
      <c r="NB152" s="8"/>
      <c r="NC152" s="5" t="str">
        <f t="shared" si="555"/>
        <v>NO APLICA</v>
      </c>
      <c r="ND152" s="5"/>
      <c r="NE152" s="6"/>
      <c r="NF152" s="4"/>
      <c r="NG152" s="8"/>
      <c r="NH152" s="5" t="str">
        <f t="shared" si="556"/>
        <v>NO APLICA</v>
      </c>
      <c r="NI152" s="5"/>
      <c r="NJ152" s="6"/>
      <c r="NK152" s="4"/>
      <c r="NL152" s="8"/>
      <c r="NM152" s="5" t="str">
        <f t="shared" si="557"/>
        <v>NO APLICA</v>
      </c>
      <c r="NN152" s="5"/>
      <c r="NO152" s="5"/>
      <c r="NP152" s="4"/>
      <c r="NQ152" s="8"/>
      <c r="NR152" s="5" t="str">
        <f t="shared" si="558"/>
        <v>NO APLICA</v>
      </c>
      <c r="NS152" s="5"/>
      <c r="NT152" s="5"/>
      <c r="NU152" s="5"/>
      <c r="NV152" s="5"/>
      <c r="NW152" s="5" t="str">
        <f t="shared" si="559"/>
        <v>NO APLICA</v>
      </c>
      <c r="NX152" s="6"/>
      <c r="NY152" s="6"/>
      <c r="NZ152" s="6"/>
      <c r="OA152" s="6"/>
      <c r="OB152" s="5" t="str">
        <f t="shared" si="560"/>
        <v>NO APLICA</v>
      </c>
      <c r="OC152" s="6"/>
      <c r="OD152" s="6"/>
      <c r="OE152" s="6"/>
      <c r="OF152" s="6"/>
      <c r="OG152" s="5" t="str">
        <f t="shared" si="561"/>
        <v>NO APLICA</v>
      </c>
      <c r="OH152" s="5"/>
      <c r="OI152" s="5"/>
      <c r="OJ152" s="4"/>
      <c r="OK152" s="8"/>
      <c r="OL152" s="5" t="str">
        <f t="shared" si="562"/>
        <v>NO APLICA</v>
      </c>
      <c r="OM152" s="6"/>
      <c r="ON152" s="6"/>
      <c r="OO152" s="6"/>
      <c r="OP152" s="6"/>
      <c r="OQ152" s="5" t="str">
        <f t="shared" si="563"/>
        <v>NO APLICA</v>
      </c>
      <c r="OR152" s="6"/>
      <c r="OS152" s="6"/>
      <c r="OT152" s="6"/>
      <c r="OU152" s="6"/>
      <c r="OV152" s="5" t="str">
        <f t="shared" si="564"/>
        <v>NO APLICA</v>
      </c>
      <c r="OW152" s="6"/>
      <c r="OX152" s="6"/>
      <c r="OY152" s="6"/>
      <c r="OZ152" s="6"/>
      <c r="PA152" s="5" t="str">
        <f t="shared" si="565"/>
        <v>NO APLICA</v>
      </c>
      <c r="PB152" s="6"/>
      <c r="PC152" s="6"/>
      <c r="PD152" s="6"/>
      <c r="PE152" s="6"/>
      <c r="PF152" s="5" t="str">
        <f t="shared" si="566"/>
        <v>NO APLICA</v>
      </c>
      <c r="PG152" s="6"/>
      <c r="PH152" s="6"/>
      <c r="PI152" s="6"/>
      <c r="PJ152" s="6"/>
      <c r="PK152" s="5" t="str">
        <f t="shared" si="567"/>
        <v>NO APLICA</v>
      </c>
      <c r="PL152" s="5"/>
      <c r="PM152" s="6"/>
      <c r="PN152" s="4"/>
      <c r="PO152" s="8"/>
      <c r="PP152" s="5" t="str">
        <f t="shared" si="568"/>
        <v>NO APLICA</v>
      </c>
      <c r="PQ152" s="6"/>
      <c r="PR152" s="6"/>
      <c r="PS152" s="6"/>
      <c r="PT152" s="6"/>
      <c r="PU152" s="5" t="str">
        <f t="shared" si="569"/>
        <v>NO APLICA</v>
      </c>
      <c r="PV152" s="5"/>
      <c r="PW152" s="6"/>
      <c r="PX152" s="6"/>
      <c r="PY152" s="6"/>
      <c r="PZ152" s="5" t="str">
        <f t="shared" si="570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774</v>
      </c>
      <c r="D153" s="30" t="s">
        <v>115</v>
      </c>
      <c r="E153" s="31" t="s">
        <v>128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64"/>
        <v>VIGENTE</v>
      </c>
      <c r="K153" s="2"/>
      <c r="L153" s="6"/>
      <c r="M153" s="6"/>
      <c r="N153" s="8"/>
      <c r="O153" s="5" t="str">
        <f t="shared" si="465"/>
        <v>NO APLICA</v>
      </c>
      <c r="P153" s="6"/>
      <c r="Q153" s="6"/>
      <c r="R153" s="4"/>
      <c r="S153" s="8"/>
      <c r="T153" s="5" t="str">
        <f t="shared" si="571"/>
        <v>NO APLICA</v>
      </c>
      <c r="U153" s="5"/>
      <c r="V153" s="2" t="s">
        <v>500</v>
      </c>
      <c r="W153" s="4">
        <v>45078</v>
      </c>
      <c r="X153" s="4">
        <f t="shared" si="419"/>
        <v>46905</v>
      </c>
      <c r="Y153" s="8">
        <f t="shared" ca="1" si="420"/>
        <v>770</v>
      </c>
      <c r="Z153" s="5" t="str">
        <f t="shared" ca="1" si="421"/>
        <v>VIGENTE</v>
      </c>
      <c r="AA153" s="5"/>
      <c r="AB153" s="2"/>
      <c r="AC153" s="6"/>
      <c r="AD153" s="4"/>
      <c r="AE153" s="8"/>
      <c r="AF153" s="5" t="str">
        <f t="shared" si="46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67"/>
        <v>497</v>
      </c>
      <c r="AK153" s="5" t="str">
        <f t="shared" ca="1" si="417"/>
        <v>VIGENTE</v>
      </c>
      <c r="AL153" s="3"/>
      <c r="AM153" s="4">
        <v>45903</v>
      </c>
      <c r="AN153" s="4">
        <f t="shared" si="586"/>
        <v>46633</v>
      </c>
      <c r="AO153" s="8">
        <f t="shared" ca="1" si="468"/>
        <v>498</v>
      </c>
      <c r="AP153" s="5" t="str">
        <f t="shared" ca="1" si="46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0"/>
        <v>334</v>
      </c>
      <c r="AU153" s="5" t="str">
        <f t="shared" ca="1" si="47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2"/>
        <v>296</v>
      </c>
      <c r="AZ153" s="5" t="str">
        <f t="shared" ca="1" si="47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4"/>
        <v>336</v>
      </c>
      <c r="BE153" s="5" t="str">
        <f t="shared" ca="1" si="475"/>
        <v>VIGENTE</v>
      </c>
      <c r="BF153" s="3"/>
      <c r="BG153" s="4">
        <v>45997</v>
      </c>
      <c r="BH153" s="4">
        <f t="shared" si="596"/>
        <v>46727</v>
      </c>
      <c r="BI153" s="8">
        <f t="shared" ca="1" si="476"/>
        <v>592</v>
      </c>
      <c r="BJ153" s="5" t="str">
        <f t="shared" ca="1" si="47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78"/>
        <v>646</v>
      </c>
      <c r="BO153" s="5" t="str">
        <f t="shared" ca="1" si="47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0"/>
        <v>645</v>
      </c>
      <c r="BT153" s="5" t="str">
        <f t="shared" ca="1" si="48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2"/>
        <v>166</v>
      </c>
      <c r="BY153" s="5" t="str">
        <f t="shared" ca="1" si="483"/>
        <v>VIGENTE</v>
      </c>
      <c r="BZ153" s="3"/>
      <c r="CA153" s="4">
        <v>45944</v>
      </c>
      <c r="CB153" s="4">
        <f t="shared" si="588"/>
        <v>46674</v>
      </c>
      <c r="CC153" s="8">
        <f t="shared" ca="1" si="484"/>
        <v>539</v>
      </c>
      <c r="CD153" s="5" t="str">
        <f t="shared" ca="1" si="485"/>
        <v>VIGENTE</v>
      </c>
      <c r="CE153" s="6" t="s">
        <v>68</v>
      </c>
      <c r="CF153" s="4">
        <v>45828</v>
      </c>
      <c r="CG153" s="4">
        <f t="shared" si="425"/>
        <v>47289</v>
      </c>
      <c r="CH153" s="8">
        <f t="shared" ca="1" si="426"/>
        <v>1154</v>
      </c>
      <c r="CI153" s="5" t="str">
        <f t="shared" ca="1" si="587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6"/>
        <v>282</v>
      </c>
      <c r="CN153" s="5" t="str">
        <f t="shared" ca="1" si="48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88"/>
        <v>364</v>
      </c>
      <c r="CS153" s="5" t="str">
        <f t="shared" ca="1" si="48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0"/>
        <v>638</v>
      </c>
      <c r="CX153" s="5" t="str">
        <f t="shared" ca="1" si="49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2"/>
        <v>584</v>
      </c>
      <c r="DC153" s="5" t="str">
        <f t="shared" ca="1" si="49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4"/>
        <v>317</v>
      </c>
      <c r="DH153" s="5" t="str">
        <f t="shared" ca="1" si="49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6"/>
        <v>328</v>
      </c>
      <c r="DM153" s="5" t="str">
        <f t="shared" ca="1" si="49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98"/>
        <v>325</v>
      </c>
      <c r="DR153" s="5" t="str">
        <f t="shared" ca="1" si="49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0"/>
        <v>337</v>
      </c>
      <c r="DW153" s="5" t="str">
        <f t="shared" ca="1" si="50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2"/>
        <v>257</v>
      </c>
      <c r="EB153" s="5" t="str">
        <f t="shared" ca="1" si="50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4"/>
        <v>268</v>
      </c>
      <c r="EG153" s="5" t="str">
        <f t="shared" ca="1" si="505"/>
        <v>VIGENTE</v>
      </c>
      <c r="EH153" s="3"/>
      <c r="EI153" s="3">
        <v>46060</v>
      </c>
      <c r="EJ153" s="4">
        <f t="shared" si="572"/>
        <v>46425</v>
      </c>
      <c r="EK153" s="8">
        <f t="shared" ca="1" si="506"/>
        <v>290</v>
      </c>
      <c r="EL153" s="5" t="str">
        <f t="shared" ca="1" si="50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08"/>
        <v>299</v>
      </c>
      <c r="EQ153" s="5" t="str">
        <f t="shared" ca="1" si="50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0"/>
        <v>217</v>
      </c>
      <c r="EV153" s="5" t="str">
        <f t="shared" ca="1" si="511"/>
        <v>VIGENTE</v>
      </c>
      <c r="EW153" s="3"/>
      <c r="EX153" s="4">
        <v>45917</v>
      </c>
      <c r="EY153" s="4">
        <f t="shared" si="589"/>
        <v>46647</v>
      </c>
      <c r="EZ153" s="8">
        <f t="shared" ca="1" si="512"/>
        <v>512</v>
      </c>
      <c r="FA153" s="5" t="str">
        <f t="shared" ca="1" si="513"/>
        <v>VIGENTE</v>
      </c>
      <c r="FB153" s="3"/>
      <c r="FC153" s="4">
        <v>45988</v>
      </c>
      <c r="FD153" s="4">
        <f t="shared" si="590"/>
        <v>46718</v>
      </c>
      <c r="FE153" s="8">
        <f t="shared" ca="1" si="514"/>
        <v>583</v>
      </c>
      <c r="FF153" s="5" t="str">
        <f t="shared" ca="1" si="51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6"/>
        <v>262</v>
      </c>
      <c r="FK153" s="5" t="str">
        <f t="shared" ca="1" si="51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18"/>
        <v>264</v>
      </c>
      <c r="FP153" s="5" t="str">
        <f t="shared" ca="1" si="51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0"/>
        <v>258</v>
      </c>
      <c r="FU153" s="5" t="str">
        <f t="shared" ca="1" si="52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2"/>
        <v>588</v>
      </c>
      <c r="FZ153" s="5" t="str">
        <f t="shared" ca="1" si="52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4"/>
        <v>335</v>
      </c>
      <c r="GE153" s="5" t="str">
        <f t="shared" ca="1" si="52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6"/>
        <v>346</v>
      </c>
      <c r="GJ153" s="5" t="str">
        <f t="shared" ca="1" si="52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28"/>
        <v>281</v>
      </c>
      <c r="GO153" s="5" t="str">
        <f t="shared" ca="1" si="529"/>
        <v>VIGENTE</v>
      </c>
      <c r="GP153" s="4"/>
      <c r="GQ153" s="4">
        <v>45048</v>
      </c>
      <c r="GR153" s="4">
        <f t="shared" si="530"/>
        <v>46875</v>
      </c>
      <c r="GS153" s="8">
        <f t="shared" ca="1" si="416"/>
        <v>740</v>
      </c>
      <c r="GT153" s="5" t="str">
        <f t="shared" ca="1" si="428"/>
        <v>VIGENTE</v>
      </c>
      <c r="GU153" s="3"/>
      <c r="GV153" s="4">
        <v>45010</v>
      </c>
      <c r="GW153" s="4">
        <f t="shared" si="531"/>
        <v>46837</v>
      </c>
      <c r="GX153" s="8">
        <f t="shared" ca="1" si="532"/>
        <v>702</v>
      </c>
      <c r="GY153" s="5" t="str">
        <f t="shared" ca="1" si="435"/>
        <v>VIGENTE</v>
      </c>
      <c r="GZ153" s="2"/>
      <c r="HA153" s="4">
        <v>45073</v>
      </c>
      <c r="HB153" s="4">
        <f t="shared" si="533"/>
        <v>46900</v>
      </c>
      <c r="HC153" s="8">
        <f t="shared" ca="1" si="534"/>
        <v>765</v>
      </c>
      <c r="HD153" s="5" t="str">
        <f t="shared" ca="1" si="430"/>
        <v>VIGENTE</v>
      </c>
      <c r="HE153" s="6"/>
      <c r="HF153" s="6"/>
      <c r="HG153" s="4"/>
      <c r="HH153" s="8"/>
      <c r="HI153" s="5" t="str">
        <f t="shared" si="436"/>
        <v>NO APLICA</v>
      </c>
      <c r="HJ153" s="2"/>
      <c r="HK153" s="6"/>
      <c r="HL153" s="4"/>
      <c r="HM153" s="8"/>
      <c r="HN153" s="5" t="str">
        <f t="shared" si="453"/>
        <v>NO APLICA</v>
      </c>
      <c r="HO153" s="2"/>
      <c r="HP153" s="2"/>
      <c r="HQ153" s="4"/>
      <c r="HR153" s="2"/>
      <c r="HS153" s="5" t="str">
        <f t="shared" si="535"/>
        <v>NO APLICA</v>
      </c>
      <c r="HT153" s="2"/>
      <c r="HU153" s="6"/>
      <c r="HV153" s="4"/>
      <c r="HW153" s="8"/>
      <c r="HX153" s="5" t="str">
        <f t="shared" si="536"/>
        <v>NO APLICA</v>
      </c>
      <c r="HY153" s="2"/>
      <c r="HZ153" s="6"/>
      <c r="IA153" s="4"/>
      <c r="IB153" s="8"/>
      <c r="IC153" s="5" t="str">
        <f t="shared" si="537"/>
        <v>NO APLICA</v>
      </c>
      <c r="ID153" s="2"/>
      <c r="IE153" s="6"/>
      <c r="IF153" s="4"/>
      <c r="IG153" s="8"/>
      <c r="IH153" s="5" t="str">
        <f t="shared" si="538"/>
        <v>NO APLICA</v>
      </c>
      <c r="II153" s="6"/>
      <c r="IJ153" s="6"/>
      <c r="IK153" s="4"/>
      <c r="IL153" s="8"/>
      <c r="IM153" s="5" t="str">
        <f t="shared" si="539"/>
        <v>NO APLICA</v>
      </c>
      <c r="IN153" s="2"/>
      <c r="IO153" s="6"/>
      <c r="IP153" s="4"/>
      <c r="IQ153" s="8"/>
      <c r="IR153" s="5" t="str">
        <f t="shared" si="540"/>
        <v>NO APLICA</v>
      </c>
      <c r="IS153" s="2"/>
      <c r="IT153" s="6"/>
      <c r="IU153" s="4"/>
      <c r="IV153" s="8"/>
      <c r="IW153" s="5" t="str">
        <f t="shared" si="541"/>
        <v>NO APLICA</v>
      </c>
      <c r="IX153" s="2"/>
      <c r="IY153" s="6"/>
      <c r="IZ153" s="4"/>
      <c r="JA153" s="8"/>
      <c r="JB153" s="5" t="str">
        <f t="shared" si="542"/>
        <v>NO APLICA</v>
      </c>
      <c r="JC153" s="3"/>
      <c r="JD153" s="3"/>
      <c r="JE153" s="4"/>
      <c r="JF153" s="8"/>
      <c r="JG153" s="5" t="str">
        <f t="shared" si="543"/>
        <v>NO APLICA</v>
      </c>
      <c r="JH153" s="6"/>
      <c r="JI153" s="6"/>
      <c r="JJ153" s="6"/>
      <c r="JK153" s="6"/>
      <c r="JL153" s="5" t="str">
        <f t="shared" si="544"/>
        <v>NO APLICA</v>
      </c>
      <c r="JM153" s="6"/>
      <c r="JN153" s="6"/>
      <c r="JO153" s="6"/>
      <c r="JP153" s="6"/>
      <c r="JQ153" s="5" t="str">
        <f t="shared" si="545"/>
        <v>NO APLICA</v>
      </c>
      <c r="JR153" s="6"/>
      <c r="JS153" s="6"/>
      <c r="JT153" s="6"/>
      <c r="JU153" s="6"/>
      <c r="JV153" s="5" t="str">
        <f t="shared" si="546"/>
        <v>NO APLICA</v>
      </c>
      <c r="JW153" s="5"/>
      <c r="JX153" s="5"/>
      <c r="JY153" s="5"/>
      <c r="JZ153" s="5"/>
      <c r="KA153" s="5" t="str">
        <f t="shared" si="547"/>
        <v>NO APLICA</v>
      </c>
      <c r="KB153" s="5"/>
      <c r="KC153" s="2"/>
      <c r="KD153" s="4"/>
      <c r="KE153" s="8"/>
      <c r="KF153" s="5" t="str">
        <f t="shared" si="548"/>
        <v>NO APLICA</v>
      </c>
      <c r="KG153" s="5"/>
      <c r="KH153" s="2"/>
      <c r="KI153" s="4"/>
      <c r="KJ153" s="8"/>
      <c r="KK153" s="5" t="str">
        <f t="shared" si="573"/>
        <v>NO APLICA</v>
      </c>
      <c r="KL153" s="5"/>
      <c r="KM153" s="2"/>
      <c r="KN153" s="4"/>
      <c r="KO153" s="8"/>
      <c r="KP153" s="5" t="str">
        <f t="shared" si="549"/>
        <v>NO APLICA</v>
      </c>
      <c r="KQ153" s="5"/>
      <c r="KR153" s="2"/>
      <c r="KS153" s="4"/>
      <c r="KT153" s="8"/>
      <c r="KU153" s="5" t="str">
        <f t="shared" si="574"/>
        <v>NO APLICA</v>
      </c>
      <c r="KV153" s="2"/>
      <c r="KW153" s="6"/>
      <c r="KX153" s="4"/>
      <c r="KY153" s="8"/>
      <c r="KZ153" s="5" t="str">
        <f t="shared" si="579"/>
        <v>NO APLICA</v>
      </c>
      <c r="LA153" s="5"/>
      <c r="LB153" s="6"/>
      <c r="LC153" s="4"/>
      <c r="LD153" s="8"/>
      <c r="LE153" s="5" t="str">
        <f t="shared" si="575"/>
        <v>NO APLICA</v>
      </c>
      <c r="LF153" s="6"/>
      <c r="LG153" s="6"/>
      <c r="LH153" s="4"/>
      <c r="LI153" s="8"/>
      <c r="LJ153" s="5" t="str">
        <f t="shared" si="581"/>
        <v>NO APLICA</v>
      </c>
      <c r="LK153" s="5"/>
      <c r="LL153" s="5"/>
      <c r="LM153" s="4"/>
      <c r="LN153" s="8"/>
      <c r="LO153" s="5" t="str">
        <f t="shared" si="580"/>
        <v>NO APLICA</v>
      </c>
      <c r="LP153" s="2"/>
      <c r="LQ153" s="6"/>
      <c r="LR153" s="4"/>
      <c r="LS153" s="8"/>
      <c r="LT153" s="5" t="str">
        <f t="shared" si="576"/>
        <v>NO APLICA</v>
      </c>
      <c r="LU153" s="6"/>
      <c r="LV153" s="6"/>
      <c r="LW153" s="4"/>
      <c r="LX153" s="8"/>
      <c r="LY153" s="5" t="str">
        <f t="shared" si="577"/>
        <v>NO APLICA</v>
      </c>
      <c r="LZ153" s="6"/>
      <c r="MA153" s="6"/>
      <c r="MB153" s="4"/>
      <c r="MC153" s="8"/>
      <c r="MD153" s="5" t="str">
        <f t="shared" si="578"/>
        <v>NO APLICA</v>
      </c>
      <c r="ME153" s="2"/>
      <c r="MF153" s="2"/>
      <c r="MG153" s="4"/>
      <c r="MH153" s="8"/>
      <c r="MI153" s="5" t="str">
        <f t="shared" si="551"/>
        <v>NO APLICA</v>
      </c>
      <c r="MJ153" s="2"/>
      <c r="MK153" s="2"/>
      <c r="ML153" s="4"/>
      <c r="MM153" s="8"/>
      <c r="MN153" s="5" t="str">
        <f t="shared" si="552"/>
        <v>NO APLICA</v>
      </c>
      <c r="MO153" s="5"/>
      <c r="MP153" s="2"/>
      <c r="MQ153" s="4"/>
      <c r="MR153" s="8"/>
      <c r="MS153" s="5" t="str">
        <f t="shared" si="553"/>
        <v>NO APLICA</v>
      </c>
      <c r="MT153" s="5"/>
      <c r="MU153" s="2"/>
      <c r="MV153" s="4"/>
      <c r="MW153" s="2"/>
      <c r="MX153" s="5" t="str">
        <f t="shared" si="554"/>
        <v>NO APLICA</v>
      </c>
      <c r="MY153" s="2"/>
      <c r="MZ153" s="6"/>
      <c r="NA153" s="4"/>
      <c r="NB153" s="8"/>
      <c r="NC153" s="5" t="str">
        <f t="shared" si="555"/>
        <v>NO APLICA</v>
      </c>
      <c r="ND153" s="2"/>
      <c r="NE153" s="6"/>
      <c r="NF153" s="4"/>
      <c r="NG153" s="8"/>
      <c r="NH153" s="5" t="str">
        <f t="shared" si="556"/>
        <v>NO APLICA</v>
      </c>
      <c r="NI153" s="2"/>
      <c r="NJ153" s="6"/>
      <c r="NK153" s="4"/>
      <c r="NL153" s="8"/>
      <c r="NM153" s="5" t="str">
        <f t="shared" si="557"/>
        <v>NO APLICA</v>
      </c>
      <c r="NN153" s="2"/>
      <c r="NO153" s="2"/>
      <c r="NP153" s="4"/>
      <c r="NQ153" s="8"/>
      <c r="NR153" s="5" t="str">
        <f t="shared" si="558"/>
        <v>NO APLICA</v>
      </c>
      <c r="NS153" s="2"/>
      <c r="NT153" s="2"/>
      <c r="NU153" s="2"/>
      <c r="NV153" s="2"/>
      <c r="NW153" s="5" t="str">
        <f t="shared" si="559"/>
        <v>NO APLICA</v>
      </c>
      <c r="NX153" s="6"/>
      <c r="NY153" s="6"/>
      <c r="NZ153" s="4"/>
      <c r="OA153" s="8"/>
      <c r="OB153" s="5" t="str">
        <f t="shared" si="560"/>
        <v>NO APLICA</v>
      </c>
      <c r="OC153" s="6"/>
      <c r="OD153" s="6"/>
      <c r="OE153" s="6"/>
      <c r="OF153" s="6"/>
      <c r="OG153" s="5" t="str">
        <f t="shared" si="561"/>
        <v>NO APLICA</v>
      </c>
      <c r="OH153" s="2"/>
      <c r="OI153" s="2"/>
      <c r="OJ153" s="4"/>
      <c r="OK153" s="8"/>
      <c r="OL153" s="5" t="str">
        <f t="shared" si="562"/>
        <v>NO APLICA</v>
      </c>
      <c r="OM153" s="6"/>
      <c r="ON153" s="6"/>
      <c r="OO153" s="6"/>
      <c r="OP153" s="6"/>
      <c r="OQ153" s="5" t="str">
        <f t="shared" si="563"/>
        <v>NO APLICA</v>
      </c>
      <c r="OR153" s="6"/>
      <c r="OS153" s="6"/>
      <c r="OT153" s="6"/>
      <c r="OU153" s="6"/>
      <c r="OV153" s="5" t="str">
        <f t="shared" si="564"/>
        <v>NO APLICA</v>
      </c>
      <c r="OW153" s="6"/>
      <c r="OX153" s="6"/>
      <c r="OY153" s="6"/>
      <c r="OZ153" s="6"/>
      <c r="PA153" s="5" t="str">
        <f t="shared" si="565"/>
        <v>NO APLICA</v>
      </c>
      <c r="PB153" s="6"/>
      <c r="PC153" s="6"/>
      <c r="PD153" s="6"/>
      <c r="PE153" s="6"/>
      <c r="PF153" s="5" t="str">
        <f t="shared" si="566"/>
        <v>NO APLICA</v>
      </c>
      <c r="PG153" s="6"/>
      <c r="PH153" s="6"/>
      <c r="PI153" s="6"/>
      <c r="PJ153" s="6"/>
      <c r="PK153" s="5" t="str">
        <f t="shared" si="567"/>
        <v>NO APLICA</v>
      </c>
      <c r="PL153" s="5"/>
      <c r="PM153" s="6"/>
      <c r="PN153" s="4"/>
      <c r="PO153" s="8"/>
      <c r="PP153" s="5" t="str">
        <f t="shared" si="568"/>
        <v>NO APLICA</v>
      </c>
      <c r="PQ153" s="6"/>
      <c r="PR153" s="6"/>
      <c r="PS153" s="6"/>
      <c r="PT153" s="6"/>
      <c r="PU153" s="5" t="str">
        <f t="shared" si="569"/>
        <v>NO APLICA</v>
      </c>
      <c r="PV153" s="5"/>
      <c r="PW153" s="6"/>
      <c r="PX153" s="6"/>
      <c r="PY153" s="6"/>
      <c r="PZ153" s="5" t="str">
        <f t="shared" si="570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501</v>
      </c>
      <c r="D154" s="30" t="s">
        <v>69</v>
      </c>
      <c r="E154" s="31" t="s">
        <v>131</v>
      </c>
      <c r="F154" s="5"/>
      <c r="G154" s="6"/>
      <c r="H154" s="4"/>
      <c r="I154" s="8"/>
      <c r="J154" s="5" t="str">
        <f t="shared" si="464"/>
        <v>NO APLICA</v>
      </c>
      <c r="K154" s="5"/>
      <c r="L154" s="6"/>
      <c r="M154" s="6"/>
      <c r="N154" s="8"/>
      <c r="O154" s="5" t="str">
        <f t="shared" si="465"/>
        <v>NO APLICA</v>
      </c>
      <c r="P154" s="6"/>
      <c r="Q154" s="6"/>
      <c r="R154" s="4"/>
      <c r="S154" s="8"/>
      <c r="T154" s="5" t="str">
        <f t="shared" si="571"/>
        <v>NO APLICA</v>
      </c>
      <c r="U154" s="5"/>
      <c r="V154" s="2" t="s">
        <v>502</v>
      </c>
      <c r="W154" s="4">
        <v>45216</v>
      </c>
      <c r="X154" s="4">
        <f t="shared" si="419"/>
        <v>47043</v>
      </c>
      <c r="Y154" s="8">
        <f t="shared" ca="1" si="420"/>
        <v>908</v>
      </c>
      <c r="Z154" s="5" t="str">
        <f t="shared" ca="1" si="421"/>
        <v>VIGENTE</v>
      </c>
      <c r="AA154" s="5"/>
      <c r="AB154" s="2" t="s">
        <v>503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6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67"/>
        <v>497</v>
      </c>
      <c r="AK154" s="5" t="str">
        <f t="shared" ca="1" si="417"/>
        <v>VIGENTE</v>
      </c>
      <c r="AL154" s="3"/>
      <c r="AM154" s="4">
        <v>45926</v>
      </c>
      <c r="AN154" s="4">
        <f t="shared" si="586"/>
        <v>46656</v>
      </c>
      <c r="AO154" s="8">
        <f t="shared" ca="1" si="468"/>
        <v>521</v>
      </c>
      <c r="AP154" s="5" t="str">
        <f t="shared" ca="1" si="46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0"/>
        <v>499</v>
      </c>
      <c r="AU154" s="5" t="str">
        <f t="shared" ca="1" si="47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2"/>
        <v>585</v>
      </c>
      <c r="AZ154" s="5" t="str">
        <f t="shared" ca="1" si="47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4"/>
        <v>496</v>
      </c>
      <c r="BE154" s="5" t="str">
        <f t="shared" ca="1" si="475"/>
        <v>VIGENTE</v>
      </c>
      <c r="BF154" s="3"/>
      <c r="BG154" s="4">
        <v>45880</v>
      </c>
      <c r="BH154" s="4">
        <f t="shared" si="596"/>
        <v>46610</v>
      </c>
      <c r="BI154" s="8">
        <f t="shared" ca="1" si="476"/>
        <v>475</v>
      </c>
      <c r="BJ154" s="5" t="str">
        <f t="shared" ca="1" si="47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78"/>
        <v>293</v>
      </c>
      <c r="BO154" s="5" t="str">
        <f t="shared" ca="1" si="47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0"/>
        <v>576</v>
      </c>
      <c r="BT154" s="5" t="str">
        <f t="shared" ca="1" si="48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2"/>
        <v>466</v>
      </c>
      <c r="BY154" s="5" t="str">
        <f t="shared" ca="1" si="483"/>
        <v>VIGENTE</v>
      </c>
      <c r="BZ154" s="3"/>
      <c r="CA154" s="4">
        <v>45944</v>
      </c>
      <c r="CB154" s="4">
        <f t="shared" si="588"/>
        <v>46674</v>
      </c>
      <c r="CC154" s="8">
        <f t="shared" ca="1" si="484"/>
        <v>539</v>
      </c>
      <c r="CD154" s="5" t="str">
        <f t="shared" ca="1" si="485"/>
        <v>VIGENTE</v>
      </c>
      <c r="CE154" s="6" t="s">
        <v>73</v>
      </c>
      <c r="CF154" s="4">
        <v>45241</v>
      </c>
      <c r="CG154" s="4">
        <f t="shared" si="425"/>
        <v>46702</v>
      </c>
      <c r="CH154" s="8">
        <f t="shared" ca="1" si="426"/>
        <v>567</v>
      </c>
      <c r="CI154" s="5" t="str">
        <f t="shared" ca="1" si="587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6"/>
        <v>490</v>
      </c>
      <c r="CN154" s="5" t="str">
        <f t="shared" ca="1" si="48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88"/>
        <v>493</v>
      </c>
      <c r="CS154" s="5" t="str">
        <f t="shared" ca="1" si="48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0"/>
        <v>500</v>
      </c>
      <c r="CX154" s="5" t="str">
        <f t="shared" ca="1" si="49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2"/>
        <v>519</v>
      </c>
      <c r="DC154" s="5" t="str">
        <f t="shared" ca="1" si="49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4"/>
        <v>307</v>
      </c>
      <c r="DH154" s="5" t="str">
        <f t="shared" ca="1" si="49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6"/>
        <v>494</v>
      </c>
      <c r="DM154" s="5" t="str">
        <f t="shared" ca="1" si="49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98"/>
        <v>602</v>
      </c>
      <c r="DR154" s="5" t="str">
        <f t="shared" ca="1" si="49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0"/>
        <v>513</v>
      </c>
      <c r="DW154" s="5" t="str">
        <f t="shared" ca="1" si="50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2"/>
        <v>615</v>
      </c>
      <c r="EB154" s="5" t="str">
        <f t="shared" ca="1" si="50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4"/>
        <v>508</v>
      </c>
      <c r="EG154" s="5" t="str">
        <f t="shared" ca="1" si="505"/>
        <v>VIGENTE</v>
      </c>
      <c r="EH154" s="3"/>
      <c r="EI154" s="4">
        <v>45948</v>
      </c>
      <c r="EJ154" s="4">
        <f t="shared" si="572"/>
        <v>46313</v>
      </c>
      <c r="EK154" s="8">
        <f t="shared" ca="1" si="506"/>
        <v>178</v>
      </c>
      <c r="EL154" s="5" t="str">
        <f t="shared" ca="1" si="50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08"/>
        <v>535</v>
      </c>
      <c r="EQ154" s="5" t="str">
        <f t="shared" ca="1" si="50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0"/>
        <v>419</v>
      </c>
      <c r="EV154" s="5" t="str">
        <f t="shared" ca="1" si="511"/>
        <v>VIGENTE</v>
      </c>
      <c r="EW154" s="3"/>
      <c r="EX154" s="4">
        <v>45917</v>
      </c>
      <c r="EY154" s="4">
        <f t="shared" si="589"/>
        <v>46647</v>
      </c>
      <c r="EZ154" s="8">
        <f t="shared" ca="1" si="512"/>
        <v>512</v>
      </c>
      <c r="FA154" s="5" t="str">
        <f t="shared" ca="1" si="513"/>
        <v>VIGENTE</v>
      </c>
      <c r="FB154" s="3"/>
      <c r="FC154" s="4">
        <v>45931</v>
      </c>
      <c r="FD154" s="4">
        <f t="shared" si="590"/>
        <v>46661</v>
      </c>
      <c r="FE154" s="8">
        <f t="shared" ca="1" si="514"/>
        <v>526</v>
      </c>
      <c r="FF154" s="5" t="str">
        <f t="shared" ca="1" si="51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6"/>
        <v>514</v>
      </c>
      <c r="FK154" s="5" t="str">
        <f t="shared" ca="1" si="51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18"/>
        <v>515</v>
      </c>
      <c r="FP154" s="5" t="str">
        <f t="shared" ca="1" si="51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0"/>
        <v>552</v>
      </c>
      <c r="FU154" s="5" t="str">
        <f t="shared" ca="1" si="52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2"/>
        <v>294</v>
      </c>
      <c r="FZ154" s="5" t="str">
        <f t="shared" ca="1" si="52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4"/>
        <v>309</v>
      </c>
      <c r="GE154" s="5" t="str">
        <f t="shared" ca="1" si="52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6"/>
        <v>507</v>
      </c>
      <c r="GJ154" s="5" t="str">
        <f t="shared" ca="1" si="52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28"/>
        <v>540</v>
      </c>
      <c r="GO154" s="5" t="str">
        <f t="shared" ca="1" si="529"/>
        <v>VIGENTE</v>
      </c>
      <c r="GP154" s="4"/>
      <c r="GQ154" s="4">
        <v>45244</v>
      </c>
      <c r="GR154" s="4">
        <f t="shared" si="530"/>
        <v>47071</v>
      </c>
      <c r="GS154" s="8">
        <f t="shared" ca="1" si="416"/>
        <v>936</v>
      </c>
      <c r="GT154" s="5" t="str">
        <f t="shared" ca="1" si="428"/>
        <v>VIGENTE</v>
      </c>
      <c r="GU154" s="3"/>
      <c r="GV154" s="4">
        <v>45252</v>
      </c>
      <c r="GW154" s="4">
        <f t="shared" si="531"/>
        <v>47079</v>
      </c>
      <c r="GX154" s="8">
        <f t="shared" ca="1" si="532"/>
        <v>944</v>
      </c>
      <c r="GY154" s="5" t="str">
        <f t="shared" ca="1" si="435"/>
        <v>VIGENTE</v>
      </c>
      <c r="GZ154" s="3"/>
      <c r="HA154" s="4">
        <v>45251</v>
      </c>
      <c r="HB154" s="4">
        <f t="shared" si="533"/>
        <v>47078</v>
      </c>
      <c r="HC154" s="8">
        <f t="shared" ca="1" si="534"/>
        <v>943</v>
      </c>
      <c r="HD154" s="5" t="str">
        <f t="shared" ca="1" si="430"/>
        <v>VIGENTE</v>
      </c>
      <c r="HE154" s="6"/>
      <c r="HF154" s="4">
        <v>45121</v>
      </c>
      <c r="HG154" s="4">
        <f t="shared" ref="HG154:HG162" si="597">DATE(YEAR(HF154)+5,MONTH(HF154),DAY(HF154))</f>
        <v>46948</v>
      </c>
      <c r="HH154" s="8">
        <f t="shared" ref="HH154:HH162" ca="1" si="598">HG154-TODAY()</f>
        <v>813</v>
      </c>
      <c r="HI154" s="5" t="str">
        <f t="shared" ca="1" si="436"/>
        <v>VIGENTE</v>
      </c>
      <c r="HJ154" s="2"/>
      <c r="HK154" s="6"/>
      <c r="HL154" s="4"/>
      <c r="HM154" s="8"/>
      <c r="HN154" s="5" t="str">
        <f t="shared" si="453"/>
        <v>NO APLICA</v>
      </c>
      <c r="HO154" s="2"/>
      <c r="HP154" s="5"/>
      <c r="HQ154" s="4"/>
      <c r="HR154" s="5"/>
      <c r="HS154" s="5" t="str">
        <f t="shared" si="53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3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3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3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3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4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4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42"/>
        <v>VIGENTE</v>
      </c>
      <c r="JC154" s="3"/>
      <c r="JD154" s="3"/>
      <c r="JE154" s="4"/>
      <c r="JF154" s="8"/>
      <c r="JG154" s="5" t="str">
        <f t="shared" si="543"/>
        <v>NO APLICA</v>
      </c>
      <c r="JH154" s="6"/>
      <c r="JI154" s="6"/>
      <c r="JJ154" s="6"/>
      <c r="JK154" s="6"/>
      <c r="JL154" s="5" t="str">
        <f t="shared" si="544"/>
        <v>NO APLICA</v>
      </c>
      <c r="JM154" s="6"/>
      <c r="JN154" s="6"/>
      <c r="JO154" s="6"/>
      <c r="JP154" s="6"/>
      <c r="JQ154" s="5" t="str">
        <f t="shared" si="545"/>
        <v>NO APLICA</v>
      </c>
      <c r="JR154" s="6"/>
      <c r="JS154" s="6"/>
      <c r="JT154" s="6"/>
      <c r="JU154" s="6"/>
      <c r="JV154" s="5" t="str">
        <f t="shared" si="546"/>
        <v>NO APLICA</v>
      </c>
      <c r="JW154" s="5"/>
      <c r="JX154" s="5"/>
      <c r="JY154" s="5"/>
      <c r="JZ154" s="5"/>
      <c r="KA154" s="5" t="str">
        <f t="shared" si="547"/>
        <v>NO APLICA</v>
      </c>
      <c r="KB154" s="5"/>
      <c r="KC154" s="5"/>
      <c r="KD154" s="4"/>
      <c r="KE154" s="8"/>
      <c r="KF154" s="5" t="str">
        <f t="shared" si="548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73"/>
        <v>VIGENTE</v>
      </c>
      <c r="KL154" s="5"/>
      <c r="KM154" s="5"/>
      <c r="KN154" s="4"/>
      <c r="KO154" s="8"/>
      <c r="KP154" s="5" t="str">
        <f t="shared" si="549"/>
        <v>NO APLICA</v>
      </c>
      <c r="KQ154" s="5"/>
      <c r="KR154" s="2"/>
      <c r="KS154" s="4"/>
      <c r="KT154" s="8"/>
      <c r="KU154" s="5" t="str">
        <f t="shared" si="574"/>
        <v>NO APLICA</v>
      </c>
      <c r="KV154" s="2"/>
      <c r="KW154" s="6"/>
      <c r="KX154" s="4"/>
      <c r="KY154" s="8"/>
      <c r="KZ154" s="5" t="str">
        <f t="shared" si="579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75"/>
        <v>VIGENTE</v>
      </c>
      <c r="LF154" s="4"/>
      <c r="LG154" s="4"/>
      <c r="LH154" s="4"/>
      <c r="LI154" s="8"/>
      <c r="LJ154" s="5" t="str">
        <f t="shared" si="581"/>
        <v>NO APLICA</v>
      </c>
      <c r="LK154" s="5"/>
      <c r="LL154" s="5"/>
      <c r="LM154" s="5"/>
      <c r="LN154" s="5"/>
      <c r="LO154" s="5" t="str">
        <f t="shared" si="580"/>
        <v>NO APLICA</v>
      </c>
      <c r="LP154" s="5"/>
      <c r="LQ154" s="6"/>
      <c r="LR154" s="4"/>
      <c r="LS154" s="8"/>
      <c r="LT154" s="5" t="str">
        <f t="shared" si="576"/>
        <v>NO APLICA</v>
      </c>
      <c r="LU154" s="6"/>
      <c r="LV154" s="6"/>
      <c r="LW154" s="4"/>
      <c r="LX154" s="8"/>
      <c r="LY154" s="5" t="str">
        <f t="shared" si="577"/>
        <v>NO APLICA</v>
      </c>
      <c r="LZ154" s="6"/>
      <c r="MA154" s="6"/>
      <c r="MB154" s="4"/>
      <c r="MC154" s="8"/>
      <c r="MD154" s="5" t="str">
        <f t="shared" si="578"/>
        <v>NO APLICA</v>
      </c>
      <c r="ME154" s="5"/>
      <c r="MF154" s="5"/>
      <c r="MG154" s="5"/>
      <c r="MH154" s="5"/>
      <c r="MI154" s="5" t="str">
        <f t="shared" si="551"/>
        <v>NO APLICA</v>
      </c>
      <c r="MJ154" s="5"/>
      <c r="MK154" s="5"/>
      <c r="ML154" s="4"/>
      <c r="MM154" s="8"/>
      <c r="MN154" s="5" t="str">
        <f t="shared" si="552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53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54"/>
        <v>VIGENTE</v>
      </c>
      <c r="MY154" s="5"/>
      <c r="MZ154" s="6"/>
      <c r="NA154" s="4"/>
      <c r="NB154" s="8"/>
      <c r="NC154" s="5" t="str">
        <f t="shared" si="555"/>
        <v>NO APLICA</v>
      </c>
      <c r="ND154" s="5"/>
      <c r="NE154" s="6"/>
      <c r="NF154" s="4"/>
      <c r="NG154" s="8"/>
      <c r="NH154" s="5" t="str">
        <f t="shared" si="556"/>
        <v>NO APLICA</v>
      </c>
      <c r="NI154" s="5"/>
      <c r="NJ154" s="6"/>
      <c r="NK154" s="4"/>
      <c r="NL154" s="8"/>
      <c r="NM154" s="5" t="str">
        <f t="shared" si="557"/>
        <v>NO APLICA</v>
      </c>
      <c r="NN154" s="5"/>
      <c r="NO154" s="5"/>
      <c r="NP154" s="5"/>
      <c r="NQ154" s="5"/>
      <c r="NR154" s="5" t="str">
        <f t="shared" si="558"/>
        <v>NO APLICA</v>
      </c>
      <c r="NS154" s="5"/>
      <c r="NT154" s="5"/>
      <c r="NU154" s="5"/>
      <c r="NV154" s="5"/>
      <c r="NW154" s="5" t="str">
        <f t="shared" si="559"/>
        <v>NO APLICA</v>
      </c>
      <c r="NX154" s="6"/>
      <c r="NY154" s="6"/>
      <c r="NZ154" s="6"/>
      <c r="OA154" s="6"/>
      <c r="OB154" s="5" t="str">
        <f t="shared" si="560"/>
        <v>NO APLICA</v>
      </c>
      <c r="OC154" s="6"/>
      <c r="OD154" s="6"/>
      <c r="OE154" s="6"/>
      <c r="OF154" s="6"/>
      <c r="OG154" s="5" t="str">
        <f t="shared" si="561"/>
        <v>NO APLICA</v>
      </c>
      <c r="OH154" s="6"/>
      <c r="OI154" s="6"/>
      <c r="OJ154" s="4"/>
      <c r="OK154" s="8"/>
      <c r="OL154" s="5" t="str">
        <f t="shared" si="562"/>
        <v>NO APLICA</v>
      </c>
      <c r="OM154" s="6"/>
      <c r="ON154" s="6"/>
      <c r="OO154" s="6"/>
      <c r="OP154" s="6"/>
      <c r="OQ154" s="5" t="str">
        <f t="shared" si="563"/>
        <v>NO APLICA</v>
      </c>
      <c r="OR154" s="6"/>
      <c r="OS154" s="6"/>
      <c r="OT154" s="6"/>
      <c r="OU154" s="6"/>
      <c r="OV154" s="5" t="str">
        <f t="shared" si="564"/>
        <v>NO APLICA</v>
      </c>
      <c r="OW154" s="6"/>
      <c r="OX154" s="6"/>
      <c r="OY154" s="6"/>
      <c r="OZ154" s="6"/>
      <c r="PA154" s="5" t="str">
        <f t="shared" si="565"/>
        <v>NO APLICA</v>
      </c>
      <c r="PB154" s="6"/>
      <c r="PC154" s="6"/>
      <c r="PD154" s="6"/>
      <c r="PE154" s="6"/>
      <c r="PF154" s="5" t="str">
        <f t="shared" si="566"/>
        <v>NO APLICA</v>
      </c>
      <c r="PG154" s="6"/>
      <c r="PH154" s="6"/>
      <c r="PI154" s="6"/>
      <c r="PJ154" s="6"/>
      <c r="PK154" s="5" t="str">
        <f t="shared" si="567"/>
        <v>NO APLICA</v>
      </c>
      <c r="PL154" s="5"/>
      <c r="PM154" s="6"/>
      <c r="PN154" s="4"/>
      <c r="PO154" s="8"/>
      <c r="PP154" s="5" t="str">
        <f t="shared" si="568"/>
        <v>NO APLICA</v>
      </c>
      <c r="PQ154" s="6"/>
      <c r="PR154" s="6"/>
      <c r="PS154" s="6"/>
      <c r="PT154" s="6"/>
      <c r="PU154" s="5" t="str">
        <f t="shared" si="569"/>
        <v>NO APLICA</v>
      </c>
      <c r="PV154" s="5"/>
      <c r="PW154" s="6"/>
      <c r="PX154" s="6"/>
      <c r="PY154" s="6"/>
      <c r="PZ154" s="5" t="str">
        <f t="shared" si="570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504</v>
      </c>
      <c r="D155" s="30" t="s">
        <v>64</v>
      </c>
      <c r="E155" s="31" t="s">
        <v>83</v>
      </c>
      <c r="F155" s="6"/>
      <c r="G155" s="6"/>
      <c r="H155" s="6"/>
      <c r="I155" s="6"/>
      <c r="J155" s="5" t="str">
        <f t="shared" si="464"/>
        <v>NO APLICA</v>
      </c>
      <c r="K155" s="6"/>
      <c r="L155" s="6"/>
      <c r="M155" s="6"/>
      <c r="N155" s="6"/>
      <c r="O155" s="5" t="str">
        <f t="shared" si="46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71"/>
        <v>VIGENTE</v>
      </c>
      <c r="U155" s="5"/>
      <c r="V155" s="6" t="s">
        <v>505</v>
      </c>
      <c r="W155" s="4">
        <v>45309</v>
      </c>
      <c r="X155" s="4">
        <f t="shared" si="419"/>
        <v>47136</v>
      </c>
      <c r="Y155" s="8">
        <f t="shared" ca="1" si="420"/>
        <v>1001</v>
      </c>
      <c r="Z155" s="5" t="str">
        <f t="shared" ca="1" si="421"/>
        <v>VIGENTE</v>
      </c>
      <c r="AA155" s="5"/>
      <c r="AB155" s="6"/>
      <c r="AC155" s="6"/>
      <c r="AD155" s="4"/>
      <c r="AE155" s="8"/>
      <c r="AF155" s="5" t="str">
        <f t="shared" si="46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67"/>
        <v>531</v>
      </c>
      <c r="AK155" s="5" t="str">
        <f t="shared" ca="1" si="417"/>
        <v>VIGENTE</v>
      </c>
      <c r="AL155" s="6"/>
      <c r="AM155" s="4">
        <v>45937</v>
      </c>
      <c r="AN155" s="4">
        <f t="shared" si="586"/>
        <v>46667</v>
      </c>
      <c r="AO155" s="8">
        <f t="shared" ca="1" si="468"/>
        <v>532</v>
      </c>
      <c r="AP155" s="5" t="str">
        <f t="shared" ca="1" si="46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0"/>
        <v>584</v>
      </c>
      <c r="AU155" s="5" t="str">
        <f t="shared" ca="1" si="47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2"/>
        <v>567</v>
      </c>
      <c r="AZ155" s="5" t="str">
        <f t="shared" ca="1" si="47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4"/>
        <v>636</v>
      </c>
      <c r="BE155" s="5" t="str">
        <f t="shared" ca="1" si="475"/>
        <v>VIGENTE</v>
      </c>
      <c r="BF155" s="6"/>
      <c r="BG155" s="4">
        <v>45997</v>
      </c>
      <c r="BH155" s="4">
        <f t="shared" si="596"/>
        <v>46727</v>
      </c>
      <c r="BI155" s="8">
        <f t="shared" ca="1" si="476"/>
        <v>592</v>
      </c>
      <c r="BJ155" s="5" t="str">
        <f t="shared" ca="1" si="47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78"/>
        <v>612</v>
      </c>
      <c r="BO155" s="5" t="str">
        <f t="shared" ca="1" si="47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0"/>
        <v>645</v>
      </c>
      <c r="BT155" s="5" t="str">
        <f t="shared" ca="1" si="48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2"/>
        <v>626</v>
      </c>
      <c r="BY155" s="5" t="str">
        <f t="shared" ca="1" si="483"/>
        <v>VIGENTE</v>
      </c>
      <c r="BZ155" s="6"/>
      <c r="CA155" s="4">
        <v>45986</v>
      </c>
      <c r="CB155" s="4">
        <f t="shared" si="588"/>
        <v>46716</v>
      </c>
      <c r="CC155" s="8">
        <f t="shared" ca="1" si="484"/>
        <v>581</v>
      </c>
      <c r="CD155" s="5" t="str">
        <f t="shared" ca="1" si="485"/>
        <v>VIGENTE</v>
      </c>
      <c r="CE155" s="6" t="s">
        <v>68</v>
      </c>
      <c r="CF155" s="4">
        <v>45723</v>
      </c>
      <c r="CG155" s="4">
        <f t="shared" si="425"/>
        <v>47184</v>
      </c>
      <c r="CH155" s="8">
        <f t="shared" ca="1" si="426"/>
        <v>1049</v>
      </c>
      <c r="CI155" s="5" t="str">
        <f t="shared" ca="1" si="587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6"/>
        <v>613</v>
      </c>
      <c r="CN155" s="5" t="str">
        <f t="shared" ca="1" si="48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88"/>
        <v>574</v>
      </c>
      <c r="CS155" s="5" t="str">
        <f t="shared" ca="1" si="48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0"/>
        <v>638</v>
      </c>
      <c r="CX155" s="5" t="str">
        <f t="shared" ca="1" si="49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2"/>
        <v>595</v>
      </c>
      <c r="DC155" s="5" t="str">
        <f t="shared" ca="1" si="49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4"/>
        <v>591</v>
      </c>
      <c r="DH155" s="5" t="str">
        <f t="shared" ca="1" si="49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6"/>
        <v>570</v>
      </c>
      <c r="DM155" s="5" t="str">
        <f t="shared" ca="1" si="49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98"/>
        <v>577</v>
      </c>
      <c r="DR155" s="5" t="str">
        <f t="shared" ca="1" si="49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0"/>
        <v>604</v>
      </c>
      <c r="DW155" s="5" t="str">
        <f t="shared" ca="1" si="50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2"/>
        <v>627</v>
      </c>
      <c r="EB155" s="5" t="str">
        <f t="shared" ca="1" si="50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4"/>
        <v>589</v>
      </c>
      <c r="EG155" s="5" t="str">
        <f t="shared" ca="1" si="505"/>
        <v>VIGENTE</v>
      </c>
      <c r="EH155" s="3"/>
      <c r="EI155" s="3">
        <v>46015</v>
      </c>
      <c r="EJ155" s="4">
        <f t="shared" si="572"/>
        <v>46380</v>
      </c>
      <c r="EK155" s="8">
        <f t="shared" ca="1" si="506"/>
        <v>245</v>
      </c>
      <c r="EL155" s="5" t="str">
        <f t="shared" ca="1" si="50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08"/>
        <v>578</v>
      </c>
      <c r="EQ155" s="5" t="str">
        <f t="shared" ca="1" si="50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0"/>
        <v>594</v>
      </c>
      <c r="EV155" s="5" t="str">
        <f t="shared" ca="1" si="511"/>
        <v>VIGENTE</v>
      </c>
      <c r="EW155" s="4"/>
      <c r="EX155" s="4">
        <v>45964</v>
      </c>
      <c r="EY155" s="4">
        <f t="shared" si="589"/>
        <v>46694</v>
      </c>
      <c r="EZ155" s="8">
        <f t="shared" ca="1" si="512"/>
        <v>559</v>
      </c>
      <c r="FA155" s="5" t="str">
        <f t="shared" ca="1" si="513"/>
        <v>VIGENTE</v>
      </c>
      <c r="FB155" s="6"/>
      <c r="FC155" s="4">
        <v>45988</v>
      </c>
      <c r="FD155" s="4">
        <f t="shared" si="590"/>
        <v>46718</v>
      </c>
      <c r="FE155" s="8">
        <f t="shared" ca="1" si="514"/>
        <v>583</v>
      </c>
      <c r="FF155" s="5" t="str">
        <f t="shared" ca="1" si="51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6"/>
        <v>557</v>
      </c>
      <c r="FK155" s="5" t="str">
        <f t="shared" ca="1" si="51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18"/>
        <v>634</v>
      </c>
      <c r="FP155" s="5" t="str">
        <f t="shared" ca="1" si="51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0"/>
        <v>629</v>
      </c>
      <c r="FU155" s="5" t="str">
        <f t="shared" ca="1" si="52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2"/>
        <v>599</v>
      </c>
      <c r="FZ155" s="5" t="str">
        <f t="shared" ca="1" si="52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4"/>
        <v>520</v>
      </c>
      <c r="GE155" s="5" t="str">
        <f t="shared" ca="1" si="52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6"/>
        <v>555</v>
      </c>
      <c r="GJ155" s="5" t="str">
        <f t="shared" ca="1" si="52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28"/>
        <v>93</v>
      </c>
      <c r="GO155" s="5" t="str">
        <f t="shared" ca="1" si="529"/>
        <v>VIGENTE</v>
      </c>
      <c r="GP155" s="4"/>
      <c r="GQ155" s="4">
        <v>45299</v>
      </c>
      <c r="GR155" s="4">
        <f t="shared" si="530"/>
        <v>47126</v>
      </c>
      <c r="GS155" s="8">
        <f t="shared" ca="1" si="416"/>
        <v>991</v>
      </c>
      <c r="GT155" s="5" t="str">
        <f t="shared" ca="1" si="428"/>
        <v>VIGENTE</v>
      </c>
      <c r="GU155" s="4"/>
      <c r="GV155" s="4">
        <v>45329</v>
      </c>
      <c r="GW155" s="4">
        <f t="shared" si="531"/>
        <v>47156</v>
      </c>
      <c r="GX155" s="8">
        <f t="shared" ca="1" si="532"/>
        <v>1021</v>
      </c>
      <c r="GY155" s="5" t="str">
        <f t="shared" ca="1" si="435"/>
        <v>VIGENTE</v>
      </c>
      <c r="GZ155" s="6"/>
      <c r="HA155" s="4">
        <v>45343</v>
      </c>
      <c r="HB155" s="4">
        <f t="shared" si="533"/>
        <v>47170</v>
      </c>
      <c r="HC155" s="8">
        <f t="shared" ca="1" si="534"/>
        <v>1035</v>
      </c>
      <c r="HD155" s="5" t="str">
        <f t="shared" ca="1" si="430"/>
        <v>VIGENTE</v>
      </c>
      <c r="HE155" s="6"/>
      <c r="HF155" s="4">
        <v>45317</v>
      </c>
      <c r="HG155" s="4">
        <f t="shared" si="597"/>
        <v>47144</v>
      </c>
      <c r="HH155" s="8">
        <f t="shared" ca="1" si="598"/>
        <v>1009</v>
      </c>
      <c r="HI155" s="5" t="str">
        <f t="shared" ca="1" si="436"/>
        <v>VIGENTE</v>
      </c>
      <c r="HJ155" s="6"/>
      <c r="HK155" s="6"/>
      <c r="HL155" s="4"/>
      <c r="HM155" s="8"/>
      <c r="HN155" s="5" t="str">
        <f t="shared" si="453"/>
        <v>NO APLICA</v>
      </c>
      <c r="HO155" s="2"/>
      <c r="HP155" s="2"/>
      <c r="HQ155" s="4"/>
      <c r="HR155" s="2"/>
      <c r="HS155" s="5" t="str">
        <f t="shared" si="535"/>
        <v>NO APLICA</v>
      </c>
      <c r="HT155" s="6"/>
      <c r="HU155" s="6"/>
      <c r="HV155" s="4"/>
      <c r="HW155" s="8"/>
      <c r="HX155" s="5" t="str">
        <f t="shared" si="536"/>
        <v>NO APLICA</v>
      </c>
      <c r="HY155" s="6"/>
      <c r="HZ155" s="6"/>
      <c r="IA155" s="4"/>
      <c r="IB155" s="8"/>
      <c r="IC155" s="5" t="str">
        <f t="shared" si="537"/>
        <v>NO APLICA</v>
      </c>
      <c r="ID155" s="6"/>
      <c r="IE155" s="6"/>
      <c r="IF155" s="4"/>
      <c r="IG155" s="8"/>
      <c r="IH155" s="5" t="str">
        <f t="shared" si="538"/>
        <v>NO APLICA</v>
      </c>
      <c r="II155" s="6"/>
      <c r="IJ155" s="6"/>
      <c r="IK155" s="4"/>
      <c r="IL155" s="6"/>
      <c r="IM155" s="5" t="str">
        <f t="shared" si="539"/>
        <v>NO APLICA</v>
      </c>
      <c r="IN155" s="6"/>
      <c r="IO155" s="6"/>
      <c r="IP155" s="4"/>
      <c r="IQ155" s="8"/>
      <c r="IR155" s="5" t="str">
        <f t="shared" si="540"/>
        <v>NO APLICA</v>
      </c>
      <c r="IS155" s="6"/>
      <c r="IT155" s="6"/>
      <c r="IU155" s="4"/>
      <c r="IV155" s="8"/>
      <c r="IW155" s="5" t="str">
        <f t="shared" si="541"/>
        <v>NO APLICA</v>
      </c>
      <c r="IX155" s="6"/>
      <c r="IY155" s="6"/>
      <c r="IZ155" s="4"/>
      <c r="JA155" s="8"/>
      <c r="JB155" s="5" t="str">
        <f t="shared" si="542"/>
        <v>NO APLICA</v>
      </c>
      <c r="JC155" s="3"/>
      <c r="JD155" s="3"/>
      <c r="JE155" s="4"/>
      <c r="JF155" s="8"/>
      <c r="JG155" s="5" t="str">
        <f t="shared" si="543"/>
        <v>NO APLICA</v>
      </c>
      <c r="JH155" s="6"/>
      <c r="JI155" s="6"/>
      <c r="JJ155" s="6"/>
      <c r="JK155" s="6"/>
      <c r="JL155" s="5" t="str">
        <f t="shared" si="544"/>
        <v>NO APLICA</v>
      </c>
      <c r="JM155" s="6"/>
      <c r="JN155" s="6"/>
      <c r="JO155" s="6"/>
      <c r="JP155" s="6"/>
      <c r="JQ155" s="5" t="str">
        <f t="shared" si="545"/>
        <v>NO APLICA</v>
      </c>
      <c r="JR155" s="6"/>
      <c r="JS155" s="6"/>
      <c r="JT155" s="6"/>
      <c r="JU155" s="6"/>
      <c r="JV155" s="5" t="str">
        <f t="shared" si="546"/>
        <v>NO APLICA</v>
      </c>
      <c r="JW155" s="5"/>
      <c r="JX155" s="5"/>
      <c r="JY155" s="5"/>
      <c r="JZ155" s="5"/>
      <c r="KA155" s="5" t="str">
        <f t="shared" si="547"/>
        <v>NO APLICA</v>
      </c>
      <c r="KB155" s="5"/>
      <c r="KC155" s="2"/>
      <c r="KD155" s="4"/>
      <c r="KE155" s="8"/>
      <c r="KF155" s="5" t="str">
        <f t="shared" si="548"/>
        <v>NO APLICA</v>
      </c>
      <c r="KG155" s="5"/>
      <c r="KH155" s="2"/>
      <c r="KI155" s="4"/>
      <c r="KJ155" s="8"/>
      <c r="KK155" s="5" t="str">
        <f t="shared" si="573"/>
        <v>NO APLICA</v>
      </c>
      <c r="KL155" s="5"/>
      <c r="KM155" s="2"/>
      <c r="KN155" s="4"/>
      <c r="KO155" s="8"/>
      <c r="KP155" s="5" t="str">
        <f t="shared" si="549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74"/>
        <v>VIGENTE</v>
      </c>
      <c r="KV155" s="6"/>
      <c r="KW155" s="6"/>
      <c r="KX155" s="4"/>
      <c r="KY155" s="6"/>
      <c r="KZ155" s="5" t="str">
        <f t="shared" si="579"/>
        <v>NO APLICA</v>
      </c>
      <c r="LA155" s="5"/>
      <c r="LB155" s="6"/>
      <c r="LC155" s="4"/>
      <c r="LD155" s="6"/>
      <c r="LE155" s="5" t="str">
        <f t="shared" si="575"/>
        <v>NO APLICA</v>
      </c>
      <c r="LF155" s="6"/>
      <c r="LG155" s="6"/>
      <c r="LH155" s="6"/>
      <c r="LI155" s="6"/>
      <c r="LJ155" s="5" t="str">
        <f t="shared" si="581"/>
        <v>NO APLICA</v>
      </c>
      <c r="LK155" s="5"/>
      <c r="LL155" s="5"/>
      <c r="LM155" s="4"/>
      <c r="LN155" s="8"/>
      <c r="LO155" s="5" t="str">
        <f t="shared" si="580"/>
        <v>NO APLICA</v>
      </c>
      <c r="LP155" s="6"/>
      <c r="LQ155" s="6"/>
      <c r="LR155" s="4"/>
      <c r="LS155" s="8"/>
      <c r="LT155" s="5" t="str">
        <f t="shared" si="576"/>
        <v>NO APLICA</v>
      </c>
      <c r="LU155" s="6"/>
      <c r="LV155" s="6"/>
      <c r="LW155" s="4"/>
      <c r="LX155" s="6"/>
      <c r="LY155" s="5" t="str">
        <f t="shared" si="577"/>
        <v>NO APLICA</v>
      </c>
      <c r="LZ155" s="6"/>
      <c r="MA155" s="6"/>
      <c r="MB155" s="4"/>
      <c r="MC155" s="6"/>
      <c r="MD155" s="5" t="str">
        <f t="shared" si="578"/>
        <v>NO APLICA</v>
      </c>
      <c r="ME155" s="6"/>
      <c r="MF155" s="6"/>
      <c r="MG155" s="4"/>
      <c r="MH155" s="6"/>
      <c r="MI155" s="5" t="str">
        <f t="shared" si="551"/>
        <v>NO APLICA</v>
      </c>
      <c r="MJ155" s="6"/>
      <c r="MK155" s="6"/>
      <c r="ML155" s="4"/>
      <c r="MM155" s="6"/>
      <c r="MN155" s="5" t="str">
        <f t="shared" si="552"/>
        <v>NO APLICA</v>
      </c>
      <c r="MO155" s="5"/>
      <c r="MP155" s="6"/>
      <c r="MQ155" s="4"/>
      <c r="MR155" s="6"/>
      <c r="MS155" s="5" t="str">
        <f t="shared" si="553"/>
        <v>NO APLICA</v>
      </c>
      <c r="MT155" s="5"/>
      <c r="MU155" s="6"/>
      <c r="MV155" s="6"/>
      <c r="MW155" s="6"/>
      <c r="MX155" s="5" t="str">
        <f t="shared" si="554"/>
        <v>NO APLICA</v>
      </c>
      <c r="MY155" s="6"/>
      <c r="MZ155" s="6"/>
      <c r="NA155" s="4"/>
      <c r="NB155" s="6"/>
      <c r="NC155" s="5" t="str">
        <f t="shared" si="555"/>
        <v>NO APLICA</v>
      </c>
      <c r="ND155" s="6"/>
      <c r="NE155" s="6"/>
      <c r="NF155" s="4"/>
      <c r="NG155" s="6"/>
      <c r="NH155" s="5" t="str">
        <f t="shared" si="556"/>
        <v>NO APLICA</v>
      </c>
      <c r="NI155" s="6"/>
      <c r="NJ155" s="6"/>
      <c r="NK155" s="4"/>
      <c r="NL155" s="6"/>
      <c r="NM155" s="5" t="str">
        <f t="shared" si="557"/>
        <v>NO APLICA</v>
      </c>
      <c r="NN155" s="6"/>
      <c r="NO155" s="6"/>
      <c r="NP155" s="4"/>
      <c r="NQ155" s="6"/>
      <c r="NR155" s="5" t="str">
        <f t="shared" si="558"/>
        <v>NO APLICA</v>
      </c>
      <c r="NS155" s="6"/>
      <c r="NT155" s="6"/>
      <c r="NU155" s="4"/>
      <c r="NV155" s="6"/>
      <c r="NW155" s="5" t="str">
        <f t="shared" si="559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60"/>
        <v>VENCIDA</v>
      </c>
      <c r="OC155" s="6"/>
      <c r="OD155" s="6"/>
      <c r="OE155" s="6"/>
      <c r="OF155" s="6"/>
      <c r="OG155" s="5" t="str">
        <f t="shared" si="561"/>
        <v>NO APLICA</v>
      </c>
      <c r="OH155" s="6"/>
      <c r="OI155" s="6"/>
      <c r="OJ155" s="6"/>
      <c r="OK155" s="6"/>
      <c r="OL155" s="5" t="str">
        <f t="shared" si="562"/>
        <v>NO APLICA</v>
      </c>
      <c r="OM155" s="6"/>
      <c r="ON155" s="6"/>
      <c r="OO155" s="6"/>
      <c r="OP155" s="6"/>
      <c r="OQ155" s="5" t="str">
        <f t="shared" si="563"/>
        <v>NO APLICA</v>
      </c>
      <c r="OR155" s="6"/>
      <c r="OS155" s="6"/>
      <c r="OT155" s="6"/>
      <c r="OU155" s="6"/>
      <c r="OV155" s="5" t="str">
        <f t="shared" si="564"/>
        <v>NO APLICA</v>
      </c>
      <c r="OW155" s="6"/>
      <c r="OX155" s="6"/>
      <c r="OY155" s="6"/>
      <c r="OZ155" s="6"/>
      <c r="PA155" s="5" t="str">
        <f t="shared" si="565"/>
        <v>NO APLICA</v>
      </c>
      <c r="PB155" s="6"/>
      <c r="PC155" s="6"/>
      <c r="PD155" s="6"/>
      <c r="PE155" s="6"/>
      <c r="PF155" s="5" t="str">
        <f t="shared" si="566"/>
        <v>NO APLICA</v>
      </c>
      <c r="PG155" s="6"/>
      <c r="PH155" s="6"/>
      <c r="PI155" s="6"/>
      <c r="PJ155" s="6"/>
      <c r="PK155" s="5" t="str">
        <f t="shared" si="567"/>
        <v>NO APLICA</v>
      </c>
      <c r="PL155" s="5"/>
      <c r="PM155" s="6"/>
      <c r="PN155" s="6"/>
      <c r="PO155" s="6"/>
      <c r="PP155" s="5" t="str">
        <f t="shared" si="568"/>
        <v>NO APLICA</v>
      </c>
      <c r="PQ155" s="6"/>
      <c r="PR155" s="6"/>
      <c r="PS155" s="6"/>
      <c r="PT155" s="6"/>
      <c r="PU155" s="5" t="str">
        <f t="shared" si="569"/>
        <v>NO APLICA</v>
      </c>
      <c r="PV155" s="5"/>
      <c r="PW155" s="6"/>
      <c r="PX155" s="6"/>
      <c r="PY155" s="6"/>
      <c r="PZ155" s="5" t="str">
        <f t="shared" si="570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506</v>
      </c>
      <c r="D156" s="30" t="s">
        <v>69</v>
      </c>
      <c r="E156" s="31" t="s">
        <v>75</v>
      </c>
      <c r="F156" s="5"/>
      <c r="G156" s="6"/>
      <c r="H156" s="4"/>
      <c r="I156" s="8"/>
      <c r="J156" s="5" t="str">
        <f t="shared" si="464"/>
        <v>NO APLICA</v>
      </c>
      <c r="K156" s="5"/>
      <c r="L156" s="6"/>
      <c r="M156" s="6"/>
      <c r="N156" s="8"/>
      <c r="O156" s="5" t="str">
        <f t="shared" si="465"/>
        <v>NO APLICA</v>
      </c>
      <c r="P156" s="6"/>
      <c r="Q156" s="6"/>
      <c r="R156" s="4"/>
      <c r="S156" s="8"/>
      <c r="T156" s="5" t="str">
        <f t="shared" si="571"/>
        <v>NO APLICA</v>
      </c>
      <c r="U156" s="5"/>
      <c r="V156" s="2" t="s">
        <v>507</v>
      </c>
      <c r="W156" s="4">
        <v>44764</v>
      </c>
      <c r="X156" s="4">
        <f t="shared" si="419"/>
        <v>46590</v>
      </c>
      <c r="Y156" s="8">
        <f t="shared" ca="1" si="420"/>
        <v>455</v>
      </c>
      <c r="Z156" s="5" t="str">
        <f t="shared" ca="1" si="421"/>
        <v>VIGENTE</v>
      </c>
      <c r="AA156" s="5"/>
      <c r="AB156" s="2" t="s">
        <v>508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6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67"/>
        <v>183</v>
      </c>
      <c r="AK156" s="5" t="str">
        <f t="shared" ca="1" si="417"/>
        <v>VIGENTE</v>
      </c>
      <c r="AL156" s="3"/>
      <c r="AM156" s="4">
        <v>46062</v>
      </c>
      <c r="AN156" s="4">
        <f t="shared" si="586"/>
        <v>46792</v>
      </c>
      <c r="AO156" s="8">
        <f t="shared" ca="1" si="468"/>
        <v>657</v>
      </c>
      <c r="AP156" s="5" t="str">
        <f t="shared" ca="1" si="46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0"/>
        <v>643</v>
      </c>
      <c r="AU156" s="5" t="str">
        <f t="shared" ca="1" si="47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2"/>
        <v>665</v>
      </c>
      <c r="AZ156" s="5" t="str">
        <f t="shared" ca="1" si="47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4"/>
        <v>636</v>
      </c>
      <c r="BE156" s="5" t="str">
        <f t="shared" ca="1" si="475"/>
        <v>VIGENTE</v>
      </c>
      <c r="BF156" s="3"/>
      <c r="BG156" s="4">
        <v>45987</v>
      </c>
      <c r="BH156" s="4">
        <f t="shared" si="596"/>
        <v>46717</v>
      </c>
      <c r="BI156" s="8">
        <f t="shared" ca="1" si="476"/>
        <v>582</v>
      </c>
      <c r="BJ156" s="5" t="str">
        <f t="shared" ca="1" si="47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78"/>
        <v>651</v>
      </c>
      <c r="BO156" s="5" t="str">
        <f t="shared" ca="1" si="47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0"/>
        <v>664</v>
      </c>
      <c r="BT156" s="5" t="str">
        <f t="shared" ca="1" si="48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2"/>
        <v>658</v>
      </c>
      <c r="BY156" s="5" t="str">
        <f t="shared" ca="1" si="483"/>
        <v>VIGENTE</v>
      </c>
      <c r="BZ156" s="3"/>
      <c r="CA156" s="4">
        <v>46065</v>
      </c>
      <c r="CB156" s="4">
        <f t="shared" si="588"/>
        <v>46795</v>
      </c>
      <c r="CC156" s="8">
        <f t="shared" ca="1" si="484"/>
        <v>660</v>
      </c>
      <c r="CD156" s="5" t="str">
        <f t="shared" ca="1" si="485"/>
        <v>VIGENTE</v>
      </c>
      <c r="CE156" s="6" t="s">
        <v>73</v>
      </c>
      <c r="CF156" s="4">
        <v>45241</v>
      </c>
      <c r="CG156" s="4">
        <f t="shared" si="425"/>
        <v>46702</v>
      </c>
      <c r="CH156" s="8">
        <f t="shared" ca="1" si="426"/>
        <v>567</v>
      </c>
      <c r="CI156" s="5" t="str">
        <f t="shared" ca="1" si="587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6"/>
        <v>659</v>
      </c>
      <c r="CN156" s="5" t="str">
        <f t="shared" ca="1" si="48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88"/>
        <v>697</v>
      </c>
      <c r="CS156" s="5" t="str">
        <f t="shared" ca="1" si="48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0"/>
        <v>638</v>
      </c>
      <c r="CX156" s="5" t="str">
        <f t="shared" ca="1" si="49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2"/>
        <v>255</v>
      </c>
      <c r="DC156" s="5" t="str">
        <f t="shared" ca="1" si="49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4"/>
        <v>283</v>
      </c>
      <c r="DH156" s="5" t="str">
        <f t="shared" ca="1" si="49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6"/>
        <v>624</v>
      </c>
      <c r="DM156" s="5" t="str">
        <f t="shared" ca="1" si="49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98"/>
        <v>684</v>
      </c>
      <c r="DR156" s="5" t="str">
        <f t="shared" ca="1" si="49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0"/>
        <v>667</v>
      </c>
      <c r="DW156" s="5" t="str">
        <f t="shared" ca="1" si="50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2"/>
        <v>695</v>
      </c>
      <c r="EB156" s="5" t="str">
        <f t="shared" ca="1" si="50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4"/>
        <v>700</v>
      </c>
      <c r="EG156" s="5" t="str">
        <f t="shared" ca="1" si="505"/>
        <v>VIGENTE</v>
      </c>
      <c r="EH156" s="3"/>
      <c r="EI156" s="4">
        <v>45812</v>
      </c>
      <c r="EJ156" s="4">
        <f t="shared" si="572"/>
        <v>46177</v>
      </c>
      <c r="EK156" s="8">
        <f t="shared" ca="1" si="506"/>
        <v>42</v>
      </c>
      <c r="EL156" s="5" t="str">
        <f t="shared" ca="1" si="50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08"/>
        <v>54</v>
      </c>
      <c r="EQ156" s="5" t="str">
        <f t="shared" ca="1" si="50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0"/>
        <v>690</v>
      </c>
      <c r="EV156" s="5" t="str">
        <f t="shared" ca="1" si="511"/>
        <v>VIGENTE</v>
      </c>
      <c r="EW156" s="3"/>
      <c r="EX156" s="4">
        <v>46086</v>
      </c>
      <c r="EY156" s="4">
        <f t="shared" si="589"/>
        <v>46817</v>
      </c>
      <c r="EZ156" s="8">
        <f t="shared" ca="1" si="512"/>
        <v>682</v>
      </c>
      <c r="FA156" s="5" t="str">
        <f t="shared" ca="1" si="513"/>
        <v>VIGENTE</v>
      </c>
      <c r="FB156" s="3"/>
      <c r="FC156" s="4">
        <v>46091</v>
      </c>
      <c r="FD156" s="4">
        <f t="shared" si="590"/>
        <v>46822</v>
      </c>
      <c r="FE156" s="8">
        <f t="shared" ca="1" si="514"/>
        <v>687</v>
      </c>
      <c r="FF156" s="5" t="str">
        <f t="shared" ca="1" si="51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6"/>
        <v>564</v>
      </c>
      <c r="FK156" s="5" t="str">
        <f t="shared" ca="1" si="51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18"/>
        <v>644</v>
      </c>
      <c r="FP156" s="5" t="str">
        <f t="shared" ca="1" si="51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0"/>
        <v>77</v>
      </c>
      <c r="FU156" s="5" t="str">
        <f t="shared" ca="1" si="52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2"/>
        <v>210</v>
      </c>
      <c r="FZ156" s="5" t="str">
        <f t="shared" ca="1" si="52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4"/>
        <v>625</v>
      </c>
      <c r="GE156" s="5" t="str">
        <f t="shared" ca="1" si="52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6"/>
        <v>92</v>
      </c>
      <c r="GJ156" s="5" t="str">
        <f t="shared" ca="1" si="52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28"/>
        <v>93</v>
      </c>
      <c r="GO156" s="5" t="str">
        <f t="shared" ca="1" si="529"/>
        <v>VIGENTE</v>
      </c>
      <c r="GP156" s="4"/>
      <c r="GQ156" s="4">
        <v>45468</v>
      </c>
      <c r="GR156" s="4">
        <f t="shared" si="530"/>
        <v>47294</v>
      </c>
      <c r="GS156" s="8">
        <f t="shared" ca="1" si="416"/>
        <v>1159</v>
      </c>
      <c r="GT156" s="5" t="str">
        <f t="shared" ca="1" si="428"/>
        <v>VIGENTE</v>
      </c>
      <c r="GU156" s="3"/>
      <c r="GV156" s="4">
        <v>45478</v>
      </c>
      <c r="GW156" s="4">
        <f t="shared" si="531"/>
        <v>47304</v>
      </c>
      <c r="GX156" s="8">
        <f t="shared" ca="1" si="532"/>
        <v>1169</v>
      </c>
      <c r="GY156" s="5" t="str">
        <f t="shared" ca="1" si="435"/>
        <v>VIGENTE</v>
      </c>
      <c r="GZ156" s="3"/>
      <c r="HA156" s="4">
        <v>45479</v>
      </c>
      <c r="HB156" s="4">
        <f t="shared" si="533"/>
        <v>47305</v>
      </c>
      <c r="HC156" s="8">
        <f t="shared" ca="1" si="534"/>
        <v>1170</v>
      </c>
      <c r="HD156" s="5" t="str">
        <f t="shared" ca="1" si="430"/>
        <v>VIGENTE</v>
      </c>
      <c r="HE156" s="6"/>
      <c r="HF156" s="4">
        <v>44900</v>
      </c>
      <c r="HG156" s="4">
        <f t="shared" si="597"/>
        <v>46726</v>
      </c>
      <c r="HH156" s="8">
        <f t="shared" ca="1" si="598"/>
        <v>591</v>
      </c>
      <c r="HI156" s="5" t="str">
        <f t="shared" ca="1" si="43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5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3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3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3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3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3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4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4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42"/>
        <v>VIGENTE</v>
      </c>
      <c r="JC156" s="3"/>
      <c r="JD156" s="3"/>
      <c r="JE156" s="4"/>
      <c r="JF156" s="8"/>
      <c r="JG156" s="5" t="str">
        <f t="shared" si="543"/>
        <v>NO APLICA</v>
      </c>
      <c r="JH156" s="6"/>
      <c r="JI156" s="6"/>
      <c r="JJ156" s="6"/>
      <c r="JK156" s="6"/>
      <c r="JL156" s="5" t="str">
        <f t="shared" si="544"/>
        <v>NO APLICA</v>
      </c>
      <c r="JM156" s="6"/>
      <c r="JN156" s="6"/>
      <c r="JO156" s="6"/>
      <c r="JP156" s="6"/>
      <c r="JQ156" s="5" t="str">
        <f t="shared" si="545"/>
        <v>NO APLICA</v>
      </c>
      <c r="JR156" s="6"/>
      <c r="JS156" s="6"/>
      <c r="JT156" s="6"/>
      <c r="JU156" s="6"/>
      <c r="JV156" s="5" t="str">
        <f t="shared" si="546"/>
        <v>NO APLICA</v>
      </c>
      <c r="JW156" s="5"/>
      <c r="JX156" s="5"/>
      <c r="JY156" s="5"/>
      <c r="JZ156" s="5"/>
      <c r="KA156" s="5" t="str">
        <f t="shared" si="547"/>
        <v>NO APLICA</v>
      </c>
      <c r="KB156" s="5"/>
      <c r="KC156" s="2"/>
      <c r="KD156" s="4"/>
      <c r="KE156" s="8"/>
      <c r="KF156" s="5" t="str">
        <f t="shared" si="548"/>
        <v>NO APLICA</v>
      </c>
      <c r="KG156" s="5"/>
      <c r="KH156" s="2"/>
      <c r="KI156" s="4"/>
      <c r="KJ156" s="8"/>
      <c r="KK156" s="5" t="str">
        <f t="shared" si="573"/>
        <v>NO APLICA</v>
      </c>
      <c r="KL156" s="5"/>
      <c r="KM156" s="2"/>
      <c r="KN156" s="4"/>
      <c r="KO156" s="8"/>
      <c r="KP156" s="5" t="str">
        <f t="shared" si="549"/>
        <v>NO APLICA</v>
      </c>
      <c r="KQ156" s="5"/>
      <c r="KR156" s="2"/>
      <c r="KS156" s="4"/>
      <c r="KT156" s="8"/>
      <c r="KU156" s="5" t="str">
        <f t="shared" si="574"/>
        <v>NO APLICA</v>
      </c>
      <c r="KV156" s="2"/>
      <c r="KW156" s="6"/>
      <c r="KX156" s="4"/>
      <c r="KY156" s="8"/>
      <c r="KZ156" s="5" t="str">
        <f t="shared" si="579"/>
        <v>NO APLICA</v>
      </c>
      <c r="LA156" s="5"/>
      <c r="LB156" s="6"/>
      <c r="LC156" s="4"/>
      <c r="LD156" s="8"/>
      <c r="LE156" s="5" t="str">
        <f t="shared" si="575"/>
        <v>NO APLICA</v>
      </c>
      <c r="LF156" s="6"/>
      <c r="LG156" s="6"/>
      <c r="LH156" s="4"/>
      <c r="LI156" s="8"/>
      <c r="LJ156" s="5" t="str">
        <f t="shared" si="581"/>
        <v>NO APLICA</v>
      </c>
      <c r="LK156" s="5"/>
      <c r="LL156" s="5"/>
      <c r="LM156" s="5"/>
      <c r="LN156" s="5"/>
      <c r="LO156" s="5" t="str">
        <f t="shared" si="580"/>
        <v>NO APLICA</v>
      </c>
      <c r="LP156" s="2"/>
      <c r="LQ156" s="6"/>
      <c r="LR156" s="4"/>
      <c r="LS156" s="8"/>
      <c r="LT156" s="5" t="str">
        <f t="shared" si="576"/>
        <v>NO APLICA</v>
      </c>
      <c r="LU156" s="6"/>
      <c r="LV156" s="6"/>
      <c r="LW156" s="4"/>
      <c r="LX156" s="8"/>
      <c r="LY156" s="5" t="str">
        <f t="shared" si="577"/>
        <v>NO APLICA</v>
      </c>
      <c r="LZ156" s="6"/>
      <c r="MA156" s="6"/>
      <c r="MB156" s="4"/>
      <c r="MC156" s="8"/>
      <c r="MD156" s="5" t="str">
        <f t="shared" si="578"/>
        <v>NO APLICA</v>
      </c>
      <c r="ME156" s="2"/>
      <c r="MF156" s="2"/>
      <c r="MG156" s="4"/>
      <c r="MH156" s="8"/>
      <c r="MI156" s="5" t="str">
        <f t="shared" si="551"/>
        <v>NO APLICA</v>
      </c>
      <c r="MJ156" s="2"/>
      <c r="MK156" s="2"/>
      <c r="ML156" s="4"/>
      <c r="MM156" s="8"/>
      <c r="MN156" s="5" t="str">
        <f t="shared" si="552"/>
        <v>NO APLICA</v>
      </c>
      <c r="MO156" s="5"/>
      <c r="MP156" s="2"/>
      <c r="MQ156" s="4"/>
      <c r="MR156" s="8"/>
      <c r="MS156" s="5" t="str">
        <f t="shared" si="553"/>
        <v>NO APLICA</v>
      </c>
      <c r="MT156" s="5"/>
      <c r="MU156" s="2"/>
      <c r="MV156" s="4"/>
      <c r="MW156" s="2"/>
      <c r="MX156" s="5" t="str">
        <f t="shared" si="554"/>
        <v>NO APLICA</v>
      </c>
      <c r="MY156" s="2"/>
      <c r="MZ156" s="6"/>
      <c r="NA156" s="4"/>
      <c r="NB156" s="8"/>
      <c r="NC156" s="5" t="str">
        <f t="shared" si="555"/>
        <v>NO APLICA</v>
      </c>
      <c r="ND156" s="2"/>
      <c r="NE156" s="6"/>
      <c r="NF156" s="4"/>
      <c r="NG156" s="8"/>
      <c r="NH156" s="5" t="str">
        <f t="shared" si="556"/>
        <v>NO APLICA</v>
      </c>
      <c r="NI156" s="2"/>
      <c r="NJ156" s="6"/>
      <c r="NK156" s="4"/>
      <c r="NL156" s="8"/>
      <c r="NM156" s="5" t="str">
        <f t="shared" si="557"/>
        <v>NO APLICA</v>
      </c>
      <c r="NN156" s="2"/>
      <c r="NO156" s="2"/>
      <c r="NP156" s="4"/>
      <c r="NQ156" s="2"/>
      <c r="NR156" s="5" t="str">
        <f t="shared" si="558"/>
        <v>NO APLICA</v>
      </c>
      <c r="NS156" s="2"/>
      <c r="NT156" s="2"/>
      <c r="NU156" s="4"/>
      <c r="NV156" s="2"/>
      <c r="NW156" s="5" t="str">
        <f t="shared" si="559"/>
        <v>NO APLICA</v>
      </c>
      <c r="NX156" s="6"/>
      <c r="NY156" s="6"/>
      <c r="NZ156" s="4"/>
      <c r="OA156" s="8"/>
      <c r="OB156" s="5" t="str">
        <f t="shared" si="560"/>
        <v>NO APLICA</v>
      </c>
      <c r="OC156" s="6"/>
      <c r="OD156" s="6"/>
      <c r="OE156" s="6"/>
      <c r="OF156" s="6"/>
      <c r="OG156" s="5" t="str">
        <f t="shared" si="561"/>
        <v>NO APLICA</v>
      </c>
      <c r="OH156" s="6"/>
      <c r="OI156" s="6"/>
      <c r="OJ156" s="4"/>
      <c r="OK156" s="8"/>
      <c r="OL156" s="5" t="str">
        <f t="shared" si="562"/>
        <v>NO APLICA</v>
      </c>
      <c r="OM156" s="6"/>
      <c r="ON156" s="6"/>
      <c r="OO156" s="6"/>
      <c r="OP156" s="6"/>
      <c r="OQ156" s="5" t="str">
        <f t="shared" si="563"/>
        <v>NO APLICA</v>
      </c>
      <c r="OR156" s="6"/>
      <c r="OS156" s="6"/>
      <c r="OT156" s="6"/>
      <c r="OU156" s="6"/>
      <c r="OV156" s="5" t="str">
        <f t="shared" si="564"/>
        <v>NO APLICA</v>
      </c>
      <c r="OW156" s="6"/>
      <c r="OX156" s="6"/>
      <c r="OY156" s="6"/>
      <c r="OZ156" s="6"/>
      <c r="PA156" s="5" t="str">
        <f t="shared" si="565"/>
        <v>NO APLICA</v>
      </c>
      <c r="PB156" s="6"/>
      <c r="PC156" s="6"/>
      <c r="PD156" s="6"/>
      <c r="PE156" s="6"/>
      <c r="PF156" s="5" t="str">
        <f t="shared" si="566"/>
        <v>NO APLICA</v>
      </c>
      <c r="PG156" s="6"/>
      <c r="PH156" s="6"/>
      <c r="PI156" s="6"/>
      <c r="PJ156" s="6"/>
      <c r="PK156" s="5" t="str">
        <f t="shared" si="567"/>
        <v>NO APLICA</v>
      </c>
      <c r="PL156" s="5"/>
      <c r="PM156" s="6"/>
      <c r="PN156" s="4"/>
      <c r="PO156" s="8"/>
      <c r="PP156" s="5" t="str">
        <f t="shared" si="568"/>
        <v>NO APLICA</v>
      </c>
      <c r="PQ156" s="6"/>
      <c r="PR156" s="6"/>
      <c r="PS156" s="6"/>
      <c r="PT156" s="6"/>
      <c r="PU156" s="5" t="str">
        <f t="shared" si="569"/>
        <v>NO APLICA</v>
      </c>
      <c r="PV156" s="5"/>
      <c r="PW156" s="6"/>
      <c r="PX156" s="6"/>
      <c r="PY156" s="6"/>
      <c r="PZ156" s="5" t="str">
        <f t="shared" si="570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509</v>
      </c>
      <c r="D157" s="30" t="s">
        <v>69</v>
      </c>
      <c r="E157" s="31" t="s">
        <v>75</v>
      </c>
      <c r="F157" s="6"/>
      <c r="G157" s="6"/>
      <c r="H157" s="6"/>
      <c r="I157" s="6"/>
      <c r="J157" s="5" t="str">
        <f t="shared" si="464"/>
        <v>NO APLICA</v>
      </c>
      <c r="K157" s="6"/>
      <c r="L157" s="6"/>
      <c r="M157" s="6"/>
      <c r="N157" s="6"/>
      <c r="O157" s="5" t="str">
        <f t="shared" si="465"/>
        <v>NO APLICA</v>
      </c>
      <c r="P157" s="6"/>
      <c r="Q157" s="6"/>
      <c r="R157" s="6"/>
      <c r="S157" s="6"/>
      <c r="T157" s="5" t="str">
        <f t="shared" si="571"/>
        <v>NO APLICA</v>
      </c>
      <c r="U157" s="5"/>
      <c r="V157" s="6" t="s">
        <v>510</v>
      </c>
      <c r="W157" s="4">
        <v>45309</v>
      </c>
      <c r="X157" s="4">
        <f t="shared" si="419"/>
        <v>47136</v>
      </c>
      <c r="Y157" s="8">
        <f t="shared" ca="1" si="420"/>
        <v>1001</v>
      </c>
      <c r="Z157" s="5" t="str">
        <f t="shared" ca="1" si="421"/>
        <v>VIGENTE</v>
      </c>
      <c r="AA157" s="5"/>
      <c r="AB157" s="6" t="s">
        <v>511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6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67"/>
        <v>601</v>
      </c>
      <c r="AK157" s="5" t="str">
        <f t="shared" ca="1" si="417"/>
        <v>VIGENTE</v>
      </c>
      <c r="AL157" s="4"/>
      <c r="AM157" s="4">
        <v>45959</v>
      </c>
      <c r="AN157" s="4">
        <f t="shared" si="586"/>
        <v>46689</v>
      </c>
      <c r="AO157" s="8">
        <f t="shared" ca="1" si="468"/>
        <v>554</v>
      </c>
      <c r="AP157" s="5" t="str">
        <f t="shared" ca="1" si="46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0"/>
        <v>584</v>
      </c>
      <c r="AU157" s="5" t="str">
        <f t="shared" ca="1" si="47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2"/>
        <v>585</v>
      </c>
      <c r="AZ157" s="5" t="str">
        <f t="shared" ca="1" si="47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4"/>
        <v>636</v>
      </c>
      <c r="BE157" s="5" t="str">
        <f t="shared" ca="1" si="475"/>
        <v>VIGENTE</v>
      </c>
      <c r="BF157" s="6"/>
      <c r="BG157" s="4">
        <v>45987</v>
      </c>
      <c r="BH157" s="4">
        <f t="shared" si="596"/>
        <v>46717</v>
      </c>
      <c r="BI157" s="8">
        <f t="shared" ca="1" si="476"/>
        <v>582</v>
      </c>
      <c r="BJ157" s="5" t="str">
        <f t="shared" ca="1" si="47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78"/>
        <v>630</v>
      </c>
      <c r="BO157" s="5" t="str">
        <f t="shared" ca="1" si="47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0"/>
        <v>41</v>
      </c>
      <c r="BT157" s="5" t="str">
        <f t="shared" ca="1" si="48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2"/>
        <v>669</v>
      </c>
      <c r="BY157" s="5" t="str">
        <f t="shared" ca="1" si="483"/>
        <v>VIGENTE</v>
      </c>
      <c r="BZ157" s="6"/>
      <c r="CA157" s="4">
        <v>45986</v>
      </c>
      <c r="CB157" s="4">
        <f t="shared" si="588"/>
        <v>46716</v>
      </c>
      <c r="CC157" s="8">
        <f t="shared" ca="1" si="484"/>
        <v>581</v>
      </c>
      <c r="CD157" s="5" t="str">
        <f t="shared" ca="1" si="485"/>
        <v>VIGENTE</v>
      </c>
      <c r="CE157" s="6" t="s">
        <v>73</v>
      </c>
      <c r="CF157" s="4">
        <v>45301</v>
      </c>
      <c r="CG157" s="4">
        <f t="shared" si="425"/>
        <v>46762</v>
      </c>
      <c r="CH157" s="8">
        <f t="shared" ca="1" si="426"/>
        <v>627</v>
      </c>
      <c r="CI157" s="5" t="str">
        <f t="shared" ca="1" si="587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6"/>
        <v>613</v>
      </c>
      <c r="CN157" s="5" t="str">
        <f t="shared" ca="1" si="48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88"/>
        <v>574</v>
      </c>
      <c r="CS157" s="5" t="str">
        <f t="shared" ca="1" si="48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0"/>
        <v>676</v>
      </c>
      <c r="CX157" s="5" t="str">
        <f t="shared" ca="1" si="49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2"/>
        <v>694</v>
      </c>
      <c r="DC157" s="5" t="str">
        <f t="shared" ca="1" si="49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4"/>
        <v>640</v>
      </c>
      <c r="DH157" s="5" t="str">
        <f t="shared" ca="1" si="49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6"/>
        <v>624</v>
      </c>
      <c r="DM157" s="5" t="str">
        <f t="shared" ca="1" si="49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98"/>
        <v>684</v>
      </c>
      <c r="DR157" s="5" t="str">
        <f t="shared" ca="1" si="49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0"/>
        <v>667</v>
      </c>
      <c r="DW157" s="5" t="str">
        <f t="shared" ca="1" si="50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2"/>
        <v>695</v>
      </c>
      <c r="EB157" s="5" t="str">
        <f t="shared" ca="1" si="50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4"/>
        <v>708</v>
      </c>
      <c r="EG157" s="5" t="str">
        <f t="shared" ca="1" si="505"/>
        <v>VIGENTE</v>
      </c>
      <c r="EH157" s="4"/>
      <c r="EI157" s="4">
        <v>45808</v>
      </c>
      <c r="EJ157" s="4">
        <f t="shared" si="572"/>
        <v>46173</v>
      </c>
      <c r="EK157" s="8">
        <f t="shared" ca="1" si="506"/>
        <v>38</v>
      </c>
      <c r="EL157" s="5" t="str">
        <f t="shared" ca="1" si="50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08"/>
        <v>696</v>
      </c>
      <c r="EQ157" s="5" t="str">
        <f t="shared" ca="1" si="50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0"/>
        <v>588</v>
      </c>
      <c r="EV157" s="5" t="str">
        <f t="shared" ca="1" si="511"/>
        <v>VIGENTE</v>
      </c>
      <c r="EW157" s="4"/>
      <c r="EX157" s="4">
        <v>46037</v>
      </c>
      <c r="EY157" s="4">
        <f t="shared" si="589"/>
        <v>46767</v>
      </c>
      <c r="EZ157" s="8">
        <f t="shared" ca="1" si="512"/>
        <v>632</v>
      </c>
      <c r="FA157" s="5" t="str">
        <f t="shared" ca="1" si="513"/>
        <v>VIGENTE</v>
      </c>
      <c r="FB157" s="6"/>
      <c r="FC157" s="4">
        <v>45988</v>
      </c>
      <c r="FD157" s="4">
        <f t="shared" si="590"/>
        <v>46718</v>
      </c>
      <c r="FE157" s="8">
        <f t="shared" ca="1" si="514"/>
        <v>583</v>
      </c>
      <c r="FF157" s="5" t="str">
        <f t="shared" ca="1" si="51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6"/>
        <v>587</v>
      </c>
      <c r="FK157" s="5" t="str">
        <f t="shared" ca="1" si="51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18"/>
        <v>634</v>
      </c>
      <c r="FP157" s="5" t="str">
        <f t="shared" ca="1" si="51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0"/>
        <v>552</v>
      </c>
      <c r="FU157" s="5" t="str">
        <f t="shared" ca="1" si="52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2"/>
        <v>609</v>
      </c>
      <c r="FZ157" s="5" t="str">
        <f t="shared" ca="1" si="52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4"/>
        <v>598</v>
      </c>
      <c r="GE157" s="5" t="str">
        <f t="shared" ca="1" si="52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6"/>
        <v>631</v>
      </c>
      <c r="GJ157" s="5" t="str">
        <f t="shared" ca="1" si="52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28"/>
        <v>639</v>
      </c>
      <c r="GO157" s="5" t="str">
        <f t="shared" ca="1" si="529"/>
        <v>VIGENTE</v>
      </c>
      <c r="GP157" s="4"/>
      <c r="GQ157" s="4">
        <v>45367</v>
      </c>
      <c r="GR157" s="4">
        <f t="shared" si="530"/>
        <v>47193</v>
      </c>
      <c r="GS157" s="8">
        <f t="shared" ca="1" si="416"/>
        <v>1058</v>
      </c>
      <c r="GT157" s="5" t="str">
        <f t="shared" ca="1" si="428"/>
        <v>VIGENTE</v>
      </c>
      <c r="GU157" s="4"/>
      <c r="GV157" s="4">
        <v>45329</v>
      </c>
      <c r="GW157" s="4">
        <f t="shared" si="531"/>
        <v>47156</v>
      </c>
      <c r="GX157" s="8">
        <f t="shared" ca="1" si="532"/>
        <v>1021</v>
      </c>
      <c r="GY157" s="5" t="str">
        <f t="shared" ca="1" si="435"/>
        <v>VIGENTE</v>
      </c>
      <c r="GZ157" s="6"/>
      <c r="HA157" s="4">
        <v>45348</v>
      </c>
      <c r="HB157" s="4">
        <f t="shared" si="533"/>
        <v>47175</v>
      </c>
      <c r="HC157" s="8">
        <f t="shared" ca="1" si="534"/>
        <v>1040</v>
      </c>
      <c r="HD157" s="5" t="str">
        <f t="shared" ca="1" si="430"/>
        <v>VIGENTE</v>
      </c>
      <c r="HE157" s="6"/>
      <c r="HF157" s="4">
        <v>45401</v>
      </c>
      <c r="HG157" s="4">
        <f t="shared" si="597"/>
        <v>47227</v>
      </c>
      <c r="HH157" s="8">
        <f t="shared" ca="1" si="598"/>
        <v>1092</v>
      </c>
      <c r="HI157" s="5" t="str">
        <f t="shared" ca="1" si="436"/>
        <v>VIGENTE</v>
      </c>
      <c r="HJ157" s="6"/>
      <c r="HK157" s="4"/>
      <c r="HL157" s="4"/>
      <c r="HM157" s="8"/>
      <c r="HN157" s="5" t="str">
        <f t="shared" si="453"/>
        <v>NO APLICA</v>
      </c>
      <c r="HO157" s="2"/>
      <c r="HP157" s="2"/>
      <c r="HQ157" s="4"/>
      <c r="HR157" s="2"/>
      <c r="HS157" s="5" t="str">
        <f t="shared" si="535"/>
        <v>NO APLICA</v>
      </c>
      <c r="HT157" s="6"/>
      <c r="HU157" s="6"/>
      <c r="HV157" s="4"/>
      <c r="HW157" s="8"/>
      <c r="HX157" s="5" t="str">
        <f t="shared" si="536"/>
        <v>NO APLICA</v>
      </c>
      <c r="HY157" s="6"/>
      <c r="HZ157" s="6"/>
      <c r="IA157" s="4"/>
      <c r="IB157" s="8"/>
      <c r="IC157" s="5" t="str">
        <f t="shared" si="537"/>
        <v>NO APLICA</v>
      </c>
      <c r="ID157" s="6"/>
      <c r="IE157" s="6"/>
      <c r="IF157" s="4"/>
      <c r="IG157" s="8"/>
      <c r="IH157" s="5" t="str">
        <f t="shared" si="538"/>
        <v>NO APLICA</v>
      </c>
      <c r="II157" s="6"/>
      <c r="IJ157" s="6"/>
      <c r="IK157" s="4"/>
      <c r="IL157" s="6"/>
      <c r="IM157" s="5" t="str">
        <f t="shared" si="539"/>
        <v>NO APLICA</v>
      </c>
      <c r="IN157" s="6"/>
      <c r="IO157" s="6"/>
      <c r="IP157" s="4"/>
      <c r="IQ157" s="8"/>
      <c r="IR157" s="5" t="str">
        <f t="shared" si="54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41"/>
        <v>VIGENTE</v>
      </c>
      <c r="IX157" s="6"/>
      <c r="IY157" s="6"/>
      <c r="IZ157" s="4"/>
      <c r="JA157" s="8"/>
      <c r="JB157" s="5" t="str">
        <f t="shared" si="542"/>
        <v>NO APLICA</v>
      </c>
      <c r="JC157" s="3"/>
      <c r="JD157" s="3"/>
      <c r="JE157" s="4"/>
      <c r="JF157" s="8"/>
      <c r="JG157" s="5" t="str">
        <f t="shared" si="543"/>
        <v>NO APLICA</v>
      </c>
      <c r="JH157" s="6"/>
      <c r="JI157" s="6"/>
      <c r="JJ157" s="6"/>
      <c r="JK157" s="6"/>
      <c r="JL157" s="5" t="str">
        <f t="shared" si="544"/>
        <v>NO APLICA</v>
      </c>
      <c r="JM157" s="6"/>
      <c r="JN157" s="6"/>
      <c r="JO157" s="6"/>
      <c r="JP157" s="6"/>
      <c r="JQ157" s="5" t="str">
        <f t="shared" si="545"/>
        <v>NO APLICA</v>
      </c>
      <c r="JR157" s="6"/>
      <c r="JS157" s="6"/>
      <c r="JT157" s="6"/>
      <c r="JU157" s="6"/>
      <c r="JV157" s="5" t="str">
        <f t="shared" si="546"/>
        <v>NO APLICA</v>
      </c>
      <c r="JW157" s="5"/>
      <c r="JX157" s="5"/>
      <c r="JY157" s="5"/>
      <c r="JZ157" s="5"/>
      <c r="KA157" s="5" t="str">
        <f t="shared" si="547"/>
        <v>NO APLICA</v>
      </c>
      <c r="KB157" s="5"/>
      <c r="KC157" s="2"/>
      <c r="KD157" s="4"/>
      <c r="KE157" s="8"/>
      <c r="KF157" s="5" t="str">
        <f t="shared" si="548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73"/>
        <v>VIGENTE</v>
      </c>
      <c r="KL157" s="5"/>
      <c r="KM157" s="2"/>
      <c r="KN157" s="4"/>
      <c r="KO157" s="8"/>
      <c r="KP157" s="5" t="str">
        <f t="shared" si="549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74"/>
        <v>VIGENTE</v>
      </c>
      <c r="KV157" s="6"/>
      <c r="KW157" s="6"/>
      <c r="KX157" s="4"/>
      <c r="KY157" s="6"/>
      <c r="KZ157" s="5" t="str">
        <f t="shared" si="579"/>
        <v>NO APLICA</v>
      </c>
      <c r="LA157" s="5"/>
      <c r="LB157" s="6"/>
      <c r="LC157" s="4"/>
      <c r="LD157" s="6"/>
      <c r="LE157" s="5" t="str">
        <f t="shared" si="575"/>
        <v>NO APLICA</v>
      </c>
      <c r="LF157" s="6"/>
      <c r="LG157" s="6"/>
      <c r="LH157" s="6"/>
      <c r="LI157" s="6"/>
      <c r="LJ157" s="5" t="str">
        <f t="shared" si="581"/>
        <v>NO APLICA</v>
      </c>
      <c r="LK157" s="5"/>
      <c r="LL157" s="5"/>
      <c r="LM157" s="4"/>
      <c r="LN157" s="8"/>
      <c r="LO157" s="5" t="str">
        <f t="shared" si="580"/>
        <v>NO APLICA</v>
      </c>
      <c r="LP157" s="6"/>
      <c r="LQ157" s="6"/>
      <c r="LR157" s="4"/>
      <c r="LS157" s="8"/>
      <c r="LT157" s="5" t="str">
        <f t="shared" si="576"/>
        <v>NO APLICA</v>
      </c>
      <c r="LU157" s="6"/>
      <c r="LV157" s="6"/>
      <c r="LW157" s="4"/>
      <c r="LX157" s="6"/>
      <c r="LY157" s="5" t="str">
        <f t="shared" si="577"/>
        <v>NO APLICA</v>
      </c>
      <c r="LZ157" s="6"/>
      <c r="MA157" s="6"/>
      <c r="MB157" s="4"/>
      <c r="MC157" s="6"/>
      <c r="MD157" s="5" t="str">
        <f t="shared" si="578"/>
        <v>NO APLICA</v>
      </c>
      <c r="ME157" s="6"/>
      <c r="MF157" s="6"/>
      <c r="MG157" s="4"/>
      <c r="MH157" s="6"/>
      <c r="MI157" s="5" t="str">
        <f t="shared" si="551"/>
        <v>NO APLICA</v>
      </c>
      <c r="MJ157" s="6"/>
      <c r="MK157" s="6"/>
      <c r="ML157" s="4"/>
      <c r="MM157" s="6"/>
      <c r="MN157" s="5" t="str">
        <f t="shared" si="552"/>
        <v>NO APLICA</v>
      </c>
      <c r="MO157" s="5"/>
      <c r="MP157" s="6"/>
      <c r="MQ157" s="4"/>
      <c r="MR157" s="6"/>
      <c r="MS157" s="5" t="str">
        <f t="shared" si="553"/>
        <v>NO APLICA</v>
      </c>
      <c r="MT157" s="5"/>
      <c r="MU157" s="6"/>
      <c r="MV157" s="6"/>
      <c r="MW157" s="6"/>
      <c r="MX157" s="5" t="str">
        <f t="shared" si="554"/>
        <v>NO APLICA</v>
      </c>
      <c r="MY157" s="6"/>
      <c r="MZ157" s="6"/>
      <c r="NA157" s="4"/>
      <c r="NB157" s="6"/>
      <c r="NC157" s="5" t="str">
        <f t="shared" si="555"/>
        <v>NO APLICA</v>
      </c>
      <c r="ND157" s="6"/>
      <c r="NE157" s="6"/>
      <c r="NF157" s="4"/>
      <c r="NG157" s="6"/>
      <c r="NH157" s="5" t="str">
        <f t="shared" si="556"/>
        <v>NO APLICA</v>
      </c>
      <c r="NI157" s="6"/>
      <c r="NJ157" s="6"/>
      <c r="NK157" s="4"/>
      <c r="NL157" s="6"/>
      <c r="NM157" s="5" t="str">
        <f t="shared" si="557"/>
        <v>NO APLICA</v>
      </c>
      <c r="NN157" s="6"/>
      <c r="NO157" s="6"/>
      <c r="NP157" s="4"/>
      <c r="NQ157" s="6"/>
      <c r="NR157" s="5" t="str">
        <f t="shared" si="558"/>
        <v>NO APLICA</v>
      </c>
      <c r="NS157" s="6"/>
      <c r="NT157" s="6"/>
      <c r="NU157" s="4"/>
      <c r="NV157" s="6"/>
      <c r="NW157" s="5" t="str">
        <f t="shared" si="559"/>
        <v>NO APLICA</v>
      </c>
      <c r="NX157" s="6"/>
      <c r="NY157" s="6"/>
      <c r="NZ157" s="4"/>
      <c r="OA157" s="8"/>
      <c r="OB157" s="5" t="str">
        <f t="shared" si="560"/>
        <v>NO APLICA</v>
      </c>
      <c r="OC157" s="6"/>
      <c r="OD157" s="6"/>
      <c r="OE157" s="6"/>
      <c r="OF157" s="6"/>
      <c r="OG157" s="5" t="str">
        <f t="shared" si="561"/>
        <v>NO APLICA</v>
      </c>
      <c r="OH157" s="6"/>
      <c r="OI157" s="6"/>
      <c r="OJ157" s="6"/>
      <c r="OK157" s="6"/>
      <c r="OL157" s="5" t="str">
        <f t="shared" si="562"/>
        <v>NO APLICA</v>
      </c>
      <c r="OM157" s="6"/>
      <c r="ON157" s="6"/>
      <c r="OO157" s="6"/>
      <c r="OP157" s="6"/>
      <c r="OQ157" s="5" t="str">
        <f t="shared" si="563"/>
        <v>NO APLICA</v>
      </c>
      <c r="OR157" s="6"/>
      <c r="OS157" s="6"/>
      <c r="OT157" s="6"/>
      <c r="OU157" s="6"/>
      <c r="OV157" s="5" t="str">
        <f t="shared" si="564"/>
        <v>NO APLICA</v>
      </c>
      <c r="OW157" s="6"/>
      <c r="OX157" s="6"/>
      <c r="OY157" s="6"/>
      <c r="OZ157" s="6"/>
      <c r="PA157" s="5" t="str">
        <f t="shared" si="565"/>
        <v>NO APLICA</v>
      </c>
      <c r="PB157" s="6"/>
      <c r="PC157" s="6"/>
      <c r="PD157" s="6"/>
      <c r="PE157" s="6"/>
      <c r="PF157" s="5" t="str">
        <f t="shared" si="566"/>
        <v>NO APLICA</v>
      </c>
      <c r="PG157" s="6"/>
      <c r="PH157" s="6"/>
      <c r="PI157" s="6"/>
      <c r="PJ157" s="6"/>
      <c r="PK157" s="5" t="str">
        <f t="shared" si="567"/>
        <v>NO APLICA</v>
      </c>
      <c r="PL157" s="5"/>
      <c r="PM157" s="6"/>
      <c r="PN157" s="6"/>
      <c r="PO157" s="6"/>
      <c r="PP157" s="5" t="str">
        <f t="shared" si="568"/>
        <v>NO APLICA</v>
      </c>
      <c r="PQ157" s="6"/>
      <c r="PR157" s="6"/>
      <c r="PS157" s="6"/>
      <c r="PT157" s="6"/>
      <c r="PU157" s="5" t="str">
        <f t="shared" si="569"/>
        <v>NO APLICA</v>
      </c>
      <c r="PV157" s="5"/>
      <c r="PW157" s="6"/>
      <c r="PX157" s="6"/>
      <c r="PY157" s="6"/>
      <c r="PZ157" s="5" t="str">
        <f t="shared" si="570"/>
        <v>NO APLICA</v>
      </c>
    </row>
    <row r="158" spans="1:442" ht="15.6" thickTop="1" thickBot="1" x14ac:dyDescent="0.35">
      <c r="A158" s="27">
        <v>155</v>
      </c>
      <c r="B158" s="33" t="s">
        <v>512</v>
      </c>
      <c r="C158" s="29" t="s">
        <v>513</v>
      </c>
      <c r="D158" s="30" t="s">
        <v>514</v>
      </c>
      <c r="E158" s="31" t="s">
        <v>515</v>
      </c>
      <c r="F158" s="6"/>
      <c r="G158" s="6"/>
      <c r="H158" s="6"/>
      <c r="I158" s="8"/>
      <c r="J158" s="5" t="str">
        <f t="shared" si="464"/>
        <v>NO APLICA</v>
      </c>
      <c r="K158" s="6"/>
      <c r="L158" s="6"/>
      <c r="M158" s="6"/>
      <c r="N158" s="8"/>
      <c r="O158" s="5" t="str">
        <f t="shared" si="46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71"/>
        <v>VIGENTE</v>
      </c>
      <c r="U158" s="5"/>
      <c r="V158" s="5"/>
      <c r="W158" s="4"/>
      <c r="X158" s="4"/>
      <c r="Y158" s="8"/>
      <c r="Z158" s="5" t="str">
        <f t="shared" si="421"/>
        <v>NO APLICA</v>
      </c>
      <c r="AA158" s="5"/>
      <c r="AB158" s="2"/>
      <c r="AC158" s="6"/>
      <c r="AD158" s="4"/>
      <c r="AE158" s="8"/>
      <c r="AF158" s="5" t="str">
        <f t="shared" si="46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67"/>
        <v>315</v>
      </c>
      <c r="AK158" s="5" t="str">
        <f t="shared" ca="1" si="41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68"/>
        <v>304</v>
      </c>
      <c r="AP158" s="5" t="str">
        <f t="shared" ca="1" si="46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0"/>
        <v>297</v>
      </c>
      <c r="AU158" s="5" t="str">
        <f t="shared" ca="1" si="47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2"/>
        <v>296</v>
      </c>
      <c r="AZ158" s="5" t="str">
        <f t="shared" ca="1" si="47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4"/>
        <v>197</v>
      </c>
      <c r="BE158" s="5" t="str">
        <f t="shared" ca="1" si="47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6"/>
        <v>199</v>
      </c>
      <c r="BJ158" s="5" t="str">
        <f t="shared" ca="1" si="47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78"/>
        <v>194</v>
      </c>
      <c r="BO158" s="5" t="str">
        <f t="shared" ca="1" si="47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0"/>
        <v>295</v>
      </c>
      <c r="BT158" s="5" t="str">
        <f t="shared" ca="1" si="481"/>
        <v>VIGENTE</v>
      </c>
      <c r="BU158" s="4"/>
      <c r="BV158" s="4">
        <v>45568</v>
      </c>
      <c r="BW158" s="4">
        <f t="shared" ref="BW158:BW163" si="599">DATE(YEAR(BV158)+2,MONTH(BV158),DAY(BV158)-1)</f>
        <v>46297</v>
      </c>
      <c r="BX158" s="8">
        <f t="shared" ca="1" si="482"/>
        <v>162</v>
      </c>
      <c r="BY158" s="5" t="str">
        <f t="shared" ca="1" si="48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4"/>
        <v>223</v>
      </c>
      <c r="CD158" s="5" t="str">
        <f t="shared" ca="1" si="485"/>
        <v>VIGENTE</v>
      </c>
      <c r="CE158" s="6"/>
      <c r="CF158" s="24"/>
      <c r="CG158" s="4"/>
      <c r="CH158" s="8"/>
      <c r="CI158" s="5" t="str">
        <f t="shared" si="587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6"/>
        <v>195</v>
      </c>
      <c r="CN158" s="5" t="str">
        <f t="shared" ca="1" si="487"/>
        <v>VIGENTE</v>
      </c>
      <c r="CO158" s="4"/>
      <c r="CP158" s="4">
        <v>45618</v>
      </c>
      <c r="CQ158" s="4">
        <f t="shared" ref="CQ158:CQ163" si="600">DATE(YEAR(CP158)+2,MONTH(CP158),DAY(CP158)-1)</f>
        <v>46347</v>
      </c>
      <c r="CR158" s="8">
        <f t="shared" ca="1" si="488"/>
        <v>212</v>
      </c>
      <c r="CS158" s="5" t="str">
        <f t="shared" ca="1" si="48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0"/>
        <v>321</v>
      </c>
      <c r="CX158" s="5" t="str">
        <f t="shared" ca="1" si="49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2"/>
        <v>275</v>
      </c>
      <c r="DC158" s="5" t="str">
        <f t="shared" ca="1" si="49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4"/>
        <v>190</v>
      </c>
      <c r="DH158" s="5" t="str">
        <f t="shared" ca="1" si="49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6"/>
        <v>290</v>
      </c>
      <c r="DM158" s="5" t="str">
        <f t="shared" ca="1" si="49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98"/>
        <v>171</v>
      </c>
      <c r="DR158" s="5" t="str">
        <f t="shared" ca="1" si="49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0"/>
        <v>279</v>
      </c>
      <c r="DW158" s="5" t="str">
        <f t="shared" ca="1" si="50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2"/>
        <v>257</v>
      </c>
      <c r="EB158" s="5" t="str">
        <f t="shared" ca="1" si="50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4"/>
        <v>196</v>
      </c>
      <c r="EG158" s="5" t="str">
        <f t="shared" ca="1" si="505"/>
        <v>VIGENTE</v>
      </c>
      <c r="EH158" s="3"/>
      <c r="EI158" s="3">
        <v>46107</v>
      </c>
      <c r="EJ158" s="4">
        <f t="shared" si="572"/>
        <v>46472</v>
      </c>
      <c r="EK158" s="8">
        <f t="shared" ca="1" si="506"/>
        <v>337</v>
      </c>
      <c r="EL158" s="5" t="str">
        <f t="shared" ca="1" si="50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08"/>
        <v>230</v>
      </c>
      <c r="EQ158" s="5" t="str">
        <f t="shared" ca="1" si="50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0"/>
        <v>217</v>
      </c>
      <c r="EV158" s="5" t="str">
        <f t="shared" ca="1" si="51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2"/>
        <v>204</v>
      </c>
      <c r="FA158" s="5" t="str">
        <f t="shared" ca="1" si="51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4"/>
        <v>260</v>
      </c>
      <c r="FF158" s="5" t="str">
        <f t="shared" ca="1" si="51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6"/>
        <v>262</v>
      </c>
      <c r="FK158" s="5" t="str">
        <f t="shared" ca="1" si="51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18"/>
        <v>182</v>
      </c>
      <c r="FP158" s="5" t="str">
        <f t="shared" ca="1" si="51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0"/>
        <v>258</v>
      </c>
      <c r="FU158" s="5" t="str">
        <f t="shared" ca="1" si="52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2"/>
        <v>294</v>
      </c>
      <c r="FZ158" s="5" t="str">
        <f t="shared" ca="1" si="52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4"/>
        <v>261</v>
      </c>
      <c r="GE158" s="5" t="str">
        <f t="shared" ca="1" si="52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6"/>
        <v>266</v>
      </c>
      <c r="GJ158" s="5" t="str">
        <f t="shared" ca="1" si="52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28"/>
        <v>202</v>
      </c>
      <c r="GO158" s="5" t="str">
        <f t="shared" ca="1" si="529"/>
        <v>VIGENTE</v>
      </c>
      <c r="GP158" s="4"/>
      <c r="GQ158" s="4">
        <v>44966</v>
      </c>
      <c r="GR158" s="4">
        <f t="shared" si="530"/>
        <v>46792</v>
      </c>
      <c r="GS158" s="8">
        <f t="shared" ca="1" si="416"/>
        <v>657</v>
      </c>
      <c r="GT158" s="5" t="str">
        <f t="shared" ca="1" si="428"/>
        <v>VIGENTE</v>
      </c>
      <c r="GU158" s="4"/>
      <c r="GV158" s="4">
        <v>44952</v>
      </c>
      <c r="GW158" s="4">
        <f t="shared" si="531"/>
        <v>46778</v>
      </c>
      <c r="GX158" s="8">
        <f t="shared" ca="1" si="532"/>
        <v>643</v>
      </c>
      <c r="GY158" s="5" t="str">
        <f t="shared" ca="1" si="435"/>
        <v>VIGENTE</v>
      </c>
      <c r="GZ158" s="6"/>
      <c r="HA158" s="4">
        <v>44980</v>
      </c>
      <c r="HB158" s="4">
        <f t="shared" si="533"/>
        <v>46806</v>
      </c>
      <c r="HC158" s="8">
        <f t="shared" ca="1" si="534"/>
        <v>671</v>
      </c>
      <c r="HD158" s="5" t="str">
        <f t="shared" ca="1" si="430"/>
        <v>VIGENTE</v>
      </c>
      <c r="HE158" s="6"/>
      <c r="HF158" s="4">
        <v>44956</v>
      </c>
      <c r="HG158" s="4">
        <f t="shared" si="597"/>
        <v>46782</v>
      </c>
      <c r="HH158" s="8">
        <f t="shared" ca="1" si="598"/>
        <v>647</v>
      </c>
      <c r="HI158" s="5" t="str">
        <f t="shared" ca="1" si="436"/>
        <v>VIGENTE</v>
      </c>
      <c r="HJ158" s="6"/>
      <c r="HK158" s="6"/>
      <c r="HL158" s="4"/>
      <c r="HM158" s="8"/>
      <c r="HN158" s="5" t="str">
        <f t="shared" si="453"/>
        <v>NO APLICA</v>
      </c>
      <c r="HO158" s="2"/>
      <c r="HP158" s="5"/>
      <c r="HQ158" s="4"/>
      <c r="HR158" s="5"/>
      <c r="HS158" s="5" t="str">
        <f t="shared" si="535"/>
        <v>NO APLICA</v>
      </c>
      <c r="HT158" s="2"/>
      <c r="HU158" s="6"/>
      <c r="HV158" s="4"/>
      <c r="HW158" s="8"/>
      <c r="HX158" s="5" t="str">
        <f t="shared" si="536"/>
        <v>NO APLICA</v>
      </c>
      <c r="HY158" s="2"/>
      <c r="HZ158" s="6"/>
      <c r="IA158" s="4"/>
      <c r="IB158" s="8"/>
      <c r="IC158" s="5" t="str">
        <f t="shared" si="537"/>
        <v>NO APLICA</v>
      </c>
      <c r="ID158" s="2"/>
      <c r="IE158" s="6"/>
      <c r="IF158" s="4"/>
      <c r="IG158" s="8"/>
      <c r="IH158" s="5" t="str">
        <f t="shared" si="538"/>
        <v>NO APLICA</v>
      </c>
      <c r="II158" s="6"/>
      <c r="IJ158" s="6"/>
      <c r="IK158" s="4"/>
      <c r="IL158" s="8"/>
      <c r="IM158" s="5" t="str">
        <f t="shared" si="539"/>
        <v>NO APLICA</v>
      </c>
      <c r="IN158" s="6"/>
      <c r="IO158" s="6"/>
      <c r="IP158" s="4"/>
      <c r="IQ158" s="8"/>
      <c r="IR158" s="5" t="str">
        <f t="shared" si="540"/>
        <v>NO APLICA</v>
      </c>
      <c r="IS158" s="2"/>
      <c r="IT158" s="6"/>
      <c r="IU158" s="4"/>
      <c r="IV158" s="8"/>
      <c r="IW158" s="5" t="str">
        <f t="shared" si="541"/>
        <v>NO APLICA</v>
      </c>
      <c r="IX158" s="2"/>
      <c r="IY158" s="6"/>
      <c r="IZ158" s="4"/>
      <c r="JA158" s="8"/>
      <c r="JB158" s="5" t="str">
        <f t="shared" si="542"/>
        <v>NO APLICA</v>
      </c>
      <c r="JC158" s="3"/>
      <c r="JD158" s="3"/>
      <c r="JE158" s="4"/>
      <c r="JF158" s="8"/>
      <c r="JG158" s="5" t="str">
        <f t="shared" si="543"/>
        <v>NO APLICA</v>
      </c>
      <c r="JH158" s="6"/>
      <c r="JI158" s="6"/>
      <c r="JJ158" s="6"/>
      <c r="JK158" s="6"/>
      <c r="JL158" s="5" t="str">
        <f t="shared" si="544"/>
        <v>NO APLICA</v>
      </c>
      <c r="JM158" s="6"/>
      <c r="JN158" s="6"/>
      <c r="JO158" s="6"/>
      <c r="JP158" s="6"/>
      <c r="JQ158" s="5" t="str">
        <f t="shared" si="545"/>
        <v>NO APLICA</v>
      </c>
      <c r="JR158" s="6"/>
      <c r="JS158" s="6"/>
      <c r="JT158" s="6"/>
      <c r="JU158" s="6"/>
      <c r="JV158" s="5" t="str">
        <f t="shared" si="546"/>
        <v>NO APLICA</v>
      </c>
      <c r="JW158" s="5"/>
      <c r="JX158" s="5"/>
      <c r="JY158" s="5"/>
      <c r="JZ158" s="5"/>
      <c r="KA158" s="5" t="str">
        <f t="shared" si="547"/>
        <v>NO APLICA</v>
      </c>
      <c r="KB158" s="5"/>
      <c r="KC158" s="5"/>
      <c r="KD158" s="4"/>
      <c r="KE158" s="8"/>
      <c r="KF158" s="5" t="str">
        <f t="shared" si="548"/>
        <v>NO APLICA</v>
      </c>
      <c r="KG158" s="5"/>
      <c r="KH158" s="5"/>
      <c r="KI158" s="4"/>
      <c r="KJ158" s="8"/>
      <c r="KK158" s="5" t="str">
        <f t="shared" si="573"/>
        <v>NO APLICA</v>
      </c>
      <c r="KL158" s="5"/>
      <c r="KM158" s="5"/>
      <c r="KN158" s="4"/>
      <c r="KO158" s="8"/>
      <c r="KP158" s="5" t="str">
        <f t="shared" si="549"/>
        <v>NO APLICA</v>
      </c>
      <c r="KQ158" s="5"/>
      <c r="KR158" s="2"/>
      <c r="KS158" s="4"/>
      <c r="KT158" s="8"/>
      <c r="KU158" s="5" t="str">
        <f t="shared" si="574"/>
        <v>NO APLICA</v>
      </c>
      <c r="KV158" s="6"/>
      <c r="KW158" s="6"/>
      <c r="KX158" s="4"/>
      <c r="KY158" s="8"/>
      <c r="KZ158" s="5" t="str">
        <f t="shared" si="579"/>
        <v>NO APLICA</v>
      </c>
      <c r="LA158" s="5"/>
      <c r="LB158" s="6"/>
      <c r="LC158" s="4"/>
      <c r="LD158" s="8"/>
      <c r="LE158" s="5" t="str">
        <f t="shared" si="575"/>
        <v>NO APLICA</v>
      </c>
      <c r="LF158" s="6"/>
      <c r="LG158" s="6"/>
      <c r="LH158" s="4"/>
      <c r="LI158" s="8"/>
      <c r="LJ158" s="5" t="str">
        <f t="shared" si="581"/>
        <v>NO APLICA</v>
      </c>
      <c r="LK158" s="5"/>
      <c r="LL158" s="5"/>
      <c r="LM158" s="4"/>
      <c r="LN158" s="8"/>
      <c r="LO158" s="5" t="str">
        <f t="shared" si="580"/>
        <v>NO APLICA</v>
      </c>
      <c r="LP158" s="5"/>
      <c r="LQ158" s="6"/>
      <c r="LR158" s="4"/>
      <c r="LS158" s="8"/>
      <c r="LT158" s="5" t="str">
        <f t="shared" si="576"/>
        <v>NO APLICA</v>
      </c>
      <c r="LU158" s="6"/>
      <c r="LV158" s="6"/>
      <c r="LW158" s="4"/>
      <c r="LX158" s="8"/>
      <c r="LY158" s="5" t="str">
        <f t="shared" si="577"/>
        <v>NO APLICA</v>
      </c>
      <c r="LZ158" s="6"/>
      <c r="MA158" s="6"/>
      <c r="MB158" s="4"/>
      <c r="MC158" s="8"/>
      <c r="MD158" s="5" t="str">
        <f t="shared" si="578"/>
        <v>NO APLICA</v>
      </c>
      <c r="ME158" s="5"/>
      <c r="MF158" s="5"/>
      <c r="MG158" s="4"/>
      <c r="MH158" s="8"/>
      <c r="MI158" s="5" t="str">
        <f t="shared" si="551"/>
        <v>NO APLICA</v>
      </c>
      <c r="MJ158" s="5"/>
      <c r="MK158" s="5"/>
      <c r="ML158" s="4"/>
      <c r="MM158" s="8"/>
      <c r="MN158" s="5" t="str">
        <f t="shared" si="552"/>
        <v>NO APLICA</v>
      </c>
      <c r="MO158" s="5"/>
      <c r="MP158" s="5"/>
      <c r="MQ158" s="4"/>
      <c r="MR158" s="8"/>
      <c r="MS158" s="5" t="str">
        <f t="shared" si="553"/>
        <v>NO APLICA</v>
      </c>
      <c r="MT158" s="5"/>
      <c r="MU158" s="5"/>
      <c r="MV158" s="5"/>
      <c r="MW158" s="5"/>
      <c r="MX158" s="5" t="str">
        <f t="shared" si="554"/>
        <v>NO APLICA</v>
      </c>
      <c r="MY158" s="5"/>
      <c r="MZ158" s="6"/>
      <c r="NA158" s="4"/>
      <c r="NB158" s="8"/>
      <c r="NC158" s="5" t="str">
        <f t="shared" si="555"/>
        <v>NO APLICA</v>
      </c>
      <c r="ND158" s="5"/>
      <c r="NE158" s="6"/>
      <c r="NF158" s="4"/>
      <c r="NG158" s="8"/>
      <c r="NH158" s="5" t="str">
        <f t="shared" si="556"/>
        <v>NO APLICA</v>
      </c>
      <c r="NI158" s="5"/>
      <c r="NJ158" s="6"/>
      <c r="NK158" s="4"/>
      <c r="NL158" s="8"/>
      <c r="NM158" s="5" t="str">
        <f t="shared" si="557"/>
        <v>NO APLICA</v>
      </c>
      <c r="NN158" s="5"/>
      <c r="NO158" s="5"/>
      <c r="NP158" s="4"/>
      <c r="NQ158" s="8"/>
      <c r="NR158" s="5" t="str">
        <f t="shared" si="558"/>
        <v>NO APLICA</v>
      </c>
      <c r="NS158" s="5"/>
      <c r="NT158" s="5"/>
      <c r="NU158" s="4"/>
      <c r="NV158" s="5"/>
      <c r="NW158" s="5" t="str">
        <f t="shared" si="559"/>
        <v>NO APLICA</v>
      </c>
      <c r="NX158" s="6"/>
      <c r="NY158" s="6"/>
      <c r="NZ158" s="4"/>
      <c r="OA158" s="8"/>
      <c r="OB158" s="5" t="str">
        <f t="shared" si="560"/>
        <v>NO APLICA</v>
      </c>
      <c r="OC158" s="6"/>
      <c r="OD158" s="6"/>
      <c r="OE158" s="6"/>
      <c r="OF158" s="6"/>
      <c r="OG158" s="5" t="str">
        <f t="shared" si="561"/>
        <v>NO APLICA</v>
      </c>
      <c r="OH158" s="6"/>
      <c r="OI158" s="6"/>
      <c r="OJ158" s="4"/>
      <c r="OK158" s="8"/>
      <c r="OL158" s="5" t="str">
        <f t="shared" si="562"/>
        <v>NO APLICA</v>
      </c>
      <c r="OM158" s="6"/>
      <c r="ON158" s="6"/>
      <c r="OO158" s="6"/>
      <c r="OP158" s="6"/>
      <c r="OQ158" s="5" t="str">
        <f t="shared" si="563"/>
        <v>NO APLICA</v>
      </c>
      <c r="OR158" s="6"/>
      <c r="OS158" s="6"/>
      <c r="OT158" s="6"/>
      <c r="OU158" s="6"/>
      <c r="OV158" s="5" t="str">
        <f t="shared" si="564"/>
        <v>NO APLICA</v>
      </c>
      <c r="OW158" s="6"/>
      <c r="OX158" s="6"/>
      <c r="OY158" s="6"/>
      <c r="OZ158" s="6"/>
      <c r="PA158" s="5" t="str">
        <f t="shared" si="565"/>
        <v>NO APLICA</v>
      </c>
      <c r="PB158" s="6"/>
      <c r="PC158" s="6"/>
      <c r="PD158" s="6"/>
      <c r="PE158" s="6"/>
      <c r="PF158" s="5" t="str">
        <f t="shared" si="566"/>
        <v>NO APLICA</v>
      </c>
      <c r="PG158" s="6"/>
      <c r="PH158" s="6"/>
      <c r="PI158" s="6"/>
      <c r="PJ158" s="6"/>
      <c r="PK158" s="5" t="str">
        <f t="shared" si="567"/>
        <v>NO APLICA</v>
      </c>
      <c r="PL158" s="5"/>
      <c r="PM158" s="6"/>
      <c r="PN158" s="4"/>
      <c r="PO158" s="8"/>
      <c r="PP158" s="5" t="str">
        <f t="shared" si="568"/>
        <v>NO APLICA</v>
      </c>
      <c r="PQ158" s="6"/>
      <c r="PR158" s="6"/>
      <c r="PS158" s="6"/>
      <c r="PT158" s="6"/>
      <c r="PU158" s="5" t="str">
        <f t="shared" si="569"/>
        <v>NO APLICA</v>
      </c>
      <c r="PV158" s="5"/>
      <c r="PW158" s="6"/>
      <c r="PX158" s="6"/>
      <c r="PY158" s="6"/>
      <c r="PZ158" s="5" t="str">
        <f t="shared" si="570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516</v>
      </c>
      <c r="D159" s="30" t="s">
        <v>69</v>
      </c>
      <c r="E159" s="31" t="s">
        <v>70</v>
      </c>
      <c r="F159" s="2"/>
      <c r="G159" s="6"/>
      <c r="H159" s="4"/>
      <c r="I159" s="8"/>
      <c r="J159" s="5" t="str">
        <f t="shared" si="464"/>
        <v>NO APLICA</v>
      </c>
      <c r="K159" s="5"/>
      <c r="L159" s="6"/>
      <c r="M159" s="6"/>
      <c r="N159" s="8"/>
      <c r="O159" s="5" t="str">
        <f t="shared" si="465"/>
        <v>NO APLICA</v>
      </c>
      <c r="P159" s="6"/>
      <c r="Q159" s="6"/>
      <c r="R159" s="4"/>
      <c r="S159" s="8"/>
      <c r="T159" s="5" t="str">
        <f t="shared" si="571"/>
        <v>NO APLICA</v>
      </c>
      <c r="U159" s="5"/>
      <c r="V159" s="2" t="s">
        <v>517</v>
      </c>
      <c r="W159" s="4">
        <v>45426</v>
      </c>
      <c r="X159" s="4">
        <f t="shared" ref="X159:X191" si="601">DATE(YEAR(W159)+5,MONTH(W159),DAY(W159))</f>
        <v>47252</v>
      </c>
      <c r="Y159" s="8">
        <f t="shared" ref="Y159:Y191" ca="1" si="602">X159-TODAY()</f>
        <v>1117</v>
      </c>
      <c r="Z159" s="5" t="str">
        <f t="shared" ca="1" si="421"/>
        <v>VIGENTE</v>
      </c>
      <c r="AA159" s="5"/>
      <c r="AB159" s="2" t="s">
        <v>518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6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67"/>
        <v>211</v>
      </c>
      <c r="AK159" s="5" t="str">
        <f t="shared" ca="1" si="41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68"/>
        <v>521</v>
      </c>
      <c r="AP159" s="5" t="str">
        <f t="shared" ca="1" si="46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0"/>
        <v>297</v>
      </c>
      <c r="AU159" s="5" t="str">
        <f t="shared" ca="1" si="47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2"/>
        <v>296</v>
      </c>
      <c r="AZ159" s="5" t="str">
        <f t="shared" ca="1" si="47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4"/>
        <v>311</v>
      </c>
      <c r="BE159" s="5" t="str">
        <f t="shared" ca="1" si="47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6"/>
        <v>292</v>
      </c>
      <c r="BJ159" s="5" t="str">
        <f t="shared" ca="1" si="47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78"/>
        <v>630</v>
      </c>
      <c r="BO159" s="5" t="str">
        <f t="shared" ca="1" si="47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0"/>
        <v>295</v>
      </c>
      <c r="BT159" s="5" t="str">
        <f t="shared" ca="1" si="481"/>
        <v>VIGENTE</v>
      </c>
      <c r="BU159" s="3"/>
      <c r="BV159" s="4">
        <v>45695</v>
      </c>
      <c r="BW159" s="4">
        <f t="shared" si="599"/>
        <v>46424</v>
      </c>
      <c r="BX159" s="8">
        <f t="shared" ca="1" si="482"/>
        <v>289</v>
      </c>
      <c r="BY159" s="5" t="str">
        <f t="shared" ca="1" si="483"/>
        <v>VIGENTE</v>
      </c>
      <c r="BZ159" s="3"/>
      <c r="CA159" s="4">
        <v>45954</v>
      </c>
      <c r="CB159" s="4">
        <f t="shared" ref="CB159:CB166" si="603">DATE(YEAR(CA159)+2,MONTH(CA159),DAY(CA159))</f>
        <v>46684</v>
      </c>
      <c r="CC159" s="8">
        <f t="shared" ca="1" si="484"/>
        <v>549</v>
      </c>
      <c r="CD159" s="5" t="str">
        <f t="shared" ca="1" si="485"/>
        <v>VIGENTE</v>
      </c>
      <c r="CE159" s="6" t="s">
        <v>73</v>
      </c>
      <c r="CF159" s="4">
        <v>45227</v>
      </c>
      <c r="CG159" s="4">
        <f t="shared" ref="CG159:CG191" si="604">DATE(YEAR(CF159)+4,MONTH(CF159),DAY(CF159))</f>
        <v>46688</v>
      </c>
      <c r="CH159" s="8">
        <f t="shared" ref="CH159:CH191" ca="1" si="605">CG159-TODAY()</f>
        <v>553</v>
      </c>
      <c r="CI159" s="5" t="str">
        <f t="shared" ca="1" si="587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6"/>
        <v>317</v>
      </c>
      <c r="CN159" s="5" t="str">
        <f t="shared" ca="1" si="487"/>
        <v>VIGENTE</v>
      </c>
      <c r="CO159" s="4"/>
      <c r="CP159" s="4">
        <v>45726</v>
      </c>
      <c r="CQ159" s="4">
        <f t="shared" si="600"/>
        <v>46455</v>
      </c>
      <c r="CR159" s="8">
        <f t="shared" ca="1" si="488"/>
        <v>320</v>
      </c>
      <c r="CS159" s="5" t="str">
        <f t="shared" ca="1" si="48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0"/>
        <v>233</v>
      </c>
      <c r="CX159" s="5" t="str">
        <f t="shared" ca="1" si="49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2"/>
        <v>255</v>
      </c>
      <c r="DC159" s="5" t="str">
        <f t="shared" ca="1" si="49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4"/>
        <v>283</v>
      </c>
      <c r="DH159" s="5" t="str">
        <f t="shared" ca="1" si="49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6"/>
        <v>290</v>
      </c>
      <c r="DM159" s="5" t="str">
        <f t="shared" ca="1" si="49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98"/>
        <v>602</v>
      </c>
      <c r="DR159" s="5" t="str">
        <f t="shared" ca="1" si="49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0"/>
        <v>279</v>
      </c>
      <c r="DW159" s="5" t="str">
        <f t="shared" ca="1" si="50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2"/>
        <v>303</v>
      </c>
      <c r="EB159" s="5" t="str">
        <f t="shared" ca="1" si="50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4"/>
        <v>268</v>
      </c>
      <c r="EG159" s="5" t="str">
        <f t="shared" ca="1" si="505"/>
        <v>VIGENTE</v>
      </c>
      <c r="EH159" s="3"/>
      <c r="EI159" s="4">
        <v>45948</v>
      </c>
      <c r="EJ159" s="4">
        <f t="shared" si="572"/>
        <v>46313</v>
      </c>
      <c r="EK159" s="8">
        <f t="shared" ca="1" si="506"/>
        <v>178</v>
      </c>
      <c r="EL159" s="5" t="str">
        <f t="shared" ca="1" si="50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08"/>
        <v>254</v>
      </c>
      <c r="EQ159" s="5" t="str">
        <f t="shared" ca="1" si="50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0"/>
        <v>271</v>
      </c>
      <c r="EV159" s="5" t="str">
        <f t="shared" ca="1" si="511"/>
        <v>VIGENTE</v>
      </c>
      <c r="EW159" s="3"/>
      <c r="EX159" s="4">
        <v>45953</v>
      </c>
      <c r="EY159" s="4">
        <f t="shared" ref="EY159:EY166" si="606">DATE(YEAR(EX159)+2,MONTH(EX159),DAY(EX159))</f>
        <v>46683</v>
      </c>
      <c r="EZ159" s="8">
        <f t="shared" ca="1" si="512"/>
        <v>548</v>
      </c>
      <c r="FA159" s="5" t="str">
        <f t="shared" ca="1" si="513"/>
        <v>VIGENTE</v>
      </c>
      <c r="FB159" s="3"/>
      <c r="FC159" s="4">
        <v>45951</v>
      </c>
      <c r="FD159" s="4">
        <f t="shared" ref="FD159:FD166" si="607">DATE(YEAR(FC159)+2,MONTH(FC159),DAY(FC159))</f>
        <v>46681</v>
      </c>
      <c r="FE159" s="8">
        <f t="shared" ca="1" si="514"/>
        <v>546</v>
      </c>
      <c r="FF159" s="5" t="str">
        <f t="shared" ca="1" si="515"/>
        <v>VIGENTE</v>
      </c>
      <c r="FG159" s="3"/>
      <c r="FH159" s="4">
        <v>45962</v>
      </c>
      <c r="FI159" s="4">
        <f t="shared" ref="FI159:FI166" si="608">DATE(YEAR(FH159)+2,MONTH(FH159),DAY(FH159))</f>
        <v>46692</v>
      </c>
      <c r="FJ159" s="8">
        <f t="shared" ca="1" si="516"/>
        <v>557</v>
      </c>
      <c r="FK159" s="5" t="str">
        <f t="shared" ca="1" si="51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18"/>
        <v>332</v>
      </c>
      <c r="FP159" s="5" t="str">
        <f t="shared" ca="1" si="51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0"/>
        <v>272</v>
      </c>
      <c r="FU159" s="5" t="str">
        <f t="shared" ca="1" si="52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2"/>
        <v>175</v>
      </c>
      <c r="FZ159" s="5" t="str">
        <f t="shared" ca="1" si="52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4"/>
        <v>261</v>
      </c>
      <c r="GE159" s="5" t="str">
        <f t="shared" ca="1" si="52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6"/>
        <v>346</v>
      </c>
      <c r="GJ159" s="5" t="str">
        <f t="shared" ca="1" si="52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28"/>
        <v>281</v>
      </c>
      <c r="GO159" s="5" t="str">
        <f t="shared" ca="1" si="529"/>
        <v>VIGENTE</v>
      </c>
      <c r="GP159" s="4"/>
      <c r="GQ159" s="4">
        <v>45017</v>
      </c>
      <c r="GR159" s="4">
        <f t="shared" si="530"/>
        <v>46844</v>
      </c>
      <c r="GS159" s="8">
        <f t="shared" ca="1" si="416"/>
        <v>709</v>
      </c>
      <c r="GT159" s="5" t="str">
        <f t="shared" ca="1" si="428"/>
        <v>VIGENTE</v>
      </c>
      <c r="GU159" s="3"/>
      <c r="GV159" s="4">
        <v>45245</v>
      </c>
      <c r="GW159" s="4">
        <f t="shared" si="531"/>
        <v>47072</v>
      </c>
      <c r="GX159" s="8">
        <f t="shared" ca="1" si="532"/>
        <v>937</v>
      </c>
      <c r="GY159" s="5" t="str">
        <f t="shared" ca="1" si="435"/>
        <v>VIGENTE</v>
      </c>
      <c r="GZ159" s="3"/>
      <c r="HA159" s="4">
        <v>44980</v>
      </c>
      <c r="HB159" s="4">
        <f t="shared" si="533"/>
        <v>46806</v>
      </c>
      <c r="HC159" s="8">
        <f t="shared" ca="1" si="534"/>
        <v>671</v>
      </c>
      <c r="HD159" s="5" t="str">
        <f t="shared" ca="1" si="430"/>
        <v>VIGENTE</v>
      </c>
      <c r="HE159" s="6"/>
      <c r="HF159" s="4">
        <v>44879</v>
      </c>
      <c r="HG159" s="4">
        <f t="shared" si="597"/>
        <v>46705</v>
      </c>
      <c r="HH159" s="8">
        <f t="shared" ca="1" si="598"/>
        <v>570</v>
      </c>
      <c r="HI159" s="5" t="str">
        <f t="shared" ca="1" si="43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53"/>
        <v>VIGENTE</v>
      </c>
      <c r="HO159" s="2"/>
      <c r="HP159" s="2"/>
      <c r="HQ159" s="4"/>
      <c r="HR159" s="2"/>
      <c r="HS159" s="5" t="str">
        <f t="shared" si="53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3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3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3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3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4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4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42"/>
        <v>VIGENTE</v>
      </c>
      <c r="JC159" s="3"/>
      <c r="JD159" s="3"/>
      <c r="JE159" s="4"/>
      <c r="JF159" s="8"/>
      <c r="JG159" s="5" t="str">
        <f t="shared" si="543"/>
        <v>NO APLICA</v>
      </c>
      <c r="JH159" s="6"/>
      <c r="JI159" s="6"/>
      <c r="JJ159" s="6"/>
      <c r="JK159" s="6"/>
      <c r="JL159" s="5" t="str">
        <f t="shared" si="544"/>
        <v>NO APLICA</v>
      </c>
      <c r="JM159" s="6"/>
      <c r="JN159" s="6"/>
      <c r="JO159" s="6"/>
      <c r="JP159" s="6"/>
      <c r="JQ159" s="5" t="str">
        <f t="shared" si="545"/>
        <v>NO APLICA</v>
      </c>
      <c r="JR159" s="6"/>
      <c r="JS159" s="6"/>
      <c r="JT159" s="6"/>
      <c r="JU159" s="6"/>
      <c r="JV159" s="5" t="str">
        <f t="shared" si="546"/>
        <v>NO APLICA</v>
      </c>
      <c r="JW159" s="5"/>
      <c r="JX159" s="5"/>
      <c r="JY159" s="5"/>
      <c r="JZ159" s="5"/>
      <c r="KA159" s="5" t="str">
        <f t="shared" si="547"/>
        <v>NO APLICA</v>
      </c>
      <c r="KB159" s="5"/>
      <c r="KC159" s="2"/>
      <c r="KD159" s="4"/>
      <c r="KE159" s="8"/>
      <c r="KF159" s="5" t="str">
        <f t="shared" si="548"/>
        <v>NO APLICA</v>
      </c>
      <c r="KG159" s="5"/>
      <c r="KH159" s="2"/>
      <c r="KI159" s="4"/>
      <c r="KJ159" s="8"/>
      <c r="KK159" s="5" t="str">
        <f t="shared" si="573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49"/>
        <v>VIGENTE</v>
      </c>
      <c r="KQ159" s="5"/>
      <c r="KR159" s="2"/>
      <c r="KS159" s="4"/>
      <c r="KT159" s="8"/>
      <c r="KU159" s="5" t="str">
        <f t="shared" si="574"/>
        <v>NO APLICA</v>
      </c>
      <c r="KV159" s="2"/>
      <c r="KW159" s="6"/>
      <c r="KX159" s="4"/>
      <c r="KY159" s="8"/>
      <c r="KZ159" s="5" t="str">
        <f t="shared" si="579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75"/>
        <v>VIGENTE</v>
      </c>
      <c r="LF159" s="4"/>
      <c r="LG159" s="4"/>
      <c r="LH159" s="4"/>
      <c r="LI159" s="8"/>
      <c r="LJ159" s="5" t="str">
        <f t="shared" si="581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80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76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77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78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51"/>
        <v>VIGENTE</v>
      </c>
      <c r="MJ159" s="2"/>
      <c r="MK159" s="2"/>
      <c r="ML159" s="4"/>
      <c r="MM159" s="8"/>
      <c r="MN159" s="5" t="str">
        <f t="shared" si="552"/>
        <v>NO APLICA</v>
      </c>
      <c r="MO159" s="5"/>
      <c r="MP159" s="2"/>
      <c r="MQ159" s="4"/>
      <c r="MR159" s="8"/>
      <c r="MS159" s="5" t="str">
        <f t="shared" si="553"/>
        <v>NO APLICA</v>
      </c>
      <c r="MT159" s="5"/>
      <c r="MU159" s="2"/>
      <c r="MV159" s="4"/>
      <c r="MW159" s="2"/>
      <c r="MX159" s="5" t="str">
        <f t="shared" si="554"/>
        <v>NO APLICA</v>
      </c>
      <c r="MY159" s="2"/>
      <c r="MZ159" s="6"/>
      <c r="NA159" s="4"/>
      <c r="NB159" s="8"/>
      <c r="NC159" s="5" t="str">
        <f t="shared" si="555"/>
        <v>NO APLICA</v>
      </c>
      <c r="ND159" s="2"/>
      <c r="NE159" s="6"/>
      <c r="NF159" s="4"/>
      <c r="NG159" s="8"/>
      <c r="NH159" s="5" t="str">
        <f t="shared" si="556"/>
        <v>NO APLICA</v>
      </c>
      <c r="NI159" s="2"/>
      <c r="NJ159" s="6"/>
      <c r="NK159" s="4"/>
      <c r="NL159" s="8"/>
      <c r="NM159" s="5" t="str">
        <f t="shared" si="557"/>
        <v>NO APLICA</v>
      </c>
      <c r="NN159" s="2"/>
      <c r="NO159" s="2"/>
      <c r="NP159" s="4"/>
      <c r="NQ159" s="2"/>
      <c r="NR159" s="5" t="str">
        <f t="shared" si="558"/>
        <v>NO APLICA</v>
      </c>
      <c r="NS159" s="2"/>
      <c r="NT159" s="2"/>
      <c r="NU159" s="2"/>
      <c r="NV159" s="2"/>
      <c r="NW159" s="5" t="str">
        <f t="shared" si="559"/>
        <v>NO APLICA</v>
      </c>
      <c r="NX159" s="6"/>
      <c r="NY159" s="6"/>
      <c r="NZ159" s="4"/>
      <c r="OA159" s="8"/>
      <c r="OB159" s="5" t="str">
        <f t="shared" si="560"/>
        <v>NO APLICA</v>
      </c>
      <c r="OC159" s="6"/>
      <c r="OD159" s="6"/>
      <c r="OE159" s="6"/>
      <c r="OF159" s="6"/>
      <c r="OG159" s="5" t="str">
        <f t="shared" si="561"/>
        <v>NO APLICA</v>
      </c>
      <c r="OH159" s="6"/>
      <c r="OI159" s="6"/>
      <c r="OJ159" s="4"/>
      <c r="OK159" s="8"/>
      <c r="OL159" s="5" t="str">
        <f t="shared" si="562"/>
        <v>NO APLICA</v>
      </c>
      <c r="OM159" s="6"/>
      <c r="ON159" s="6"/>
      <c r="OO159" s="6"/>
      <c r="OP159" s="6"/>
      <c r="OQ159" s="5" t="str">
        <f t="shared" si="563"/>
        <v>NO APLICA</v>
      </c>
      <c r="OR159" s="6"/>
      <c r="OS159" s="6"/>
      <c r="OT159" s="6"/>
      <c r="OU159" s="6"/>
      <c r="OV159" s="5" t="str">
        <f t="shared" si="564"/>
        <v>NO APLICA</v>
      </c>
      <c r="OW159" s="6"/>
      <c r="OX159" s="6"/>
      <c r="OY159" s="6"/>
      <c r="OZ159" s="6"/>
      <c r="PA159" s="5" t="str">
        <f t="shared" si="565"/>
        <v>NO APLICA</v>
      </c>
      <c r="PB159" s="6"/>
      <c r="PC159" s="6"/>
      <c r="PD159" s="6"/>
      <c r="PE159" s="6"/>
      <c r="PF159" s="5" t="str">
        <f t="shared" si="566"/>
        <v>NO APLICA</v>
      </c>
      <c r="PG159" s="6"/>
      <c r="PH159" s="6"/>
      <c r="PI159" s="6"/>
      <c r="PJ159" s="6"/>
      <c r="PK159" s="5" t="str">
        <f t="shared" si="567"/>
        <v>NO APLICA</v>
      </c>
      <c r="PL159" s="5"/>
      <c r="PM159" s="6"/>
      <c r="PN159" s="4"/>
      <c r="PO159" s="8"/>
      <c r="PP159" s="5" t="str">
        <f t="shared" si="568"/>
        <v>NO APLICA</v>
      </c>
      <c r="PQ159" s="6"/>
      <c r="PR159" s="6"/>
      <c r="PS159" s="6"/>
      <c r="PT159" s="6"/>
      <c r="PU159" s="5" t="str">
        <f t="shared" si="569"/>
        <v>NO APLICA</v>
      </c>
      <c r="PV159" s="5"/>
      <c r="PW159" s="6"/>
      <c r="PX159" s="6"/>
      <c r="PY159" s="6"/>
      <c r="PZ159" s="5" t="str">
        <f t="shared" si="570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519</v>
      </c>
      <c r="D160" s="30" t="s">
        <v>160</v>
      </c>
      <c r="E160" s="31" t="s">
        <v>520</v>
      </c>
      <c r="F160" s="5"/>
      <c r="G160" s="6"/>
      <c r="H160" s="4"/>
      <c r="I160" s="8"/>
      <c r="J160" s="5" t="str">
        <f t="shared" si="464"/>
        <v>NO APLICA</v>
      </c>
      <c r="K160" s="5"/>
      <c r="L160" s="6"/>
      <c r="M160" s="6"/>
      <c r="N160" s="8"/>
      <c r="O160" s="5" t="str">
        <f t="shared" si="465"/>
        <v>NO APLICA</v>
      </c>
      <c r="P160" s="6"/>
      <c r="Q160" s="6"/>
      <c r="R160" s="4"/>
      <c r="S160" s="8"/>
      <c r="T160" s="5" t="str">
        <f t="shared" si="571"/>
        <v>NO APLICA</v>
      </c>
      <c r="U160" s="5"/>
      <c r="V160" s="2" t="s">
        <v>521</v>
      </c>
      <c r="W160" s="4">
        <v>45078</v>
      </c>
      <c r="X160" s="4">
        <f t="shared" si="601"/>
        <v>46905</v>
      </c>
      <c r="Y160" s="8">
        <f t="shared" ca="1" si="602"/>
        <v>770</v>
      </c>
      <c r="Z160" s="5" t="str">
        <f t="shared" ca="1" si="421"/>
        <v>VIGENTE</v>
      </c>
      <c r="AA160" s="5"/>
      <c r="AB160" s="2" t="s">
        <v>522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6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67"/>
        <v>497</v>
      </c>
      <c r="AK160" s="5" t="str">
        <f t="shared" ca="1" si="41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68"/>
        <v>532</v>
      </c>
      <c r="AP160" s="5" t="str">
        <f t="shared" ca="1" si="46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0"/>
        <v>482</v>
      </c>
      <c r="AU160" s="5" t="str">
        <f t="shared" ca="1" si="47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2"/>
        <v>522</v>
      </c>
      <c r="AZ160" s="5" t="str">
        <f t="shared" ca="1" si="47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4"/>
        <v>496</v>
      </c>
      <c r="BE160" s="5" t="str">
        <f t="shared" ca="1" si="47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6"/>
        <v>592</v>
      </c>
      <c r="BJ160" s="5" t="str">
        <f t="shared" ca="1" si="47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78"/>
        <v>293</v>
      </c>
      <c r="BO160" s="5" t="str">
        <f t="shared" ca="1" si="47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0"/>
        <v>295</v>
      </c>
      <c r="BT160" s="5" t="str">
        <f t="shared" ca="1" si="481"/>
        <v>VIGENTE</v>
      </c>
      <c r="BU160" s="3"/>
      <c r="BV160" s="4">
        <v>45695</v>
      </c>
      <c r="BW160" s="4">
        <f t="shared" si="599"/>
        <v>46424</v>
      </c>
      <c r="BX160" s="8">
        <f t="shared" ca="1" si="482"/>
        <v>289</v>
      </c>
      <c r="BY160" s="5" t="str">
        <f t="shared" ca="1" si="483"/>
        <v>VIGENTE</v>
      </c>
      <c r="BZ160" s="3"/>
      <c r="CA160" s="4">
        <v>45944</v>
      </c>
      <c r="CB160" s="4">
        <f t="shared" si="603"/>
        <v>46674</v>
      </c>
      <c r="CC160" s="8">
        <f t="shared" ca="1" si="484"/>
        <v>539</v>
      </c>
      <c r="CD160" s="5" t="str">
        <f t="shared" ca="1" si="485"/>
        <v>VIGENTE</v>
      </c>
      <c r="CE160" s="6" t="s">
        <v>73</v>
      </c>
      <c r="CF160" s="4">
        <v>45616</v>
      </c>
      <c r="CG160" s="4">
        <f t="shared" si="604"/>
        <v>47077</v>
      </c>
      <c r="CH160" s="8">
        <f t="shared" ca="1" si="605"/>
        <v>942</v>
      </c>
      <c r="CI160" s="5" t="str">
        <f t="shared" ca="1" si="587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6"/>
        <v>524</v>
      </c>
      <c r="CN160" s="5" t="str">
        <f t="shared" ca="1" si="487"/>
        <v>VIGENTE</v>
      </c>
      <c r="CO160" s="3"/>
      <c r="CP160" s="4">
        <v>45684</v>
      </c>
      <c r="CQ160" s="4">
        <f t="shared" si="600"/>
        <v>46413</v>
      </c>
      <c r="CR160" s="8">
        <f t="shared" ca="1" si="488"/>
        <v>278</v>
      </c>
      <c r="CS160" s="5" t="str">
        <f t="shared" ca="1" si="48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0"/>
        <v>500</v>
      </c>
      <c r="CX160" s="5" t="str">
        <f t="shared" ca="1" si="49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2"/>
        <v>275</v>
      </c>
      <c r="DC160" s="5" t="str">
        <f t="shared" ca="1" si="49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4"/>
        <v>491</v>
      </c>
      <c r="DH160" s="5" t="str">
        <f t="shared" ca="1" si="49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6"/>
        <v>494</v>
      </c>
      <c r="DM160" s="5" t="str">
        <f t="shared" ca="1" si="49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98"/>
        <v>325</v>
      </c>
      <c r="DR160" s="5" t="str">
        <f t="shared" ca="1" si="49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0"/>
        <v>480</v>
      </c>
      <c r="DW160" s="5" t="str">
        <f t="shared" ca="1" si="50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2"/>
        <v>529</v>
      </c>
      <c r="EB160" s="5" t="str">
        <f t="shared" ca="1" si="50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4"/>
        <v>508</v>
      </c>
      <c r="EG160" s="5" t="str">
        <f t="shared" ca="1" si="505"/>
        <v>VIGENTE</v>
      </c>
      <c r="EH160" s="3"/>
      <c r="EI160" s="3">
        <v>45911</v>
      </c>
      <c r="EJ160" s="4">
        <f t="shared" si="572"/>
        <v>46276</v>
      </c>
      <c r="EK160" s="8">
        <f t="shared" ca="1" si="506"/>
        <v>141</v>
      </c>
      <c r="EL160" s="5" t="str">
        <f t="shared" ca="1" si="50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08"/>
        <v>535</v>
      </c>
      <c r="EQ160" s="5" t="str">
        <f t="shared" ca="1" si="50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0"/>
        <v>517</v>
      </c>
      <c r="EV160" s="5" t="str">
        <f t="shared" ca="1" si="511"/>
        <v>VIGENTE</v>
      </c>
      <c r="EW160" s="3"/>
      <c r="EX160" s="4">
        <v>45917</v>
      </c>
      <c r="EY160" s="4">
        <f t="shared" si="606"/>
        <v>46647</v>
      </c>
      <c r="EZ160" s="8">
        <f t="shared" ca="1" si="512"/>
        <v>512</v>
      </c>
      <c r="FA160" s="5" t="str">
        <f t="shared" ca="1" si="513"/>
        <v>VIGENTE</v>
      </c>
      <c r="FB160" s="3"/>
      <c r="FC160" s="4">
        <v>45931</v>
      </c>
      <c r="FD160" s="4">
        <f t="shared" si="607"/>
        <v>46661</v>
      </c>
      <c r="FE160" s="8">
        <f t="shared" ca="1" si="514"/>
        <v>526</v>
      </c>
      <c r="FF160" s="5" t="str">
        <f t="shared" ca="1" si="515"/>
        <v>VIGENTE</v>
      </c>
      <c r="FG160" s="3"/>
      <c r="FH160" s="4">
        <v>45919</v>
      </c>
      <c r="FI160" s="4">
        <f t="shared" si="608"/>
        <v>46649</v>
      </c>
      <c r="FJ160" s="8">
        <f t="shared" ca="1" si="516"/>
        <v>514</v>
      </c>
      <c r="FK160" s="5" t="str">
        <f t="shared" ca="1" si="51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18"/>
        <v>528</v>
      </c>
      <c r="FP160" s="5" t="str">
        <f t="shared" ca="1" si="51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0"/>
        <v>552</v>
      </c>
      <c r="FU160" s="5" t="str">
        <f t="shared" ca="1" si="52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2"/>
        <v>536</v>
      </c>
      <c r="FZ160" s="5" t="str">
        <f t="shared" ca="1" si="52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4"/>
        <v>520</v>
      </c>
      <c r="GE160" s="5" t="str">
        <f t="shared" ca="1" si="52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6"/>
        <v>507</v>
      </c>
      <c r="GJ160" s="5" t="str">
        <f t="shared" ca="1" si="52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28"/>
        <v>281</v>
      </c>
      <c r="GO160" s="5" t="str">
        <f t="shared" ca="1" si="529"/>
        <v>VIGENTE</v>
      </c>
      <c r="GP160" s="4"/>
      <c r="GQ160" s="4">
        <v>45017</v>
      </c>
      <c r="GR160" s="4">
        <f t="shared" si="530"/>
        <v>46844</v>
      </c>
      <c r="GS160" s="8">
        <f t="shared" ca="1" si="416"/>
        <v>709</v>
      </c>
      <c r="GT160" s="5" t="str">
        <f t="shared" ca="1" si="428"/>
        <v>VIGENTE</v>
      </c>
      <c r="GU160" s="3"/>
      <c r="GV160" s="4">
        <v>45010</v>
      </c>
      <c r="GW160" s="4">
        <f t="shared" si="531"/>
        <v>46837</v>
      </c>
      <c r="GX160" s="8">
        <f t="shared" ca="1" si="532"/>
        <v>702</v>
      </c>
      <c r="GY160" s="5" t="str">
        <f t="shared" ca="1" si="435"/>
        <v>VIGENTE</v>
      </c>
      <c r="GZ160" s="3"/>
      <c r="HA160" s="4">
        <v>45268</v>
      </c>
      <c r="HB160" s="4">
        <f t="shared" si="533"/>
        <v>47095</v>
      </c>
      <c r="HC160" s="8">
        <f t="shared" ca="1" si="534"/>
        <v>960</v>
      </c>
      <c r="HD160" s="5" t="str">
        <f t="shared" ca="1" si="430"/>
        <v>VIGENTE</v>
      </c>
      <c r="HE160" s="6"/>
      <c r="HF160" s="4">
        <v>45094</v>
      </c>
      <c r="HG160" s="4">
        <f t="shared" si="597"/>
        <v>46921</v>
      </c>
      <c r="HH160" s="8">
        <f t="shared" ca="1" si="598"/>
        <v>786</v>
      </c>
      <c r="HI160" s="5" t="str">
        <f t="shared" ca="1" si="436"/>
        <v>VIGENTE</v>
      </c>
      <c r="HJ160" s="2"/>
      <c r="HK160" s="6"/>
      <c r="HL160" s="4"/>
      <c r="HM160" s="8"/>
      <c r="HN160" s="5" t="str">
        <f t="shared" si="453"/>
        <v>NO APLICA</v>
      </c>
      <c r="HO160" s="2"/>
      <c r="HP160" s="2"/>
      <c r="HQ160" s="4"/>
      <c r="HR160" s="2"/>
      <c r="HS160" s="5" t="str">
        <f t="shared" si="535"/>
        <v>NO APLICA</v>
      </c>
      <c r="HT160" s="2"/>
      <c r="HU160" s="6"/>
      <c r="HV160" s="4"/>
      <c r="HW160" s="8"/>
      <c r="HX160" s="5" t="str">
        <f t="shared" si="536"/>
        <v>NO APLICA</v>
      </c>
      <c r="HY160" s="2"/>
      <c r="HZ160" s="6"/>
      <c r="IA160" s="4"/>
      <c r="IB160" s="8"/>
      <c r="IC160" s="5" t="str">
        <f t="shared" si="537"/>
        <v>NO APLICA</v>
      </c>
      <c r="ID160" s="2"/>
      <c r="IE160" s="6"/>
      <c r="IF160" s="4"/>
      <c r="IG160" s="8"/>
      <c r="IH160" s="5" t="str">
        <f t="shared" si="538"/>
        <v>NO APLICA</v>
      </c>
      <c r="II160" s="6"/>
      <c r="IJ160" s="6"/>
      <c r="IK160" s="4"/>
      <c r="IL160" s="8"/>
      <c r="IM160" s="5" t="str">
        <f t="shared" si="539"/>
        <v>NO APLICA</v>
      </c>
      <c r="IN160" s="2"/>
      <c r="IO160" s="6"/>
      <c r="IP160" s="4"/>
      <c r="IQ160" s="8"/>
      <c r="IR160" s="5" t="str">
        <f t="shared" si="540"/>
        <v>NO APLICA</v>
      </c>
      <c r="IS160" s="2"/>
      <c r="IT160" s="6"/>
      <c r="IU160" s="4"/>
      <c r="IV160" s="8"/>
      <c r="IW160" s="5" t="str">
        <f t="shared" si="541"/>
        <v>NO APLICA</v>
      </c>
      <c r="IX160" s="2"/>
      <c r="IY160" s="6"/>
      <c r="IZ160" s="4"/>
      <c r="JA160" s="8"/>
      <c r="JB160" s="5" t="str">
        <f t="shared" si="542"/>
        <v>NO APLICA</v>
      </c>
      <c r="JC160" s="3"/>
      <c r="JD160" s="3"/>
      <c r="JE160" s="4"/>
      <c r="JF160" s="8"/>
      <c r="JG160" s="5" t="str">
        <f t="shared" si="543"/>
        <v>NO APLICA</v>
      </c>
      <c r="JH160" s="6"/>
      <c r="JI160" s="6"/>
      <c r="JJ160" s="6"/>
      <c r="JK160" s="6"/>
      <c r="JL160" s="5" t="str">
        <f t="shared" si="544"/>
        <v>NO APLICA</v>
      </c>
      <c r="JM160" s="6"/>
      <c r="JN160" s="6"/>
      <c r="JO160" s="6"/>
      <c r="JP160" s="6"/>
      <c r="JQ160" s="5" t="str">
        <f t="shared" si="545"/>
        <v>NO APLICA</v>
      </c>
      <c r="JR160" s="6"/>
      <c r="JS160" s="6"/>
      <c r="JT160" s="6"/>
      <c r="JU160" s="6"/>
      <c r="JV160" s="5" t="str">
        <f t="shared" si="546"/>
        <v>NO APLICA</v>
      </c>
      <c r="JW160" s="5"/>
      <c r="JX160" s="5"/>
      <c r="JY160" s="5"/>
      <c r="JZ160" s="5"/>
      <c r="KA160" s="5" t="str">
        <f t="shared" si="547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48"/>
        <v>VIGENTE</v>
      </c>
      <c r="KG160" s="5"/>
      <c r="KH160" s="2"/>
      <c r="KI160" s="4"/>
      <c r="KJ160" s="8"/>
      <c r="KK160" s="5" t="str">
        <f t="shared" si="573"/>
        <v>NO APLICA</v>
      </c>
      <c r="KL160" s="5"/>
      <c r="KM160" s="2"/>
      <c r="KN160" s="4"/>
      <c r="KO160" s="8"/>
      <c r="KP160" s="5" t="str">
        <f t="shared" si="549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74"/>
        <v>VIGENTE</v>
      </c>
      <c r="KV160" s="2"/>
      <c r="KW160" s="6"/>
      <c r="KX160" s="4"/>
      <c r="KY160" s="8"/>
      <c r="KZ160" s="5" t="str">
        <f t="shared" si="579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75"/>
        <v>VIGENTE</v>
      </c>
      <c r="LF160" s="6"/>
      <c r="LG160" s="6"/>
      <c r="LH160" s="4"/>
      <c r="LI160" s="8"/>
      <c r="LJ160" s="5" t="str">
        <f t="shared" si="581"/>
        <v>NO APLICA</v>
      </c>
      <c r="LK160" s="5"/>
      <c r="LL160" s="5"/>
      <c r="LM160" s="4"/>
      <c r="LN160" s="8"/>
      <c r="LO160" s="5" t="str">
        <f t="shared" si="580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76"/>
        <v>VIGENTE</v>
      </c>
      <c r="LU160" s="6"/>
      <c r="LV160" s="6"/>
      <c r="LW160" s="4"/>
      <c r="LX160" s="8"/>
      <c r="LY160" s="5" t="str">
        <f t="shared" si="577"/>
        <v>NO APLICA</v>
      </c>
      <c r="LZ160" s="6"/>
      <c r="MA160" s="6"/>
      <c r="MB160" s="4"/>
      <c r="MC160" s="8"/>
      <c r="MD160" s="5" t="str">
        <f t="shared" si="578"/>
        <v>NO APLICA</v>
      </c>
      <c r="ME160" s="2"/>
      <c r="MF160" s="2"/>
      <c r="MG160" s="4"/>
      <c r="MH160" s="8"/>
      <c r="MI160" s="5" t="str">
        <f t="shared" si="551"/>
        <v>NO APLICA</v>
      </c>
      <c r="MJ160" s="2"/>
      <c r="MK160" s="2"/>
      <c r="ML160" s="4"/>
      <c r="MM160" s="8"/>
      <c r="MN160" s="5" t="str">
        <f t="shared" si="552"/>
        <v>NO APLICA</v>
      </c>
      <c r="MO160" s="5"/>
      <c r="MP160" s="2"/>
      <c r="MQ160" s="4"/>
      <c r="MR160" s="8"/>
      <c r="MS160" s="5" t="str">
        <f t="shared" si="553"/>
        <v>NO APLICA</v>
      </c>
      <c r="MT160" s="5"/>
      <c r="MU160" s="2"/>
      <c r="MV160" s="4"/>
      <c r="MW160" s="2"/>
      <c r="MX160" s="5" t="str">
        <f t="shared" si="554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55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56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57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58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59"/>
        <v>VIGENTE</v>
      </c>
      <c r="NX160" s="6"/>
      <c r="NY160" s="6"/>
      <c r="NZ160" s="4"/>
      <c r="OA160" s="8"/>
      <c r="OB160" s="5" t="str">
        <f t="shared" si="560"/>
        <v>NO APLICA</v>
      </c>
      <c r="OC160" s="6"/>
      <c r="OD160" s="6"/>
      <c r="OE160" s="6"/>
      <c r="OF160" s="6"/>
      <c r="OG160" s="5" t="str">
        <f t="shared" si="561"/>
        <v>NO APLICA</v>
      </c>
      <c r="OH160" s="2"/>
      <c r="OI160" s="2"/>
      <c r="OJ160" s="4"/>
      <c r="OK160" s="8"/>
      <c r="OL160" s="5" t="str">
        <f t="shared" si="562"/>
        <v>NO APLICA</v>
      </c>
      <c r="OM160" s="6"/>
      <c r="ON160" s="6"/>
      <c r="OO160" s="6"/>
      <c r="OP160" s="6"/>
      <c r="OQ160" s="5" t="str">
        <f t="shared" si="563"/>
        <v>NO APLICA</v>
      </c>
      <c r="OR160" s="6"/>
      <c r="OS160" s="6"/>
      <c r="OT160" s="6"/>
      <c r="OU160" s="6"/>
      <c r="OV160" s="5" t="str">
        <f t="shared" si="564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65"/>
        <v>VIGENTE</v>
      </c>
      <c r="PB160" s="6"/>
      <c r="PC160" s="6"/>
      <c r="PD160" s="6"/>
      <c r="PE160" s="6"/>
      <c r="PF160" s="5" t="str">
        <f t="shared" si="566"/>
        <v>NO APLICA</v>
      </c>
      <c r="PG160" s="6"/>
      <c r="PH160" s="6"/>
      <c r="PI160" s="6"/>
      <c r="PJ160" s="6"/>
      <c r="PK160" s="5" t="str">
        <f t="shared" si="567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68"/>
        <v>VIGENTE</v>
      </c>
      <c r="PQ160" s="6"/>
      <c r="PR160" s="6"/>
      <c r="PS160" s="6"/>
      <c r="PT160" s="6"/>
      <c r="PU160" s="5" t="str">
        <f t="shared" si="569"/>
        <v>NO APLICA</v>
      </c>
      <c r="PV160" s="5"/>
      <c r="PW160" s="6"/>
      <c r="PX160" s="6"/>
      <c r="PY160" s="6"/>
      <c r="PZ160" s="5" t="str">
        <f t="shared" si="570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523</v>
      </c>
      <c r="D161" s="30" t="s">
        <v>69</v>
      </c>
      <c r="E161" s="31" t="s">
        <v>167</v>
      </c>
      <c r="F161" s="5"/>
      <c r="G161" s="6"/>
      <c r="H161" s="4"/>
      <c r="I161" s="8"/>
      <c r="J161" s="5" t="str">
        <f t="shared" si="464"/>
        <v>NO APLICA</v>
      </c>
      <c r="K161" s="2"/>
      <c r="L161" s="6"/>
      <c r="M161" s="6"/>
      <c r="N161" s="8"/>
      <c r="O161" s="5" t="str">
        <f t="shared" si="465"/>
        <v>NO APLICA</v>
      </c>
      <c r="P161" s="6"/>
      <c r="Q161" s="6"/>
      <c r="R161" s="4"/>
      <c r="S161" s="8"/>
      <c r="T161" s="5" t="str">
        <f t="shared" si="571"/>
        <v>NO APLICA</v>
      </c>
      <c r="U161" s="5"/>
      <c r="V161" s="2" t="s">
        <v>524</v>
      </c>
      <c r="W161" s="4">
        <v>44829</v>
      </c>
      <c r="X161" s="4">
        <f t="shared" si="601"/>
        <v>46655</v>
      </c>
      <c r="Y161" s="8">
        <f t="shared" ca="1" si="602"/>
        <v>520</v>
      </c>
      <c r="Z161" s="5" t="str">
        <f t="shared" ca="1" si="421"/>
        <v>VIGENTE</v>
      </c>
      <c r="AA161" s="5"/>
      <c r="AB161" s="2" t="s">
        <v>525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6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67"/>
        <v>183</v>
      </c>
      <c r="AK161" s="5" t="str">
        <f t="shared" ca="1" si="41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68"/>
        <v>575</v>
      </c>
      <c r="AP161" s="5" t="str">
        <f t="shared" ca="1" si="46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0"/>
        <v>499</v>
      </c>
      <c r="AU161" s="5" t="str">
        <f t="shared" ca="1" si="47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2"/>
        <v>665</v>
      </c>
      <c r="AZ161" s="5" t="str">
        <f t="shared" ca="1" si="47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4"/>
        <v>311</v>
      </c>
      <c r="BE161" s="5" t="str">
        <f t="shared" ca="1" si="47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6"/>
        <v>563</v>
      </c>
      <c r="BJ161" s="5" t="str">
        <f t="shared" ca="1" si="47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78"/>
        <v>630</v>
      </c>
      <c r="BO161" s="5" t="str">
        <f t="shared" ca="1" si="47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0"/>
        <v>664</v>
      </c>
      <c r="BT161" s="5" t="str">
        <f t="shared" ca="1" si="481"/>
        <v>VIGENTE</v>
      </c>
      <c r="BU161" s="3"/>
      <c r="BV161" s="4">
        <v>45449</v>
      </c>
      <c r="BW161" s="4">
        <f t="shared" si="599"/>
        <v>46178</v>
      </c>
      <c r="BX161" s="8">
        <f t="shared" ca="1" si="482"/>
        <v>43</v>
      </c>
      <c r="BY161" s="5" t="str">
        <f t="shared" ca="1" si="483"/>
        <v>POR VENCER</v>
      </c>
      <c r="BZ161" s="3"/>
      <c r="CA161" s="4">
        <v>45954</v>
      </c>
      <c r="CB161" s="4">
        <f t="shared" si="603"/>
        <v>46684</v>
      </c>
      <c r="CC161" s="8">
        <f t="shared" ca="1" si="484"/>
        <v>549</v>
      </c>
      <c r="CD161" s="5" t="str">
        <f t="shared" ca="1" si="485"/>
        <v>VIGENTE</v>
      </c>
      <c r="CE161" s="6" t="s">
        <v>73</v>
      </c>
      <c r="CF161" s="4">
        <v>45262</v>
      </c>
      <c r="CG161" s="4">
        <f t="shared" si="604"/>
        <v>46723</v>
      </c>
      <c r="CH161" s="8">
        <f t="shared" ca="1" si="605"/>
        <v>588</v>
      </c>
      <c r="CI161" s="5" t="str">
        <f t="shared" ca="1" si="587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6"/>
        <v>94</v>
      </c>
      <c r="CN161" s="5" t="str">
        <f t="shared" ca="1" si="487"/>
        <v>VIGENTE</v>
      </c>
      <c r="CO161" s="3"/>
      <c r="CP161" s="4">
        <v>45517</v>
      </c>
      <c r="CQ161" s="4">
        <f t="shared" si="600"/>
        <v>46246</v>
      </c>
      <c r="CR161" s="8">
        <f t="shared" ca="1" si="488"/>
        <v>111</v>
      </c>
      <c r="CS161" s="5" t="str">
        <f t="shared" ca="1" si="48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0"/>
        <v>225</v>
      </c>
      <c r="CX161" s="5" t="str">
        <f t="shared" ca="1" si="49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2"/>
        <v>259</v>
      </c>
      <c r="DC161" s="5" t="str">
        <f t="shared" ca="1" si="49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4"/>
        <v>283</v>
      </c>
      <c r="DH161" s="5" t="str">
        <f t="shared" ca="1" si="49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6"/>
        <v>328</v>
      </c>
      <c r="DM161" s="5" t="str">
        <f t="shared" ca="1" si="49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98"/>
        <v>577</v>
      </c>
      <c r="DR161" s="5" t="str">
        <f t="shared" ca="1" si="49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0"/>
        <v>322</v>
      </c>
      <c r="DW161" s="5" t="str">
        <f t="shared" ca="1" si="50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2"/>
        <v>345</v>
      </c>
      <c r="EB161" s="5" t="str">
        <f t="shared" ca="1" si="50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4"/>
        <v>268</v>
      </c>
      <c r="EG161" s="5" t="str">
        <f t="shared" ca="1" si="505"/>
        <v>VIGENTE</v>
      </c>
      <c r="EH161" s="4"/>
      <c r="EI161" s="4">
        <v>45808</v>
      </c>
      <c r="EJ161" s="4">
        <f t="shared" si="572"/>
        <v>46173</v>
      </c>
      <c r="EK161" s="8">
        <f t="shared" ca="1" si="506"/>
        <v>38</v>
      </c>
      <c r="EL161" s="5" t="str">
        <f t="shared" ca="1" si="50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08"/>
        <v>331</v>
      </c>
      <c r="EQ161" s="5" t="str">
        <f t="shared" ca="1" si="50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0"/>
        <v>271</v>
      </c>
      <c r="EV161" s="5" t="str">
        <f t="shared" ca="1" si="511"/>
        <v>VIGENTE</v>
      </c>
      <c r="EW161" s="3"/>
      <c r="EX161" s="4">
        <v>45964</v>
      </c>
      <c r="EY161" s="4">
        <f t="shared" si="606"/>
        <v>46694</v>
      </c>
      <c r="EZ161" s="8">
        <f t="shared" ca="1" si="512"/>
        <v>559</v>
      </c>
      <c r="FA161" s="5" t="str">
        <f t="shared" ca="1" si="513"/>
        <v>VIGENTE</v>
      </c>
      <c r="FB161" s="3"/>
      <c r="FC161" s="4">
        <v>45931</v>
      </c>
      <c r="FD161" s="4">
        <f t="shared" si="607"/>
        <v>46661</v>
      </c>
      <c r="FE161" s="8">
        <f t="shared" ca="1" si="514"/>
        <v>526</v>
      </c>
      <c r="FF161" s="5" t="str">
        <f t="shared" ca="1" si="515"/>
        <v>VIGENTE</v>
      </c>
      <c r="FG161" s="3"/>
      <c r="FH161" s="4">
        <v>45969</v>
      </c>
      <c r="FI161" s="4">
        <f t="shared" si="608"/>
        <v>46699</v>
      </c>
      <c r="FJ161" s="8">
        <f t="shared" ca="1" si="516"/>
        <v>564</v>
      </c>
      <c r="FK161" s="5" t="str">
        <f t="shared" ca="1" si="51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18"/>
        <v>264</v>
      </c>
      <c r="FP161" s="5" t="str">
        <f t="shared" ca="1" si="51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0"/>
        <v>318</v>
      </c>
      <c r="FU161" s="5" t="str">
        <f t="shared" ca="1" si="52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2"/>
        <v>609</v>
      </c>
      <c r="FZ161" s="5" t="str">
        <f t="shared" ca="1" si="52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4"/>
        <v>154</v>
      </c>
      <c r="GE161" s="5" t="str">
        <f t="shared" ca="1" si="52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6"/>
        <v>346</v>
      </c>
      <c r="GJ161" s="5" t="str">
        <f t="shared" ca="1" si="52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28"/>
        <v>553</v>
      </c>
      <c r="GO161" s="5" t="str">
        <f t="shared" ca="1" si="529"/>
        <v>VIGENTE</v>
      </c>
      <c r="GP161" s="4"/>
      <c r="GQ161" s="4">
        <v>44912</v>
      </c>
      <c r="GR161" s="4">
        <f t="shared" si="530"/>
        <v>46738</v>
      </c>
      <c r="GS161" s="8">
        <f t="shared" ca="1" si="416"/>
        <v>603</v>
      </c>
      <c r="GT161" s="5" t="str">
        <f t="shared" ca="1" si="428"/>
        <v>VIGENTE</v>
      </c>
      <c r="GU161" s="3"/>
      <c r="GV161" s="4">
        <v>44910</v>
      </c>
      <c r="GW161" s="4">
        <f t="shared" si="531"/>
        <v>46736</v>
      </c>
      <c r="GX161" s="8">
        <f t="shared" ca="1" si="532"/>
        <v>601</v>
      </c>
      <c r="GY161" s="5" t="str">
        <f t="shared" ca="1" si="435"/>
        <v>VIGENTE</v>
      </c>
      <c r="GZ161" s="2"/>
      <c r="HA161" s="4">
        <v>44911</v>
      </c>
      <c r="HB161" s="4">
        <f t="shared" si="533"/>
        <v>46737</v>
      </c>
      <c r="HC161" s="8">
        <f t="shared" ca="1" si="534"/>
        <v>602</v>
      </c>
      <c r="HD161" s="5" t="str">
        <f t="shared" ca="1" si="430"/>
        <v>VIGENTE</v>
      </c>
      <c r="HE161" s="6"/>
      <c r="HF161" s="4">
        <v>45020</v>
      </c>
      <c r="HG161" s="4">
        <f t="shared" si="597"/>
        <v>46847</v>
      </c>
      <c r="HH161" s="8">
        <f t="shared" ca="1" si="598"/>
        <v>712</v>
      </c>
      <c r="HI161" s="5" t="str">
        <f t="shared" ca="1" si="43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5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3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3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3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3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3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4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4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42"/>
        <v>VIGENTE</v>
      </c>
      <c r="JC161" s="3"/>
      <c r="JD161" s="3"/>
      <c r="JE161" s="4"/>
      <c r="JF161" s="8"/>
      <c r="JG161" s="5" t="str">
        <f t="shared" si="543"/>
        <v>NO APLICA</v>
      </c>
      <c r="JH161" s="6"/>
      <c r="JI161" s="6"/>
      <c r="JJ161" s="6"/>
      <c r="JK161" s="6"/>
      <c r="JL161" s="5" t="str">
        <f t="shared" si="544"/>
        <v>NO APLICA</v>
      </c>
      <c r="JM161" s="6"/>
      <c r="JN161" s="6"/>
      <c r="JO161" s="6"/>
      <c r="JP161" s="6"/>
      <c r="JQ161" s="5" t="str">
        <f t="shared" si="545"/>
        <v>NO APLICA</v>
      </c>
      <c r="JR161" s="6"/>
      <c r="JS161" s="6"/>
      <c r="JT161" s="6"/>
      <c r="JU161" s="6"/>
      <c r="JV161" s="5" t="str">
        <f t="shared" si="546"/>
        <v>NO APLICA</v>
      </c>
      <c r="JW161" s="5"/>
      <c r="JX161" s="3"/>
      <c r="JY161" s="4"/>
      <c r="JZ161" s="8"/>
      <c r="KA161" s="5" t="str">
        <f t="shared" si="547"/>
        <v>NO APLICA</v>
      </c>
      <c r="KB161" s="5"/>
      <c r="KC161" s="2"/>
      <c r="KD161" s="4"/>
      <c r="KE161" s="8"/>
      <c r="KF161" s="5" t="str">
        <f t="shared" si="548"/>
        <v>NO APLICA</v>
      </c>
      <c r="KG161" s="5"/>
      <c r="KH161" s="2"/>
      <c r="KI161" s="4"/>
      <c r="KJ161" s="8"/>
      <c r="KK161" s="5" t="str">
        <f t="shared" si="573"/>
        <v>NO APLICA</v>
      </c>
      <c r="KL161" s="5"/>
      <c r="KM161" s="2"/>
      <c r="KN161" s="4"/>
      <c r="KO161" s="8"/>
      <c r="KP161" s="5" t="str">
        <f t="shared" si="549"/>
        <v>NO APLICA</v>
      </c>
      <c r="KQ161" s="5"/>
      <c r="KR161" s="2"/>
      <c r="KS161" s="4"/>
      <c r="KT161" s="8"/>
      <c r="KU161" s="5" t="str">
        <f t="shared" si="574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79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75"/>
        <v>VIGENTE</v>
      </c>
      <c r="LF161" s="4"/>
      <c r="LG161" s="4"/>
      <c r="LH161" s="4"/>
      <c r="LI161" s="8"/>
      <c r="LJ161" s="5" t="str">
        <f t="shared" si="581"/>
        <v>NO APLICA</v>
      </c>
      <c r="LK161" s="5"/>
      <c r="LL161" s="5"/>
      <c r="LM161" s="4"/>
      <c r="LN161" s="8"/>
      <c r="LO161" s="5" t="str">
        <f t="shared" si="580"/>
        <v>NO APLICA</v>
      </c>
      <c r="LP161" s="2"/>
      <c r="LQ161" s="6"/>
      <c r="LR161" s="4"/>
      <c r="LS161" s="8"/>
      <c r="LT161" s="5" t="str">
        <f t="shared" si="576"/>
        <v>NO APLICA</v>
      </c>
      <c r="LU161" s="6"/>
      <c r="LV161" s="6"/>
      <c r="LW161" s="4"/>
      <c r="LX161" s="8"/>
      <c r="LY161" s="5" t="str">
        <f t="shared" si="577"/>
        <v>NO APLICA</v>
      </c>
      <c r="LZ161" s="6"/>
      <c r="MA161" s="6"/>
      <c r="MB161" s="4"/>
      <c r="MC161" s="8"/>
      <c r="MD161" s="5" t="str">
        <f t="shared" si="578"/>
        <v>NO APLICA</v>
      </c>
      <c r="ME161" s="2"/>
      <c r="MF161" s="2"/>
      <c r="MG161" s="4"/>
      <c r="MH161" s="8"/>
      <c r="MI161" s="5" t="str">
        <f t="shared" si="551"/>
        <v>NO APLICA</v>
      </c>
      <c r="MJ161" s="2"/>
      <c r="MK161" s="2"/>
      <c r="ML161" s="4"/>
      <c r="MM161" s="8"/>
      <c r="MN161" s="5" t="str">
        <f t="shared" si="552"/>
        <v>NO APLICA</v>
      </c>
      <c r="MO161" s="5"/>
      <c r="MP161" s="2"/>
      <c r="MQ161" s="4"/>
      <c r="MR161" s="8"/>
      <c r="MS161" s="5" t="str">
        <f t="shared" si="553"/>
        <v>NO APLICA</v>
      </c>
      <c r="MT161" s="5"/>
      <c r="MU161" s="2"/>
      <c r="MV161" s="4"/>
      <c r="MW161" s="2"/>
      <c r="MX161" s="5" t="str">
        <f t="shared" si="554"/>
        <v>NO APLICA</v>
      </c>
      <c r="MY161" s="2"/>
      <c r="MZ161" s="6"/>
      <c r="NA161" s="4"/>
      <c r="NB161" s="8"/>
      <c r="NC161" s="5" t="str">
        <f t="shared" si="555"/>
        <v>NO APLICA</v>
      </c>
      <c r="ND161" s="2"/>
      <c r="NE161" s="6"/>
      <c r="NF161" s="4"/>
      <c r="NG161" s="8"/>
      <c r="NH161" s="5" t="str">
        <f t="shared" si="556"/>
        <v>NO APLICA</v>
      </c>
      <c r="NI161" s="2"/>
      <c r="NJ161" s="6"/>
      <c r="NK161" s="4"/>
      <c r="NL161" s="8"/>
      <c r="NM161" s="5" t="str">
        <f t="shared" si="557"/>
        <v>NO APLICA</v>
      </c>
      <c r="NN161" s="2"/>
      <c r="NO161" s="2"/>
      <c r="NP161" s="4"/>
      <c r="NQ161" s="8"/>
      <c r="NR161" s="5" t="str">
        <f t="shared" si="558"/>
        <v>NO APLICA</v>
      </c>
      <c r="NS161" s="2"/>
      <c r="NT161" s="2"/>
      <c r="NU161" s="4"/>
      <c r="NV161" s="2"/>
      <c r="NW161" s="5" t="str">
        <f t="shared" si="559"/>
        <v>NO APLICA</v>
      </c>
      <c r="NX161" s="6"/>
      <c r="NY161" s="6"/>
      <c r="NZ161" s="4"/>
      <c r="OA161" s="8"/>
      <c r="OB161" s="5" t="str">
        <f t="shared" si="560"/>
        <v>NO APLICA</v>
      </c>
      <c r="OC161" s="6"/>
      <c r="OD161" s="6"/>
      <c r="OE161" s="6"/>
      <c r="OF161" s="6"/>
      <c r="OG161" s="5" t="str">
        <f t="shared" si="561"/>
        <v>NO APLICA</v>
      </c>
      <c r="OH161" s="2"/>
      <c r="OI161" s="2"/>
      <c r="OJ161" s="4"/>
      <c r="OK161" s="8"/>
      <c r="OL161" s="5" t="str">
        <f t="shared" si="562"/>
        <v>NO APLICA</v>
      </c>
      <c r="OM161" s="6"/>
      <c r="ON161" s="6"/>
      <c r="OO161" s="6"/>
      <c r="OP161" s="6"/>
      <c r="OQ161" s="5" t="str">
        <f t="shared" si="563"/>
        <v>NO APLICA</v>
      </c>
      <c r="OR161" s="6"/>
      <c r="OS161" s="6"/>
      <c r="OT161" s="6"/>
      <c r="OU161" s="6"/>
      <c r="OV161" s="5" t="str">
        <f t="shared" si="564"/>
        <v>NO APLICA</v>
      </c>
      <c r="OW161" s="6"/>
      <c r="OX161" s="6"/>
      <c r="OY161" s="6"/>
      <c r="OZ161" s="6"/>
      <c r="PA161" s="5" t="str">
        <f t="shared" si="565"/>
        <v>NO APLICA</v>
      </c>
      <c r="PB161" s="6"/>
      <c r="PC161" s="6"/>
      <c r="PD161" s="6"/>
      <c r="PE161" s="6"/>
      <c r="PF161" s="5" t="str">
        <f t="shared" si="566"/>
        <v>NO APLICA</v>
      </c>
      <c r="PG161" s="6"/>
      <c r="PH161" s="6"/>
      <c r="PI161" s="6"/>
      <c r="PJ161" s="6"/>
      <c r="PK161" s="5" t="str">
        <f t="shared" si="567"/>
        <v>NO APLICA</v>
      </c>
      <c r="PL161" s="5"/>
      <c r="PM161" s="6"/>
      <c r="PN161" s="4"/>
      <c r="PO161" s="8"/>
      <c r="PP161" s="5" t="str">
        <f t="shared" si="568"/>
        <v>NO APLICA</v>
      </c>
      <c r="PQ161" s="6"/>
      <c r="PR161" s="6"/>
      <c r="PS161" s="6"/>
      <c r="PT161" s="6"/>
      <c r="PU161" s="5" t="str">
        <f t="shared" si="569"/>
        <v>NO APLICA</v>
      </c>
      <c r="PV161" s="5"/>
      <c r="PW161" s="6"/>
      <c r="PX161" s="6"/>
      <c r="PY161" s="6"/>
      <c r="PZ161" s="5" t="str">
        <f t="shared" si="570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775</v>
      </c>
      <c r="D162" s="30" t="s">
        <v>64</v>
      </c>
      <c r="E162" s="31" t="s">
        <v>526</v>
      </c>
      <c r="F162" s="5"/>
      <c r="G162" s="6"/>
      <c r="H162" s="4"/>
      <c r="I162" s="8"/>
      <c r="J162" s="5" t="str">
        <f t="shared" si="464"/>
        <v>NO APLICA</v>
      </c>
      <c r="K162" s="5"/>
      <c r="L162" s="6"/>
      <c r="M162" s="6"/>
      <c r="N162" s="8"/>
      <c r="O162" s="5" t="str">
        <f t="shared" si="46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71"/>
        <v>VIGENTE</v>
      </c>
      <c r="U162" s="5"/>
      <c r="V162" s="2" t="s">
        <v>527</v>
      </c>
      <c r="W162" s="4">
        <v>45309</v>
      </c>
      <c r="X162" s="4">
        <f t="shared" si="601"/>
        <v>47136</v>
      </c>
      <c r="Y162" s="8">
        <f t="shared" ca="1" si="602"/>
        <v>1001</v>
      </c>
      <c r="Z162" s="5" t="str">
        <f t="shared" ca="1" si="421"/>
        <v>VIGENTE</v>
      </c>
      <c r="AA162" s="5"/>
      <c r="AB162" s="22" t="s">
        <v>528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6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67"/>
        <v>497</v>
      </c>
      <c r="AK162" s="5" t="str">
        <f t="shared" ca="1" si="41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68"/>
        <v>304</v>
      </c>
      <c r="AP162" s="5" t="str">
        <f t="shared" ca="1" si="46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0"/>
        <v>185</v>
      </c>
      <c r="AU162" s="5" t="str">
        <f t="shared" ca="1" si="47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2"/>
        <v>296</v>
      </c>
      <c r="AZ162" s="5" t="str">
        <f t="shared" ca="1" si="47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4"/>
        <v>197</v>
      </c>
      <c r="BE162" s="5" t="str">
        <f t="shared" ca="1" si="47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6"/>
        <v>292</v>
      </c>
      <c r="BJ162" s="5" t="str">
        <f t="shared" ca="1" si="47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78"/>
        <v>194</v>
      </c>
      <c r="BO162" s="5" t="str">
        <f t="shared" ca="1" si="47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0"/>
        <v>295</v>
      </c>
      <c r="BT162" s="5" t="str">
        <f t="shared" ca="1" si="481"/>
        <v>VIGENTE</v>
      </c>
      <c r="BU162" s="3"/>
      <c r="BV162" s="4">
        <v>45695</v>
      </c>
      <c r="BW162" s="4">
        <f t="shared" si="599"/>
        <v>46424</v>
      </c>
      <c r="BX162" s="8">
        <f t="shared" ca="1" si="482"/>
        <v>289</v>
      </c>
      <c r="BY162" s="5" t="str">
        <f t="shared" ca="1" si="483"/>
        <v>VIGENTE</v>
      </c>
      <c r="BZ162" s="3"/>
      <c r="CA162" s="4">
        <v>45944</v>
      </c>
      <c r="CB162" s="4">
        <f t="shared" si="603"/>
        <v>46674</v>
      </c>
      <c r="CC162" s="8">
        <f t="shared" ca="1" si="484"/>
        <v>539</v>
      </c>
      <c r="CD162" s="5" t="str">
        <f t="shared" ca="1" si="485"/>
        <v>VIGENTE</v>
      </c>
      <c r="CE162" s="6" t="s">
        <v>73</v>
      </c>
      <c r="CF162" s="4">
        <v>45533</v>
      </c>
      <c r="CG162" s="4">
        <f t="shared" si="604"/>
        <v>46994</v>
      </c>
      <c r="CH162" s="8">
        <f t="shared" ca="1" si="605"/>
        <v>859</v>
      </c>
      <c r="CI162" s="5" t="str">
        <f t="shared" ca="1" si="587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6"/>
        <v>195</v>
      </c>
      <c r="CN162" s="5" t="str">
        <f t="shared" ca="1" si="487"/>
        <v>VIGENTE</v>
      </c>
      <c r="CO162" s="3"/>
      <c r="CP162" s="4">
        <v>45684</v>
      </c>
      <c r="CQ162" s="4">
        <f t="shared" si="600"/>
        <v>46413</v>
      </c>
      <c r="CR162" s="8">
        <f t="shared" ca="1" si="488"/>
        <v>278</v>
      </c>
      <c r="CS162" s="5" t="str">
        <f t="shared" ca="1" si="48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0"/>
        <v>321</v>
      </c>
      <c r="CX162" s="5" t="str">
        <f t="shared" ca="1" si="49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2"/>
        <v>259</v>
      </c>
      <c r="DC162" s="5" t="str">
        <f t="shared" ca="1" si="49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4"/>
        <v>190</v>
      </c>
      <c r="DH162" s="5" t="str">
        <f t="shared" ca="1" si="49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6"/>
        <v>290</v>
      </c>
      <c r="DM162" s="5" t="str">
        <f t="shared" ca="1" si="49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98"/>
        <v>171</v>
      </c>
      <c r="DR162" s="5" t="str">
        <f t="shared" ca="1" si="49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0"/>
        <v>279</v>
      </c>
      <c r="DW162" s="5" t="str">
        <f t="shared" ca="1" si="50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2"/>
        <v>257</v>
      </c>
      <c r="EB162" s="5" t="str">
        <f t="shared" ca="1" si="50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4"/>
        <v>177</v>
      </c>
      <c r="EG162" s="5" t="str">
        <f t="shared" ca="1" si="505"/>
        <v>VIGENTE</v>
      </c>
      <c r="EH162" s="3"/>
      <c r="EI162" s="3">
        <v>46107</v>
      </c>
      <c r="EJ162" s="4">
        <f t="shared" si="572"/>
        <v>46472</v>
      </c>
      <c r="EK162" s="8">
        <f t="shared" ca="1" si="506"/>
        <v>337</v>
      </c>
      <c r="EL162" s="5" t="str">
        <f t="shared" ca="1" si="50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08"/>
        <v>230</v>
      </c>
      <c r="EQ162" s="5" t="str">
        <f t="shared" ca="1" si="50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0"/>
        <v>217</v>
      </c>
      <c r="EV162" s="5" t="str">
        <f t="shared" ca="1" si="511"/>
        <v>VIGENTE</v>
      </c>
      <c r="EW162" s="3"/>
      <c r="EX162" s="4">
        <v>45917</v>
      </c>
      <c r="EY162" s="4">
        <f t="shared" si="606"/>
        <v>46647</v>
      </c>
      <c r="EZ162" s="8">
        <f t="shared" ca="1" si="512"/>
        <v>512</v>
      </c>
      <c r="FA162" s="5" t="str">
        <f t="shared" ca="1" si="513"/>
        <v>VIGENTE</v>
      </c>
      <c r="FB162" s="3"/>
      <c r="FC162" s="4">
        <v>45931</v>
      </c>
      <c r="FD162" s="4">
        <f t="shared" si="607"/>
        <v>46661</v>
      </c>
      <c r="FE162" s="8">
        <f t="shared" ca="1" si="514"/>
        <v>526</v>
      </c>
      <c r="FF162" s="5" t="str">
        <f t="shared" ca="1" si="515"/>
        <v>VIGENTE</v>
      </c>
      <c r="FG162" s="3"/>
      <c r="FH162" s="4">
        <v>45919</v>
      </c>
      <c r="FI162" s="4">
        <f t="shared" si="608"/>
        <v>46649</v>
      </c>
      <c r="FJ162" s="8">
        <f t="shared" ca="1" si="516"/>
        <v>514</v>
      </c>
      <c r="FK162" s="5" t="str">
        <f t="shared" ca="1" si="51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18"/>
        <v>182</v>
      </c>
      <c r="FP162" s="5" t="str">
        <f t="shared" ca="1" si="51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0"/>
        <v>180</v>
      </c>
      <c r="FU162" s="5" t="str">
        <f t="shared" ca="1" si="52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2"/>
        <v>536</v>
      </c>
      <c r="FZ162" s="5" t="str">
        <f t="shared" ca="1" si="52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4"/>
        <v>261</v>
      </c>
      <c r="GE162" s="5" t="str">
        <f t="shared" ca="1" si="52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6"/>
        <v>173</v>
      </c>
      <c r="GJ162" s="5" t="str">
        <f t="shared" ca="1" si="52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28"/>
        <v>202</v>
      </c>
      <c r="GO162" s="5" t="str">
        <f t="shared" ca="1" si="529"/>
        <v>VIGENTE</v>
      </c>
      <c r="GP162" s="4"/>
      <c r="GQ162" s="4">
        <v>45017</v>
      </c>
      <c r="GR162" s="4">
        <f t="shared" si="530"/>
        <v>46844</v>
      </c>
      <c r="GS162" s="8">
        <f t="shared" ca="1" si="416"/>
        <v>709</v>
      </c>
      <c r="GT162" s="5" t="str">
        <f t="shared" ca="1" si="428"/>
        <v>VIGENTE</v>
      </c>
      <c r="GU162" s="3"/>
      <c r="GV162" s="4">
        <v>44952</v>
      </c>
      <c r="GW162" s="4">
        <f t="shared" si="531"/>
        <v>46778</v>
      </c>
      <c r="GX162" s="8">
        <f t="shared" ca="1" si="532"/>
        <v>643</v>
      </c>
      <c r="GY162" s="5" t="str">
        <f t="shared" ca="1" si="435"/>
        <v>VIGENTE</v>
      </c>
      <c r="GZ162" s="3"/>
      <c r="HA162" s="4">
        <v>45294</v>
      </c>
      <c r="HB162" s="4">
        <f t="shared" si="533"/>
        <v>47121</v>
      </c>
      <c r="HC162" s="8">
        <f t="shared" ca="1" si="534"/>
        <v>986</v>
      </c>
      <c r="HD162" s="5" t="str">
        <f t="shared" ca="1" si="430"/>
        <v>VIGENTE</v>
      </c>
      <c r="HE162" s="6"/>
      <c r="HF162" s="4">
        <v>45020</v>
      </c>
      <c r="HG162" s="4">
        <f t="shared" si="597"/>
        <v>46847</v>
      </c>
      <c r="HH162" s="8">
        <f t="shared" ca="1" si="598"/>
        <v>712</v>
      </c>
      <c r="HI162" s="5" t="str">
        <f t="shared" ca="1" si="436"/>
        <v>VIGENTE</v>
      </c>
      <c r="HJ162" s="2"/>
      <c r="HK162" s="6"/>
      <c r="HL162" s="4"/>
      <c r="HM162" s="8"/>
      <c r="HN162" s="5" t="str">
        <f t="shared" si="453"/>
        <v>NO APLICA</v>
      </c>
      <c r="HO162" s="2"/>
      <c r="HP162" s="5"/>
      <c r="HQ162" s="4"/>
      <c r="HR162" s="5"/>
      <c r="HS162" s="5" t="str">
        <f t="shared" si="535"/>
        <v>NO APLICA</v>
      </c>
      <c r="HT162" s="2"/>
      <c r="HU162" s="6"/>
      <c r="HV162" s="4"/>
      <c r="HW162" s="8"/>
      <c r="HX162" s="5" t="str">
        <f t="shared" si="536"/>
        <v>NO APLICA</v>
      </c>
      <c r="HY162" s="2"/>
      <c r="HZ162" s="6"/>
      <c r="IA162" s="4"/>
      <c r="IB162" s="8"/>
      <c r="IC162" s="5" t="str">
        <f t="shared" si="537"/>
        <v>NO APLICA</v>
      </c>
      <c r="ID162" s="2"/>
      <c r="IE162" s="6"/>
      <c r="IF162" s="4"/>
      <c r="IG162" s="8"/>
      <c r="IH162" s="5" t="str">
        <f t="shared" si="538"/>
        <v>NO APLICA</v>
      </c>
      <c r="II162" s="6"/>
      <c r="IJ162" s="6"/>
      <c r="IK162" s="4"/>
      <c r="IL162" s="8"/>
      <c r="IM162" s="5" t="str">
        <f t="shared" si="539"/>
        <v>NO APLICA</v>
      </c>
      <c r="IN162" s="2"/>
      <c r="IO162" s="6"/>
      <c r="IP162" s="4"/>
      <c r="IQ162" s="8"/>
      <c r="IR162" s="5" t="str">
        <f t="shared" si="540"/>
        <v>NO APLICA</v>
      </c>
      <c r="IS162" s="2"/>
      <c r="IT162" s="6"/>
      <c r="IU162" s="4"/>
      <c r="IV162" s="8"/>
      <c r="IW162" s="5" t="str">
        <f t="shared" si="541"/>
        <v>NO APLICA</v>
      </c>
      <c r="IX162" s="2"/>
      <c r="IY162" s="6"/>
      <c r="IZ162" s="4"/>
      <c r="JA162" s="8"/>
      <c r="JB162" s="5" t="str">
        <f t="shared" si="542"/>
        <v>NO APLICA</v>
      </c>
      <c r="JC162" s="3"/>
      <c r="JD162" s="3"/>
      <c r="JE162" s="4"/>
      <c r="JF162" s="8"/>
      <c r="JG162" s="5" t="str">
        <f t="shared" si="543"/>
        <v>NO APLICA</v>
      </c>
      <c r="JH162" s="6"/>
      <c r="JI162" s="6"/>
      <c r="JJ162" s="6"/>
      <c r="JK162" s="6"/>
      <c r="JL162" s="5" t="str">
        <f t="shared" si="544"/>
        <v>NO APLICA</v>
      </c>
      <c r="JM162" s="6"/>
      <c r="JN162" s="6"/>
      <c r="JO162" s="6"/>
      <c r="JP162" s="6"/>
      <c r="JQ162" s="5" t="str">
        <f t="shared" si="545"/>
        <v>NO APLICA</v>
      </c>
      <c r="JR162" s="6"/>
      <c r="JS162" s="6"/>
      <c r="JT162" s="6"/>
      <c r="JU162" s="6"/>
      <c r="JV162" s="5" t="str">
        <f t="shared" si="546"/>
        <v>NO APLICA</v>
      </c>
      <c r="JW162" s="5"/>
      <c r="JX162" s="5"/>
      <c r="JY162" s="5"/>
      <c r="JZ162" s="5"/>
      <c r="KA162" s="5" t="str">
        <f t="shared" si="547"/>
        <v>NO APLICA</v>
      </c>
      <c r="KB162" s="5"/>
      <c r="KC162" s="5"/>
      <c r="KD162" s="4"/>
      <c r="KE162" s="8"/>
      <c r="KF162" s="5" t="str">
        <f t="shared" si="548"/>
        <v>NO APLICA</v>
      </c>
      <c r="KG162" s="5"/>
      <c r="KH162" s="5"/>
      <c r="KI162" s="4"/>
      <c r="KJ162" s="8"/>
      <c r="KK162" s="5" t="str">
        <f t="shared" si="573"/>
        <v>NO APLICA</v>
      </c>
      <c r="KL162" s="5"/>
      <c r="KM162" s="5"/>
      <c r="KN162" s="4"/>
      <c r="KO162" s="8"/>
      <c r="KP162" s="5" t="str">
        <f t="shared" si="549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74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79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75"/>
        <v>VIGENTE</v>
      </c>
      <c r="LF162" s="6"/>
      <c r="LG162" s="6"/>
      <c r="LH162" s="4"/>
      <c r="LI162" s="8"/>
      <c r="LJ162" s="5" t="str">
        <f t="shared" si="581"/>
        <v>NO APLICA</v>
      </c>
      <c r="LK162" s="5"/>
      <c r="LL162" s="5"/>
      <c r="LM162" s="5"/>
      <c r="LN162" s="5"/>
      <c r="LO162" s="5" t="str">
        <f t="shared" si="580"/>
        <v>NO APLICA</v>
      </c>
      <c r="LP162" s="5"/>
      <c r="LQ162" s="6"/>
      <c r="LR162" s="4"/>
      <c r="LS162" s="8"/>
      <c r="LT162" s="5" t="str">
        <f t="shared" si="576"/>
        <v>NO APLICA</v>
      </c>
      <c r="LU162" s="6"/>
      <c r="LV162" s="6"/>
      <c r="LW162" s="4"/>
      <c r="LX162" s="8"/>
      <c r="LY162" s="5" t="str">
        <f t="shared" si="577"/>
        <v>NO APLICA</v>
      </c>
      <c r="LZ162" s="6"/>
      <c r="MA162" s="6"/>
      <c r="MB162" s="4"/>
      <c r="MC162" s="8"/>
      <c r="MD162" s="5" t="str">
        <f t="shared" si="578"/>
        <v>NO APLICA</v>
      </c>
      <c r="ME162" s="5"/>
      <c r="MF162" s="5"/>
      <c r="MG162" s="4"/>
      <c r="MH162" s="8"/>
      <c r="MI162" s="5" t="str">
        <f t="shared" si="551"/>
        <v>NO APLICA</v>
      </c>
      <c r="MJ162" s="5"/>
      <c r="MK162" s="5"/>
      <c r="ML162" s="4"/>
      <c r="MM162" s="8"/>
      <c r="MN162" s="5" t="str">
        <f t="shared" si="552"/>
        <v>NO APLICA</v>
      </c>
      <c r="MO162" s="5"/>
      <c r="MP162" s="5"/>
      <c r="MQ162" s="4"/>
      <c r="MR162" s="8"/>
      <c r="MS162" s="5" t="str">
        <f t="shared" si="553"/>
        <v>NO APLICA</v>
      </c>
      <c r="MT162" s="5"/>
      <c r="MU162" s="5"/>
      <c r="MV162" s="4"/>
      <c r="MW162" s="5"/>
      <c r="MX162" s="5" t="str">
        <f t="shared" si="554"/>
        <v>NO APLICA</v>
      </c>
      <c r="MY162" s="5"/>
      <c r="MZ162" s="6"/>
      <c r="NA162" s="4"/>
      <c r="NB162" s="8"/>
      <c r="NC162" s="5" t="str">
        <f t="shared" si="555"/>
        <v>NO APLICA</v>
      </c>
      <c r="ND162" s="5"/>
      <c r="NE162" s="6"/>
      <c r="NF162" s="4"/>
      <c r="NG162" s="8"/>
      <c r="NH162" s="5" t="str">
        <f t="shared" si="556"/>
        <v>NO APLICA</v>
      </c>
      <c r="NI162" s="5"/>
      <c r="NJ162" s="6"/>
      <c r="NK162" s="4"/>
      <c r="NL162" s="8"/>
      <c r="NM162" s="5" t="str">
        <f t="shared" si="557"/>
        <v>NO APLICA</v>
      </c>
      <c r="NN162" s="5"/>
      <c r="NO162" s="5"/>
      <c r="NP162" s="5"/>
      <c r="NQ162" s="5"/>
      <c r="NR162" s="5" t="str">
        <f t="shared" si="558"/>
        <v>NO APLICA</v>
      </c>
      <c r="NS162" s="5"/>
      <c r="NT162" s="5"/>
      <c r="NU162" s="5"/>
      <c r="NV162" s="5"/>
      <c r="NW162" s="5" t="str">
        <f t="shared" si="559"/>
        <v>NO APLICA</v>
      </c>
      <c r="NX162" s="6"/>
      <c r="NY162" s="6"/>
      <c r="NZ162" s="4"/>
      <c r="OA162" s="8"/>
      <c r="OB162" s="5" t="str">
        <f t="shared" si="560"/>
        <v>NO APLICA</v>
      </c>
      <c r="OC162" s="6"/>
      <c r="OD162" s="6"/>
      <c r="OE162" s="6"/>
      <c r="OF162" s="6"/>
      <c r="OG162" s="5" t="str">
        <f t="shared" si="561"/>
        <v>NO APLICA</v>
      </c>
      <c r="OH162" s="6"/>
      <c r="OI162" s="6"/>
      <c r="OJ162" s="4"/>
      <c r="OK162" s="8"/>
      <c r="OL162" s="5" t="str">
        <f t="shared" si="562"/>
        <v>NO APLICA</v>
      </c>
      <c r="OM162" s="6"/>
      <c r="ON162" s="6"/>
      <c r="OO162" s="6"/>
      <c r="OP162" s="6"/>
      <c r="OQ162" s="5" t="str">
        <f t="shared" si="563"/>
        <v>NO APLICA</v>
      </c>
      <c r="OR162" s="6"/>
      <c r="OS162" s="6"/>
      <c r="OT162" s="6"/>
      <c r="OU162" s="6"/>
      <c r="OV162" s="5" t="str">
        <f t="shared" si="564"/>
        <v>NO APLICA</v>
      </c>
      <c r="OW162" s="6"/>
      <c r="OX162" s="6"/>
      <c r="OY162" s="6"/>
      <c r="OZ162" s="6"/>
      <c r="PA162" s="5" t="str">
        <f t="shared" si="565"/>
        <v>NO APLICA</v>
      </c>
      <c r="PB162" s="6"/>
      <c r="PC162" s="6"/>
      <c r="PD162" s="6"/>
      <c r="PE162" s="6"/>
      <c r="PF162" s="5" t="str">
        <f t="shared" si="566"/>
        <v>NO APLICA</v>
      </c>
      <c r="PG162" s="6"/>
      <c r="PH162" s="6"/>
      <c r="PI162" s="6"/>
      <c r="PJ162" s="6"/>
      <c r="PK162" s="5" t="str">
        <f t="shared" si="567"/>
        <v>NO APLICA</v>
      </c>
      <c r="PL162" s="5"/>
      <c r="PM162" s="6"/>
      <c r="PN162" s="4"/>
      <c r="PO162" s="8"/>
      <c r="PP162" s="5" t="str">
        <f t="shared" si="568"/>
        <v>NO APLICA</v>
      </c>
      <c r="PQ162" s="6"/>
      <c r="PR162" s="6"/>
      <c r="PS162" s="6"/>
      <c r="PT162" s="6"/>
      <c r="PU162" s="5" t="str">
        <f t="shared" si="569"/>
        <v>NO APLICA</v>
      </c>
      <c r="PV162" s="5"/>
      <c r="PW162" s="6"/>
      <c r="PX162" s="6"/>
      <c r="PY162" s="6"/>
      <c r="PZ162" s="5" t="str">
        <f t="shared" si="570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529</v>
      </c>
      <c r="D163" s="30" t="s">
        <v>115</v>
      </c>
      <c r="E163" s="31" t="s">
        <v>128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64"/>
        <v>VIGENTE</v>
      </c>
      <c r="K163" s="5"/>
      <c r="L163" s="6"/>
      <c r="M163" s="6"/>
      <c r="N163" s="8"/>
      <c r="O163" s="5" t="str">
        <f t="shared" si="465"/>
        <v>NO APLICA</v>
      </c>
      <c r="P163" s="6"/>
      <c r="Q163" s="6"/>
      <c r="R163" s="4"/>
      <c r="S163" s="8"/>
      <c r="T163" s="5" t="str">
        <f t="shared" si="571"/>
        <v>NO APLICA</v>
      </c>
      <c r="U163" s="5"/>
      <c r="V163" s="2" t="s">
        <v>530</v>
      </c>
      <c r="W163" s="4">
        <v>44786</v>
      </c>
      <c r="X163" s="4">
        <f t="shared" si="601"/>
        <v>46612</v>
      </c>
      <c r="Y163" s="8">
        <f t="shared" ca="1" si="602"/>
        <v>477</v>
      </c>
      <c r="Z163" s="5" t="str">
        <f t="shared" ca="1" si="421"/>
        <v>VIGENTE</v>
      </c>
      <c r="AA163" s="5"/>
      <c r="AB163" s="2"/>
      <c r="AC163" s="6"/>
      <c r="AD163" s="4"/>
      <c r="AE163" s="8"/>
      <c r="AF163" s="5" t="str">
        <f t="shared" si="46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67"/>
        <v>497</v>
      </c>
      <c r="AK163" s="5" t="str">
        <f t="shared" ca="1" si="41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68"/>
        <v>498</v>
      </c>
      <c r="AP163" s="5" t="str">
        <f t="shared" ca="1" si="46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0"/>
        <v>562</v>
      </c>
      <c r="AU163" s="5" t="str">
        <f t="shared" ca="1" si="47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2"/>
        <v>522</v>
      </c>
      <c r="AZ163" s="5" t="str">
        <f t="shared" ca="1" si="47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4"/>
        <v>311</v>
      </c>
      <c r="BE163" s="5" t="str">
        <f t="shared" ca="1" si="47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6"/>
        <v>292</v>
      </c>
      <c r="BJ163" s="5" t="str">
        <f t="shared" ca="1" si="47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78"/>
        <v>293</v>
      </c>
      <c r="BO163" s="5" t="str">
        <f t="shared" ca="1" si="47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0"/>
        <v>295</v>
      </c>
      <c r="BT163" s="5" t="str">
        <f t="shared" ca="1" si="481"/>
        <v>VIGENTE</v>
      </c>
      <c r="BU163" s="3"/>
      <c r="BV163" s="4">
        <v>45455</v>
      </c>
      <c r="BW163" s="4">
        <f t="shared" si="599"/>
        <v>46184</v>
      </c>
      <c r="BX163" s="8">
        <f t="shared" ca="1" si="482"/>
        <v>49</v>
      </c>
      <c r="BY163" s="5" t="str">
        <f t="shared" ca="1" si="483"/>
        <v>POR VENCER</v>
      </c>
      <c r="BZ163" s="3"/>
      <c r="CA163" s="4">
        <v>45911</v>
      </c>
      <c r="CB163" s="4">
        <f t="shared" si="603"/>
        <v>46641</v>
      </c>
      <c r="CC163" s="8">
        <f t="shared" ca="1" si="484"/>
        <v>506</v>
      </c>
      <c r="CD163" s="5" t="str">
        <f t="shared" ca="1" si="485"/>
        <v>VIGENTE</v>
      </c>
      <c r="CE163" s="6" t="s">
        <v>73</v>
      </c>
      <c r="CF163" s="4">
        <v>45616</v>
      </c>
      <c r="CG163" s="4">
        <f t="shared" si="604"/>
        <v>47077</v>
      </c>
      <c r="CH163" s="8">
        <f t="shared" ca="1" si="605"/>
        <v>942</v>
      </c>
      <c r="CI163" s="5" t="str">
        <f t="shared" ca="1" si="587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6"/>
        <v>98</v>
      </c>
      <c r="CN163" s="5" t="str">
        <f t="shared" ca="1" si="487"/>
        <v>VIGENTE</v>
      </c>
      <c r="CO163" s="3"/>
      <c r="CP163" s="4">
        <v>45513</v>
      </c>
      <c r="CQ163" s="4">
        <f t="shared" si="600"/>
        <v>46242</v>
      </c>
      <c r="CR163" s="8">
        <f t="shared" ca="1" si="488"/>
        <v>107</v>
      </c>
      <c r="CS163" s="5" t="str">
        <f t="shared" ca="1" si="48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0"/>
        <v>638</v>
      </c>
      <c r="CX163" s="5" t="str">
        <f t="shared" ca="1" si="49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2"/>
        <v>595</v>
      </c>
      <c r="DC163" s="5" t="str">
        <f t="shared" ca="1" si="49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4"/>
        <v>283</v>
      </c>
      <c r="DH163" s="5" t="str">
        <f t="shared" ca="1" si="49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6"/>
        <v>429</v>
      </c>
      <c r="DM163" s="5" t="str">
        <f t="shared" ca="1" si="49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98"/>
        <v>577</v>
      </c>
      <c r="DR163" s="5" t="str">
        <f t="shared" ca="1" si="49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0"/>
        <v>279</v>
      </c>
      <c r="DW163" s="5" t="str">
        <f t="shared" ca="1" si="50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2"/>
        <v>345</v>
      </c>
      <c r="EB163" s="5" t="str">
        <f t="shared" ca="1" si="50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4"/>
        <v>309</v>
      </c>
      <c r="EG163" s="5" t="str">
        <f t="shared" ca="1" si="505"/>
        <v>VIGENTE</v>
      </c>
      <c r="EH163" s="3"/>
      <c r="EI163" s="3">
        <v>46085</v>
      </c>
      <c r="EJ163" s="4">
        <f t="shared" si="572"/>
        <v>46450</v>
      </c>
      <c r="EK163" s="8">
        <f t="shared" ca="1" si="506"/>
        <v>315</v>
      </c>
      <c r="EL163" s="5" t="str">
        <f t="shared" ca="1" si="50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08"/>
        <v>348</v>
      </c>
      <c r="EQ163" s="5" t="str">
        <f t="shared" ca="1" si="50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0"/>
        <v>349</v>
      </c>
      <c r="EV163" s="5" t="str">
        <f t="shared" ca="1" si="511"/>
        <v>VIGENTE</v>
      </c>
      <c r="EW163" s="3"/>
      <c r="EX163" s="4">
        <v>45917</v>
      </c>
      <c r="EY163" s="4">
        <f t="shared" si="606"/>
        <v>46647</v>
      </c>
      <c r="EZ163" s="8">
        <f t="shared" ca="1" si="512"/>
        <v>512</v>
      </c>
      <c r="FA163" s="5" t="str">
        <f t="shared" ca="1" si="513"/>
        <v>VIGENTE</v>
      </c>
      <c r="FB163" s="3"/>
      <c r="FC163" s="4">
        <v>45951</v>
      </c>
      <c r="FD163" s="4">
        <f t="shared" si="607"/>
        <v>46681</v>
      </c>
      <c r="FE163" s="8">
        <f t="shared" ca="1" si="514"/>
        <v>546</v>
      </c>
      <c r="FF163" s="5" t="str">
        <f t="shared" ca="1" si="515"/>
        <v>VIGENTE</v>
      </c>
      <c r="FG163" s="3"/>
      <c r="FH163" s="4">
        <v>45832</v>
      </c>
      <c r="FI163" s="4">
        <f t="shared" si="608"/>
        <v>46562</v>
      </c>
      <c r="FJ163" s="8">
        <f t="shared" ca="1" si="516"/>
        <v>427</v>
      </c>
      <c r="FK163" s="5" t="str">
        <f t="shared" ca="1" si="51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18"/>
        <v>264</v>
      </c>
      <c r="FP163" s="5" t="str">
        <f t="shared" ca="1" si="51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0"/>
        <v>341</v>
      </c>
      <c r="FU163" s="5" t="str">
        <f t="shared" ca="1" si="52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2"/>
        <v>168</v>
      </c>
      <c r="FZ163" s="5" t="str">
        <f t="shared" ca="1" si="52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4"/>
        <v>316</v>
      </c>
      <c r="GE163" s="5" t="str">
        <f t="shared" ca="1" si="52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6"/>
        <v>323</v>
      </c>
      <c r="GJ163" s="5" t="str">
        <f t="shared" ca="1" si="52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28"/>
        <v>443</v>
      </c>
      <c r="GO163" s="5" t="str">
        <f t="shared" ca="1" si="529"/>
        <v>VIGENTE</v>
      </c>
      <c r="GP163" s="4"/>
      <c r="GQ163" s="4">
        <v>45468</v>
      </c>
      <c r="GR163" s="4">
        <f t="shared" si="530"/>
        <v>47294</v>
      </c>
      <c r="GS163" s="8">
        <f t="shared" ca="1" si="416"/>
        <v>1159</v>
      </c>
      <c r="GT163" s="5" t="str">
        <f t="shared" ca="1" si="428"/>
        <v>VIGENTE</v>
      </c>
      <c r="GU163" s="3"/>
      <c r="GV163" s="4">
        <v>45010</v>
      </c>
      <c r="GW163" s="4">
        <f t="shared" si="531"/>
        <v>46837</v>
      </c>
      <c r="GX163" s="8">
        <f t="shared" ca="1" si="532"/>
        <v>702</v>
      </c>
      <c r="GY163" s="5" t="str">
        <f t="shared" ca="1" si="435"/>
        <v>VIGENTE</v>
      </c>
      <c r="GZ163" s="3"/>
      <c r="HA163" s="4">
        <v>45251</v>
      </c>
      <c r="HB163" s="4">
        <f t="shared" si="533"/>
        <v>47078</v>
      </c>
      <c r="HC163" s="8">
        <f t="shared" ca="1" si="534"/>
        <v>943</v>
      </c>
      <c r="HD163" s="5" t="str">
        <f t="shared" ca="1" si="430"/>
        <v>VIGENTE</v>
      </c>
      <c r="HE163" s="6"/>
      <c r="HF163" s="6"/>
      <c r="HG163" s="4"/>
      <c r="HH163" s="8"/>
      <c r="HI163" s="5" t="str">
        <f t="shared" si="436"/>
        <v>NO APLICA</v>
      </c>
      <c r="HJ163" s="2"/>
      <c r="HK163" s="6"/>
      <c r="HL163" s="4"/>
      <c r="HM163" s="8"/>
      <c r="HN163" s="5" t="str">
        <f t="shared" si="453"/>
        <v>NO APLICA</v>
      </c>
      <c r="HO163" s="2"/>
      <c r="HP163" s="2"/>
      <c r="HQ163" s="4"/>
      <c r="HR163" s="2"/>
      <c r="HS163" s="5" t="str">
        <f t="shared" si="535"/>
        <v>NO APLICA</v>
      </c>
      <c r="HT163" s="2"/>
      <c r="HU163" s="6"/>
      <c r="HV163" s="4"/>
      <c r="HW163" s="8"/>
      <c r="HX163" s="5" t="str">
        <f t="shared" si="536"/>
        <v>NO APLICA</v>
      </c>
      <c r="HY163" s="2"/>
      <c r="HZ163" s="6"/>
      <c r="IA163" s="4"/>
      <c r="IB163" s="8"/>
      <c r="IC163" s="5" t="str">
        <f t="shared" si="537"/>
        <v>NO APLICA</v>
      </c>
      <c r="ID163" s="2"/>
      <c r="IE163" s="6"/>
      <c r="IF163" s="4"/>
      <c r="IG163" s="8"/>
      <c r="IH163" s="5" t="str">
        <f t="shared" si="538"/>
        <v>NO APLICA</v>
      </c>
      <c r="II163" s="6"/>
      <c r="IJ163" s="6"/>
      <c r="IK163" s="4"/>
      <c r="IL163" s="8"/>
      <c r="IM163" s="5" t="str">
        <f t="shared" si="539"/>
        <v>NO APLICA</v>
      </c>
      <c r="IN163" s="2"/>
      <c r="IO163" s="6"/>
      <c r="IP163" s="4"/>
      <c r="IQ163" s="8"/>
      <c r="IR163" s="5" t="str">
        <f t="shared" si="540"/>
        <v>NO APLICA</v>
      </c>
      <c r="IS163" s="2"/>
      <c r="IT163" s="6"/>
      <c r="IU163" s="4"/>
      <c r="IV163" s="8"/>
      <c r="IW163" s="5" t="str">
        <f t="shared" si="541"/>
        <v>NO APLICA</v>
      </c>
      <c r="IX163" s="2"/>
      <c r="IY163" s="6"/>
      <c r="IZ163" s="4"/>
      <c r="JA163" s="8"/>
      <c r="JB163" s="5" t="str">
        <f t="shared" si="542"/>
        <v>NO APLICA</v>
      </c>
      <c r="JC163" s="3"/>
      <c r="JD163" s="3"/>
      <c r="JE163" s="4"/>
      <c r="JF163" s="8"/>
      <c r="JG163" s="5" t="str">
        <f t="shared" si="543"/>
        <v>NO APLICA</v>
      </c>
      <c r="JH163" s="6"/>
      <c r="JI163" s="6"/>
      <c r="JJ163" s="6"/>
      <c r="JK163" s="6"/>
      <c r="JL163" s="5" t="str">
        <f t="shared" si="544"/>
        <v>NO APLICA</v>
      </c>
      <c r="JM163" s="6"/>
      <c r="JN163" s="6"/>
      <c r="JO163" s="6"/>
      <c r="JP163" s="6"/>
      <c r="JQ163" s="5" t="str">
        <f t="shared" si="545"/>
        <v>NO APLICA</v>
      </c>
      <c r="JR163" s="6"/>
      <c r="JS163" s="6"/>
      <c r="JT163" s="6"/>
      <c r="JU163" s="6"/>
      <c r="JV163" s="5" t="str">
        <f t="shared" si="546"/>
        <v>NO APLICA</v>
      </c>
      <c r="JW163" s="5"/>
      <c r="JX163" s="5"/>
      <c r="JY163" s="5"/>
      <c r="JZ163" s="5"/>
      <c r="KA163" s="5" t="str">
        <f t="shared" si="547"/>
        <v>NO APLICA</v>
      </c>
      <c r="KB163" s="5"/>
      <c r="KC163" s="2"/>
      <c r="KD163" s="4"/>
      <c r="KE163" s="8"/>
      <c r="KF163" s="5" t="str">
        <f t="shared" si="548"/>
        <v>NO APLICA</v>
      </c>
      <c r="KG163" s="5"/>
      <c r="KH163" s="2"/>
      <c r="KI163" s="4"/>
      <c r="KJ163" s="8"/>
      <c r="KK163" s="5" t="str">
        <f t="shared" si="573"/>
        <v>NO APLICA</v>
      </c>
      <c r="KL163" s="5"/>
      <c r="KM163" s="2"/>
      <c r="KN163" s="4"/>
      <c r="KO163" s="8"/>
      <c r="KP163" s="5" t="str">
        <f t="shared" si="549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74"/>
        <v>VIGENTE</v>
      </c>
      <c r="KV163" s="2"/>
      <c r="KW163" s="6"/>
      <c r="KX163" s="4"/>
      <c r="KY163" s="8"/>
      <c r="KZ163" s="5" t="str">
        <f t="shared" si="579"/>
        <v>NO APLICA</v>
      </c>
      <c r="LA163" s="5"/>
      <c r="LB163" s="6"/>
      <c r="LC163" s="4"/>
      <c r="LD163" s="8"/>
      <c r="LE163" s="5" t="str">
        <f t="shared" si="575"/>
        <v>NO APLICA</v>
      </c>
      <c r="LF163" s="6"/>
      <c r="LG163" s="6"/>
      <c r="LH163" s="4"/>
      <c r="LI163" s="8"/>
      <c r="LJ163" s="5" t="str">
        <f t="shared" si="581"/>
        <v>NO APLICA</v>
      </c>
      <c r="LK163" s="5"/>
      <c r="LL163" s="5"/>
      <c r="LM163" s="4"/>
      <c r="LN163" s="8"/>
      <c r="LO163" s="5" t="str">
        <f t="shared" si="580"/>
        <v>NO APLICA</v>
      </c>
      <c r="LP163" s="2"/>
      <c r="LQ163" s="6"/>
      <c r="LR163" s="4"/>
      <c r="LS163" s="8"/>
      <c r="LT163" s="5" t="str">
        <f t="shared" si="576"/>
        <v>NO APLICA</v>
      </c>
      <c r="LU163" s="6"/>
      <c r="LV163" s="6"/>
      <c r="LW163" s="4"/>
      <c r="LX163" s="8"/>
      <c r="LY163" s="5" t="str">
        <f t="shared" si="577"/>
        <v>NO APLICA</v>
      </c>
      <c r="LZ163" s="6"/>
      <c r="MA163" s="6"/>
      <c r="MB163" s="4"/>
      <c r="MC163" s="8"/>
      <c r="MD163" s="5" t="str">
        <f t="shared" si="578"/>
        <v>NO APLICA</v>
      </c>
      <c r="ME163" s="2"/>
      <c r="MF163" s="2"/>
      <c r="MG163" s="4"/>
      <c r="MH163" s="8"/>
      <c r="MI163" s="5" t="str">
        <f t="shared" si="551"/>
        <v>NO APLICA</v>
      </c>
      <c r="MJ163" s="2"/>
      <c r="MK163" s="2"/>
      <c r="ML163" s="4"/>
      <c r="MM163" s="8"/>
      <c r="MN163" s="5" t="str">
        <f t="shared" si="552"/>
        <v>NO APLICA</v>
      </c>
      <c r="MO163" s="5"/>
      <c r="MP163" s="2"/>
      <c r="MQ163" s="4"/>
      <c r="MR163" s="8"/>
      <c r="MS163" s="5" t="str">
        <f t="shared" si="553"/>
        <v>NO APLICA</v>
      </c>
      <c r="MT163" s="5"/>
      <c r="MU163" s="2"/>
      <c r="MV163" s="4"/>
      <c r="MW163" s="2"/>
      <c r="MX163" s="5" t="str">
        <f t="shared" si="554"/>
        <v>NO APLICA</v>
      </c>
      <c r="MY163" s="2"/>
      <c r="MZ163" s="6"/>
      <c r="NA163" s="4"/>
      <c r="NB163" s="8"/>
      <c r="NC163" s="5" t="str">
        <f t="shared" si="555"/>
        <v>NO APLICA</v>
      </c>
      <c r="ND163" s="2"/>
      <c r="NE163" s="6"/>
      <c r="NF163" s="4"/>
      <c r="NG163" s="8"/>
      <c r="NH163" s="5" t="str">
        <f t="shared" si="556"/>
        <v>NO APLICA</v>
      </c>
      <c r="NI163" s="2"/>
      <c r="NJ163" s="6"/>
      <c r="NK163" s="4"/>
      <c r="NL163" s="8"/>
      <c r="NM163" s="5" t="str">
        <f t="shared" si="557"/>
        <v>NO APLICA</v>
      </c>
      <c r="NN163" s="2"/>
      <c r="NO163" s="2"/>
      <c r="NP163" s="4"/>
      <c r="NQ163" s="8"/>
      <c r="NR163" s="5" t="str">
        <f t="shared" si="558"/>
        <v>NO APLICA</v>
      </c>
      <c r="NS163" s="2"/>
      <c r="NT163" s="2"/>
      <c r="NU163" s="4"/>
      <c r="NV163" s="2"/>
      <c r="NW163" s="5" t="str">
        <f t="shared" si="559"/>
        <v>NO APLICA</v>
      </c>
      <c r="NX163" s="6"/>
      <c r="NY163" s="6"/>
      <c r="NZ163" s="4"/>
      <c r="OA163" s="8"/>
      <c r="OB163" s="5" t="str">
        <f t="shared" si="560"/>
        <v>NO APLICA</v>
      </c>
      <c r="OC163" s="6"/>
      <c r="OD163" s="6"/>
      <c r="OE163" s="6"/>
      <c r="OF163" s="6"/>
      <c r="OG163" s="5" t="str">
        <f t="shared" si="561"/>
        <v>NO APLICA</v>
      </c>
      <c r="OH163" s="2"/>
      <c r="OI163" s="2"/>
      <c r="OJ163" s="4"/>
      <c r="OK163" s="8"/>
      <c r="OL163" s="5" t="str">
        <f t="shared" si="562"/>
        <v>NO APLICA</v>
      </c>
      <c r="OM163" s="6"/>
      <c r="ON163" s="6"/>
      <c r="OO163" s="6"/>
      <c r="OP163" s="6"/>
      <c r="OQ163" s="5" t="str">
        <f t="shared" si="563"/>
        <v>NO APLICA</v>
      </c>
      <c r="OR163" s="6"/>
      <c r="OS163" s="6"/>
      <c r="OT163" s="6"/>
      <c r="OU163" s="6"/>
      <c r="OV163" s="5" t="str">
        <f t="shared" si="564"/>
        <v>NO APLICA</v>
      </c>
      <c r="OW163" s="6"/>
      <c r="OX163" s="6"/>
      <c r="OY163" s="6"/>
      <c r="OZ163" s="6"/>
      <c r="PA163" s="5" t="str">
        <f t="shared" si="565"/>
        <v>NO APLICA</v>
      </c>
      <c r="PB163" s="6"/>
      <c r="PC163" s="6"/>
      <c r="PD163" s="6"/>
      <c r="PE163" s="6"/>
      <c r="PF163" s="5" t="str">
        <f t="shared" si="566"/>
        <v>NO APLICA</v>
      </c>
      <c r="PG163" s="6"/>
      <c r="PH163" s="6"/>
      <c r="PI163" s="6"/>
      <c r="PJ163" s="6"/>
      <c r="PK163" s="5" t="str">
        <f t="shared" si="567"/>
        <v>NO APLICA</v>
      </c>
      <c r="PL163" s="5"/>
      <c r="PM163" s="6"/>
      <c r="PN163" s="4"/>
      <c r="PO163" s="8"/>
      <c r="PP163" s="5" t="str">
        <f t="shared" si="568"/>
        <v>NO APLICA</v>
      </c>
      <c r="PQ163" s="6"/>
      <c r="PR163" s="6"/>
      <c r="PS163" s="6"/>
      <c r="PT163" s="6"/>
      <c r="PU163" s="5" t="str">
        <f t="shared" si="569"/>
        <v>NO APLICA</v>
      </c>
      <c r="PV163" s="5"/>
      <c r="PW163" s="6"/>
      <c r="PX163" s="6"/>
      <c r="PY163" s="6"/>
      <c r="PZ163" s="5" t="str">
        <f t="shared" si="570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776</v>
      </c>
      <c r="D164" s="30" t="s">
        <v>69</v>
      </c>
      <c r="E164" s="31" t="s">
        <v>75</v>
      </c>
      <c r="F164" s="5"/>
      <c r="G164" s="6"/>
      <c r="H164" s="4"/>
      <c r="I164" s="8"/>
      <c r="J164" s="5" t="str">
        <f t="shared" si="464"/>
        <v>NO APLICA</v>
      </c>
      <c r="K164" s="5"/>
      <c r="L164" s="6"/>
      <c r="M164" s="6"/>
      <c r="N164" s="8"/>
      <c r="O164" s="5" t="str">
        <f t="shared" si="465"/>
        <v>NO APLICA</v>
      </c>
      <c r="P164" s="4"/>
      <c r="Q164" s="4"/>
      <c r="R164" s="4"/>
      <c r="S164" s="8"/>
      <c r="T164" s="5" t="str">
        <f t="shared" si="571"/>
        <v>NO APLICA</v>
      </c>
      <c r="U164" s="5"/>
      <c r="V164" s="2" t="s">
        <v>531</v>
      </c>
      <c r="W164" s="4">
        <v>45156</v>
      </c>
      <c r="X164" s="4">
        <f t="shared" si="601"/>
        <v>46983</v>
      </c>
      <c r="Y164" s="8">
        <f t="shared" ca="1" si="602"/>
        <v>848</v>
      </c>
      <c r="Z164" s="5" t="str">
        <f t="shared" ca="1" si="421"/>
        <v>VIGENTE</v>
      </c>
      <c r="AA164" s="5"/>
      <c r="AB164" s="2" t="s">
        <v>532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6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67"/>
        <v>601</v>
      </c>
      <c r="AK164" s="5" t="str">
        <f t="shared" ca="1" si="41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68"/>
        <v>521</v>
      </c>
      <c r="AP164" s="5" t="str">
        <f t="shared" ca="1" si="46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0"/>
        <v>499</v>
      </c>
      <c r="AU164" s="5" t="str">
        <f t="shared" ca="1" si="47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2"/>
        <v>567</v>
      </c>
      <c r="AZ164" s="5" t="str">
        <f t="shared" ca="1" si="47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4"/>
        <v>538</v>
      </c>
      <c r="BE164" s="5" t="str">
        <f t="shared" ca="1" si="47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6"/>
        <v>437</v>
      </c>
      <c r="BJ164" s="5" t="str">
        <f t="shared" ca="1" si="47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78"/>
        <v>571</v>
      </c>
      <c r="BO164" s="5" t="str">
        <f t="shared" ca="1" si="47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0"/>
        <v>436</v>
      </c>
      <c r="BT164" s="5" t="str">
        <f t="shared" ca="1" si="48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2"/>
        <v>545</v>
      </c>
      <c r="BY164" s="5" t="str">
        <f t="shared" ca="1" si="483"/>
        <v>VIGENTE</v>
      </c>
      <c r="BZ164" s="3"/>
      <c r="CA164" s="4">
        <v>45894</v>
      </c>
      <c r="CB164" s="4">
        <f t="shared" si="603"/>
        <v>46624</v>
      </c>
      <c r="CC164" s="8">
        <f t="shared" ca="1" si="484"/>
        <v>489</v>
      </c>
      <c r="CD164" s="5" t="str">
        <f t="shared" ca="1" si="485"/>
        <v>VIGENTE</v>
      </c>
      <c r="CE164" s="6" t="s">
        <v>73</v>
      </c>
      <c r="CF164" s="4">
        <v>45164</v>
      </c>
      <c r="CG164" s="4">
        <f t="shared" si="604"/>
        <v>46625</v>
      </c>
      <c r="CH164" s="8">
        <f t="shared" ca="1" si="605"/>
        <v>490</v>
      </c>
      <c r="CI164" s="5" t="str">
        <f t="shared" ca="1" si="587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6"/>
        <v>524</v>
      </c>
      <c r="CN164" s="5" t="str">
        <f t="shared" ca="1" si="48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88"/>
        <v>493</v>
      </c>
      <c r="CS164" s="5" t="str">
        <f t="shared" ca="1" si="48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0"/>
        <v>560</v>
      </c>
      <c r="CX164" s="5" t="str">
        <f t="shared" ca="1" si="49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2"/>
        <v>595</v>
      </c>
      <c r="DC164" s="5" t="str">
        <f t="shared" ca="1" si="49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4"/>
        <v>431</v>
      </c>
      <c r="DH164" s="5" t="str">
        <f t="shared" ca="1" si="49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6"/>
        <v>374</v>
      </c>
      <c r="DM164" s="5" t="str">
        <f t="shared" ca="1" si="49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98"/>
        <v>577</v>
      </c>
      <c r="DR164" s="5" t="str">
        <f t="shared" ca="1" si="49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0"/>
        <v>613</v>
      </c>
      <c r="DW164" s="5" t="str">
        <f t="shared" ca="1" si="50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2"/>
        <v>510</v>
      </c>
      <c r="EB164" s="5" t="str">
        <f t="shared" ca="1" si="50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4"/>
        <v>508</v>
      </c>
      <c r="EG164" s="5" t="str">
        <f t="shared" ca="1" si="505"/>
        <v>VIGENTE</v>
      </c>
      <c r="EH164" s="3"/>
      <c r="EI164" s="4">
        <v>45812</v>
      </c>
      <c r="EJ164" s="4">
        <f t="shared" si="572"/>
        <v>46177</v>
      </c>
      <c r="EK164" s="8">
        <f t="shared" ca="1" si="506"/>
        <v>42</v>
      </c>
      <c r="EL164" s="5" t="str">
        <f t="shared" ca="1" si="50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08"/>
        <v>535</v>
      </c>
      <c r="EQ164" s="5" t="str">
        <f t="shared" ca="1" si="50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0"/>
        <v>419</v>
      </c>
      <c r="EV164" s="5" t="str">
        <f t="shared" ca="1" si="511"/>
        <v>VIGENTE</v>
      </c>
      <c r="EW164" s="2"/>
      <c r="EX164" s="4">
        <v>45953</v>
      </c>
      <c r="EY164" s="4">
        <f t="shared" si="606"/>
        <v>46683</v>
      </c>
      <c r="EZ164" s="8">
        <f t="shared" ca="1" si="512"/>
        <v>548</v>
      </c>
      <c r="FA164" s="5" t="str">
        <f t="shared" ca="1" si="513"/>
        <v>VIGENTE</v>
      </c>
      <c r="FB164" s="3"/>
      <c r="FC164" s="4">
        <v>45931</v>
      </c>
      <c r="FD164" s="4">
        <f t="shared" si="607"/>
        <v>46661</v>
      </c>
      <c r="FE164" s="8">
        <f t="shared" ca="1" si="514"/>
        <v>526</v>
      </c>
      <c r="FF164" s="5" t="str">
        <f t="shared" ca="1" si="515"/>
        <v>VIGENTE</v>
      </c>
      <c r="FG164" s="3"/>
      <c r="FH164" s="4">
        <v>45969</v>
      </c>
      <c r="FI164" s="4">
        <f t="shared" si="608"/>
        <v>46699</v>
      </c>
      <c r="FJ164" s="8">
        <f t="shared" ca="1" si="516"/>
        <v>564</v>
      </c>
      <c r="FK164" s="5" t="str">
        <f t="shared" ca="1" si="51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18"/>
        <v>528</v>
      </c>
      <c r="FP164" s="5" t="str">
        <f t="shared" ca="1" si="51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0"/>
        <v>552</v>
      </c>
      <c r="FU164" s="5" t="str">
        <f t="shared" ca="1" si="52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2"/>
        <v>588</v>
      </c>
      <c r="FZ164" s="5" t="str">
        <f t="shared" ca="1" si="52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4"/>
        <v>520</v>
      </c>
      <c r="GE164" s="5" t="str">
        <f t="shared" ca="1" si="52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6"/>
        <v>555</v>
      </c>
      <c r="GJ164" s="5" t="str">
        <f t="shared" ca="1" si="52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28"/>
        <v>518</v>
      </c>
      <c r="GO164" s="5" t="str">
        <f t="shared" ca="1" si="529"/>
        <v>VIGENTE</v>
      </c>
      <c r="GP164" s="4"/>
      <c r="GQ164" s="4">
        <v>45265</v>
      </c>
      <c r="GR164" s="4">
        <f t="shared" si="530"/>
        <v>47092</v>
      </c>
      <c r="GS164" s="8">
        <f t="shared" ca="1" si="416"/>
        <v>957</v>
      </c>
      <c r="GT164" s="5" t="str">
        <f t="shared" ca="1" si="428"/>
        <v>VIGENTE</v>
      </c>
      <c r="GU164" s="3"/>
      <c r="GV164" s="4">
        <v>45245</v>
      </c>
      <c r="GW164" s="4">
        <f t="shared" si="531"/>
        <v>47072</v>
      </c>
      <c r="GX164" s="8">
        <f t="shared" ca="1" si="532"/>
        <v>937</v>
      </c>
      <c r="GY164" s="5" t="str">
        <f t="shared" ca="1" si="435"/>
        <v>VIGENTE</v>
      </c>
      <c r="GZ164" s="2"/>
      <c r="HA164" s="4">
        <v>45249</v>
      </c>
      <c r="HB164" s="4">
        <f t="shared" si="533"/>
        <v>47076</v>
      </c>
      <c r="HC164" s="8">
        <f t="shared" ca="1" si="534"/>
        <v>941</v>
      </c>
      <c r="HD164" s="5" t="str">
        <f t="shared" ca="1" si="43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36"/>
        <v>VIGENTE</v>
      </c>
      <c r="HJ164" s="2"/>
      <c r="HK164" s="6"/>
      <c r="HL164" s="4"/>
      <c r="HM164" s="8"/>
      <c r="HN164" s="5" t="str">
        <f t="shared" si="453"/>
        <v>NO APLICA</v>
      </c>
      <c r="HO164" s="2"/>
      <c r="HP164" s="2"/>
      <c r="HQ164" s="4"/>
      <c r="HR164" s="2"/>
      <c r="HS164" s="5" t="str">
        <f t="shared" si="535"/>
        <v>NO APLICA</v>
      </c>
      <c r="HT164" s="2"/>
      <c r="HU164" s="6"/>
      <c r="HV164" s="4"/>
      <c r="HW164" s="8"/>
      <c r="HX164" s="5" t="str">
        <f t="shared" si="536"/>
        <v>NO APLICA</v>
      </c>
      <c r="HY164" s="2"/>
      <c r="HZ164" s="6"/>
      <c r="IA164" s="4"/>
      <c r="IB164" s="8"/>
      <c r="IC164" s="5" t="str">
        <f t="shared" si="537"/>
        <v>NO APLICA</v>
      </c>
      <c r="ID164" s="2"/>
      <c r="IE164" s="6"/>
      <c r="IF164" s="4"/>
      <c r="IG164" s="8"/>
      <c r="IH164" s="5" t="str">
        <f t="shared" si="538"/>
        <v>NO APLICA</v>
      </c>
      <c r="II164" s="6"/>
      <c r="IJ164" s="6"/>
      <c r="IK164" s="4"/>
      <c r="IL164" s="8"/>
      <c r="IM164" s="5" t="str">
        <f t="shared" si="539"/>
        <v>NO APLICA</v>
      </c>
      <c r="IN164" s="2"/>
      <c r="IO164" s="6"/>
      <c r="IP164" s="4"/>
      <c r="IQ164" s="8"/>
      <c r="IR164" s="5" t="str">
        <f t="shared" si="540"/>
        <v>NO APLICA</v>
      </c>
      <c r="IS164" s="2"/>
      <c r="IT164" s="6"/>
      <c r="IU164" s="4"/>
      <c r="IV164" s="8"/>
      <c r="IW164" s="5" t="str">
        <f t="shared" si="541"/>
        <v>NO APLICA</v>
      </c>
      <c r="IX164" s="2"/>
      <c r="IY164" s="6"/>
      <c r="IZ164" s="4"/>
      <c r="JA164" s="8"/>
      <c r="JB164" s="5" t="str">
        <f t="shared" si="542"/>
        <v>NO APLICA</v>
      </c>
      <c r="JC164" s="3"/>
      <c r="JD164" s="3"/>
      <c r="JE164" s="4"/>
      <c r="JF164" s="8"/>
      <c r="JG164" s="5" t="str">
        <f t="shared" si="543"/>
        <v>NO APLICA</v>
      </c>
      <c r="JH164" s="6"/>
      <c r="JI164" s="6"/>
      <c r="JJ164" s="6"/>
      <c r="JK164" s="6"/>
      <c r="JL164" s="5" t="str">
        <f t="shared" si="544"/>
        <v>NO APLICA</v>
      </c>
      <c r="JM164" s="6"/>
      <c r="JN164" s="6"/>
      <c r="JO164" s="6"/>
      <c r="JP164" s="6"/>
      <c r="JQ164" s="5" t="str">
        <f t="shared" si="545"/>
        <v>NO APLICA</v>
      </c>
      <c r="JR164" s="6"/>
      <c r="JS164" s="6"/>
      <c r="JT164" s="6"/>
      <c r="JU164" s="6"/>
      <c r="JV164" s="5" t="str">
        <f t="shared" si="546"/>
        <v>NO APLICA</v>
      </c>
      <c r="JW164" s="5"/>
      <c r="JX164" s="5"/>
      <c r="JY164" s="5"/>
      <c r="JZ164" s="5"/>
      <c r="KA164" s="5" t="str">
        <f t="shared" si="547"/>
        <v>NO APLICA</v>
      </c>
      <c r="KB164" s="5"/>
      <c r="KC164" s="2"/>
      <c r="KD164" s="4"/>
      <c r="KE164" s="8"/>
      <c r="KF164" s="5" t="str">
        <f t="shared" si="548"/>
        <v>NO APLICA</v>
      </c>
      <c r="KG164" s="5"/>
      <c r="KH164" s="2"/>
      <c r="KI164" s="4"/>
      <c r="KJ164" s="8"/>
      <c r="KK164" s="5" t="str">
        <f t="shared" si="573"/>
        <v>NO APLICA</v>
      </c>
      <c r="KL164" s="5"/>
      <c r="KM164" s="2"/>
      <c r="KN164" s="4"/>
      <c r="KO164" s="8"/>
      <c r="KP164" s="5" t="str">
        <f t="shared" si="549"/>
        <v>NO APLICA</v>
      </c>
      <c r="KQ164" s="5"/>
      <c r="KR164" s="2"/>
      <c r="KS164" s="4"/>
      <c r="KT164" s="8"/>
      <c r="KU164" s="5" t="str">
        <f t="shared" si="574"/>
        <v>NO APLICA</v>
      </c>
      <c r="KV164" s="2"/>
      <c r="KW164" s="6"/>
      <c r="KX164" s="4"/>
      <c r="KY164" s="8"/>
      <c r="KZ164" s="5" t="str">
        <f t="shared" si="579"/>
        <v>NO APLICA</v>
      </c>
      <c r="LA164" s="5"/>
      <c r="LB164" s="6"/>
      <c r="LC164" s="4"/>
      <c r="LD164" s="8"/>
      <c r="LE164" s="5" t="str">
        <f t="shared" si="575"/>
        <v>NO APLICA</v>
      </c>
      <c r="LF164" s="6"/>
      <c r="LG164" s="4"/>
      <c r="LH164" s="4"/>
      <c r="LI164" s="8"/>
      <c r="LJ164" s="5" t="str">
        <f t="shared" si="581"/>
        <v>NO APLICA</v>
      </c>
      <c r="LK164" s="5"/>
      <c r="LL164" s="5"/>
      <c r="LM164" s="5"/>
      <c r="LN164" s="5"/>
      <c r="LO164" s="5" t="str">
        <f t="shared" si="580"/>
        <v>NO APLICA</v>
      </c>
      <c r="LP164" s="2"/>
      <c r="LQ164" s="6"/>
      <c r="LR164" s="4"/>
      <c r="LS164" s="8"/>
      <c r="LT164" s="5" t="str">
        <f t="shared" si="576"/>
        <v>NO APLICA</v>
      </c>
      <c r="LU164" s="6"/>
      <c r="LV164" s="6"/>
      <c r="LW164" s="4"/>
      <c r="LX164" s="8"/>
      <c r="LY164" s="5" t="str">
        <f t="shared" si="577"/>
        <v>NO APLICA</v>
      </c>
      <c r="LZ164" s="6"/>
      <c r="MA164" s="6"/>
      <c r="MB164" s="4"/>
      <c r="MC164" s="8"/>
      <c r="MD164" s="5" t="str">
        <f t="shared" si="578"/>
        <v>NO APLICA</v>
      </c>
      <c r="ME164" s="2"/>
      <c r="MF164" s="2"/>
      <c r="MG164" s="4"/>
      <c r="MH164" s="8"/>
      <c r="MI164" s="5" t="str">
        <f t="shared" si="551"/>
        <v>NO APLICA</v>
      </c>
      <c r="MJ164" s="2"/>
      <c r="MK164" s="2"/>
      <c r="ML164" s="4"/>
      <c r="MM164" s="8"/>
      <c r="MN164" s="5" t="str">
        <f t="shared" si="552"/>
        <v>NO APLICA</v>
      </c>
      <c r="MO164" s="5"/>
      <c r="MP164" s="2"/>
      <c r="MQ164" s="4"/>
      <c r="MR164" s="8"/>
      <c r="MS164" s="5" t="str">
        <f t="shared" si="553"/>
        <v>NO APLICA</v>
      </c>
      <c r="MT164" s="5"/>
      <c r="MU164" s="2"/>
      <c r="MV164" s="4"/>
      <c r="MW164" s="2"/>
      <c r="MX164" s="5" t="str">
        <f t="shared" si="554"/>
        <v>NO APLICA</v>
      </c>
      <c r="MY164" s="2"/>
      <c r="MZ164" s="6"/>
      <c r="NA164" s="4"/>
      <c r="NB164" s="8"/>
      <c r="NC164" s="5" t="str">
        <f t="shared" si="555"/>
        <v>NO APLICA</v>
      </c>
      <c r="ND164" s="2"/>
      <c r="NE164" s="6"/>
      <c r="NF164" s="4"/>
      <c r="NG164" s="8"/>
      <c r="NH164" s="5" t="str">
        <f t="shared" si="556"/>
        <v>NO APLICA</v>
      </c>
      <c r="NI164" s="2"/>
      <c r="NJ164" s="6"/>
      <c r="NK164" s="4"/>
      <c r="NL164" s="8"/>
      <c r="NM164" s="5" t="str">
        <f t="shared" si="557"/>
        <v>NO APLICA</v>
      </c>
      <c r="NN164" s="2"/>
      <c r="NO164" s="2"/>
      <c r="NP164" s="4"/>
      <c r="NQ164" s="8"/>
      <c r="NR164" s="5" t="str">
        <f t="shared" si="558"/>
        <v>NO APLICA</v>
      </c>
      <c r="NS164" s="2"/>
      <c r="NT164" s="2"/>
      <c r="NU164" s="4"/>
      <c r="NV164" s="2"/>
      <c r="NW164" s="5" t="str">
        <f t="shared" si="559"/>
        <v>NO APLICA</v>
      </c>
      <c r="NX164" s="6"/>
      <c r="NY164" s="6"/>
      <c r="NZ164" s="4"/>
      <c r="OA164" s="8"/>
      <c r="OB164" s="5" t="str">
        <f t="shared" si="560"/>
        <v>NO APLICA</v>
      </c>
      <c r="OC164" s="6"/>
      <c r="OD164" s="6"/>
      <c r="OE164" s="6"/>
      <c r="OF164" s="6"/>
      <c r="OG164" s="5" t="str">
        <f t="shared" si="561"/>
        <v>NO APLICA</v>
      </c>
      <c r="OH164" s="6"/>
      <c r="OI164" s="6"/>
      <c r="OJ164" s="4"/>
      <c r="OK164" s="8"/>
      <c r="OL164" s="5" t="str">
        <f t="shared" si="562"/>
        <v>NO APLICA</v>
      </c>
      <c r="OM164" s="6"/>
      <c r="ON164" s="6"/>
      <c r="OO164" s="6"/>
      <c r="OP164" s="6"/>
      <c r="OQ164" s="5" t="str">
        <f t="shared" si="563"/>
        <v>NO APLICA</v>
      </c>
      <c r="OR164" s="6"/>
      <c r="OS164" s="6"/>
      <c r="OT164" s="6"/>
      <c r="OU164" s="6"/>
      <c r="OV164" s="5" t="str">
        <f t="shared" si="564"/>
        <v>NO APLICA</v>
      </c>
      <c r="OW164" s="6"/>
      <c r="OX164" s="6"/>
      <c r="OY164" s="6"/>
      <c r="OZ164" s="6"/>
      <c r="PA164" s="5" t="str">
        <f t="shared" si="565"/>
        <v>NO APLICA</v>
      </c>
      <c r="PB164" s="6"/>
      <c r="PC164" s="6"/>
      <c r="PD164" s="6"/>
      <c r="PE164" s="6"/>
      <c r="PF164" s="5" t="str">
        <f t="shared" si="566"/>
        <v>NO APLICA</v>
      </c>
      <c r="PG164" s="6"/>
      <c r="PH164" s="6"/>
      <c r="PI164" s="6"/>
      <c r="PJ164" s="6"/>
      <c r="PK164" s="5" t="str">
        <f t="shared" si="567"/>
        <v>NO APLICA</v>
      </c>
      <c r="PL164" s="5"/>
      <c r="PM164" s="6"/>
      <c r="PN164" s="4"/>
      <c r="PO164" s="8"/>
      <c r="PP164" s="5" t="str">
        <f t="shared" si="568"/>
        <v>NO APLICA</v>
      </c>
      <c r="PQ164" s="6"/>
      <c r="PR164" s="6"/>
      <c r="PS164" s="6"/>
      <c r="PT164" s="6"/>
      <c r="PU164" s="5" t="str">
        <f t="shared" si="569"/>
        <v>NO APLICA</v>
      </c>
      <c r="PV164" s="5"/>
      <c r="PW164" s="6"/>
      <c r="PX164" s="6"/>
      <c r="PY164" s="6"/>
      <c r="PZ164" s="5" t="str">
        <f t="shared" si="570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533</v>
      </c>
      <c r="D165" s="30" t="s">
        <v>115</v>
      </c>
      <c r="E165" s="31" t="s">
        <v>151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64"/>
        <v>VIGENTE</v>
      </c>
      <c r="K165" s="3"/>
      <c r="L165" s="4"/>
      <c r="M165" s="6"/>
      <c r="N165" s="8"/>
      <c r="O165" s="5" t="str">
        <f t="shared" si="465"/>
        <v>NO APLICA</v>
      </c>
      <c r="P165" s="4"/>
      <c r="Q165" s="4"/>
      <c r="R165" s="4"/>
      <c r="S165" s="8"/>
      <c r="T165" s="5" t="str">
        <f t="shared" si="571"/>
        <v>NO APLICA</v>
      </c>
      <c r="U165" s="5"/>
      <c r="V165" s="2" t="s">
        <v>534</v>
      </c>
      <c r="W165" s="4">
        <v>46069</v>
      </c>
      <c r="X165" s="4">
        <f t="shared" si="601"/>
        <v>47895</v>
      </c>
      <c r="Y165" s="8">
        <f t="shared" ca="1" si="602"/>
        <v>1760</v>
      </c>
      <c r="Z165" s="5" t="str">
        <f t="shared" ca="1" si="421"/>
        <v>VIGENTE</v>
      </c>
      <c r="AA165" s="5"/>
      <c r="AB165" s="2"/>
      <c r="AC165" s="6"/>
      <c r="AD165" s="4"/>
      <c r="AE165" s="8"/>
      <c r="AF165" s="5" t="str">
        <f t="shared" si="46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67"/>
        <v>597</v>
      </c>
      <c r="AK165" s="5" t="str">
        <f t="shared" ca="1" si="41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68"/>
        <v>498</v>
      </c>
      <c r="AP165" s="5" t="str">
        <f t="shared" ca="1" si="46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0"/>
        <v>482</v>
      </c>
      <c r="AU165" s="5" t="str">
        <f t="shared" ca="1" si="47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2"/>
        <v>522</v>
      </c>
      <c r="AZ165" s="5" t="str">
        <f t="shared" ca="1" si="47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4"/>
        <v>368</v>
      </c>
      <c r="BE165" s="5" t="str">
        <f t="shared" ca="1" si="47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6"/>
        <v>292</v>
      </c>
      <c r="BJ165" s="5" t="str">
        <f t="shared" ca="1" si="47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78"/>
        <v>194</v>
      </c>
      <c r="BO165" s="5" t="str">
        <f t="shared" ca="1" si="47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0"/>
        <v>295</v>
      </c>
      <c r="BT165" s="5" t="str">
        <f t="shared" ca="1" si="48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2"/>
        <v>162</v>
      </c>
      <c r="BY165" s="5" t="str">
        <f t="shared" ca="1" si="483"/>
        <v>VIGENTE</v>
      </c>
      <c r="BZ165" s="3"/>
      <c r="CA165" s="4">
        <v>45979</v>
      </c>
      <c r="CB165" s="4">
        <f t="shared" si="603"/>
        <v>46709</v>
      </c>
      <c r="CC165" s="8">
        <f t="shared" ca="1" si="484"/>
        <v>574</v>
      </c>
      <c r="CD165" s="5" t="str">
        <f t="shared" ca="1" si="485"/>
        <v>VIGENTE</v>
      </c>
      <c r="CE165" s="6" t="s">
        <v>68</v>
      </c>
      <c r="CF165" s="4">
        <v>45723</v>
      </c>
      <c r="CG165" s="4">
        <f t="shared" si="604"/>
        <v>47184</v>
      </c>
      <c r="CH165" s="8">
        <f t="shared" ca="1" si="605"/>
        <v>1049</v>
      </c>
      <c r="CI165" s="5" t="str">
        <f t="shared" ca="1" si="587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6"/>
        <v>282</v>
      </c>
      <c r="CN165" s="5" t="str">
        <f t="shared" ca="1" si="48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88"/>
        <v>278</v>
      </c>
      <c r="CS165" s="5" t="str">
        <f t="shared" ca="1" si="48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0"/>
        <v>500</v>
      </c>
      <c r="CX165" s="5" t="str">
        <f t="shared" ca="1" si="49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2"/>
        <v>430</v>
      </c>
      <c r="DC165" s="5" t="str">
        <f t="shared" ca="1" si="49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4"/>
        <v>356</v>
      </c>
      <c r="DH165" s="5" t="str">
        <f t="shared" ca="1" si="49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6"/>
        <v>550</v>
      </c>
      <c r="DM165" s="5" t="str">
        <f t="shared" ca="1" si="49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98"/>
        <v>577</v>
      </c>
      <c r="DR165" s="5" t="str">
        <f t="shared" ca="1" si="49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0"/>
        <v>365</v>
      </c>
      <c r="DW165" s="5" t="str">
        <f t="shared" ca="1" si="501"/>
        <v>VIGENTE</v>
      </c>
      <c r="DX165" s="3"/>
      <c r="DY165" s="4">
        <v>45751</v>
      </c>
      <c r="DZ165" s="4">
        <f t="shared" ref="DZ165:DZ171" si="609">DATE(YEAR(DY165)+2,MONTH(DY165),DAY(DY165)-1)</f>
        <v>46480</v>
      </c>
      <c r="EA165" s="8">
        <f t="shared" ca="1" si="502"/>
        <v>345</v>
      </c>
      <c r="EB165" s="5" t="str">
        <f t="shared" ca="1" si="50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4"/>
        <v>268</v>
      </c>
      <c r="EG165" s="5" t="str">
        <f t="shared" ca="1" si="505"/>
        <v>VIGENTE</v>
      </c>
      <c r="EH165" s="3"/>
      <c r="EI165" s="3">
        <v>46085</v>
      </c>
      <c r="EJ165" s="4">
        <f t="shared" si="572"/>
        <v>46450</v>
      </c>
      <c r="EK165" s="8">
        <f t="shared" ca="1" si="506"/>
        <v>315</v>
      </c>
      <c r="EL165" s="5" t="str">
        <f t="shared" ca="1" si="50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08"/>
        <v>265</v>
      </c>
      <c r="EQ165" s="5" t="str">
        <f t="shared" ca="1" si="50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0"/>
        <v>271</v>
      </c>
      <c r="EV165" s="5" t="str">
        <f t="shared" ca="1" si="511"/>
        <v>VIGENTE</v>
      </c>
      <c r="EW165" s="3"/>
      <c r="EX165" s="4">
        <v>45917</v>
      </c>
      <c r="EY165" s="4">
        <f t="shared" si="606"/>
        <v>46647</v>
      </c>
      <c r="EZ165" s="8">
        <f t="shared" ca="1" si="512"/>
        <v>512</v>
      </c>
      <c r="FA165" s="5" t="str">
        <f t="shared" ca="1" si="513"/>
        <v>VIGENTE</v>
      </c>
      <c r="FB165" s="3"/>
      <c r="FC165" s="4">
        <v>45931</v>
      </c>
      <c r="FD165" s="4">
        <f t="shared" si="607"/>
        <v>46661</v>
      </c>
      <c r="FE165" s="8">
        <f t="shared" ca="1" si="514"/>
        <v>526</v>
      </c>
      <c r="FF165" s="5" t="str">
        <f t="shared" ca="1" si="515"/>
        <v>VIGENTE</v>
      </c>
      <c r="FG165" s="3"/>
      <c r="FH165" s="4">
        <v>45962</v>
      </c>
      <c r="FI165" s="4">
        <f t="shared" si="608"/>
        <v>46692</v>
      </c>
      <c r="FJ165" s="8">
        <f t="shared" ca="1" si="516"/>
        <v>557</v>
      </c>
      <c r="FK165" s="5" t="str">
        <f t="shared" ca="1" si="51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18"/>
        <v>332</v>
      </c>
      <c r="FP165" s="5" t="str">
        <f t="shared" ca="1" si="51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0"/>
        <v>341</v>
      </c>
      <c r="FU165" s="5" t="str">
        <f t="shared" ca="1" si="52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2"/>
        <v>588</v>
      </c>
      <c r="FZ165" s="5" t="str">
        <f t="shared" ca="1" si="52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4"/>
        <v>309</v>
      </c>
      <c r="GE165" s="5" t="str">
        <f t="shared" ca="1" si="52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6"/>
        <v>325</v>
      </c>
      <c r="GJ165" s="5" t="str">
        <f t="shared" ca="1" si="52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28"/>
        <v>281</v>
      </c>
      <c r="GO165" s="5" t="str">
        <f t="shared" ca="1" si="529"/>
        <v>VIGENTE</v>
      </c>
      <c r="GP165" s="4"/>
      <c r="GQ165" s="4">
        <v>45072</v>
      </c>
      <c r="GR165" s="4">
        <f t="shared" si="530"/>
        <v>46899</v>
      </c>
      <c r="GS165" s="8">
        <f t="shared" ca="1" si="416"/>
        <v>764</v>
      </c>
      <c r="GT165" s="5" t="str">
        <f t="shared" ca="1" si="428"/>
        <v>VIGENTE</v>
      </c>
      <c r="GU165" s="3"/>
      <c r="GV165" s="4">
        <v>45010</v>
      </c>
      <c r="GW165" s="4">
        <f t="shared" si="531"/>
        <v>46837</v>
      </c>
      <c r="GX165" s="8">
        <f t="shared" ca="1" si="532"/>
        <v>702</v>
      </c>
      <c r="GY165" s="5" t="str">
        <f t="shared" ca="1" si="435"/>
        <v>VIGENTE</v>
      </c>
      <c r="GZ165" s="2"/>
      <c r="HA165" s="4">
        <v>45073</v>
      </c>
      <c r="HB165" s="4">
        <f t="shared" si="533"/>
        <v>46900</v>
      </c>
      <c r="HC165" s="8">
        <f t="shared" ca="1" si="534"/>
        <v>765</v>
      </c>
      <c r="HD165" s="5" t="str">
        <f t="shared" ca="1" si="430"/>
        <v>VIGENTE</v>
      </c>
      <c r="HE165" s="6"/>
      <c r="HF165" s="6"/>
      <c r="HG165" s="4"/>
      <c r="HH165" s="8"/>
      <c r="HI165" s="5" t="str">
        <f t="shared" si="436"/>
        <v>NO APLICA</v>
      </c>
      <c r="HJ165" s="2"/>
      <c r="HK165" s="6"/>
      <c r="HL165" s="4"/>
      <c r="HM165" s="8"/>
      <c r="HN165" s="5" t="str">
        <f t="shared" si="453"/>
        <v>NO APLICA</v>
      </c>
      <c r="HO165" s="2"/>
      <c r="HP165" s="2"/>
      <c r="HQ165" s="4"/>
      <c r="HR165" s="2"/>
      <c r="HS165" s="5" t="str">
        <f t="shared" si="535"/>
        <v>NO APLICA</v>
      </c>
      <c r="HT165" s="2"/>
      <c r="HU165" s="6"/>
      <c r="HV165" s="4"/>
      <c r="HW165" s="8"/>
      <c r="HX165" s="5" t="str">
        <f t="shared" si="536"/>
        <v>NO APLICA</v>
      </c>
      <c r="HY165" s="2"/>
      <c r="HZ165" s="6"/>
      <c r="IA165" s="4"/>
      <c r="IB165" s="8"/>
      <c r="IC165" s="5" t="str">
        <f t="shared" si="537"/>
        <v>NO APLICA</v>
      </c>
      <c r="ID165" s="2"/>
      <c r="IE165" s="6"/>
      <c r="IF165" s="4"/>
      <c r="IG165" s="8"/>
      <c r="IH165" s="5" t="str">
        <f t="shared" si="538"/>
        <v>NO APLICA</v>
      </c>
      <c r="II165" s="6"/>
      <c r="IJ165" s="6"/>
      <c r="IK165" s="4"/>
      <c r="IL165" s="8"/>
      <c r="IM165" s="5" t="str">
        <f t="shared" si="539"/>
        <v>NO APLICA</v>
      </c>
      <c r="IN165" s="2"/>
      <c r="IO165" s="6"/>
      <c r="IP165" s="4"/>
      <c r="IQ165" s="8"/>
      <c r="IR165" s="5" t="str">
        <f t="shared" si="540"/>
        <v>NO APLICA</v>
      </c>
      <c r="IS165" s="2"/>
      <c r="IT165" s="6"/>
      <c r="IU165" s="4"/>
      <c r="IV165" s="8"/>
      <c r="IW165" s="5" t="str">
        <f t="shared" si="541"/>
        <v>NO APLICA</v>
      </c>
      <c r="IX165" s="2"/>
      <c r="IY165" s="6"/>
      <c r="IZ165" s="4"/>
      <c r="JA165" s="8"/>
      <c r="JB165" s="5" t="str">
        <f t="shared" si="542"/>
        <v>NO APLICA</v>
      </c>
      <c r="JC165" s="3"/>
      <c r="JD165" s="3"/>
      <c r="JE165" s="4"/>
      <c r="JF165" s="8"/>
      <c r="JG165" s="5" t="str">
        <f t="shared" si="543"/>
        <v>NO APLICA</v>
      </c>
      <c r="JH165" s="6"/>
      <c r="JI165" s="6"/>
      <c r="JJ165" s="6"/>
      <c r="JK165" s="6"/>
      <c r="JL165" s="5" t="str">
        <f t="shared" si="544"/>
        <v>NO APLICA</v>
      </c>
      <c r="JM165" s="6"/>
      <c r="JN165" s="6"/>
      <c r="JO165" s="6"/>
      <c r="JP165" s="6"/>
      <c r="JQ165" s="5" t="str">
        <f t="shared" si="545"/>
        <v>NO APLICA</v>
      </c>
      <c r="JR165" s="6"/>
      <c r="JS165" s="6"/>
      <c r="JT165" s="6"/>
      <c r="JU165" s="6"/>
      <c r="JV165" s="5" t="str">
        <f t="shared" si="546"/>
        <v>NO APLICA</v>
      </c>
      <c r="JW165" s="5"/>
      <c r="JX165" s="5"/>
      <c r="JY165" s="5"/>
      <c r="JZ165" s="5"/>
      <c r="KA165" s="5" t="str">
        <f t="shared" si="547"/>
        <v>NO APLICA</v>
      </c>
      <c r="KB165" s="5"/>
      <c r="KC165" s="2"/>
      <c r="KD165" s="4"/>
      <c r="KE165" s="8"/>
      <c r="KF165" s="5" t="str">
        <f t="shared" si="548"/>
        <v>NO APLICA</v>
      </c>
      <c r="KG165" s="5"/>
      <c r="KH165" s="2"/>
      <c r="KI165" s="4"/>
      <c r="KJ165" s="8"/>
      <c r="KK165" s="5" t="str">
        <f t="shared" si="573"/>
        <v>NO APLICA</v>
      </c>
      <c r="KL165" s="5"/>
      <c r="KM165" s="2"/>
      <c r="KN165" s="4"/>
      <c r="KO165" s="8"/>
      <c r="KP165" s="5" t="str">
        <f t="shared" si="549"/>
        <v>NO APLICA</v>
      </c>
      <c r="KQ165" s="5"/>
      <c r="KR165" s="2"/>
      <c r="KS165" s="4"/>
      <c r="KT165" s="8"/>
      <c r="KU165" s="5" t="str">
        <f t="shared" si="574"/>
        <v>NO APLICA</v>
      </c>
      <c r="KV165" s="2"/>
      <c r="KW165" s="6"/>
      <c r="KX165" s="4"/>
      <c r="KY165" s="8"/>
      <c r="KZ165" s="5" t="str">
        <f t="shared" si="579"/>
        <v>NO APLICA</v>
      </c>
      <c r="LA165" s="5"/>
      <c r="LB165" s="6"/>
      <c r="LC165" s="4"/>
      <c r="LD165" s="8"/>
      <c r="LE165" s="5" t="str">
        <f t="shared" si="575"/>
        <v>NO APLICA</v>
      </c>
      <c r="LF165" s="6"/>
      <c r="LG165" s="6"/>
      <c r="LH165" s="4"/>
      <c r="LI165" s="8"/>
      <c r="LJ165" s="5" t="str">
        <f t="shared" si="581"/>
        <v>NO APLICA</v>
      </c>
      <c r="LK165" s="5"/>
      <c r="LL165" s="5"/>
      <c r="LM165" s="5"/>
      <c r="LN165" s="5"/>
      <c r="LO165" s="5" t="str">
        <f t="shared" si="580"/>
        <v>NO APLICA</v>
      </c>
      <c r="LP165" s="2"/>
      <c r="LQ165" s="6"/>
      <c r="LR165" s="4"/>
      <c r="LS165" s="8"/>
      <c r="LT165" s="5" t="str">
        <f t="shared" si="576"/>
        <v>NO APLICA</v>
      </c>
      <c r="LU165" s="6"/>
      <c r="LV165" s="6"/>
      <c r="LW165" s="4"/>
      <c r="LX165" s="8"/>
      <c r="LY165" s="5" t="str">
        <f t="shared" si="577"/>
        <v>NO APLICA</v>
      </c>
      <c r="LZ165" s="6"/>
      <c r="MA165" s="6"/>
      <c r="MB165" s="4"/>
      <c r="MC165" s="8"/>
      <c r="MD165" s="5" t="str">
        <f t="shared" si="578"/>
        <v>NO APLICA</v>
      </c>
      <c r="ME165" s="2"/>
      <c r="MF165" s="2"/>
      <c r="MG165" s="4"/>
      <c r="MH165" s="2"/>
      <c r="MI165" s="5" t="str">
        <f t="shared" si="551"/>
        <v>NO APLICA</v>
      </c>
      <c r="MJ165" s="2"/>
      <c r="MK165" s="2"/>
      <c r="ML165" s="4"/>
      <c r="MM165" s="8"/>
      <c r="MN165" s="5" t="str">
        <f t="shared" si="552"/>
        <v>NO APLICA</v>
      </c>
      <c r="MO165" s="5"/>
      <c r="MP165" s="2"/>
      <c r="MQ165" s="4"/>
      <c r="MR165" s="8"/>
      <c r="MS165" s="5" t="str">
        <f t="shared" si="553"/>
        <v>NO APLICA</v>
      </c>
      <c r="MT165" s="5"/>
      <c r="MU165" s="2"/>
      <c r="MV165" s="4"/>
      <c r="MW165" s="2"/>
      <c r="MX165" s="5" t="str">
        <f t="shared" si="554"/>
        <v>NO APLICA</v>
      </c>
      <c r="MY165" s="2"/>
      <c r="MZ165" s="6"/>
      <c r="NA165" s="4"/>
      <c r="NB165" s="8"/>
      <c r="NC165" s="5" t="str">
        <f t="shared" si="555"/>
        <v>NO APLICA</v>
      </c>
      <c r="ND165" s="2"/>
      <c r="NE165" s="6"/>
      <c r="NF165" s="4"/>
      <c r="NG165" s="8"/>
      <c r="NH165" s="5" t="str">
        <f t="shared" si="556"/>
        <v>NO APLICA</v>
      </c>
      <c r="NI165" s="2"/>
      <c r="NJ165" s="6"/>
      <c r="NK165" s="4"/>
      <c r="NL165" s="8"/>
      <c r="NM165" s="5" t="str">
        <f t="shared" si="557"/>
        <v>NO APLICA</v>
      </c>
      <c r="NN165" s="2"/>
      <c r="NO165" s="2"/>
      <c r="NP165" s="4"/>
      <c r="NQ165" s="2"/>
      <c r="NR165" s="5" t="str">
        <f t="shared" si="558"/>
        <v>NO APLICA</v>
      </c>
      <c r="NS165" s="2"/>
      <c r="NT165" s="2"/>
      <c r="NU165" s="4"/>
      <c r="NV165" s="2"/>
      <c r="NW165" s="5" t="str">
        <f t="shared" si="559"/>
        <v>NO APLICA</v>
      </c>
      <c r="NX165" s="6"/>
      <c r="NY165" s="6"/>
      <c r="NZ165" s="4"/>
      <c r="OA165" s="8"/>
      <c r="OB165" s="5" t="str">
        <f t="shared" si="560"/>
        <v>NO APLICA</v>
      </c>
      <c r="OC165" s="6"/>
      <c r="OD165" s="6"/>
      <c r="OE165" s="6"/>
      <c r="OF165" s="6"/>
      <c r="OG165" s="5" t="str">
        <f t="shared" si="561"/>
        <v>NO APLICA</v>
      </c>
      <c r="OH165" s="6"/>
      <c r="OI165" s="6"/>
      <c r="OJ165" s="4"/>
      <c r="OK165" s="8"/>
      <c r="OL165" s="5" t="str">
        <f t="shared" si="562"/>
        <v>NO APLICA</v>
      </c>
      <c r="OM165" s="6"/>
      <c r="ON165" s="6"/>
      <c r="OO165" s="6"/>
      <c r="OP165" s="6"/>
      <c r="OQ165" s="5" t="str">
        <f t="shared" si="563"/>
        <v>NO APLICA</v>
      </c>
      <c r="OR165" s="6"/>
      <c r="OS165" s="6"/>
      <c r="OT165" s="6"/>
      <c r="OU165" s="6"/>
      <c r="OV165" s="5" t="str">
        <f t="shared" si="564"/>
        <v>NO APLICA</v>
      </c>
      <c r="OW165" s="6"/>
      <c r="OX165" s="6"/>
      <c r="OY165" s="6"/>
      <c r="OZ165" s="6"/>
      <c r="PA165" s="5" t="str">
        <f t="shared" si="565"/>
        <v>NO APLICA</v>
      </c>
      <c r="PB165" s="6"/>
      <c r="PC165" s="6"/>
      <c r="PD165" s="6"/>
      <c r="PE165" s="6"/>
      <c r="PF165" s="5" t="str">
        <f t="shared" si="566"/>
        <v>NO APLICA</v>
      </c>
      <c r="PG165" s="6"/>
      <c r="PH165" s="6"/>
      <c r="PI165" s="6"/>
      <c r="PJ165" s="6"/>
      <c r="PK165" s="5" t="str">
        <f t="shared" si="567"/>
        <v>NO APLICA</v>
      </c>
      <c r="PL165" s="5"/>
      <c r="PM165" s="6"/>
      <c r="PN165" s="4"/>
      <c r="PO165" s="8"/>
      <c r="PP165" s="5" t="str">
        <f t="shared" si="568"/>
        <v>NO APLICA</v>
      </c>
      <c r="PQ165" s="6"/>
      <c r="PR165" s="6"/>
      <c r="PS165" s="6"/>
      <c r="PT165" s="6"/>
      <c r="PU165" s="5" t="str">
        <f t="shared" si="569"/>
        <v>NO APLICA</v>
      </c>
      <c r="PV165" s="5"/>
      <c r="PW165" s="6"/>
      <c r="PX165" s="6"/>
      <c r="PY165" s="6"/>
      <c r="PZ165" s="5" t="str">
        <f t="shared" si="570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535</v>
      </c>
      <c r="D166" s="30" t="s">
        <v>69</v>
      </c>
      <c r="E166" s="31" t="s">
        <v>75</v>
      </c>
      <c r="F166" s="5"/>
      <c r="G166" s="6"/>
      <c r="H166" s="4"/>
      <c r="I166" s="8"/>
      <c r="J166" s="5" t="str">
        <f t="shared" si="464"/>
        <v>NO APLICA</v>
      </c>
      <c r="K166" s="5"/>
      <c r="L166" s="6"/>
      <c r="M166" s="6"/>
      <c r="N166" s="8"/>
      <c r="O166" s="5" t="str">
        <f t="shared" si="465"/>
        <v>NO APLICA</v>
      </c>
      <c r="P166" s="6"/>
      <c r="Q166" s="6"/>
      <c r="R166" s="4"/>
      <c r="S166" s="8"/>
      <c r="T166" s="5" t="str">
        <f t="shared" si="571"/>
        <v>NO APLICA</v>
      </c>
      <c r="U166" s="5"/>
      <c r="V166" s="2" t="s">
        <v>536</v>
      </c>
      <c r="W166" s="4">
        <v>45500</v>
      </c>
      <c r="X166" s="4">
        <f t="shared" si="601"/>
        <v>47326</v>
      </c>
      <c r="Y166" s="8">
        <f t="shared" ca="1" si="602"/>
        <v>1191</v>
      </c>
      <c r="Z166" s="5" t="str">
        <f t="shared" ca="1" si="421"/>
        <v>VIGENTE</v>
      </c>
      <c r="AA166" s="5"/>
      <c r="AB166" s="2" t="s">
        <v>537</v>
      </c>
      <c r="AC166" s="4">
        <v>44579</v>
      </c>
      <c r="AD166" s="4">
        <f t="shared" ref="AD166:AD171" si="610">DATE(YEAR(AC166)+5,MONTH(AC166),DAY(AC166))</f>
        <v>46405</v>
      </c>
      <c r="AE166" s="8">
        <f t="shared" ref="AE166:AE171" ca="1" si="611">AD166-TODAY()</f>
        <v>270</v>
      </c>
      <c r="AF166" s="5" t="str">
        <f t="shared" ca="1" si="46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67"/>
        <v>188</v>
      </c>
      <c r="AK166" s="5" t="str">
        <f t="shared" ca="1" si="41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68"/>
        <v>521</v>
      </c>
      <c r="AP166" s="5" t="str">
        <f t="shared" ca="1" si="46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0"/>
        <v>499</v>
      </c>
      <c r="AU166" s="5" t="str">
        <f t="shared" ca="1" si="47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2"/>
        <v>547</v>
      </c>
      <c r="AZ166" s="5" t="str">
        <f t="shared" ca="1" si="47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4"/>
        <v>636</v>
      </c>
      <c r="BE166" s="5" t="str">
        <f t="shared" ca="1" si="47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6"/>
        <v>582</v>
      </c>
      <c r="BJ166" s="5" t="str">
        <f t="shared" ca="1" si="47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78"/>
        <v>612</v>
      </c>
      <c r="BO166" s="5" t="str">
        <f t="shared" ca="1" si="47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0"/>
        <v>664</v>
      </c>
      <c r="BT166" s="5" t="str">
        <f t="shared" ca="1" si="48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2"/>
        <v>43</v>
      </c>
      <c r="BY166" s="5" t="str">
        <f t="shared" ca="1" si="483"/>
        <v>POR VENCER</v>
      </c>
      <c r="BZ166" s="3"/>
      <c r="CA166" s="4">
        <v>45944</v>
      </c>
      <c r="CB166" s="4">
        <f t="shared" si="603"/>
        <v>46674</v>
      </c>
      <c r="CC166" s="8">
        <f t="shared" ca="1" si="484"/>
        <v>539</v>
      </c>
      <c r="CD166" s="5" t="str">
        <f t="shared" ca="1" si="485"/>
        <v>VIGENTE</v>
      </c>
      <c r="CE166" s="6" t="s">
        <v>73</v>
      </c>
      <c r="CF166" s="4">
        <v>45301</v>
      </c>
      <c r="CG166" s="4">
        <f t="shared" si="604"/>
        <v>46762</v>
      </c>
      <c r="CH166" s="8">
        <f t="shared" ca="1" si="605"/>
        <v>627</v>
      </c>
      <c r="CI166" s="5" t="str">
        <f t="shared" ca="1" si="587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6"/>
        <v>490</v>
      </c>
      <c r="CN166" s="5" t="str">
        <f t="shared" ca="1" si="48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88"/>
        <v>633</v>
      </c>
      <c r="CS166" s="5" t="str">
        <f t="shared" ca="1" si="48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0"/>
        <v>233</v>
      </c>
      <c r="CX166" s="5" t="str">
        <f t="shared" ca="1" si="49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2"/>
        <v>255</v>
      </c>
      <c r="DC166" s="5" t="str">
        <f t="shared" ca="1" si="49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4"/>
        <v>283</v>
      </c>
      <c r="DH166" s="5" t="str">
        <f t="shared" ca="1" si="49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6"/>
        <v>624</v>
      </c>
      <c r="DM166" s="5" t="str">
        <f t="shared" ca="1" si="49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98"/>
        <v>603</v>
      </c>
      <c r="DR166" s="5" t="str">
        <f t="shared" ca="1" si="49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0"/>
        <v>648</v>
      </c>
      <c r="DW166" s="5" t="str">
        <f t="shared" ca="1" si="501"/>
        <v>VIGENTE</v>
      </c>
      <c r="DX166" s="3"/>
      <c r="DY166" s="4">
        <v>45663</v>
      </c>
      <c r="DZ166" s="4">
        <f t="shared" si="609"/>
        <v>46392</v>
      </c>
      <c r="EA166" s="8">
        <f t="shared" ca="1" si="502"/>
        <v>257</v>
      </c>
      <c r="EB166" s="5" t="str">
        <f t="shared" ca="1" si="50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4"/>
        <v>268</v>
      </c>
      <c r="EG166" s="5" t="str">
        <f t="shared" ca="1" si="505"/>
        <v>VIGENTE</v>
      </c>
      <c r="EH166" s="3"/>
      <c r="EI166" s="4">
        <v>45812</v>
      </c>
      <c r="EJ166" s="4">
        <f t="shared" si="572"/>
        <v>46177</v>
      </c>
      <c r="EK166" s="8">
        <f t="shared" ca="1" si="506"/>
        <v>42</v>
      </c>
      <c r="EL166" s="5" t="str">
        <f t="shared" ca="1" si="50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08"/>
        <v>254</v>
      </c>
      <c r="EQ166" s="5" t="str">
        <f t="shared" ca="1" si="50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0"/>
        <v>637</v>
      </c>
      <c r="EV166" s="5" t="str">
        <f t="shared" ca="1" si="511"/>
        <v>VIGENTE</v>
      </c>
      <c r="EW166" s="3"/>
      <c r="EX166" s="4">
        <v>45953</v>
      </c>
      <c r="EY166" s="4">
        <f t="shared" si="606"/>
        <v>46683</v>
      </c>
      <c r="EZ166" s="8">
        <f t="shared" ca="1" si="512"/>
        <v>548</v>
      </c>
      <c r="FA166" s="5" t="str">
        <f t="shared" ca="1" si="513"/>
        <v>VIGENTE</v>
      </c>
      <c r="FB166" s="3"/>
      <c r="FC166" s="4">
        <v>45988</v>
      </c>
      <c r="FD166" s="4">
        <f t="shared" si="607"/>
        <v>46718</v>
      </c>
      <c r="FE166" s="8">
        <f t="shared" ca="1" si="514"/>
        <v>583</v>
      </c>
      <c r="FF166" s="5" t="str">
        <f t="shared" ca="1" si="515"/>
        <v>VIGENTE</v>
      </c>
      <c r="FG166" s="3"/>
      <c r="FH166" s="4">
        <v>45992</v>
      </c>
      <c r="FI166" s="4">
        <f t="shared" si="608"/>
        <v>46722</v>
      </c>
      <c r="FJ166" s="8">
        <f t="shared" ca="1" si="516"/>
        <v>587</v>
      </c>
      <c r="FK166" s="5" t="str">
        <f t="shared" ca="1" si="51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18"/>
        <v>264</v>
      </c>
      <c r="FP166" s="5" t="str">
        <f t="shared" ca="1" si="51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0"/>
        <v>258</v>
      </c>
      <c r="FU166" s="5" t="str">
        <f t="shared" ca="1" si="52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2"/>
        <v>609</v>
      </c>
      <c r="FZ166" s="5" t="str">
        <f t="shared" ca="1" si="52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4"/>
        <v>668</v>
      </c>
      <c r="GE166" s="5" t="str">
        <f t="shared" ca="1" si="52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6"/>
        <v>173</v>
      </c>
      <c r="GJ166" s="5" t="str">
        <f t="shared" ca="1" si="52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28"/>
        <v>540</v>
      </c>
      <c r="GO166" s="5" t="str">
        <f t="shared" ca="1" si="529"/>
        <v>VIGENTE</v>
      </c>
      <c r="GP166" s="4"/>
      <c r="GQ166" s="4">
        <v>45283</v>
      </c>
      <c r="GR166" s="4">
        <f t="shared" si="530"/>
        <v>47110</v>
      </c>
      <c r="GS166" s="8">
        <f t="shared" ca="1" si="416"/>
        <v>975</v>
      </c>
      <c r="GT166" s="5" t="str">
        <f t="shared" ca="1" si="428"/>
        <v>VIGENTE</v>
      </c>
      <c r="GU166" s="3"/>
      <c r="GV166" s="4">
        <v>45252</v>
      </c>
      <c r="GW166" s="4">
        <f t="shared" si="531"/>
        <v>47079</v>
      </c>
      <c r="GX166" s="8">
        <f t="shared" ca="1" si="532"/>
        <v>944</v>
      </c>
      <c r="GY166" s="5" t="str">
        <f t="shared" ca="1" si="435"/>
        <v>VIGENTE</v>
      </c>
      <c r="GZ166" s="3"/>
      <c r="HA166" s="4">
        <v>45185</v>
      </c>
      <c r="HB166" s="4">
        <f t="shared" si="533"/>
        <v>47012</v>
      </c>
      <c r="HC166" s="8">
        <f t="shared" ca="1" si="534"/>
        <v>877</v>
      </c>
      <c r="HD166" s="5" t="str">
        <f t="shared" ca="1" si="430"/>
        <v>VIGENTE</v>
      </c>
      <c r="HE166" s="6"/>
      <c r="HF166" s="4">
        <v>44879</v>
      </c>
      <c r="HG166" s="4">
        <f t="shared" ref="HG166:HG171" si="612">DATE(YEAR(HF166)+5,MONTH(HF166),DAY(HF166))</f>
        <v>46705</v>
      </c>
      <c r="HH166" s="8">
        <f t="shared" ref="HH166:HH171" ca="1" si="613">HG166-TODAY()</f>
        <v>570</v>
      </c>
      <c r="HI166" s="5" t="str">
        <f t="shared" ca="1" si="43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5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3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3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3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3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3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4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4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42"/>
        <v>VIGENTE</v>
      </c>
      <c r="JC166" s="3"/>
      <c r="JD166" s="3"/>
      <c r="JE166" s="4"/>
      <c r="JF166" s="8"/>
      <c r="JG166" s="5" t="str">
        <f t="shared" si="543"/>
        <v>NO APLICA</v>
      </c>
      <c r="JH166" s="6"/>
      <c r="JI166" s="6"/>
      <c r="JJ166" s="6"/>
      <c r="JK166" s="6"/>
      <c r="JL166" s="5" t="str">
        <f t="shared" si="544"/>
        <v>NO APLICA</v>
      </c>
      <c r="JM166" s="6"/>
      <c r="JN166" s="6"/>
      <c r="JO166" s="6"/>
      <c r="JP166" s="6"/>
      <c r="JQ166" s="5" t="str">
        <f t="shared" si="545"/>
        <v>NO APLICA</v>
      </c>
      <c r="JR166" s="6"/>
      <c r="JS166" s="6"/>
      <c r="JT166" s="6"/>
      <c r="JU166" s="6"/>
      <c r="JV166" s="5" t="str">
        <f t="shared" si="546"/>
        <v>NO APLICA</v>
      </c>
      <c r="JW166" s="5"/>
      <c r="JX166" s="5"/>
      <c r="JY166" s="5"/>
      <c r="JZ166" s="5"/>
      <c r="KA166" s="5" t="str">
        <f t="shared" si="547"/>
        <v>NO APLICA</v>
      </c>
      <c r="KB166" s="5"/>
      <c r="KC166" s="5"/>
      <c r="KD166" s="4"/>
      <c r="KE166" s="8"/>
      <c r="KF166" s="5" t="str">
        <f t="shared" si="548"/>
        <v>NO APLICA</v>
      </c>
      <c r="KG166" s="5"/>
      <c r="KH166" s="5"/>
      <c r="KI166" s="4"/>
      <c r="KJ166" s="8"/>
      <c r="KK166" s="5" t="str">
        <f t="shared" si="573"/>
        <v>NO APLICA</v>
      </c>
      <c r="KL166" s="5"/>
      <c r="KM166" s="5"/>
      <c r="KN166" s="4"/>
      <c r="KO166" s="8"/>
      <c r="KP166" s="5" t="str">
        <f t="shared" si="549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74"/>
        <v>VIGENTE</v>
      </c>
      <c r="KV166" s="2"/>
      <c r="KW166" s="6"/>
      <c r="KX166" s="4"/>
      <c r="KY166" s="8"/>
      <c r="KZ166" s="5" t="str">
        <f t="shared" si="579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75"/>
        <v>VIGENTE</v>
      </c>
      <c r="LF166" s="6"/>
      <c r="LG166" s="6"/>
      <c r="LH166" s="4"/>
      <c r="LI166" s="8"/>
      <c r="LJ166" s="5" t="str">
        <f t="shared" si="581"/>
        <v>NO APLICA</v>
      </c>
      <c r="LK166" s="5"/>
      <c r="LL166" s="5"/>
      <c r="LM166" s="4"/>
      <c r="LN166" s="8"/>
      <c r="LO166" s="5" t="str">
        <f t="shared" si="580"/>
        <v>NO APLICA</v>
      </c>
      <c r="LP166" s="5"/>
      <c r="LQ166" s="6"/>
      <c r="LR166" s="4"/>
      <c r="LS166" s="8"/>
      <c r="LT166" s="5" t="str">
        <f t="shared" si="576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77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78"/>
        <v>VIGENTE</v>
      </c>
      <c r="ME166" s="5"/>
      <c r="MF166" s="5"/>
      <c r="MG166" s="4"/>
      <c r="MH166" s="8"/>
      <c r="MI166" s="5" t="str">
        <f t="shared" si="551"/>
        <v>NO APLICA</v>
      </c>
      <c r="MJ166" s="5"/>
      <c r="MK166" s="5"/>
      <c r="ML166" s="4"/>
      <c r="MM166" s="8"/>
      <c r="MN166" s="5" t="str">
        <f t="shared" si="552"/>
        <v>NO APLICA</v>
      </c>
      <c r="MO166" s="5"/>
      <c r="MP166" s="5"/>
      <c r="MQ166" s="4"/>
      <c r="MR166" s="8"/>
      <c r="MS166" s="5" t="str">
        <f t="shared" si="553"/>
        <v>NO APLICA</v>
      </c>
      <c r="MT166" s="5"/>
      <c r="MU166" s="5"/>
      <c r="MV166" s="4"/>
      <c r="MW166" s="5"/>
      <c r="MX166" s="5" t="str">
        <f t="shared" si="554"/>
        <v>NO APLICA</v>
      </c>
      <c r="MY166" s="5"/>
      <c r="MZ166" s="6"/>
      <c r="NA166" s="4"/>
      <c r="NB166" s="8"/>
      <c r="NC166" s="5" t="str">
        <f t="shared" si="555"/>
        <v>NO APLICA</v>
      </c>
      <c r="ND166" s="5"/>
      <c r="NE166" s="6"/>
      <c r="NF166" s="4"/>
      <c r="NG166" s="8"/>
      <c r="NH166" s="5" t="str">
        <f t="shared" si="556"/>
        <v>NO APLICA</v>
      </c>
      <c r="NI166" s="5"/>
      <c r="NJ166" s="6"/>
      <c r="NK166" s="4"/>
      <c r="NL166" s="8"/>
      <c r="NM166" s="5" t="str">
        <f t="shared" si="557"/>
        <v>NO APLICA</v>
      </c>
      <c r="NN166" s="5"/>
      <c r="NO166" s="5"/>
      <c r="NP166" s="5"/>
      <c r="NQ166" s="5"/>
      <c r="NR166" s="5" t="str">
        <f t="shared" si="558"/>
        <v>NO APLICA</v>
      </c>
      <c r="NS166" s="5"/>
      <c r="NT166" s="5"/>
      <c r="NU166" s="5"/>
      <c r="NV166" s="5"/>
      <c r="NW166" s="5" t="str">
        <f t="shared" si="559"/>
        <v>NO APLICA</v>
      </c>
      <c r="NX166" s="6"/>
      <c r="NY166" s="6"/>
      <c r="NZ166" s="6"/>
      <c r="OA166" s="6"/>
      <c r="OB166" s="5" t="str">
        <f t="shared" si="560"/>
        <v>NO APLICA</v>
      </c>
      <c r="OC166" s="6"/>
      <c r="OD166" s="6"/>
      <c r="OE166" s="6"/>
      <c r="OF166" s="6"/>
      <c r="OG166" s="5" t="str">
        <f t="shared" si="561"/>
        <v>NO APLICA</v>
      </c>
      <c r="OH166" s="5"/>
      <c r="OI166" s="4"/>
      <c r="OJ166" s="4"/>
      <c r="OK166" s="8"/>
      <c r="OL166" s="5" t="str">
        <f t="shared" si="562"/>
        <v>NO APLICA</v>
      </c>
      <c r="OM166" s="6"/>
      <c r="ON166" s="6"/>
      <c r="OO166" s="6"/>
      <c r="OP166" s="6"/>
      <c r="OQ166" s="5" t="str">
        <f t="shared" si="563"/>
        <v>NO APLICA</v>
      </c>
      <c r="OR166" s="6"/>
      <c r="OS166" s="6"/>
      <c r="OT166" s="6"/>
      <c r="OU166" s="6"/>
      <c r="OV166" s="5" t="str">
        <f t="shared" si="564"/>
        <v>NO APLICA</v>
      </c>
      <c r="OW166" s="6"/>
      <c r="OX166" s="6"/>
      <c r="OY166" s="6"/>
      <c r="OZ166" s="6"/>
      <c r="PA166" s="5" t="str">
        <f t="shared" si="565"/>
        <v>NO APLICA</v>
      </c>
      <c r="PB166" s="6"/>
      <c r="PC166" s="6"/>
      <c r="PD166" s="6"/>
      <c r="PE166" s="6"/>
      <c r="PF166" s="5" t="str">
        <f t="shared" si="566"/>
        <v>NO APLICA</v>
      </c>
      <c r="PG166" s="6"/>
      <c r="PH166" s="6"/>
      <c r="PI166" s="6"/>
      <c r="PJ166" s="6"/>
      <c r="PK166" s="5" t="str">
        <f t="shared" si="567"/>
        <v>NO APLICA</v>
      </c>
      <c r="PL166" s="5"/>
      <c r="PM166" s="6"/>
      <c r="PN166" s="4"/>
      <c r="PO166" s="8"/>
      <c r="PP166" s="5" t="str">
        <f t="shared" si="568"/>
        <v>NO APLICA</v>
      </c>
      <c r="PQ166" s="6"/>
      <c r="PR166" s="6"/>
      <c r="PS166" s="6"/>
      <c r="PT166" s="6"/>
      <c r="PU166" s="5" t="str">
        <f t="shared" si="569"/>
        <v>NO APLICA</v>
      </c>
      <c r="PV166" s="5"/>
      <c r="PW166" s="6"/>
      <c r="PX166" s="6"/>
      <c r="PY166" s="6"/>
      <c r="PZ166" s="5" t="str">
        <f t="shared" si="570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538</v>
      </c>
      <c r="D167" s="30" t="s">
        <v>64</v>
      </c>
      <c r="E167" s="31" t="s">
        <v>539</v>
      </c>
      <c r="F167" s="5"/>
      <c r="G167" s="6"/>
      <c r="H167" s="4"/>
      <c r="I167" s="8"/>
      <c r="J167" s="5" t="str">
        <f t="shared" si="464"/>
        <v>NO APLICA</v>
      </c>
      <c r="K167" s="5"/>
      <c r="L167" s="6"/>
      <c r="M167" s="6"/>
      <c r="N167" s="8"/>
      <c r="O167" s="5" t="str">
        <f t="shared" si="46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71"/>
        <v>VIGENTE</v>
      </c>
      <c r="U167" s="5"/>
      <c r="V167" s="2" t="s">
        <v>540</v>
      </c>
      <c r="W167" s="4">
        <v>44688</v>
      </c>
      <c r="X167" s="4">
        <f t="shared" si="601"/>
        <v>46514</v>
      </c>
      <c r="Y167" s="8">
        <f t="shared" ca="1" si="602"/>
        <v>379</v>
      </c>
      <c r="Z167" s="5" t="str">
        <f t="shared" ca="1" si="421"/>
        <v>VIGENTE</v>
      </c>
      <c r="AA167" s="5"/>
      <c r="AB167" s="2" t="s">
        <v>541</v>
      </c>
      <c r="AC167" s="4">
        <v>45190</v>
      </c>
      <c r="AD167" s="4">
        <f t="shared" si="610"/>
        <v>47017</v>
      </c>
      <c r="AE167" s="8">
        <f t="shared" ca="1" si="611"/>
        <v>882</v>
      </c>
      <c r="AF167" s="5" t="str">
        <f t="shared" ca="1" si="46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67"/>
        <v>106</v>
      </c>
      <c r="AK167" s="5" t="str">
        <f t="shared" ca="1" si="41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68"/>
        <v>84</v>
      </c>
      <c r="AP167" s="5" t="str">
        <f t="shared" ca="1" si="46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0"/>
        <v>99</v>
      </c>
      <c r="AU167" s="5" t="str">
        <f t="shared" ca="1" si="47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2"/>
        <v>108</v>
      </c>
      <c r="AZ167" s="5" t="str">
        <f t="shared" ca="1" si="47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4"/>
        <v>197</v>
      </c>
      <c r="BE167" s="5" t="str">
        <f t="shared" ca="1" si="47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6"/>
        <v>82</v>
      </c>
      <c r="BJ167" s="5" t="str">
        <f t="shared" ca="1" si="47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78"/>
        <v>646</v>
      </c>
      <c r="BO167" s="5" t="str">
        <f t="shared" ca="1" si="47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0"/>
        <v>645</v>
      </c>
      <c r="BT167" s="5" t="str">
        <f t="shared" ca="1" si="48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2"/>
        <v>78</v>
      </c>
      <c r="BY167" s="5" t="str">
        <f t="shared" ca="1" si="48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4"/>
        <v>140</v>
      </c>
      <c r="CD167" s="5" t="str">
        <f t="shared" ca="1" si="485"/>
        <v>VIGENTE</v>
      </c>
      <c r="CE167" s="6" t="s">
        <v>68</v>
      </c>
      <c r="CF167" s="4">
        <v>45828</v>
      </c>
      <c r="CG167" s="4">
        <f t="shared" si="604"/>
        <v>47289</v>
      </c>
      <c r="CH167" s="8">
        <f t="shared" ca="1" si="605"/>
        <v>1154</v>
      </c>
      <c r="CI167" s="5" t="str">
        <f t="shared" ca="1" si="587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6"/>
        <v>105</v>
      </c>
      <c r="CN167" s="5" t="str">
        <f t="shared" ca="1" si="48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88"/>
        <v>282</v>
      </c>
      <c r="CS167" s="5" t="str">
        <f t="shared" ca="1" si="48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0"/>
        <v>321</v>
      </c>
      <c r="CX167" s="5" t="str">
        <f t="shared" ca="1" si="49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2"/>
        <v>259</v>
      </c>
      <c r="DC167" s="5" t="str">
        <f t="shared" ca="1" si="49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4"/>
        <v>661</v>
      </c>
      <c r="DH167" s="5" t="str">
        <f t="shared" ca="1" si="49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6"/>
        <v>103</v>
      </c>
      <c r="DM167" s="5" t="str">
        <f t="shared" ca="1" si="49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98"/>
        <v>325</v>
      </c>
      <c r="DR167" s="5" t="str">
        <f t="shared" ca="1" si="49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0"/>
        <v>202</v>
      </c>
      <c r="DW167" s="5" t="str">
        <f t="shared" ca="1" si="501"/>
        <v>VIGENTE</v>
      </c>
      <c r="DX167" s="3"/>
      <c r="DY167" s="4">
        <v>45582</v>
      </c>
      <c r="DZ167" s="4">
        <f t="shared" si="609"/>
        <v>46311</v>
      </c>
      <c r="EA167" s="8">
        <f t="shared" ca="1" si="502"/>
        <v>176</v>
      </c>
      <c r="EB167" s="5" t="str">
        <f t="shared" ca="1" si="50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4"/>
        <v>196</v>
      </c>
      <c r="EG167" s="5" t="str">
        <f t="shared" ca="1" si="505"/>
        <v>VIGENTE</v>
      </c>
      <c r="EH167" s="3"/>
      <c r="EI167" s="3">
        <v>46107</v>
      </c>
      <c r="EJ167" s="4">
        <f t="shared" si="572"/>
        <v>46472</v>
      </c>
      <c r="EK167" s="8">
        <f t="shared" ca="1" si="506"/>
        <v>337</v>
      </c>
      <c r="EL167" s="5" t="str">
        <f t="shared" ca="1" si="50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08"/>
        <v>696</v>
      </c>
      <c r="EQ167" s="5" t="str">
        <f t="shared" ca="1" si="50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0"/>
        <v>169</v>
      </c>
      <c r="EV167" s="5" t="str">
        <f t="shared" ca="1" si="51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2"/>
        <v>204</v>
      </c>
      <c r="FA167" s="5" t="str">
        <f t="shared" ca="1" si="51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4"/>
        <v>205</v>
      </c>
      <c r="FF167" s="5" t="str">
        <f t="shared" ca="1" si="51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6"/>
        <v>100</v>
      </c>
      <c r="FK167" s="5" t="str">
        <f t="shared" ca="1" si="51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18"/>
        <v>528</v>
      </c>
      <c r="FP167" s="5" t="str">
        <f t="shared" ca="1" si="51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0"/>
        <v>672</v>
      </c>
      <c r="FU167" s="5" t="str">
        <f t="shared" ca="1" si="52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2"/>
        <v>294</v>
      </c>
      <c r="FZ167" s="5" t="str">
        <f t="shared" ca="1" si="52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4"/>
        <v>189</v>
      </c>
      <c r="GE167" s="5" t="str">
        <f t="shared" ca="1" si="52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6"/>
        <v>688</v>
      </c>
      <c r="GJ167" s="5" t="str">
        <f t="shared" ca="1" si="52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28"/>
        <v>161</v>
      </c>
      <c r="GO167" s="5" t="str">
        <f t="shared" ca="1" si="529"/>
        <v>VIGENTE</v>
      </c>
      <c r="GP167" s="4"/>
      <c r="GQ167" s="4">
        <v>45495</v>
      </c>
      <c r="GR167" s="4">
        <f t="shared" si="530"/>
        <v>47321</v>
      </c>
      <c r="GS167" s="8">
        <f t="shared" ca="1" si="416"/>
        <v>1186</v>
      </c>
      <c r="GT167" s="5" t="str">
        <f t="shared" ca="1" si="428"/>
        <v>VIGENTE</v>
      </c>
      <c r="GU167" s="3"/>
      <c r="GV167" s="4">
        <v>44910</v>
      </c>
      <c r="GW167" s="4">
        <f t="shared" si="531"/>
        <v>46736</v>
      </c>
      <c r="GX167" s="8">
        <f t="shared" ca="1" si="532"/>
        <v>601</v>
      </c>
      <c r="GY167" s="5" t="str">
        <f t="shared" ca="1" si="435"/>
        <v>VIGENTE</v>
      </c>
      <c r="GZ167" s="2"/>
      <c r="HA167" s="4">
        <v>44883</v>
      </c>
      <c r="HB167" s="4">
        <f t="shared" si="533"/>
        <v>46709</v>
      </c>
      <c r="HC167" s="8">
        <f t="shared" ca="1" si="534"/>
        <v>574</v>
      </c>
      <c r="HD167" s="5" t="str">
        <f t="shared" ca="1" si="430"/>
        <v>VIGENTE</v>
      </c>
      <c r="HE167" s="6"/>
      <c r="HF167" s="4">
        <v>44876</v>
      </c>
      <c r="HG167" s="4">
        <f t="shared" si="612"/>
        <v>46702</v>
      </c>
      <c r="HH167" s="8">
        <f t="shared" ca="1" si="613"/>
        <v>567</v>
      </c>
      <c r="HI167" s="5" t="str">
        <f t="shared" ca="1" si="436"/>
        <v>VIGENTE</v>
      </c>
      <c r="HJ167" s="2"/>
      <c r="HK167" s="6"/>
      <c r="HL167" s="4"/>
      <c r="HM167" s="8"/>
      <c r="HN167" s="5" t="str">
        <f t="shared" si="453"/>
        <v>NO APLICA</v>
      </c>
      <c r="HO167" s="2"/>
      <c r="HP167" s="2"/>
      <c r="HQ167" s="4"/>
      <c r="HR167" s="2"/>
      <c r="HS167" s="5" t="str">
        <f t="shared" si="535"/>
        <v>NO APLICA</v>
      </c>
      <c r="HT167" s="2"/>
      <c r="HU167" s="6"/>
      <c r="HV167" s="4"/>
      <c r="HW167" s="8"/>
      <c r="HX167" s="5" t="str">
        <f t="shared" si="536"/>
        <v>NO APLICA</v>
      </c>
      <c r="HY167" s="2"/>
      <c r="HZ167" s="6"/>
      <c r="IA167" s="4"/>
      <c r="IB167" s="8"/>
      <c r="IC167" s="5" t="str">
        <f t="shared" si="537"/>
        <v>NO APLICA</v>
      </c>
      <c r="ID167" s="2"/>
      <c r="IE167" s="6"/>
      <c r="IF167" s="4"/>
      <c r="IG167" s="8"/>
      <c r="IH167" s="5" t="str">
        <f t="shared" si="538"/>
        <v>NO APLICA</v>
      </c>
      <c r="II167" s="6"/>
      <c r="IJ167" s="6"/>
      <c r="IK167" s="4"/>
      <c r="IL167" s="8"/>
      <c r="IM167" s="5" t="str">
        <f t="shared" si="539"/>
        <v>NO APLICA</v>
      </c>
      <c r="IN167" s="2"/>
      <c r="IO167" s="6"/>
      <c r="IP167" s="4"/>
      <c r="IQ167" s="8"/>
      <c r="IR167" s="5" t="str">
        <f t="shared" si="540"/>
        <v>NO APLICA</v>
      </c>
      <c r="IS167" s="2"/>
      <c r="IT167" s="6"/>
      <c r="IU167" s="4"/>
      <c r="IV167" s="8"/>
      <c r="IW167" s="5" t="str">
        <f t="shared" si="541"/>
        <v>NO APLICA</v>
      </c>
      <c r="IX167" s="2"/>
      <c r="IY167" s="6"/>
      <c r="IZ167" s="4"/>
      <c r="JA167" s="8"/>
      <c r="JB167" s="5" t="str">
        <f t="shared" si="542"/>
        <v>NO APLICA</v>
      </c>
      <c r="JC167" s="3"/>
      <c r="JD167" s="3"/>
      <c r="JE167" s="4"/>
      <c r="JF167" s="8"/>
      <c r="JG167" s="5" t="str">
        <f t="shared" si="543"/>
        <v>NO APLICA</v>
      </c>
      <c r="JH167" s="6"/>
      <c r="JI167" s="6"/>
      <c r="JJ167" s="6"/>
      <c r="JK167" s="6"/>
      <c r="JL167" s="5" t="str">
        <f t="shared" si="544"/>
        <v>NO APLICA</v>
      </c>
      <c r="JM167" s="6"/>
      <c r="JN167" s="6"/>
      <c r="JO167" s="6"/>
      <c r="JP167" s="6"/>
      <c r="JQ167" s="5" t="str">
        <f t="shared" si="545"/>
        <v>NO APLICA</v>
      </c>
      <c r="JR167" s="6"/>
      <c r="JS167" s="6"/>
      <c r="JT167" s="6"/>
      <c r="JU167" s="6"/>
      <c r="JV167" s="5" t="str">
        <f t="shared" si="546"/>
        <v>NO APLICA</v>
      </c>
      <c r="JW167" s="5"/>
      <c r="JX167" s="5"/>
      <c r="JY167" s="5"/>
      <c r="JZ167" s="5"/>
      <c r="KA167" s="5" t="str">
        <f t="shared" si="547"/>
        <v>NO APLICA</v>
      </c>
      <c r="KB167" s="5"/>
      <c r="KC167" s="2"/>
      <c r="KD167" s="4"/>
      <c r="KE167" s="8"/>
      <c r="KF167" s="5" t="str">
        <f t="shared" si="548"/>
        <v>NO APLICA</v>
      </c>
      <c r="KG167" s="5"/>
      <c r="KH167" s="2"/>
      <c r="KI167" s="4"/>
      <c r="KJ167" s="8"/>
      <c r="KK167" s="5" t="str">
        <f t="shared" si="573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49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74"/>
        <v>VIGENTE</v>
      </c>
      <c r="KV167" s="2"/>
      <c r="KW167" s="6"/>
      <c r="KX167" s="4"/>
      <c r="KY167" s="8"/>
      <c r="KZ167" s="5" t="str">
        <f t="shared" si="579"/>
        <v>NO APLICA</v>
      </c>
      <c r="LA167" s="5"/>
      <c r="LB167" s="6"/>
      <c r="LC167" s="4"/>
      <c r="LD167" s="8"/>
      <c r="LE167" s="5" t="str">
        <f t="shared" si="575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0"/>
        <v>NO APLICA</v>
      </c>
      <c r="LP167" s="2"/>
      <c r="LQ167" s="6"/>
      <c r="LR167" s="4"/>
      <c r="LS167" s="8"/>
      <c r="LT167" s="5" t="str">
        <f t="shared" si="576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77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78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51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52"/>
        <v>VIGENTE</v>
      </c>
      <c r="MO167" s="5"/>
      <c r="MP167" s="2"/>
      <c r="MQ167" s="4"/>
      <c r="MR167" s="8"/>
      <c r="MS167" s="5" t="str">
        <f t="shared" si="553"/>
        <v>NO APLICA</v>
      </c>
      <c r="MT167" s="5"/>
      <c r="MU167" s="2"/>
      <c r="MV167" s="4"/>
      <c r="MW167" s="2"/>
      <c r="MX167" s="5" t="str">
        <f t="shared" si="554"/>
        <v>NO APLICA</v>
      </c>
      <c r="MY167" s="2"/>
      <c r="MZ167" s="6"/>
      <c r="NA167" s="4"/>
      <c r="NB167" s="8"/>
      <c r="NC167" s="5" t="str">
        <f t="shared" si="555"/>
        <v>NO APLICA</v>
      </c>
      <c r="ND167" s="2"/>
      <c r="NE167" s="6"/>
      <c r="NF167" s="4"/>
      <c r="NG167" s="8"/>
      <c r="NH167" s="5" t="str">
        <f t="shared" si="556"/>
        <v>NO APLICA</v>
      </c>
      <c r="NI167" s="2"/>
      <c r="NJ167" s="6"/>
      <c r="NK167" s="4"/>
      <c r="NL167" s="8"/>
      <c r="NM167" s="5" t="str">
        <f t="shared" si="557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58"/>
        <v>VIGENTE</v>
      </c>
      <c r="NS167" s="2"/>
      <c r="NT167" s="2"/>
      <c r="NU167" s="4"/>
      <c r="NV167" s="2"/>
      <c r="NW167" s="5" t="str">
        <f t="shared" si="559"/>
        <v>NO APLICA</v>
      </c>
      <c r="NX167" s="6"/>
      <c r="NY167" s="6"/>
      <c r="NZ167" s="4"/>
      <c r="OA167" s="8"/>
      <c r="OB167" s="5" t="str">
        <f t="shared" si="560"/>
        <v>NO APLICA</v>
      </c>
      <c r="OC167" s="6"/>
      <c r="OD167" s="6"/>
      <c r="OE167" s="6"/>
      <c r="OF167" s="6"/>
      <c r="OG167" s="5" t="str">
        <f t="shared" si="561"/>
        <v>NO APLICA</v>
      </c>
      <c r="OH167" s="6"/>
      <c r="OI167" s="6"/>
      <c r="OJ167" s="4"/>
      <c r="OK167" s="8"/>
      <c r="OL167" s="5" t="str">
        <f t="shared" si="562"/>
        <v>NO APLICA</v>
      </c>
      <c r="OM167" s="6"/>
      <c r="ON167" s="6"/>
      <c r="OO167" s="6"/>
      <c r="OP167" s="6"/>
      <c r="OQ167" s="5" t="str">
        <f t="shared" si="563"/>
        <v>NO APLICA</v>
      </c>
      <c r="OR167" s="6"/>
      <c r="OS167" s="6"/>
      <c r="OT167" s="6"/>
      <c r="OU167" s="6"/>
      <c r="OV167" s="5" t="str">
        <f t="shared" si="564"/>
        <v>NO APLICA</v>
      </c>
      <c r="OW167" s="6"/>
      <c r="OX167" s="6"/>
      <c r="OY167" s="6"/>
      <c r="OZ167" s="6"/>
      <c r="PA167" s="5" t="str">
        <f t="shared" si="565"/>
        <v>NO APLICA</v>
      </c>
      <c r="PB167" s="6"/>
      <c r="PC167" s="6"/>
      <c r="PD167" s="6"/>
      <c r="PE167" s="6"/>
      <c r="PF167" s="5" t="str">
        <f t="shared" si="566"/>
        <v>NO APLICA</v>
      </c>
      <c r="PG167" s="6"/>
      <c r="PH167" s="6"/>
      <c r="PI167" s="6"/>
      <c r="PJ167" s="6"/>
      <c r="PK167" s="5" t="str">
        <f t="shared" si="567"/>
        <v>NO APLICA</v>
      </c>
      <c r="PL167" s="5"/>
      <c r="PM167" s="6"/>
      <c r="PN167" s="4"/>
      <c r="PO167" s="8"/>
      <c r="PP167" s="5" t="str">
        <f t="shared" si="568"/>
        <v>NO APLICA</v>
      </c>
      <c r="PQ167" s="6"/>
      <c r="PR167" s="6"/>
      <c r="PS167" s="6"/>
      <c r="PT167" s="6"/>
      <c r="PU167" s="5" t="str">
        <f t="shared" si="569"/>
        <v>NO APLICA</v>
      </c>
      <c r="PV167" s="5"/>
      <c r="PW167" s="6"/>
      <c r="PX167" s="6"/>
      <c r="PY167" s="6"/>
      <c r="PZ167" s="5" t="str">
        <f t="shared" si="570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542</v>
      </c>
      <c r="D168" s="30" t="s">
        <v>64</v>
      </c>
      <c r="E168" s="31" t="s">
        <v>543</v>
      </c>
      <c r="F168" s="5"/>
      <c r="G168" s="6"/>
      <c r="H168" s="4"/>
      <c r="I168" s="8"/>
      <c r="J168" s="5" t="str">
        <f t="shared" si="464"/>
        <v>NO APLICA</v>
      </c>
      <c r="K168" s="5"/>
      <c r="L168" s="6"/>
      <c r="M168" s="6"/>
      <c r="N168" s="8"/>
      <c r="O168" s="5" t="str">
        <f t="shared" si="46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71"/>
        <v>VIGENTE</v>
      </c>
      <c r="U168" s="5"/>
      <c r="V168" s="2" t="s">
        <v>544</v>
      </c>
      <c r="W168" s="4">
        <v>45498</v>
      </c>
      <c r="X168" s="4">
        <f t="shared" si="601"/>
        <v>47324</v>
      </c>
      <c r="Y168" s="8">
        <f t="shared" ca="1" si="602"/>
        <v>1189</v>
      </c>
      <c r="Z168" s="5" t="str">
        <f t="shared" ca="1" si="421"/>
        <v>VIGENTE</v>
      </c>
      <c r="AA168" s="5"/>
      <c r="AB168" s="2" t="s">
        <v>545</v>
      </c>
      <c r="AC168" s="4">
        <v>45113</v>
      </c>
      <c r="AD168" s="4">
        <f t="shared" si="610"/>
        <v>46940</v>
      </c>
      <c r="AE168" s="8">
        <f t="shared" ca="1" si="611"/>
        <v>805</v>
      </c>
      <c r="AF168" s="5" t="str">
        <f t="shared" ca="1" si="46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67"/>
        <v>497</v>
      </c>
      <c r="AK168" s="5" t="str">
        <f t="shared" ca="1" si="41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68"/>
        <v>532</v>
      </c>
      <c r="AP168" s="5" t="str">
        <f t="shared" ca="1" si="46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0"/>
        <v>334</v>
      </c>
      <c r="AU168" s="5" t="str">
        <f t="shared" ca="1" si="47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2"/>
        <v>360</v>
      </c>
      <c r="AZ168" s="5" t="str">
        <f t="shared" ca="1" si="47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4"/>
        <v>311</v>
      </c>
      <c r="BE168" s="5" t="str">
        <f t="shared" ca="1" si="47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6"/>
        <v>357</v>
      </c>
      <c r="BJ168" s="5" t="str">
        <f t="shared" ca="1" si="47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78"/>
        <v>353</v>
      </c>
      <c r="BO168" s="5" t="str">
        <f t="shared" ca="1" si="47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0"/>
        <v>367</v>
      </c>
      <c r="BT168" s="5" t="str">
        <f t="shared" ca="1" si="48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2"/>
        <v>330</v>
      </c>
      <c r="BY168" s="5" t="str">
        <f t="shared" ca="1" si="48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4"/>
        <v>539</v>
      </c>
      <c r="CD168" s="5" t="str">
        <f t="shared" ca="1" si="485"/>
        <v>VIGENTE</v>
      </c>
      <c r="CE168" s="6" t="s">
        <v>471</v>
      </c>
      <c r="CF168" s="4">
        <v>45104</v>
      </c>
      <c r="CG168" s="4">
        <f t="shared" si="604"/>
        <v>46565</v>
      </c>
      <c r="CH168" s="8">
        <f t="shared" ca="1" si="605"/>
        <v>430</v>
      </c>
      <c r="CI168" s="5" t="str">
        <f t="shared" ca="1" si="587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6"/>
        <v>317</v>
      </c>
      <c r="CN168" s="5" t="str">
        <f t="shared" ca="1" si="48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88"/>
        <v>320</v>
      </c>
      <c r="CS168" s="5" t="str">
        <f t="shared" ca="1" si="48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0"/>
        <v>233</v>
      </c>
      <c r="CX168" s="5" t="str">
        <f t="shared" ca="1" si="49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2"/>
        <v>259</v>
      </c>
      <c r="DC168" s="5" t="str">
        <f t="shared" ca="1" si="49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4"/>
        <v>356</v>
      </c>
      <c r="DH168" s="5" t="str">
        <f t="shared" ca="1" si="49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6"/>
        <v>328</v>
      </c>
      <c r="DM168" s="5" t="str">
        <f t="shared" ca="1" si="49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98"/>
        <v>171</v>
      </c>
      <c r="DR168" s="5" t="str">
        <f t="shared" ca="1" si="49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0"/>
        <v>202</v>
      </c>
      <c r="DW168" s="5" t="str">
        <f t="shared" ca="1" si="501"/>
        <v>VIGENTE</v>
      </c>
      <c r="DX168" s="3"/>
      <c r="DY168" s="4">
        <v>45663</v>
      </c>
      <c r="DZ168" s="4">
        <f t="shared" si="609"/>
        <v>46392</v>
      </c>
      <c r="EA168" s="8">
        <f t="shared" ca="1" si="502"/>
        <v>257</v>
      </c>
      <c r="EB168" s="5" t="str">
        <f t="shared" ca="1" si="50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4"/>
        <v>363</v>
      </c>
      <c r="EG168" s="5" t="str">
        <f t="shared" ca="1" si="505"/>
        <v>VIGENTE</v>
      </c>
      <c r="EH168" s="3"/>
      <c r="EI168" s="3">
        <v>46060</v>
      </c>
      <c r="EJ168" s="4">
        <f t="shared" si="572"/>
        <v>46425</v>
      </c>
      <c r="EK168" s="8">
        <f t="shared" ca="1" si="506"/>
        <v>290</v>
      </c>
      <c r="EL168" s="5" t="str">
        <f t="shared" ca="1" si="50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08"/>
        <v>331</v>
      </c>
      <c r="EQ168" s="5" t="str">
        <f t="shared" ca="1" si="50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0"/>
        <v>343</v>
      </c>
      <c r="EV168" s="5" t="str">
        <f t="shared" ca="1" si="51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2"/>
        <v>548</v>
      </c>
      <c r="FA168" s="5" t="str">
        <f t="shared" ca="1" si="51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4"/>
        <v>526</v>
      </c>
      <c r="FF168" s="5" t="str">
        <f t="shared" ca="1" si="51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6"/>
        <v>527</v>
      </c>
      <c r="FK168" s="5" t="str">
        <f t="shared" ca="1" si="51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18"/>
        <v>264</v>
      </c>
      <c r="FP168" s="5" t="str">
        <f t="shared" ca="1" si="51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0"/>
        <v>318</v>
      </c>
      <c r="FU168" s="5" t="str">
        <f t="shared" ca="1" si="52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2"/>
        <v>536</v>
      </c>
      <c r="FZ168" s="5" t="str">
        <f t="shared" ca="1" si="52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4"/>
        <v>261</v>
      </c>
      <c r="GE168" s="5" t="str">
        <f t="shared" ca="1" si="52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6"/>
        <v>325</v>
      </c>
      <c r="GJ168" s="5" t="str">
        <f t="shared" ca="1" si="52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28"/>
        <v>161</v>
      </c>
      <c r="GO168" s="5" t="str">
        <f t="shared" ca="1" si="529"/>
        <v>VIGENTE</v>
      </c>
      <c r="GP168" s="4"/>
      <c r="GQ168" s="4">
        <v>44912</v>
      </c>
      <c r="GR168" s="4">
        <f t="shared" si="530"/>
        <v>46738</v>
      </c>
      <c r="GS168" s="8">
        <f t="shared" ca="1" si="416"/>
        <v>603</v>
      </c>
      <c r="GT168" s="5" t="str">
        <f t="shared" ca="1" si="428"/>
        <v>VIGENTE</v>
      </c>
      <c r="GU168" s="3"/>
      <c r="GV168" s="4">
        <v>44936</v>
      </c>
      <c r="GW168" s="4">
        <f t="shared" si="531"/>
        <v>46762</v>
      </c>
      <c r="GX168" s="8">
        <f t="shared" ca="1" si="532"/>
        <v>627</v>
      </c>
      <c r="GY168" s="5" t="str">
        <f t="shared" ca="1" si="435"/>
        <v>VIGENTE</v>
      </c>
      <c r="GZ168" s="2"/>
      <c r="HA168" s="4">
        <v>44911</v>
      </c>
      <c r="HB168" s="4">
        <f t="shared" si="533"/>
        <v>46737</v>
      </c>
      <c r="HC168" s="8">
        <f t="shared" ca="1" si="534"/>
        <v>602</v>
      </c>
      <c r="HD168" s="5" t="str">
        <f t="shared" ca="1" si="430"/>
        <v>VIGENTE</v>
      </c>
      <c r="HE168" s="6"/>
      <c r="HF168" s="4">
        <v>44921</v>
      </c>
      <c r="HG168" s="4">
        <f t="shared" si="612"/>
        <v>46747</v>
      </c>
      <c r="HH168" s="8">
        <f t="shared" ca="1" si="613"/>
        <v>612</v>
      </c>
      <c r="HI168" s="5" t="str">
        <f t="shared" ca="1" si="436"/>
        <v>VIGENTE</v>
      </c>
      <c r="HJ168" s="2"/>
      <c r="HK168" s="6"/>
      <c r="HL168" s="4"/>
      <c r="HM168" s="8"/>
      <c r="HN168" s="5" t="str">
        <f t="shared" si="453"/>
        <v>NO APLICA</v>
      </c>
      <c r="HO168" s="2"/>
      <c r="HP168" s="2"/>
      <c r="HQ168" s="4"/>
      <c r="HR168" s="2"/>
      <c r="HS168" s="5" t="str">
        <f t="shared" si="53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3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3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3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3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4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4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42"/>
        <v>VIGENTE</v>
      </c>
      <c r="JC168" s="3"/>
      <c r="JD168" s="3"/>
      <c r="JE168" s="4"/>
      <c r="JF168" s="8"/>
      <c r="JG168" s="5" t="str">
        <f t="shared" si="543"/>
        <v>NO APLICA</v>
      </c>
      <c r="JH168" s="6"/>
      <c r="JI168" s="6"/>
      <c r="JJ168" s="6"/>
      <c r="JK168" s="6"/>
      <c r="JL168" s="5" t="str">
        <f t="shared" si="544"/>
        <v>NO APLICA</v>
      </c>
      <c r="JM168" s="6"/>
      <c r="JN168" s="6"/>
      <c r="JO168" s="6"/>
      <c r="JP168" s="6"/>
      <c r="JQ168" s="5" t="str">
        <f t="shared" si="545"/>
        <v>NO APLICA</v>
      </c>
      <c r="JR168" s="6"/>
      <c r="JS168" s="6"/>
      <c r="JT168" s="6"/>
      <c r="JU168" s="6"/>
      <c r="JV168" s="5" t="str">
        <f t="shared" si="546"/>
        <v>NO APLICA</v>
      </c>
      <c r="JW168" s="5"/>
      <c r="JX168" s="5"/>
      <c r="JY168" s="5"/>
      <c r="JZ168" s="5"/>
      <c r="KA168" s="5" t="str">
        <f t="shared" si="547"/>
        <v>NO APLICA</v>
      </c>
      <c r="KB168" s="5"/>
      <c r="KC168" s="2"/>
      <c r="KD168" s="4"/>
      <c r="KE168" s="8"/>
      <c r="KF168" s="5" t="str">
        <f t="shared" si="548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73"/>
        <v>VIGENTE</v>
      </c>
      <c r="KL168" s="5"/>
      <c r="KM168" s="2"/>
      <c r="KN168" s="4"/>
      <c r="KO168" s="8"/>
      <c r="KP168" s="5" t="str">
        <f t="shared" si="549"/>
        <v>NO APLICA</v>
      </c>
      <c r="KQ168" s="5"/>
      <c r="KR168" s="2"/>
      <c r="KS168" s="4"/>
      <c r="KT168" s="8"/>
      <c r="KU168" s="5" t="str">
        <f t="shared" si="574"/>
        <v>NO APLICA</v>
      </c>
      <c r="KV168" s="2"/>
      <c r="KW168" s="6"/>
      <c r="KX168" s="4"/>
      <c r="KY168" s="8"/>
      <c r="KZ168" s="5" t="str">
        <f t="shared" si="579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75"/>
        <v>VIGENTE</v>
      </c>
      <c r="LF168" s="4"/>
      <c r="LG168" s="4"/>
      <c r="LH168" s="4"/>
      <c r="LI168" s="8"/>
      <c r="LJ168" s="5" t="str">
        <f t="shared" ref="LJ168:LJ231" si="614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0"/>
        <v>NO APLICA</v>
      </c>
      <c r="LP168" s="2"/>
      <c r="LQ168" s="6"/>
      <c r="LR168" s="4"/>
      <c r="LS168" s="8"/>
      <c r="LT168" s="5" t="str">
        <f t="shared" si="576"/>
        <v>NO APLICA</v>
      </c>
      <c r="LU168" s="6"/>
      <c r="LV168" s="6"/>
      <c r="LW168" s="4"/>
      <c r="LX168" s="8"/>
      <c r="LY168" s="5" t="str">
        <f t="shared" si="577"/>
        <v>NO APLICA</v>
      </c>
      <c r="LZ168" s="6"/>
      <c r="MA168" s="6"/>
      <c r="MB168" s="4"/>
      <c r="MC168" s="8"/>
      <c r="MD168" s="5" t="str">
        <f t="shared" si="578"/>
        <v>NO APLICA</v>
      </c>
      <c r="ME168" s="2"/>
      <c r="MF168" s="2"/>
      <c r="MG168" s="4"/>
      <c r="MH168" s="8"/>
      <c r="MI168" s="5" t="str">
        <f t="shared" si="551"/>
        <v>NO APLICA</v>
      </c>
      <c r="MJ168" s="2"/>
      <c r="MK168" s="2"/>
      <c r="ML168" s="4"/>
      <c r="MM168" s="8"/>
      <c r="MN168" s="5" t="str">
        <f t="shared" si="552"/>
        <v>NO APLICA</v>
      </c>
      <c r="MO168" s="5"/>
      <c r="MP168" s="2"/>
      <c r="MQ168" s="4"/>
      <c r="MR168" s="8"/>
      <c r="MS168" s="5" t="str">
        <f t="shared" si="553"/>
        <v>NO APLICA</v>
      </c>
      <c r="MT168" s="5"/>
      <c r="MU168" s="2"/>
      <c r="MV168" s="4"/>
      <c r="MW168" s="2"/>
      <c r="MX168" s="5" t="str">
        <f t="shared" si="554"/>
        <v>NO APLICA</v>
      </c>
      <c r="MY168" s="2"/>
      <c r="MZ168" s="6"/>
      <c r="NA168" s="4"/>
      <c r="NB168" s="8"/>
      <c r="NC168" s="5" t="str">
        <f t="shared" si="555"/>
        <v>NO APLICA</v>
      </c>
      <c r="ND168" s="2"/>
      <c r="NE168" s="6"/>
      <c r="NF168" s="4"/>
      <c r="NG168" s="8"/>
      <c r="NH168" s="5" t="str">
        <f t="shared" si="556"/>
        <v>NO APLICA</v>
      </c>
      <c r="NI168" s="2"/>
      <c r="NJ168" s="6"/>
      <c r="NK168" s="4"/>
      <c r="NL168" s="8"/>
      <c r="NM168" s="5" t="str">
        <f t="shared" si="557"/>
        <v>NO APLICA</v>
      </c>
      <c r="NN168" s="2"/>
      <c r="NO168" s="2"/>
      <c r="NP168" s="4"/>
      <c r="NQ168" s="2"/>
      <c r="NR168" s="5" t="str">
        <f t="shared" si="558"/>
        <v>NO APLICA</v>
      </c>
      <c r="NS168" s="2"/>
      <c r="NT168" s="2"/>
      <c r="NU168" s="4"/>
      <c r="NV168" s="2"/>
      <c r="NW168" s="5" t="str">
        <f t="shared" si="559"/>
        <v>NO APLICA</v>
      </c>
      <c r="NX168" s="6"/>
      <c r="NY168" s="6"/>
      <c r="NZ168" s="4"/>
      <c r="OA168" s="8"/>
      <c r="OB168" s="5" t="str">
        <f t="shared" si="560"/>
        <v>NO APLICA</v>
      </c>
      <c r="OC168" s="6"/>
      <c r="OD168" s="6"/>
      <c r="OE168" s="6"/>
      <c r="OF168" s="6"/>
      <c r="OG168" s="5" t="str">
        <f t="shared" si="561"/>
        <v>NO APLICA</v>
      </c>
      <c r="OH168" s="6"/>
      <c r="OI168" s="6"/>
      <c r="OJ168" s="4"/>
      <c r="OK168" s="8"/>
      <c r="OL168" s="5" t="str">
        <f t="shared" si="562"/>
        <v>NO APLICA</v>
      </c>
      <c r="OM168" s="6"/>
      <c r="ON168" s="6"/>
      <c r="OO168" s="6"/>
      <c r="OP168" s="6"/>
      <c r="OQ168" s="5" t="str">
        <f t="shared" si="563"/>
        <v>NO APLICA</v>
      </c>
      <c r="OR168" s="6"/>
      <c r="OS168" s="6"/>
      <c r="OT168" s="6"/>
      <c r="OU168" s="6"/>
      <c r="OV168" s="5" t="str">
        <f t="shared" si="564"/>
        <v>NO APLICA</v>
      </c>
      <c r="OW168" s="6"/>
      <c r="OX168" s="6"/>
      <c r="OY168" s="6"/>
      <c r="OZ168" s="6"/>
      <c r="PA168" s="5" t="str">
        <f t="shared" si="565"/>
        <v>NO APLICA</v>
      </c>
      <c r="PB168" s="6"/>
      <c r="PC168" s="6"/>
      <c r="PD168" s="6"/>
      <c r="PE168" s="6"/>
      <c r="PF168" s="5" t="str">
        <f t="shared" si="566"/>
        <v>NO APLICA</v>
      </c>
      <c r="PG168" s="6"/>
      <c r="PH168" s="6"/>
      <c r="PI168" s="6"/>
      <c r="PJ168" s="6"/>
      <c r="PK168" s="5" t="str">
        <f t="shared" si="567"/>
        <v>NO APLICA</v>
      </c>
      <c r="PL168" s="5"/>
      <c r="PM168" s="6"/>
      <c r="PN168" s="4"/>
      <c r="PO168" s="8"/>
      <c r="PP168" s="5" t="str">
        <f t="shared" si="568"/>
        <v>NO APLICA</v>
      </c>
      <c r="PQ168" s="6"/>
      <c r="PR168" s="6"/>
      <c r="PS168" s="6"/>
      <c r="PT168" s="6"/>
      <c r="PU168" s="5" t="str">
        <f t="shared" si="569"/>
        <v>NO APLICA</v>
      </c>
      <c r="PV168" s="5"/>
      <c r="PW168" s="6"/>
      <c r="PX168" s="6"/>
      <c r="PY168" s="6"/>
      <c r="PZ168" s="5" t="str">
        <f t="shared" si="570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546</v>
      </c>
      <c r="D169" s="30" t="s">
        <v>69</v>
      </c>
      <c r="E169" s="31" t="s">
        <v>75</v>
      </c>
      <c r="F169" s="5"/>
      <c r="G169" s="6"/>
      <c r="H169" s="4"/>
      <c r="I169" s="8"/>
      <c r="J169" s="5" t="str">
        <f t="shared" si="464"/>
        <v>NO APLICA</v>
      </c>
      <c r="K169" s="5"/>
      <c r="L169" s="6"/>
      <c r="M169" s="6"/>
      <c r="N169" s="8"/>
      <c r="O169" s="5" t="str">
        <f t="shared" si="465"/>
        <v>NO APLICA</v>
      </c>
      <c r="P169" s="6"/>
      <c r="Q169" s="6"/>
      <c r="R169" s="4"/>
      <c r="S169" s="8"/>
      <c r="T169" s="5" t="str">
        <f t="shared" si="571"/>
        <v>NO APLICA</v>
      </c>
      <c r="U169" s="5"/>
      <c r="V169" s="2" t="s">
        <v>547</v>
      </c>
      <c r="W169" s="4">
        <v>45041</v>
      </c>
      <c r="X169" s="4">
        <f t="shared" si="601"/>
        <v>46868</v>
      </c>
      <c r="Y169" s="8">
        <f t="shared" ca="1" si="602"/>
        <v>733</v>
      </c>
      <c r="Z169" s="5" t="str">
        <f t="shared" ca="1" si="421"/>
        <v>VIGENTE</v>
      </c>
      <c r="AA169" s="5"/>
      <c r="AB169" s="2" t="s">
        <v>548</v>
      </c>
      <c r="AC169" s="3">
        <v>45152</v>
      </c>
      <c r="AD169" s="4">
        <f t="shared" si="610"/>
        <v>46979</v>
      </c>
      <c r="AE169" s="8">
        <f t="shared" ca="1" si="611"/>
        <v>844</v>
      </c>
      <c r="AF169" s="5" t="str">
        <f t="shared" ca="1" si="46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67"/>
        <v>274</v>
      </c>
      <c r="AK169" s="5" t="str">
        <f t="shared" ca="1" si="41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68"/>
        <v>304</v>
      </c>
      <c r="AP169" s="5" t="str">
        <f t="shared" ca="1" si="46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0"/>
        <v>297</v>
      </c>
      <c r="AU169" s="5" t="str">
        <f t="shared" ca="1" si="47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2"/>
        <v>296</v>
      </c>
      <c r="AZ169" s="5" t="str">
        <f t="shared" ca="1" si="47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4"/>
        <v>336</v>
      </c>
      <c r="BE169" s="5" t="str">
        <f t="shared" ca="1" si="47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6"/>
        <v>292</v>
      </c>
      <c r="BJ169" s="5" t="str">
        <f t="shared" ca="1" si="47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78"/>
        <v>293</v>
      </c>
      <c r="BO169" s="5" t="str">
        <f t="shared" ca="1" si="47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0"/>
        <v>295</v>
      </c>
      <c r="BT169" s="5" t="str">
        <f t="shared" ca="1" si="48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2"/>
        <v>289</v>
      </c>
      <c r="BY169" s="5" t="str">
        <f t="shared" ca="1" si="48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4"/>
        <v>324</v>
      </c>
      <c r="CD169" s="5" t="str">
        <f t="shared" ca="1" si="485"/>
        <v>VIGENTE</v>
      </c>
      <c r="CE169" s="6" t="s">
        <v>73</v>
      </c>
      <c r="CF169" s="4">
        <v>45241</v>
      </c>
      <c r="CG169" s="4">
        <f t="shared" si="604"/>
        <v>46702</v>
      </c>
      <c r="CH169" s="8">
        <f t="shared" ca="1" si="605"/>
        <v>567</v>
      </c>
      <c r="CI169" s="5" t="str">
        <f t="shared" ca="1" si="587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6"/>
        <v>282</v>
      </c>
      <c r="CN169" s="5" t="str">
        <f t="shared" ca="1" si="48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88"/>
        <v>278</v>
      </c>
      <c r="CS169" s="5" t="str">
        <f t="shared" ca="1" si="48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0"/>
        <v>321</v>
      </c>
      <c r="CX169" s="5" t="str">
        <f t="shared" ca="1" si="49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2"/>
        <v>275</v>
      </c>
      <c r="DC169" s="5" t="str">
        <f t="shared" ca="1" si="49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4"/>
        <v>283</v>
      </c>
      <c r="DH169" s="5" t="str">
        <f t="shared" ca="1" si="49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6"/>
        <v>290</v>
      </c>
      <c r="DM169" s="5" t="str">
        <f t="shared" ca="1" si="49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98"/>
        <v>325</v>
      </c>
      <c r="DR169" s="5" t="str">
        <f t="shared" ca="1" si="49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0"/>
        <v>279</v>
      </c>
      <c r="DW169" s="5" t="str">
        <f t="shared" ca="1" si="501"/>
        <v>VIGENTE</v>
      </c>
      <c r="DX169" s="3"/>
      <c r="DY169" s="4">
        <v>45663</v>
      </c>
      <c r="DZ169" s="4">
        <f t="shared" si="609"/>
        <v>46392</v>
      </c>
      <c r="EA169" s="8">
        <f t="shared" ca="1" si="502"/>
        <v>257</v>
      </c>
      <c r="EB169" s="5" t="str">
        <f t="shared" ca="1" si="50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4"/>
        <v>363</v>
      </c>
      <c r="EG169" s="5" t="str">
        <f t="shared" ca="1" si="505"/>
        <v>VIGENTE</v>
      </c>
      <c r="EH169" s="3"/>
      <c r="EI169" s="3">
        <v>46085</v>
      </c>
      <c r="EJ169" s="4">
        <f t="shared" si="572"/>
        <v>46450</v>
      </c>
      <c r="EK169" s="8">
        <f t="shared" ca="1" si="506"/>
        <v>315</v>
      </c>
      <c r="EL169" s="5" t="str">
        <f t="shared" ca="1" si="50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08"/>
        <v>265</v>
      </c>
      <c r="EQ169" s="5" t="str">
        <f t="shared" ca="1" si="50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0"/>
        <v>271</v>
      </c>
      <c r="EV169" s="5" t="str">
        <f t="shared" ca="1" si="51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2"/>
        <v>288</v>
      </c>
      <c r="FA169" s="5" t="str">
        <f t="shared" ca="1" si="51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4"/>
        <v>260</v>
      </c>
      <c r="FF169" s="5" t="str">
        <f t="shared" ca="1" si="51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6"/>
        <v>262</v>
      </c>
      <c r="FK169" s="5" t="str">
        <f t="shared" ca="1" si="51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18"/>
        <v>280</v>
      </c>
      <c r="FP169" s="5" t="str">
        <f t="shared" ca="1" si="51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0"/>
        <v>258</v>
      </c>
      <c r="FU169" s="5" t="str">
        <f t="shared" ca="1" si="52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2"/>
        <v>294</v>
      </c>
      <c r="FZ169" s="5" t="str">
        <f t="shared" ca="1" si="52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4"/>
        <v>261</v>
      </c>
      <c r="GE169" s="5" t="str">
        <f t="shared" ca="1" si="52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6"/>
        <v>266</v>
      </c>
      <c r="GJ169" s="5" t="str">
        <f t="shared" ca="1" si="52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28"/>
        <v>281</v>
      </c>
      <c r="GO169" s="5" t="str">
        <f t="shared" ca="1" si="529"/>
        <v>VIGENTE</v>
      </c>
      <c r="GP169" s="4"/>
      <c r="GQ169" s="4">
        <v>45048</v>
      </c>
      <c r="GR169" s="4">
        <f t="shared" si="530"/>
        <v>46875</v>
      </c>
      <c r="GS169" s="8">
        <f t="shared" ca="1" si="416"/>
        <v>740</v>
      </c>
      <c r="GT169" s="5" t="str">
        <f t="shared" ca="1" si="428"/>
        <v>VIGENTE</v>
      </c>
      <c r="GU169" s="3"/>
      <c r="GV169" s="4">
        <v>45010</v>
      </c>
      <c r="GW169" s="4">
        <f t="shared" si="531"/>
        <v>46837</v>
      </c>
      <c r="GX169" s="8">
        <f t="shared" ca="1" si="532"/>
        <v>702</v>
      </c>
      <c r="GY169" s="5" t="str">
        <f t="shared" ca="1" si="435"/>
        <v>VIGENTE</v>
      </c>
      <c r="GZ169" s="2"/>
      <c r="HA169" s="4">
        <v>45073</v>
      </c>
      <c r="HB169" s="4">
        <f t="shared" si="533"/>
        <v>46900</v>
      </c>
      <c r="HC169" s="8">
        <f t="shared" ca="1" si="534"/>
        <v>765</v>
      </c>
      <c r="HD169" s="5" t="str">
        <f t="shared" ca="1" si="430"/>
        <v>VIGENTE</v>
      </c>
      <c r="HE169" s="6"/>
      <c r="HF169" s="4">
        <v>45020</v>
      </c>
      <c r="HG169" s="4">
        <f t="shared" si="612"/>
        <v>46847</v>
      </c>
      <c r="HH169" s="8">
        <f t="shared" ca="1" si="613"/>
        <v>712</v>
      </c>
      <c r="HI169" s="5" t="str">
        <f t="shared" ca="1" si="436"/>
        <v>VIGENTE</v>
      </c>
      <c r="HJ169" s="2"/>
      <c r="HK169" s="6"/>
      <c r="HL169" s="4"/>
      <c r="HM169" s="8"/>
      <c r="HN169" s="5" t="str">
        <f t="shared" si="453"/>
        <v>NO APLICA</v>
      </c>
      <c r="HO169" s="2"/>
      <c r="HP169" s="2"/>
      <c r="HQ169" s="4"/>
      <c r="HR169" s="2"/>
      <c r="HS169" s="5" t="str">
        <f t="shared" si="53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3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3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3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3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4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4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42"/>
        <v>VIGENTE</v>
      </c>
      <c r="JC169" s="3"/>
      <c r="JD169" s="3"/>
      <c r="JE169" s="4"/>
      <c r="JF169" s="8"/>
      <c r="JG169" s="5" t="str">
        <f t="shared" si="543"/>
        <v>NO APLICA</v>
      </c>
      <c r="JH169" s="6"/>
      <c r="JI169" s="6"/>
      <c r="JJ169" s="6"/>
      <c r="JK169" s="6"/>
      <c r="JL169" s="5" t="str">
        <f t="shared" si="544"/>
        <v>NO APLICA</v>
      </c>
      <c r="JM169" s="6"/>
      <c r="JN169" s="6"/>
      <c r="JO169" s="6"/>
      <c r="JP169" s="6"/>
      <c r="JQ169" s="5" t="str">
        <f t="shared" si="545"/>
        <v>NO APLICA</v>
      </c>
      <c r="JR169" s="6"/>
      <c r="JS169" s="6"/>
      <c r="JT169" s="6"/>
      <c r="JU169" s="6"/>
      <c r="JV169" s="5" t="str">
        <f t="shared" si="546"/>
        <v>NO APLICA</v>
      </c>
      <c r="JW169" s="5"/>
      <c r="JX169" s="5"/>
      <c r="JY169" s="5"/>
      <c r="JZ169" s="5"/>
      <c r="KA169" s="5" t="str">
        <f t="shared" si="547"/>
        <v>NO APLICA</v>
      </c>
      <c r="KB169" s="5"/>
      <c r="KC169" s="2"/>
      <c r="KD169" s="4"/>
      <c r="KE169" s="8"/>
      <c r="KF169" s="5" t="str">
        <f t="shared" si="548"/>
        <v>NO APLICA</v>
      </c>
      <c r="KG169" s="5"/>
      <c r="KH169" s="2"/>
      <c r="KI169" s="4"/>
      <c r="KJ169" s="8"/>
      <c r="KK169" s="5" t="str">
        <f t="shared" si="573"/>
        <v>NO APLICA</v>
      </c>
      <c r="KL169" s="5"/>
      <c r="KM169" s="2"/>
      <c r="KN169" s="4"/>
      <c r="KO169" s="8"/>
      <c r="KP169" s="5" t="str">
        <f t="shared" si="549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74"/>
        <v>VIGENTE</v>
      </c>
      <c r="KV169" s="2"/>
      <c r="KW169" s="6"/>
      <c r="KX169" s="4"/>
      <c r="KY169" s="8"/>
      <c r="KZ169" s="5" t="str">
        <f t="shared" si="579"/>
        <v>NO APLICA</v>
      </c>
      <c r="LA169" s="5"/>
      <c r="LB169" s="6"/>
      <c r="LC169" s="4"/>
      <c r="LD169" s="8"/>
      <c r="LE169" s="5" t="str">
        <f t="shared" si="575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614"/>
        <v>VIGENTE</v>
      </c>
      <c r="LK169" s="5"/>
      <c r="LL169" s="5"/>
      <c r="LM169" s="5"/>
      <c r="LN169" s="5"/>
      <c r="LO169" s="5" t="str">
        <f t="shared" si="580"/>
        <v>NO APLICA</v>
      </c>
      <c r="LP169" s="2"/>
      <c r="LQ169" s="6"/>
      <c r="LR169" s="4"/>
      <c r="LS169" s="8"/>
      <c r="LT169" s="5" t="str">
        <f t="shared" si="576"/>
        <v>NO APLICA</v>
      </c>
      <c r="LU169" s="6"/>
      <c r="LV169" s="6"/>
      <c r="LW169" s="4"/>
      <c r="LX169" s="8"/>
      <c r="LY169" s="5" t="str">
        <f t="shared" si="577"/>
        <v>NO APLICA</v>
      </c>
      <c r="LZ169" s="6"/>
      <c r="MA169" s="6"/>
      <c r="MB169" s="4"/>
      <c r="MC169" s="8"/>
      <c r="MD169" s="5" t="str">
        <f t="shared" si="578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51"/>
        <v>VIGENTE</v>
      </c>
      <c r="MJ169" s="2"/>
      <c r="MK169" s="2"/>
      <c r="ML169" s="4"/>
      <c r="MM169" s="8"/>
      <c r="MN169" s="5" t="str">
        <f t="shared" si="552"/>
        <v>NO APLICA</v>
      </c>
      <c r="MO169" s="5"/>
      <c r="MP169" s="2"/>
      <c r="MQ169" s="4"/>
      <c r="MR169" s="8"/>
      <c r="MS169" s="5" t="str">
        <f t="shared" si="553"/>
        <v>NO APLICA</v>
      </c>
      <c r="MT169" s="5"/>
      <c r="MU169" s="2"/>
      <c r="MV169" s="4"/>
      <c r="MW169" s="2"/>
      <c r="MX169" s="5" t="str">
        <f t="shared" si="554"/>
        <v>NO APLICA</v>
      </c>
      <c r="MY169" s="2"/>
      <c r="MZ169" s="6"/>
      <c r="NA169" s="4"/>
      <c r="NB169" s="8"/>
      <c r="NC169" s="5" t="str">
        <f t="shared" si="555"/>
        <v>NO APLICA</v>
      </c>
      <c r="ND169" s="2"/>
      <c r="NE169" s="6"/>
      <c r="NF169" s="4"/>
      <c r="NG169" s="8"/>
      <c r="NH169" s="5" t="str">
        <f t="shared" si="556"/>
        <v>NO APLICA</v>
      </c>
      <c r="NI169" s="2"/>
      <c r="NJ169" s="6"/>
      <c r="NK169" s="4"/>
      <c r="NL169" s="8"/>
      <c r="NM169" s="5" t="str">
        <f t="shared" si="557"/>
        <v>NO APLICA</v>
      </c>
      <c r="NN169" s="2"/>
      <c r="NO169" s="2"/>
      <c r="NP169" s="4"/>
      <c r="NQ169" s="2"/>
      <c r="NR169" s="5" t="str">
        <f t="shared" si="558"/>
        <v>NO APLICA</v>
      </c>
      <c r="NS169" s="2"/>
      <c r="NT169" s="2"/>
      <c r="NU169" s="4"/>
      <c r="NV169" s="2"/>
      <c r="NW169" s="5" t="str">
        <f t="shared" si="559"/>
        <v>NO APLICA</v>
      </c>
      <c r="NX169" s="6"/>
      <c r="NY169" s="6"/>
      <c r="NZ169" s="4"/>
      <c r="OA169" s="8"/>
      <c r="OB169" s="5" t="str">
        <f t="shared" si="560"/>
        <v>NO APLICA</v>
      </c>
      <c r="OC169" s="6"/>
      <c r="OD169" s="6"/>
      <c r="OE169" s="6"/>
      <c r="OF169" s="6"/>
      <c r="OG169" s="5" t="str">
        <f t="shared" si="561"/>
        <v>NO APLICA</v>
      </c>
      <c r="OH169" s="6"/>
      <c r="OI169" s="6"/>
      <c r="OJ169" s="4"/>
      <c r="OK169" s="8"/>
      <c r="OL169" s="5" t="str">
        <f t="shared" si="562"/>
        <v>NO APLICA</v>
      </c>
      <c r="OM169" s="6"/>
      <c r="ON169" s="6"/>
      <c r="OO169" s="6"/>
      <c r="OP169" s="6"/>
      <c r="OQ169" s="5" t="str">
        <f t="shared" si="563"/>
        <v>NO APLICA</v>
      </c>
      <c r="OR169" s="6"/>
      <c r="OS169" s="6"/>
      <c r="OT169" s="6"/>
      <c r="OU169" s="6"/>
      <c r="OV169" s="5" t="str">
        <f t="shared" si="564"/>
        <v>NO APLICA</v>
      </c>
      <c r="OW169" s="6"/>
      <c r="OX169" s="6"/>
      <c r="OY169" s="6"/>
      <c r="OZ169" s="6"/>
      <c r="PA169" s="5" t="str">
        <f t="shared" si="565"/>
        <v>NO APLICA</v>
      </c>
      <c r="PB169" s="6"/>
      <c r="PC169" s="6"/>
      <c r="PD169" s="6"/>
      <c r="PE169" s="6"/>
      <c r="PF169" s="5" t="str">
        <f t="shared" si="566"/>
        <v>NO APLICA</v>
      </c>
      <c r="PG169" s="6"/>
      <c r="PH169" s="6"/>
      <c r="PI169" s="6"/>
      <c r="PJ169" s="6"/>
      <c r="PK169" s="5" t="str">
        <f t="shared" si="567"/>
        <v>NO APLICA</v>
      </c>
      <c r="PL169" s="5"/>
      <c r="PM169" s="6"/>
      <c r="PN169" s="4"/>
      <c r="PO169" s="8"/>
      <c r="PP169" s="5" t="str">
        <f t="shared" si="568"/>
        <v>NO APLICA</v>
      </c>
      <c r="PQ169" s="6"/>
      <c r="PR169" s="6"/>
      <c r="PS169" s="6"/>
      <c r="PT169" s="6"/>
      <c r="PU169" s="5" t="str">
        <f t="shared" si="569"/>
        <v>NO APLICA</v>
      </c>
      <c r="PV169" s="5"/>
      <c r="PW169" s="6"/>
      <c r="PX169" s="6"/>
      <c r="PY169" s="6"/>
      <c r="PZ169" s="5" t="str">
        <f t="shared" si="570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549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4"/>
        <v>NO APLICA</v>
      </c>
      <c r="K170" s="2"/>
      <c r="L170" s="6"/>
      <c r="M170" s="6"/>
      <c r="N170" s="8"/>
      <c r="O170" s="5" t="str">
        <f t="shared" si="46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71"/>
        <v>VIGENTE</v>
      </c>
      <c r="U170" s="5"/>
      <c r="V170" s="6" t="s">
        <v>550</v>
      </c>
      <c r="W170" s="4">
        <v>44701</v>
      </c>
      <c r="X170" s="4">
        <f t="shared" si="601"/>
        <v>46527</v>
      </c>
      <c r="Y170" s="8">
        <f t="shared" ca="1" si="602"/>
        <v>392</v>
      </c>
      <c r="Z170" s="5" t="str">
        <f t="shared" ca="1" si="421"/>
        <v>VIGENTE</v>
      </c>
      <c r="AA170" s="5"/>
      <c r="AB170" s="2" t="s">
        <v>551</v>
      </c>
      <c r="AC170" s="4">
        <v>45190</v>
      </c>
      <c r="AD170" s="4">
        <f t="shared" si="610"/>
        <v>47017</v>
      </c>
      <c r="AE170" s="8">
        <f t="shared" ca="1" si="611"/>
        <v>882</v>
      </c>
      <c r="AF170" s="5" t="str">
        <f t="shared" ca="1" si="46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67"/>
        <v>203</v>
      </c>
      <c r="AK170" s="5" t="str">
        <f t="shared" ca="1" si="41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68"/>
        <v>304</v>
      </c>
      <c r="AP170" s="5" t="str">
        <f t="shared" ca="1" si="46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0"/>
        <v>584</v>
      </c>
      <c r="AU170" s="5" t="str">
        <f t="shared" ca="1" si="47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2"/>
        <v>567</v>
      </c>
      <c r="AZ170" s="5" t="str">
        <f t="shared" ca="1" si="47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4"/>
        <v>636</v>
      </c>
      <c r="BE170" s="5" t="str">
        <f t="shared" ca="1" si="47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6"/>
        <v>622</v>
      </c>
      <c r="BJ170" s="5" t="str">
        <f t="shared" ca="1" si="47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78"/>
        <v>194</v>
      </c>
      <c r="BO170" s="5" t="str">
        <f t="shared" ca="1" si="47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0"/>
        <v>295</v>
      </c>
      <c r="BT170" s="5" t="str">
        <f t="shared" ca="1" si="48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2"/>
        <v>545</v>
      </c>
      <c r="BY170" s="5" t="str">
        <f t="shared" ca="1" si="48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4"/>
        <v>324</v>
      </c>
      <c r="CD170" s="5" t="str">
        <f t="shared" ca="1" si="485"/>
        <v>VIGENTE</v>
      </c>
      <c r="CE170" s="6" t="s">
        <v>68</v>
      </c>
      <c r="CF170" s="4">
        <v>45832</v>
      </c>
      <c r="CG170" s="4">
        <f t="shared" si="604"/>
        <v>47293</v>
      </c>
      <c r="CH170" s="8">
        <f t="shared" ca="1" si="605"/>
        <v>1158</v>
      </c>
      <c r="CI170" s="5" t="str">
        <f t="shared" ca="1" si="587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6"/>
        <v>317</v>
      </c>
      <c r="CN170" s="5" t="str">
        <f t="shared" ca="1" si="48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88"/>
        <v>278</v>
      </c>
      <c r="CS170" s="5" t="str">
        <f t="shared" ca="1" si="48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0"/>
        <v>500</v>
      </c>
      <c r="CX170" s="5" t="str">
        <f t="shared" ca="1" si="49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2"/>
        <v>595</v>
      </c>
      <c r="DC170" s="5" t="str">
        <f t="shared" ca="1" si="49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4"/>
        <v>283</v>
      </c>
      <c r="DH170" s="5" t="str">
        <f t="shared" ca="1" si="49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6"/>
        <v>570</v>
      </c>
      <c r="DM170" s="5" t="str">
        <f t="shared" ca="1" si="49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98"/>
        <v>602</v>
      </c>
      <c r="DR170" s="5" t="str">
        <f t="shared" ca="1" si="49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0"/>
        <v>648</v>
      </c>
      <c r="DW170" s="5" t="str">
        <f t="shared" ca="1" si="501"/>
        <v>VIGENTE</v>
      </c>
      <c r="DX170" s="3"/>
      <c r="DY170" s="4">
        <v>45682</v>
      </c>
      <c r="DZ170" s="4">
        <f t="shared" si="609"/>
        <v>46411</v>
      </c>
      <c r="EA170" s="8">
        <f t="shared" ca="1" si="502"/>
        <v>276</v>
      </c>
      <c r="EB170" s="5" t="str">
        <f t="shared" ca="1" si="50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4"/>
        <v>268</v>
      </c>
      <c r="EG170" s="5" t="str">
        <f t="shared" ca="1" si="505"/>
        <v>VIGENTE</v>
      </c>
      <c r="EH170" s="3"/>
      <c r="EI170" s="3">
        <v>46060</v>
      </c>
      <c r="EJ170" s="4">
        <f t="shared" si="572"/>
        <v>46425</v>
      </c>
      <c r="EK170" s="8">
        <f t="shared" ca="1" si="506"/>
        <v>290</v>
      </c>
      <c r="EL170" s="5" t="str">
        <f t="shared" ca="1" si="50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08"/>
        <v>230</v>
      </c>
      <c r="EQ170" s="5" t="str">
        <f t="shared" ca="1" si="50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0"/>
        <v>594</v>
      </c>
      <c r="EV170" s="5" t="str">
        <f t="shared" ca="1" si="51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2"/>
        <v>288</v>
      </c>
      <c r="FA170" s="5" t="str">
        <f t="shared" ca="1" si="51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4"/>
        <v>260</v>
      </c>
      <c r="FF170" s="5" t="str">
        <f t="shared" ca="1" si="51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6"/>
        <v>262</v>
      </c>
      <c r="FK170" s="5" t="str">
        <f t="shared" ca="1" si="51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18"/>
        <v>366</v>
      </c>
      <c r="FP170" s="5" t="str">
        <f t="shared" ca="1" si="51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0"/>
        <v>258</v>
      </c>
      <c r="FU170" s="5" t="str">
        <f t="shared" ca="1" si="52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2"/>
        <v>181</v>
      </c>
      <c r="FZ170" s="5" t="str">
        <f t="shared" ca="1" si="52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4"/>
        <v>520</v>
      </c>
      <c r="GE170" s="5" t="str">
        <f t="shared" ca="1" si="52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6"/>
        <v>173</v>
      </c>
      <c r="GJ170" s="5" t="str">
        <f t="shared" ca="1" si="52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28"/>
        <v>202</v>
      </c>
      <c r="GO170" s="5" t="str">
        <f t="shared" ca="1" si="529"/>
        <v>VIGENTE</v>
      </c>
      <c r="GP170" s="4"/>
      <c r="GQ170" s="4">
        <v>45017</v>
      </c>
      <c r="GR170" s="4">
        <f t="shared" si="530"/>
        <v>46844</v>
      </c>
      <c r="GS170" s="8">
        <f t="shared" ca="1" si="416"/>
        <v>709</v>
      </c>
      <c r="GT170" s="5" t="str">
        <f t="shared" ca="1" si="428"/>
        <v>VIGENTE</v>
      </c>
      <c r="GU170" s="3"/>
      <c r="GV170" s="4">
        <v>44952</v>
      </c>
      <c r="GW170" s="4">
        <f t="shared" si="531"/>
        <v>46778</v>
      </c>
      <c r="GX170" s="8">
        <f t="shared" ca="1" si="532"/>
        <v>643</v>
      </c>
      <c r="GY170" s="5" t="str">
        <f t="shared" ca="1" si="435"/>
        <v>VIGENTE</v>
      </c>
      <c r="GZ170" s="2"/>
      <c r="HA170" s="4">
        <v>45016</v>
      </c>
      <c r="HB170" s="4">
        <f t="shared" si="533"/>
        <v>46843</v>
      </c>
      <c r="HC170" s="8">
        <f t="shared" ca="1" si="534"/>
        <v>708</v>
      </c>
      <c r="HD170" s="5" t="str">
        <f t="shared" ca="1" si="430"/>
        <v>VIGENTE</v>
      </c>
      <c r="HE170" s="6"/>
      <c r="HF170" s="4">
        <v>45115</v>
      </c>
      <c r="HG170" s="4">
        <f t="shared" si="612"/>
        <v>46942</v>
      </c>
      <c r="HH170" s="8">
        <f t="shared" ca="1" si="613"/>
        <v>807</v>
      </c>
      <c r="HI170" s="5" t="str">
        <f t="shared" ca="1" si="436"/>
        <v>VIGENTE</v>
      </c>
      <c r="HJ170" s="2"/>
      <c r="HK170" s="6"/>
      <c r="HL170" s="4"/>
      <c r="HM170" s="8"/>
      <c r="HN170" s="5" t="str">
        <f t="shared" si="453"/>
        <v>NO APLICA</v>
      </c>
      <c r="HO170" s="2"/>
      <c r="HP170" s="2"/>
      <c r="HQ170" s="4"/>
      <c r="HR170" s="2"/>
      <c r="HS170" s="5" t="str">
        <f t="shared" si="535"/>
        <v>NO APLICA</v>
      </c>
      <c r="HT170" s="2"/>
      <c r="HU170" s="6"/>
      <c r="HV170" s="4"/>
      <c r="HW170" s="8"/>
      <c r="HX170" s="5" t="str">
        <f t="shared" si="536"/>
        <v>NO APLICA</v>
      </c>
      <c r="HY170" s="2"/>
      <c r="HZ170" s="6"/>
      <c r="IA170" s="4"/>
      <c r="IB170" s="8"/>
      <c r="IC170" s="5" t="str">
        <f t="shared" si="537"/>
        <v>NO APLICA</v>
      </c>
      <c r="ID170" s="2"/>
      <c r="IE170" s="6"/>
      <c r="IF170" s="4"/>
      <c r="IG170" s="8"/>
      <c r="IH170" s="5" t="str">
        <f t="shared" si="538"/>
        <v>NO APLICA</v>
      </c>
      <c r="II170" s="6"/>
      <c r="IJ170" s="6"/>
      <c r="IK170" s="4"/>
      <c r="IL170" s="8"/>
      <c r="IM170" s="5" t="str">
        <f t="shared" si="539"/>
        <v>NO APLICA</v>
      </c>
      <c r="IN170" s="2"/>
      <c r="IO170" s="6"/>
      <c r="IP170" s="4"/>
      <c r="IQ170" s="8"/>
      <c r="IR170" s="5" t="str">
        <f t="shared" si="540"/>
        <v>NO APLICA</v>
      </c>
      <c r="IS170" s="2"/>
      <c r="IT170" s="6"/>
      <c r="IU170" s="4"/>
      <c r="IV170" s="8"/>
      <c r="IW170" s="5" t="str">
        <f t="shared" si="541"/>
        <v>NO APLICA</v>
      </c>
      <c r="IX170" s="2"/>
      <c r="IY170" s="6"/>
      <c r="IZ170" s="4"/>
      <c r="JA170" s="8"/>
      <c r="JB170" s="5" t="str">
        <f t="shared" si="542"/>
        <v>NO APLICA</v>
      </c>
      <c r="JC170" s="3"/>
      <c r="JD170" s="3"/>
      <c r="JE170" s="4"/>
      <c r="JF170" s="8"/>
      <c r="JG170" s="5" t="str">
        <f t="shared" si="543"/>
        <v>NO APLICA</v>
      </c>
      <c r="JH170" s="6"/>
      <c r="JI170" s="6"/>
      <c r="JJ170" s="6"/>
      <c r="JK170" s="6"/>
      <c r="JL170" s="5" t="str">
        <f t="shared" si="544"/>
        <v>NO APLICA</v>
      </c>
      <c r="JM170" s="6"/>
      <c r="JN170" s="6"/>
      <c r="JO170" s="6"/>
      <c r="JP170" s="6"/>
      <c r="JQ170" s="5" t="str">
        <f t="shared" si="545"/>
        <v>NO APLICA</v>
      </c>
      <c r="JR170" s="6"/>
      <c r="JS170" s="6"/>
      <c r="JT170" s="6"/>
      <c r="JU170" s="6"/>
      <c r="JV170" s="5" t="str">
        <f t="shared" si="546"/>
        <v>NO APLICA</v>
      </c>
      <c r="JW170" s="5"/>
      <c r="JX170" s="5"/>
      <c r="JY170" s="5"/>
      <c r="JZ170" s="5"/>
      <c r="KA170" s="5" t="str">
        <f t="shared" si="547"/>
        <v>NO APLICA</v>
      </c>
      <c r="KB170" s="5"/>
      <c r="KC170" s="2"/>
      <c r="KD170" s="4"/>
      <c r="KE170" s="8"/>
      <c r="KF170" s="5" t="str">
        <f t="shared" si="548"/>
        <v>NO APLICA</v>
      </c>
      <c r="KG170" s="5"/>
      <c r="KH170" s="2"/>
      <c r="KI170" s="4"/>
      <c r="KJ170" s="8"/>
      <c r="KK170" s="5" t="str">
        <f t="shared" si="573"/>
        <v>NO APLICA</v>
      </c>
      <c r="KL170" s="5"/>
      <c r="KM170" s="2"/>
      <c r="KN170" s="4"/>
      <c r="KO170" s="8"/>
      <c r="KP170" s="5" t="str">
        <f t="shared" si="549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74"/>
        <v>VIGENTE</v>
      </c>
      <c r="KV170" s="2"/>
      <c r="KW170" s="6"/>
      <c r="KX170" s="4"/>
      <c r="KY170" s="8"/>
      <c r="KZ170" s="5" t="str">
        <f t="shared" si="579"/>
        <v>NO APLICA</v>
      </c>
      <c r="LA170" s="5"/>
      <c r="LB170" s="6"/>
      <c r="LC170" s="4"/>
      <c r="LD170" s="8"/>
      <c r="LE170" s="5" t="str">
        <f t="shared" si="575"/>
        <v>NO APLICA</v>
      </c>
      <c r="LF170" s="6"/>
      <c r="LG170" s="6"/>
      <c r="LH170" s="4"/>
      <c r="LI170" s="8"/>
      <c r="LJ170" s="5" t="str">
        <f t="shared" si="614"/>
        <v>NO APLICA</v>
      </c>
      <c r="LK170" s="5"/>
      <c r="LL170" s="5"/>
      <c r="LM170" s="4"/>
      <c r="LN170" s="8"/>
      <c r="LO170" s="5" t="str">
        <f t="shared" si="580"/>
        <v>NO APLICA</v>
      </c>
      <c r="LP170" s="2"/>
      <c r="LQ170" s="6"/>
      <c r="LR170" s="4"/>
      <c r="LS170" s="8"/>
      <c r="LT170" s="5" t="str">
        <f t="shared" si="576"/>
        <v>NO APLICA</v>
      </c>
      <c r="LU170" s="6"/>
      <c r="LV170" s="6"/>
      <c r="LW170" s="4"/>
      <c r="LX170" s="8"/>
      <c r="LY170" s="5" t="str">
        <f t="shared" si="577"/>
        <v>NO APLICA</v>
      </c>
      <c r="LZ170" s="6"/>
      <c r="MA170" s="6"/>
      <c r="MB170" s="4"/>
      <c r="MC170" s="8"/>
      <c r="MD170" s="5" t="str">
        <f t="shared" si="578"/>
        <v>NO APLICA</v>
      </c>
      <c r="ME170" s="2"/>
      <c r="MF170" s="2"/>
      <c r="MG170" s="4"/>
      <c r="MH170" s="8"/>
      <c r="MI170" s="5" t="str">
        <f t="shared" si="551"/>
        <v>NO APLICA</v>
      </c>
      <c r="MJ170" s="2"/>
      <c r="MK170" s="2"/>
      <c r="ML170" s="4"/>
      <c r="MM170" s="8"/>
      <c r="MN170" s="5" t="str">
        <f t="shared" si="552"/>
        <v>NO APLICA</v>
      </c>
      <c r="MO170" s="5"/>
      <c r="MP170" s="2"/>
      <c r="MQ170" s="4"/>
      <c r="MR170" s="8"/>
      <c r="MS170" s="5" t="str">
        <f t="shared" si="553"/>
        <v>NO APLICA</v>
      </c>
      <c r="MT170" s="5"/>
      <c r="MU170" s="2"/>
      <c r="MV170" s="4"/>
      <c r="MW170" s="2"/>
      <c r="MX170" s="5" t="str">
        <f t="shared" si="554"/>
        <v>NO APLICA</v>
      </c>
      <c r="MY170" s="2"/>
      <c r="MZ170" s="6"/>
      <c r="NA170" s="4"/>
      <c r="NB170" s="8"/>
      <c r="NC170" s="5" t="str">
        <f t="shared" si="555"/>
        <v>NO APLICA</v>
      </c>
      <c r="ND170" s="2"/>
      <c r="NE170" s="6"/>
      <c r="NF170" s="4"/>
      <c r="NG170" s="8"/>
      <c r="NH170" s="5" t="str">
        <f t="shared" si="556"/>
        <v>NO APLICA</v>
      </c>
      <c r="NI170" s="2"/>
      <c r="NJ170" s="6"/>
      <c r="NK170" s="4"/>
      <c r="NL170" s="8"/>
      <c r="NM170" s="5" t="str">
        <f t="shared" si="557"/>
        <v>NO APLICA</v>
      </c>
      <c r="NN170" s="2"/>
      <c r="NO170" s="2"/>
      <c r="NP170" s="4"/>
      <c r="NQ170" s="8"/>
      <c r="NR170" s="5" t="str">
        <f t="shared" si="558"/>
        <v>NO APLICA</v>
      </c>
      <c r="NS170" s="2"/>
      <c r="NT170" s="2"/>
      <c r="NU170" s="4"/>
      <c r="NV170" s="2"/>
      <c r="NW170" s="5" t="str">
        <f t="shared" si="559"/>
        <v>NO APLICA</v>
      </c>
      <c r="NX170" s="6"/>
      <c r="NY170" s="6"/>
      <c r="NZ170" s="4"/>
      <c r="OA170" s="8"/>
      <c r="OB170" s="5" t="str">
        <f t="shared" si="560"/>
        <v>NO APLICA</v>
      </c>
      <c r="OC170" s="6"/>
      <c r="OD170" s="6"/>
      <c r="OE170" s="6"/>
      <c r="OF170" s="6"/>
      <c r="OG170" s="5" t="str">
        <f t="shared" si="561"/>
        <v>NO APLICA</v>
      </c>
      <c r="OH170" s="2"/>
      <c r="OI170" s="2"/>
      <c r="OJ170" s="4"/>
      <c r="OK170" s="8"/>
      <c r="OL170" s="5" t="str">
        <f t="shared" si="562"/>
        <v>NO APLICA</v>
      </c>
      <c r="OM170" s="6"/>
      <c r="ON170" s="6"/>
      <c r="OO170" s="6"/>
      <c r="OP170" s="6"/>
      <c r="OQ170" s="5" t="str">
        <f t="shared" si="563"/>
        <v>NO APLICA</v>
      </c>
      <c r="OR170" s="6"/>
      <c r="OS170" s="6"/>
      <c r="OT170" s="6"/>
      <c r="OU170" s="6"/>
      <c r="OV170" s="5" t="str">
        <f t="shared" si="564"/>
        <v>NO APLICA</v>
      </c>
      <c r="OW170" s="6"/>
      <c r="OX170" s="6"/>
      <c r="OY170" s="6"/>
      <c r="OZ170" s="6"/>
      <c r="PA170" s="5" t="str">
        <f t="shared" si="565"/>
        <v>NO APLICA</v>
      </c>
      <c r="PB170" s="6"/>
      <c r="PC170" s="6"/>
      <c r="PD170" s="6"/>
      <c r="PE170" s="6"/>
      <c r="PF170" s="5" t="str">
        <f t="shared" si="566"/>
        <v>NO APLICA</v>
      </c>
      <c r="PG170" s="6"/>
      <c r="PH170" s="6"/>
      <c r="PI170" s="6"/>
      <c r="PJ170" s="6"/>
      <c r="PK170" s="5" t="str">
        <f t="shared" si="567"/>
        <v>NO APLICA</v>
      </c>
      <c r="PL170" s="5"/>
      <c r="PM170" s="6"/>
      <c r="PN170" s="4"/>
      <c r="PO170" s="8"/>
      <c r="PP170" s="5" t="str">
        <f t="shared" si="568"/>
        <v>NO APLICA</v>
      </c>
      <c r="PQ170" s="6"/>
      <c r="PR170" s="6"/>
      <c r="PS170" s="6"/>
      <c r="PT170" s="6"/>
      <c r="PU170" s="5" t="str">
        <f t="shared" si="569"/>
        <v>NO APLICA</v>
      </c>
      <c r="PV170" s="5"/>
      <c r="PW170" s="6"/>
      <c r="PX170" s="6"/>
      <c r="PY170" s="6"/>
      <c r="PZ170" s="5" t="str">
        <f t="shared" si="570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777</v>
      </c>
      <c r="D171" s="30" t="s">
        <v>64</v>
      </c>
      <c r="E171" s="31" t="s">
        <v>83</v>
      </c>
      <c r="F171" s="5"/>
      <c r="G171" s="6"/>
      <c r="H171" s="4"/>
      <c r="I171" s="8"/>
      <c r="J171" s="5" t="str">
        <f t="shared" si="464"/>
        <v>NO APLICA</v>
      </c>
      <c r="K171" s="2"/>
      <c r="L171" s="6"/>
      <c r="M171" s="6"/>
      <c r="N171" s="8"/>
      <c r="O171" s="5" t="str">
        <f t="shared" si="46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71"/>
        <v>VIGENTE</v>
      </c>
      <c r="U171" s="5"/>
      <c r="V171" s="2" t="s">
        <v>552</v>
      </c>
      <c r="W171" s="4">
        <v>44918</v>
      </c>
      <c r="X171" s="4">
        <f t="shared" si="601"/>
        <v>46744</v>
      </c>
      <c r="Y171" s="8">
        <f t="shared" ca="1" si="602"/>
        <v>609</v>
      </c>
      <c r="Z171" s="5" t="str">
        <f t="shared" ca="1" si="421"/>
        <v>VIGENTE</v>
      </c>
      <c r="AA171" s="5"/>
      <c r="AB171" s="2" t="s">
        <v>553</v>
      </c>
      <c r="AC171" s="4">
        <v>45192</v>
      </c>
      <c r="AD171" s="4">
        <f t="shared" si="610"/>
        <v>47019</v>
      </c>
      <c r="AE171" s="8">
        <f t="shared" ca="1" si="611"/>
        <v>884</v>
      </c>
      <c r="AF171" s="5" t="str">
        <f t="shared" ca="1" si="46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67"/>
        <v>274</v>
      </c>
      <c r="AK171" s="5" t="str">
        <f t="shared" ca="1" si="41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68"/>
        <v>84</v>
      </c>
      <c r="AP171" s="5" t="str">
        <f t="shared" ca="1" si="46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0"/>
        <v>99</v>
      </c>
      <c r="AU171" s="5" t="str">
        <f t="shared" ca="1" si="47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2"/>
        <v>108</v>
      </c>
      <c r="AZ171" s="5" t="str">
        <f t="shared" ca="1" si="47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4"/>
        <v>109</v>
      </c>
      <c r="BE171" s="5" t="str">
        <f t="shared" ca="1" si="47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6"/>
        <v>292</v>
      </c>
      <c r="BJ171" s="5" t="str">
        <f t="shared" ca="1" si="47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78"/>
        <v>164</v>
      </c>
      <c r="BO171" s="5" t="str">
        <f t="shared" ca="1" si="47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0"/>
        <v>198</v>
      </c>
      <c r="BT171" s="5" t="str">
        <f t="shared" ca="1" si="48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2"/>
        <v>289</v>
      </c>
      <c r="BY171" s="5" t="str">
        <f t="shared" ca="1" si="48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4"/>
        <v>194</v>
      </c>
      <c r="CD171" s="5" t="str">
        <f t="shared" ca="1" si="485"/>
        <v>VIGENTE</v>
      </c>
      <c r="CE171" s="6" t="s">
        <v>68</v>
      </c>
      <c r="CF171" s="4">
        <v>45828</v>
      </c>
      <c r="CG171" s="4">
        <f t="shared" si="604"/>
        <v>47289</v>
      </c>
      <c r="CH171" s="8">
        <f t="shared" ca="1" si="605"/>
        <v>1154</v>
      </c>
      <c r="CI171" s="5" t="str">
        <f t="shared" ca="1" si="587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6"/>
        <v>105</v>
      </c>
      <c r="CN171" s="5" t="str">
        <f t="shared" ca="1" si="48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88"/>
        <v>111</v>
      </c>
      <c r="CS171" s="5" t="str">
        <f t="shared" ca="1" si="48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0"/>
        <v>218</v>
      </c>
      <c r="CX171" s="5" t="str">
        <f t="shared" ca="1" si="49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2"/>
        <v>259</v>
      </c>
      <c r="DC171" s="5" t="str">
        <f t="shared" ca="1" si="49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4"/>
        <v>356</v>
      </c>
      <c r="DH171" s="5" t="str">
        <f t="shared" ca="1" si="49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6"/>
        <v>174</v>
      </c>
      <c r="DM171" s="5" t="str">
        <f t="shared" ca="1" si="49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98"/>
        <v>114</v>
      </c>
      <c r="DR171" s="5" t="str">
        <f t="shared" ca="1" si="49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0"/>
        <v>202</v>
      </c>
      <c r="DW171" s="5" t="str">
        <f t="shared" ca="1" si="501"/>
        <v>VIGENTE</v>
      </c>
      <c r="DX171" s="3"/>
      <c r="DY171" s="4">
        <v>45663</v>
      </c>
      <c r="DZ171" s="4">
        <f t="shared" si="609"/>
        <v>46392</v>
      </c>
      <c r="EA171" s="8">
        <f t="shared" ca="1" si="502"/>
        <v>257</v>
      </c>
      <c r="EB171" s="5" t="str">
        <f t="shared" ca="1" si="50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4"/>
        <v>196</v>
      </c>
      <c r="EG171" s="5" t="str">
        <f t="shared" ca="1" si="505"/>
        <v>VIGENTE</v>
      </c>
      <c r="EH171" s="3"/>
      <c r="EI171" s="3">
        <v>46107</v>
      </c>
      <c r="EJ171" s="4">
        <f t="shared" si="572"/>
        <v>46472</v>
      </c>
      <c r="EK171" s="8">
        <f t="shared" ca="1" si="506"/>
        <v>337</v>
      </c>
      <c r="EL171" s="5" t="str">
        <f t="shared" ca="1" si="50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08"/>
        <v>230</v>
      </c>
      <c r="EQ171" s="5" t="str">
        <f t="shared" ca="1" si="50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0"/>
        <v>217</v>
      </c>
      <c r="EV171" s="5" t="str">
        <f t="shared" ca="1" si="51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2"/>
        <v>288</v>
      </c>
      <c r="FA171" s="5" t="str">
        <f t="shared" ca="1" si="51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4"/>
        <v>260</v>
      </c>
      <c r="FF171" s="5" t="str">
        <f t="shared" ca="1" si="51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6"/>
        <v>262</v>
      </c>
      <c r="FK171" s="5" t="str">
        <f t="shared" ca="1" si="51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18"/>
        <v>264</v>
      </c>
      <c r="FP171" s="5" t="str">
        <f t="shared" ca="1" si="51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0"/>
        <v>199</v>
      </c>
      <c r="FU171" s="5" t="str">
        <f t="shared" ca="1" si="52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2"/>
        <v>181</v>
      </c>
      <c r="FZ171" s="5" t="str">
        <f t="shared" ca="1" si="52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4"/>
        <v>189</v>
      </c>
      <c r="GE171" s="5" t="str">
        <f t="shared" ca="1" si="52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6"/>
        <v>266</v>
      </c>
      <c r="GJ171" s="5" t="str">
        <f t="shared" ca="1" si="52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28"/>
        <v>281</v>
      </c>
      <c r="GO171" s="5" t="str">
        <f t="shared" ca="1" si="529"/>
        <v>VIGENTE</v>
      </c>
      <c r="GP171" s="4"/>
      <c r="GQ171" s="4">
        <v>44952</v>
      </c>
      <c r="GR171" s="4">
        <f t="shared" si="530"/>
        <v>46778</v>
      </c>
      <c r="GS171" s="8">
        <f t="shared" ref="GS171:GS191" ca="1" si="615">GR171-TODAY()</f>
        <v>643</v>
      </c>
      <c r="GT171" s="5" t="str">
        <f t="shared" ca="1" si="428"/>
        <v>VIGENTE</v>
      </c>
      <c r="GU171" s="3"/>
      <c r="GV171" s="4">
        <v>45006</v>
      </c>
      <c r="GW171" s="4">
        <f t="shared" si="531"/>
        <v>46833</v>
      </c>
      <c r="GX171" s="8">
        <f t="shared" ca="1" si="532"/>
        <v>698</v>
      </c>
      <c r="GY171" s="5" t="str">
        <f t="shared" ca="1" si="435"/>
        <v>VIGENTE</v>
      </c>
      <c r="GZ171" s="2"/>
      <c r="HA171" s="4">
        <v>45016</v>
      </c>
      <c r="HB171" s="4">
        <f t="shared" si="533"/>
        <v>46843</v>
      </c>
      <c r="HC171" s="8">
        <f t="shared" ca="1" si="534"/>
        <v>708</v>
      </c>
      <c r="HD171" s="5" t="str">
        <f t="shared" ca="1" si="430"/>
        <v>VIGENTE</v>
      </c>
      <c r="HE171" s="6"/>
      <c r="HF171" s="4">
        <v>45020</v>
      </c>
      <c r="HG171" s="4">
        <f t="shared" si="612"/>
        <v>46847</v>
      </c>
      <c r="HH171" s="8">
        <f t="shared" ca="1" si="613"/>
        <v>712</v>
      </c>
      <c r="HI171" s="5" t="str">
        <f t="shared" ca="1" si="436"/>
        <v>VIGENTE</v>
      </c>
      <c r="HJ171" s="2"/>
      <c r="HK171" s="6"/>
      <c r="HL171" s="4"/>
      <c r="HM171" s="8"/>
      <c r="HN171" s="5" t="str">
        <f t="shared" si="453"/>
        <v>NO APLICA</v>
      </c>
      <c r="HO171" s="2"/>
      <c r="HP171" s="2"/>
      <c r="HQ171" s="4"/>
      <c r="HR171" s="2"/>
      <c r="HS171" s="5" t="str">
        <f t="shared" si="535"/>
        <v>NO APLICA</v>
      </c>
      <c r="HT171" s="2"/>
      <c r="HU171" s="6"/>
      <c r="HV171" s="4"/>
      <c r="HW171" s="8"/>
      <c r="HX171" s="5" t="str">
        <f t="shared" si="536"/>
        <v>NO APLICA</v>
      </c>
      <c r="HY171" s="2"/>
      <c r="HZ171" s="6"/>
      <c r="IA171" s="4"/>
      <c r="IB171" s="8"/>
      <c r="IC171" s="5" t="str">
        <f t="shared" si="537"/>
        <v>NO APLICA</v>
      </c>
      <c r="ID171" s="2"/>
      <c r="IE171" s="6"/>
      <c r="IF171" s="4"/>
      <c r="IG171" s="8"/>
      <c r="IH171" s="5" t="str">
        <f t="shared" si="538"/>
        <v>NO APLICA</v>
      </c>
      <c r="II171" s="6"/>
      <c r="IJ171" s="6"/>
      <c r="IK171" s="4"/>
      <c r="IL171" s="8"/>
      <c r="IM171" s="5" t="str">
        <f t="shared" si="539"/>
        <v>NO APLICA</v>
      </c>
      <c r="IN171" s="2"/>
      <c r="IO171" s="6"/>
      <c r="IP171" s="4"/>
      <c r="IQ171" s="8"/>
      <c r="IR171" s="5" t="str">
        <f t="shared" si="540"/>
        <v>NO APLICA</v>
      </c>
      <c r="IS171" s="2"/>
      <c r="IT171" s="6"/>
      <c r="IU171" s="4"/>
      <c r="IV171" s="8"/>
      <c r="IW171" s="5" t="str">
        <f t="shared" si="541"/>
        <v>NO APLICA</v>
      </c>
      <c r="IX171" s="2"/>
      <c r="IY171" s="6"/>
      <c r="IZ171" s="4"/>
      <c r="JA171" s="8"/>
      <c r="JB171" s="5" t="str">
        <f t="shared" si="542"/>
        <v>NO APLICA</v>
      </c>
      <c r="JC171" s="3"/>
      <c r="JD171" s="3"/>
      <c r="JE171" s="4"/>
      <c r="JF171" s="8"/>
      <c r="JG171" s="5" t="str">
        <f t="shared" si="543"/>
        <v>NO APLICA</v>
      </c>
      <c r="JH171" s="6"/>
      <c r="JI171" s="6"/>
      <c r="JJ171" s="6"/>
      <c r="JK171" s="6"/>
      <c r="JL171" s="5" t="str">
        <f t="shared" si="544"/>
        <v>NO APLICA</v>
      </c>
      <c r="JM171" s="6"/>
      <c r="JN171" s="6"/>
      <c r="JO171" s="6"/>
      <c r="JP171" s="6"/>
      <c r="JQ171" s="5" t="str">
        <f t="shared" si="545"/>
        <v>NO APLICA</v>
      </c>
      <c r="JR171" s="6"/>
      <c r="JS171" s="6"/>
      <c r="JT171" s="6"/>
      <c r="JU171" s="6"/>
      <c r="JV171" s="5" t="str">
        <f t="shared" si="546"/>
        <v>NO APLICA</v>
      </c>
      <c r="JW171" s="5"/>
      <c r="JX171" s="5"/>
      <c r="JY171" s="5"/>
      <c r="JZ171" s="5"/>
      <c r="KA171" s="5" t="str">
        <f t="shared" si="547"/>
        <v>NO APLICA</v>
      </c>
      <c r="KB171" s="5"/>
      <c r="KC171" s="2"/>
      <c r="KD171" s="4"/>
      <c r="KE171" s="8"/>
      <c r="KF171" s="5" t="str">
        <f t="shared" si="548"/>
        <v>NO APLICA</v>
      </c>
      <c r="KG171" s="5"/>
      <c r="KH171" s="2"/>
      <c r="KI171" s="4"/>
      <c r="KJ171" s="8"/>
      <c r="KK171" s="5" t="str">
        <f t="shared" si="573"/>
        <v>NO APLICA</v>
      </c>
      <c r="KL171" s="5"/>
      <c r="KM171" s="2"/>
      <c r="KN171" s="4"/>
      <c r="KO171" s="8"/>
      <c r="KP171" s="5" t="str">
        <f t="shared" si="549"/>
        <v>NO APLICA</v>
      </c>
      <c r="KQ171" s="5"/>
      <c r="KR171" s="2"/>
      <c r="KS171" s="4"/>
      <c r="KT171" s="8"/>
      <c r="KU171" s="5" t="str">
        <f t="shared" si="574"/>
        <v>NO APLICA</v>
      </c>
      <c r="KV171" s="2"/>
      <c r="KW171" s="6"/>
      <c r="KX171" s="4"/>
      <c r="KY171" s="8"/>
      <c r="KZ171" s="5" t="str">
        <f t="shared" si="579"/>
        <v>NO APLICA</v>
      </c>
      <c r="LA171" s="5"/>
      <c r="LB171" s="6"/>
      <c r="LC171" s="4"/>
      <c r="LD171" s="8"/>
      <c r="LE171" s="5" t="str">
        <f t="shared" si="575"/>
        <v>NO APLICA</v>
      </c>
      <c r="LF171" s="6"/>
      <c r="LG171" s="6"/>
      <c r="LH171" s="4"/>
      <c r="LI171" s="8"/>
      <c r="LJ171" s="5" t="str">
        <f t="shared" si="614"/>
        <v>NO APLICA</v>
      </c>
      <c r="LK171" s="5"/>
      <c r="LL171" s="5"/>
      <c r="LM171" s="4"/>
      <c r="LN171" s="8"/>
      <c r="LO171" s="5" t="str">
        <f t="shared" si="580"/>
        <v>NO APLICA</v>
      </c>
      <c r="LP171" s="2"/>
      <c r="LQ171" s="6"/>
      <c r="LR171" s="4"/>
      <c r="LS171" s="8"/>
      <c r="LT171" s="5" t="str">
        <f t="shared" si="576"/>
        <v>NO APLICA</v>
      </c>
      <c r="LU171" s="6"/>
      <c r="LV171" s="6"/>
      <c r="LW171" s="4"/>
      <c r="LX171" s="8"/>
      <c r="LY171" s="5" t="str">
        <f t="shared" si="577"/>
        <v>NO APLICA</v>
      </c>
      <c r="LZ171" s="6"/>
      <c r="MA171" s="6"/>
      <c r="MB171" s="4"/>
      <c r="MC171" s="8"/>
      <c r="MD171" s="5" t="str">
        <f t="shared" si="578"/>
        <v>NO APLICA</v>
      </c>
      <c r="ME171" s="2"/>
      <c r="MF171" s="2"/>
      <c r="MG171" s="4"/>
      <c r="MH171" s="8"/>
      <c r="MI171" s="5" t="str">
        <f t="shared" si="551"/>
        <v>NO APLICA</v>
      </c>
      <c r="MJ171" s="2"/>
      <c r="MK171" s="2"/>
      <c r="ML171" s="4"/>
      <c r="MM171" s="8"/>
      <c r="MN171" s="5" t="str">
        <f t="shared" si="552"/>
        <v>NO APLICA</v>
      </c>
      <c r="MO171" s="5"/>
      <c r="MP171" s="2"/>
      <c r="MQ171" s="4"/>
      <c r="MR171" s="8"/>
      <c r="MS171" s="5" t="str">
        <f t="shared" si="553"/>
        <v>NO APLICA</v>
      </c>
      <c r="MT171" s="5"/>
      <c r="MU171" s="2"/>
      <c r="MV171" s="4"/>
      <c r="MW171" s="2"/>
      <c r="MX171" s="5" t="str">
        <f t="shared" si="554"/>
        <v>NO APLICA</v>
      </c>
      <c r="MY171" s="2"/>
      <c r="MZ171" s="6"/>
      <c r="NA171" s="4"/>
      <c r="NB171" s="8"/>
      <c r="NC171" s="5" t="str">
        <f t="shared" si="555"/>
        <v>NO APLICA</v>
      </c>
      <c r="ND171" s="2"/>
      <c r="NE171" s="6"/>
      <c r="NF171" s="4"/>
      <c r="NG171" s="8"/>
      <c r="NH171" s="5" t="str">
        <f t="shared" si="556"/>
        <v>NO APLICA</v>
      </c>
      <c r="NI171" s="2"/>
      <c r="NJ171" s="6"/>
      <c r="NK171" s="4"/>
      <c r="NL171" s="8"/>
      <c r="NM171" s="5" t="str">
        <f t="shared" si="557"/>
        <v>NO APLICA</v>
      </c>
      <c r="NN171" s="2"/>
      <c r="NO171" s="2"/>
      <c r="NP171" s="4"/>
      <c r="NQ171" s="8"/>
      <c r="NR171" s="5" t="str">
        <f t="shared" si="558"/>
        <v>NO APLICA</v>
      </c>
      <c r="NS171" s="2"/>
      <c r="NT171" s="2"/>
      <c r="NU171" s="4"/>
      <c r="NV171" s="2"/>
      <c r="NW171" s="5" t="str">
        <f t="shared" si="559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60"/>
        <v>VENCIDA</v>
      </c>
      <c r="OC171" s="6"/>
      <c r="OD171" s="6"/>
      <c r="OE171" s="6"/>
      <c r="OF171" s="6"/>
      <c r="OG171" s="5" t="str">
        <f t="shared" si="561"/>
        <v>NO APLICA</v>
      </c>
      <c r="OH171" s="2"/>
      <c r="OI171" s="2"/>
      <c r="OJ171" s="4"/>
      <c r="OK171" s="8"/>
      <c r="OL171" s="5" t="str">
        <f t="shared" si="562"/>
        <v>NO APLICA</v>
      </c>
      <c r="OM171" s="6"/>
      <c r="ON171" s="6"/>
      <c r="OO171" s="6"/>
      <c r="OP171" s="6"/>
      <c r="OQ171" s="5" t="str">
        <f t="shared" si="563"/>
        <v>NO APLICA</v>
      </c>
      <c r="OR171" s="6"/>
      <c r="OS171" s="6"/>
      <c r="OT171" s="6"/>
      <c r="OU171" s="6"/>
      <c r="OV171" s="5" t="str">
        <f t="shared" si="564"/>
        <v>NO APLICA</v>
      </c>
      <c r="OW171" s="6"/>
      <c r="OX171" s="6"/>
      <c r="OY171" s="6"/>
      <c r="OZ171" s="6"/>
      <c r="PA171" s="5" t="str">
        <f t="shared" si="565"/>
        <v>NO APLICA</v>
      </c>
      <c r="PB171" s="6"/>
      <c r="PC171" s="6"/>
      <c r="PD171" s="6"/>
      <c r="PE171" s="6"/>
      <c r="PF171" s="5" t="str">
        <f t="shared" si="566"/>
        <v>NO APLICA</v>
      </c>
      <c r="PG171" s="6"/>
      <c r="PH171" s="6"/>
      <c r="PI171" s="6"/>
      <c r="PJ171" s="6"/>
      <c r="PK171" s="5" t="str">
        <f t="shared" si="567"/>
        <v>NO APLICA</v>
      </c>
      <c r="PL171" s="5"/>
      <c r="PM171" s="6"/>
      <c r="PN171" s="4"/>
      <c r="PO171" s="8"/>
      <c r="PP171" s="5" t="str">
        <f t="shared" si="568"/>
        <v>NO APLICA</v>
      </c>
      <c r="PQ171" s="6"/>
      <c r="PR171" s="6"/>
      <c r="PS171" s="6"/>
      <c r="PT171" s="6"/>
      <c r="PU171" s="5" t="str">
        <f t="shared" si="569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70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554</v>
      </c>
      <c r="D172" s="30" t="s">
        <v>115</v>
      </c>
      <c r="E172" s="31" t="s">
        <v>177</v>
      </c>
      <c r="F172" s="5"/>
      <c r="G172" s="6"/>
      <c r="H172" s="4"/>
      <c r="I172" s="8"/>
      <c r="J172" s="5" t="str">
        <f t="shared" si="464"/>
        <v>NO APLICA</v>
      </c>
      <c r="K172" s="5"/>
      <c r="L172" s="6"/>
      <c r="M172" s="6"/>
      <c r="N172" s="8"/>
      <c r="O172" s="5" t="str">
        <f t="shared" si="465"/>
        <v>NO APLICA</v>
      </c>
      <c r="P172" s="6"/>
      <c r="Q172" s="6"/>
      <c r="R172" s="4"/>
      <c r="S172" s="8"/>
      <c r="T172" s="5" t="str">
        <f t="shared" si="571"/>
        <v>NO APLICA</v>
      </c>
      <c r="U172" s="5"/>
      <c r="V172" s="2" t="s">
        <v>555</v>
      </c>
      <c r="W172" s="4">
        <v>44944</v>
      </c>
      <c r="X172" s="4">
        <f t="shared" si="601"/>
        <v>46770</v>
      </c>
      <c r="Y172" s="8">
        <f t="shared" ca="1" si="602"/>
        <v>635</v>
      </c>
      <c r="Z172" s="5" t="str">
        <f t="shared" ca="1" si="421"/>
        <v>VIGENTE</v>
      </c>
      <c r="AA172" s="5"/>
      <c r="AB172" s="2"/>
      <c r="AC172" s="6"/>
      <c r="AD172" s="4"/>
      <c r="AE172" s="8"/>
      <c r="AF172" s="5" t="str">
        <f t="shared" si="46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67"/>
        <v>487</v>
      </c>
      <c r="AK172" s="5" t="str">
        <f t="shared" ref="AK172:AK230" ca="1" si="616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68"/>
        <v>575</v>
      </c>
      <c r="AP172" s="5" t="str">
        <f t="shared" ca="1" si="46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0"/>
        <v>584</v>
      </c>
      <c r="AU172" s="5" t="str">
        <f t="shared" ca="1" si="47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2"/>
        <v>570</v>
      </c>
      <c r="AZ172" s="5" t="str">
        <f t="shared" ca="1" si="47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4"/>
        <v>538</v>
      </c>
      <c r="BE172" s="5" t="str">
        <f t="shared" ca="1" si="47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6"/>
        <v>592</v>
      </c>
      <c r="BJ172" s="5" t="str">
        <f t="shared" ca="1" si="47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78"/>
        <v>571</v>
      </c>
      <c r="BO172" s="5" t="str">
        <f t="shared" ca="1" si="47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0"/>
        <v>583</v>
      </c>
      <c r="BT172" s="5" t="str">
        <f t="shared" ca="1" si="48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2"/>
        <v>555</v>
      </c>
      <c r="BY172" s="5" t="str">
        <f t="shared" ca="1" si="48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4"/>
        <v>539</v>
      </c>
      <c r="CD172" s="5" t="str">
        <f t="shared" ca="1" si="485"/>
        <v>VIGENTE</v>
      </c>
      <c r="CE172" s="6" t="s">
        <v>68</v>
      </c>
      <c r="CF172" s="4">
        <v>45828</v>
      </c>
      <c r="CG172" s="4">
        <f t="shared" si="604"/>
        <v>47289</v>
      </c>
      <c r="CH172" s="8">
        <f t="shared" ca="1" si="605"/>
        <v>1154</v>
      </c>
      <c r="CI172" s="5" t="str">
        <f t="shared" ca="1" si="587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6"/>
        <v>524</v>
      </c>
      <c r="CN172" s="5" t="str">
        <f t="shared" ca="1" si="48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88"/>
        <v>589</v>
      </c>
      <c r="CS172" s="5" t="str">
        <f t="shared" ca="1" si="48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0"/>
        <v>560</v>
      </c>
      <c r="CX172" s="5" t="str">
        <f t="shared" ca="1" si="49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2"/>
        <v>519</v>
      </c>
      <c r="DC172" s="5" t="str">
        <f t="shared" ca="1" si="49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4"/>
        <v>591</v>
      </c>
      <c r="DH172" s="5" t="str">
        <f t="shared" ca="1" si="49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6"/>
        <v>494</v>
      </c>
      <c r="DM172" s="5" t="str">
        <f t="shared" ca="1" si="49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98"/>
        <v>577</v>
      </c>
      <c r="DR172" s="5" t="str">
        <f t="shared" ca="1" si="49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0"/>
        <v>480</v>
      </c>
      <c r="DW172" s="5" t="str">
        <f t="shared" ca="1" si="50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2"/>
        <v>510</v>
      </c>
      <c r="EB172" s="5" t="str">
        <f t="shared" ca="1" si="50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4"/>
        <v>508</v>
      </c>
      <c r="EG172" s="5" t="str">
        <f t="shared" ca="1" si="505"/>
        <v>VIGENTE</v>
      </c>
      <c r="EH172" s="3"/>
      <c r="EI172" s="3">
        <v>45911</v>
      </c>
      <c r="EJ172" s="4">
        <f t="shared" si="572"/>
        <v>46276</v>
      </c>
      <c r="EK172" s="8">
        <f t="shared" ca="1" si="506"/>
        <v>141</v>
      </c>
      <c r="EL172" s="5" t="str">
        <f t="shared" ca="1" si="50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08"/>
        <v>435</v>
      </c>
      <c r="EQ172" s="5" t="str">
        <f t="shared" ca="1" si="50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0"/>
        <v>517</v>
      </c>
      <c r="EV172" s="5" t="str">
        <f t="shared" ca="1" si="51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2"/>
        <v>512</v>
      </c>
      <c r="FA172" s="5" t="str">
        <f t="shared" ca="1" si="51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4"/>
        <v>526</v>
      </c>
      <c r="FF172" s="5" t="str">
        <f t="shared" ca="1" si="51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6"/>
        <v>527</v>
      </c>
      <c r="FK172" s="5" t="str">
        <f t="shared" ca="1" si="51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18"/>
        <v>528</v>
      </c>
      <c r="FP172" s="5" t="str">
        <f t="shared" ca="1" si="51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0"/>
        <v>552</v>
      </c>
      <c r="FU172" s="5" t="str">
        <f t="shared" ca="1" si="52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2"/>
        <v>536</v>
      </c>
      <c r="FZ172" s="5" t="str">
        <f t="shared" ca="1" si="52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4"/>
        <v>469</v>
      </c>
      <c r="GE172" s="5" t="str">
        <f t="shared" ca="1" si="52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6"/>
        <v>507</v>
      </c>
      <c r="GJ172" s="5" t="str">
        <f t="shared" ca="1" si="52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28"/>
        <v>540</v>
      </c>
      <c r="GO172" s="5" t="str">
        <f t="shared" ca="1" si="529"/>
        <v>VIGENTE</v>
      </c>
      <c r="GP172" s="4"/>
      <c r="GQ172" s="4">
        <v>45299</v>
      </c>
      <c r="GR172" s="4">
        <f t="shared" si="530"/>
        <v>47126</v>
      </c>
      <c r="GS172" s="8">
        <f t="shared" ca="1" si="615"/>
        <v>991</v>
      </c>
      <c r="GT172" s="5" t="str">
        <f t="shared" ca="1" si="428"/>
        <v>VIGENTE</v>
      </c>
      <c r="GU172" s="3"/>
      <c r="GV172" s="4">
        <v>45329</v>
      </c>
      <c r="GW172" s="4">
        <f t="shared" si="531"/>
        <v>47156</v>
      </c>
      <c r="GX172" s="8">
        <f t="shared" ca="1" si="532"/>
        <v>1021</v>
      </c>
      <c r="GY172" s="5" t="str">
        <f t="shared" ca="1" si="435"/>
        <v>VIGENTE</v>
      </c>
      <c r="GZ172" s="2"/>
      <c r="HA172" s="4">
        <v>45268</v>
      </c>
      <c r="HB172" s="4">
        <f t="shared" si="533"/>
        <v>47095</v>
      </c>
      <c r="HC172" s="8">
        <f t="shared" ca="1" si="534"/>
        <v>960</v>
      </c>
      <c r="HD172" s="5" t="str">
        <f t="shared" ca="1" si="430"/>
        <v>VIGENTE</v>
      </c>
      <c r="HE172" s="6"/>
      <c r="HF172" s="6"/>
      <c r="HG172" s="4"/>
      <c r="HH172" s="8"/>
      <c r="HI172" s="5" t="str">
        <f t="shared" si="436"/>
        <v>NO APLICA</v>
      </c>
      <c r="HJ172" s="2"/>
      <c r="HK172" s="6"/>
      <c r="HL172" s="4"/>
      <c r="HM172" s="8"/>
      <c r="HN172" s="5" t="str">
        <f t="shared" si="453"/>
        <v>NO APLICA</v>
      </c>
      <c r="HO172" s="2"/>
      <c r="HP172" s="2"/>
      <c r="HQ172" s="4"/>
      <c r="HR172" s="2"/>
      <c r="HS172" s="5" t="str">
        <f t="shared" si="535"/>
        <v>NO APLICA</v>
      </c>
      <c r="HT172" s="2"/>
      <c r="HU172" s="6"/>
      <c r="HV172" s="4"/>
      <c r="HW172" s="8"/>
      <c r="HX172" s="5" t="str">
        <f t="shared" si="536"/>
        <v>NO APLICA</v>
      </c>
      <c r="HY172" s="2"/>
      <c r="HZ172" s="6"/>
      <c r="IA172" s="4"/>
      <c r="IB172" s="8"/>
      <c r="IC172" s="5" t="str">
        <f t="shared" si="537"/>
        <v>NO APLICA</v>
      </c>
      <c r="ID172" s="2"/>
      <c r="IE172" s="6"/>
      <c r="IF172" s="4"/>
      <c r="IG172" s="8"/>
      <c r="IH172" s="5" t="str">
        <f t="shared" si="538"/>
        <v>NO APLICA</v>
      </c>
      <c r="II172" s="6"/>
      <c r="IJ172" s="6"/>
      <c r="IK172" s="4"/>
      <c r="IL172" s="8"/>
      <c r="IM172" s="5" t="str">
        <f t="shared" si="539"/>
        <v>NO APLICA</v>
      </c>
      <c r="IN172" s="2"/>
      <c r="IO172" s="6"/>
      <c r="IP172" s="4"/>
      <c r="IQ172" s="8"/>
      <c r="IR172" s="5" t="str">
        <f t="shared" si="540"/>
        <v>NO APLICA</v>
      </c>
      <c r="IS172" s="2"/>
      <c r="IT172" s="6"/>
      <c r="IU172" s="4"/>
      <c r="IV172" s="8"/>
      <c r="IW172" s="5" t="str">
        <f t="shared" si="541"/>
        <v>NO APLICA</v>
      </c>
      <c r="IX172" s="2"/>
      <c r="IY172" s="6"/>
      <c r="IZ172" s="4"/>
      <c r="JA172" s="8"/>
      <c r="JB172" s="5" t="str">
        <f t="shared" si="542"/>
        <v>NO APLICA</v>
      </c>
      <c r="JC172" s="3"/>
      <c r="JD172" s="3"/>
      <c r="JE172" s="4"/>
      <c r="JF172" s="8"/>
      <c r="JG172" s="5" t="str">
        <f t="shared" si="543"/>
        <v>NO APLICA</v>
      </c>
      <c r="JH172" s="6"/>
      <c r="JI172" s="6"/>
      <c r="JJ172" s="6"/>
      <c r="JK172" s="6"/>
      <c r="JL172" s="5" t="str">
        <f t="shared" si="544"/>
        <v>NO APLICA</v>
      </c>
      <c r="JM172" s="6"/>
      <c r="JN172" s="6"/>
      <c r="JO172" s="6"/>
      <c r="JP172" s="6"/>
      <c r="JQ172" s="5" t="str">
        <f t="shared" si="545"/>
        <v>NO APLICA</v>
      </c>
      <c r="JR172" s="6"/>
      <c r="JS172" s="6"/>
      <c r="JT172" s="6"/>
      <c r="JU172" s="6"/>
      <c r="JV172" s="5" t="str">
        <f t="shared" si="546"/>
        <v>NO APLICA</v>
      </c>
      <c r="JW172" s="5"/>
      <c r="JX172" s="3"/>
      <c r="JY172" s="4"/>
      <c r="JZ172" s="8"/>
      <c r="KA172" s="5" t="str">
        <f t="shared" si="547"/>
        <v>NO APLICA</v>
      </c>
      <c r="KB172" s="5"/>
      <c r="KC172" s="2"/>
      <c r="KD172" s="4"/>
      <c r="KE172" s="8"/>
      <c r="KF172" s="5" t="str">
        <f t="shared" si="548"/>
        <v>NO APLICA</v>
      </c>
      <c r="KG172" s="5"/>
      <c r="KH172" s="2"/>
      <c r="KI172" s="4"/>
      <c r="KJ172" s="8"/>
      <c r="KK172" s="5" t="str">
        <f t="shared" si="573"/>
        <v>NO APLICA</v>
      </c>
      <c r="KL172" s="5"/>
      <c r="KM172" s="2"/>
      <c r="KN172" s="4"/>
      <c r="KO172" s="8"/>
      <c r="KP172" s="5" t="str">
        <f t="shared" si="549"/>
        <v>NO APLICA</v>
      </c>
      <c r="KQ172" s="5"/>
      <c r="KR172" s="2"/>
      <c r="KS172" s="4"/>
      <c r="KT172" s="8"/>
      <c r="KU172" s="5" t="str">
        <f t="shared" si="574"/>
        <v>NO APLICA</v>
      </c>
      <c r="KV172" s="2"/>
      <c r="KW172" s="6"/>
      <c r="KX172" s="4"/>
      <c r="KY172" s="8"/>
      <c r="KZ172" s="5" t="str">
        <f t="shared" si="579"/>
        <v>NO APLICA</v>
      </c>
      <c r="LA172" s="5"/>
      <c r="LB172" s="6"/>
      <c r="LC172" s="4"/>
      <c r="LD172" s="8"/>
      <c r="LE172" s="5" t="str">
        <f t="shared" si="575"/>
        <v>NO APLICA</v>
      </c>
      <c r="LF172" s="6"/>
      <c r="LG172" s="6"/>
      <c r="LH172" s="4"/>
      <c r="LI172" s="8"/>
      <c r="LJ172" s="5" t="str">
        <f t="shared" si="614"/>
        <v>NO APLICA</v>
      </c>
      <c r="LK172" s="5"/>
      <c r="LL172" s="5"/>
      <c r="LM172" s="4"/>
      <c r="LN172" s="8"/>
      <c r="LO172" s="5" t="str">
        <f t="shared" si="580"/>
        <v>NO APLICA</v>
      </c>
      <c r="LP172" s="2"/>
      <c r="LQ172" s="6"/>
      <c r="LR172" s="4"/>
      <c r="LS172" s="8"/>
      <c r="LT172" s="5" t="str">
        <f t="shared" si="576"/>
        <v>NO APLICA</v>
      </c>
      <c r="LU172" s="6"/>
      <c r="LV172" s="6"/>
      <c r="LW172" s="4"/>
      <c r="LX172" s="8"/>
      <c r="LY172" s="5" t="str">
        <f t="shared" si="577"/>
        <v>NO APLICA</v>
      </c>
      <c r="LZ172" s="6"/>
      <c r="MA172" s="6"/>
      <c r="MB172" s="4"/>
      <c r="MC172" s="8"/>
      <c r="MD172" s="5" t="str">
        <f t="shared" si="578"/>
        <v>NO APLICA</v>
      </c>
      <c r="ME172" s="2"/>
      <c r="MF172" s="2"/>
      <c r="MG172" s="4"/>
      <c r="MH172" s="8"/>
      <c r="MI172" s="5" t="str">
        <f t="shared" si="551"/>
        <v>NO APLICA</v>
      </c>
      <c r="MJ172" s="2"/>
      <c r="MK172" s="2"/>
      <c r="ML172" s="4"/>
      <c r="MM172" s="8"/>
      <c r="MN172" s="5" t="str">
        <f t="shared" si="552"/>
        <v>NO APLICA</v>
      </c>
      <c r="MO172" s="5"/>
      <c r="MP172" s="2"/>
      <c r="MQ172" s="4"/>
      <c r="MR172" s="8"/>
      <c r="MS172" s="5" t="str">
        <f t="shared" si="553"/>
        <v>NO APLICA</v>
      </c>
      <c r="MT172" s="5"/>
      <c r="MU172" s="2"/>
      <c r="MV172" s="4"/>
      <c r="MW172" s="2"/>
      <c r="MX172" s="5" t="str">
        <f t="shared" si="554"/>
        <v>NO APLICA</v>
      </c>
      <c r="MY172" s="2"/>
      <c r="MZ172" s="6"/>
      <c r="NA172" s="4"/>
      <c r="NB172" s="8"/>
      <c r="NC172" s="5" t="str">
        <f t="shared" si="555"/>
        <v>NO APLICA</v>
      </c>
      <c r="ND172" s="2"/>
      <c r="NE172" s="6"/>
      <c r="NF172" s="4"/>
      <c r="NG172" s="8"/>
      <c r="NH172" s="5" t="str">
        <f t="shared" si="556"/>
        <v>NO APLICA</v>
      </c>
      <c r="NI172" s="2"/>
      <c r="NJ172" s="6"/>
      <c r="NK172" s="4"/>
      <c r="NL172" s="8"/>
      <c r="NM172" s="5" t="str">
        <f t="shared" si="557"/>
        <v>NO APLICA</v>
      </c>
      <c r="NN172" s="2"/>
      <c r="NO172" s="2"/>
      <c r="NP172" s="4"/>
      <c r="NQ172" s="8"/>
      <c r="NR172" s="5" t="str">
        <f t="shared" si="558"/>
        <v>NO APLICA</v>
      </c>
      <c r="NS172" s="2"/>
      <c r="NT172" s="2"/>
      <c r="NU172" s="4"/>
      <c r="NV172" s="2"/>
      <c r="NW172" s="5" t="str">
        <f t="shared" si="559"/>
        <v>NO APLICA</v>
      </c>
      <c r="NX172" s="6"/>
      <c r="NY172" s="6"/>
      <c r="NZ172" s="4"/>
      <c r="OA172" s="8"/>
      <c r="OB172" s="5" t="str">
        <f t="shared" si="560"/>
        <v>NO APLICA</v>
      </c>
      <c r="OC172" s="6"/>
      <c r="OD172" s="6"/>
      <c r="OE172" s="6"/>
      <c r="OF172" s="6"/>
      <c r="OG172" s="5" t="str">
        <f t="shared" si="561"/>
        <v>NO APLICA</v>
      </c>
      <c r="OH172" s="2"/>
      <c r="OI172" s="2"/>
      <c r="OJ172" s="4"/>
      <c r="OK172" s="8"/>
      <c r="OL172" s="5" t="str">
        <f t="shared" si="562"/>
        <v>NO APLICA</v>
      </c>
      <c r="OM172" s="6"/>
      <c r="ON172" s="6"/>
      <c r="OO172" s="6"/>
      <c r="OP172" s="6"/>
      <c r="OQ172" s="5" t="str">
        <f t="shared" si="563"/>
        <v>NO APLICA</v>
      </c>
      <c r="OR172" s="6"/>
      <c r="OS172" s="6"/>
      <c r="OT172" s="6"/>
      <c r="OU172" s="6"/>
      <c r="OV172" s="5" t="str">
        <f t="shared" si="564"/>
        <v>NO APLICA</v>
      </c>
      <c r="OW172" s="6"/>
      <c r="OX172" s="6"/>
      <c r="OY172" s="6"/>
      <c r="OZ172" s="6"/>
      <c r="PA172" s="5" t="str">
        <f t="shared" si="565"/>
        <v>NO APLICA</v>
      </c>
      <c r="PB172" s="6"/>
      <c r="PC172" s="6"/>
      <c r="PD172" s="6"/>
      <c r="PE172" s="6"/>
      <c r="PF172" s="5" t="str">
        <f t="shared" si="566"/>
        <v>NO APLICA</v>
      </c>
      <c r="PG172" s="6"/>
      <c r="PH172" s="6"/>
      <c r="PI172" s="6"/>
      <c r="PJ172" s="6"/>
      <c r="PK172" s="5" t="str">
        <f t="shared" si="567"/>
        <v>NO APLICA</v>
      </c>
      <c r="PL172" s="5"/>
      <c r="PM172" s="6"/>
      <c r="PN172" s="4"/>
      <c r="PO172" s="8"/>
      <c r="PP172" s="5" t="str">
        <f t="shared" si="568"/>
        <v>NO APLICA</v>
      </c>
      <c r="PQ172" s="6"/>
      <c r="PR172" s="6"/>
      <c r="PS172" s="6"/>
      <c r="PT172" s="6"/>
      <c r="PU172" s="5" t="str">
        <f t="shared" si="569"/>
        <v>NO APLICA</v>
      </c>
      <c r="PV172" s="5"/>
      <c r="PW172" s="6"/>
      <c r="PX172" s="6"/>
      <c r="PY172" s="6"/>
      <c r="PZ172" s="5" t="str">
        <f t="shared" si="570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556</v>
      </c>
      <c r="D173" s="30" t="s">
        <v>64</v>
      </c>
      <c r="E173" s="31" t="s">
        <v>164</v>
      </c>
      <c r="F173" s="5"/>
      <c r="G173" s="6"/>
      <c r="H173" s="4"/>
      <c r="I173" s="8"/>
      <c r="J173" s="5" t="str">
        <f t="shared" si="46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6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71"/>
        <v>VIGENTE</v>
      </c>
      <c r="U173" s="5"/>
      <c r="V173" s="2" t="s">
        <v>557</v>
      </c>
      <c r="W173" s="4">
        <v>45078</v>
      </c>
      <c r="X173" s="4">
        <f t="shared" si="601"/>
        <v>46905</v>
      </c>
      <c r="Y173" s="8">
        <f t="shared" ca="1" si="602"/>
        <v>770</v>
      </c>
      <c r="Z173" s="5" t="str">
        <f t="shared" ca="1" si="421"/>
        <v>VIGENTE</v>
      </c>
      <c r="AA173" s="5"/>
      <c r="AB173" s="2" t="s">
        <v>558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6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67"/>
        <v>531</v>
      </c>
      <c r="AK173" s="5" t="str">
        <f t="shared" ca="1" si="616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68"/>
        <v>532</v>
      </c>
      <c r="AP173" s="5" t="str">
        <f t="shared" ca="1" si="46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0"/>
        <v>584</v>
      </c>
      <c r="AU173" s="5" t="str">
        <f t="shared" ca="1" si="47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2"/>
        <v>567</v>
      </c>
      <c r="AZ173" s="5" t="str">
        <f t="shared" ca="1" si="47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4"/>
        <v>636</v>
      </c>
      <c r="BE173" s="5" t="str">
        <f t="shared" ca="1" si="47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6"/>
        <v>622</v>
      </c>
      <c r="BJ173" s="5" t="str">
        <f t="shared" ca="1" si="47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78"/>
        <v>630</v>
      </c>
      <c r="BO173" s="5" t="str">
        <f t="shared" ca="1" si="47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0"/>
        <v>645</v>
      </c>
      <c r="BT173" s="5" t="str">
        <f t="shared" ca="1" si="48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2"/>
        <v>658</v>
      </c>
      <c r="BY173" s="5" t="str">
        <f t="shared" ca="1" si="48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4"/>
        <v>539</v>
      </c>
      <c r="CD173" s="5" t="str">
        <f t="shared" ca="1" si="485"/>
        <v>VIGENTE</v>
      </c>
      <c r="CE173" s="6" t="s">
        <v>73</v>
      </c>
      <c r="CF173" s="4">
        <v>45393</v>
      </c>
      <c r="CG173" s="4">
        <f t="shared" si="604"/>
        <v>46854</v>
      </c>
      <c r="CH173" s="8">
        <f t="shared" ca="1" si="605"/>
        <v>719</v>
      </c>
      <c r="CI173" s="5" t="str">
        <f t="shared" ca="1" si="587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6"/>
        <v>318</v>
      </c>
      <c r="CN173" s="5" t="str">
        <f t="shared" ca="1" si="48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88"/>
        <v>320</v>
      </c>
      <c r="CS173" s="5" t="str">
        <f t="shared" ca="1" si="48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0"/>
        <v>500</v>
      </c>
      <c r="CX173" s="5" t="str">
        <f t="shared" ca="1" si="49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2"/>
        <v>595</v>
      </c>
      <c r="DC173" s="5" t="str">
        <f t="shared" ca="1" si="49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4"/>
        <v>283</v>
      </c>
      <c r="DH173" s="5" t="str">
        <f t="shared" ca="1" si="49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6"/>
        <v>570</v>
      </c>
      <c r="DM173" s="5" t="str">
        <f t="shared" ca="1" si="49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98"/>
        <v>577</v>
      </c>
      <c r="DR173" s="5" t="str">
        <f t="shared" ca="1" si="49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0"/>
        <v>648</v>
      </c>
      <c r="DW173" s="5" t="str">
        <f t="shared" ca="1" si="50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2"/>
        <v>276</v>
      </c>
      <c r="EB173" s="5" t="str">
        <f t="shared" ca="1" si="50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4"/>
        <v>324</v>
      </c>
      <c r="EG173" s="5" t="str">
        <f t="shared" ca="1" si="505"/>
        <v>VIGENTE</v>
      </c>
      <c r="EH173" s="3"/>
      <c r="EI173" s="3">
        <v>46015</v>
      </c>
      <c r="EJ173" s="4">
        <f t="shared" si="572"/>
        <v>46380</v>
      </c>
      <c r="EK173" s="8">
        <f t="shared" ca="1" si="506"/>
        <v>245</v>
      </c>
      <c r="EL173" s="5" t="str">
        <f t="shared" ca="1" si="50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08"/>
        <v>265</v>
      </c>
      <c r="EQ173" s="5" t="str">
        <f t="shared" ca="1" si="50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0"/>
        <v>690</v>
      </c>
      <c r="EV173" s="5" t="str">
        <f t="shared" ca="1" si="51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2"/>
        <v>512</v>
      </c>
      <c r="FA173" s="5" t="str">
        <f t="shared" ca="1" si="51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4"/>
        <v>526</v>
      </c>
      <c r="FF173" s="5" t="str">
        <f t="shared" ca="1" si="51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6"/>
        <v>514</v>
      </c>
      <c r="FK173" s="5" t="str">
        <f t="shared" ca="1" si="51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18"/>
        <v>313</v>
      </c>
      <c r="FP173" s="5" t="str">
        <f t="shared" ca="1" si="51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0"/>
        <v>272</v>
      </c>
      <c r="FU173" s="5" t="str">
        <f t="shared" ca="1" si="52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2"/>
        <v>556</v>
      </c>
      <c r="FZ173" s="5" t="str">
        <f t="shared" ca="1" si="52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4"/>
        <v>625</v>
      </c>
      <c r="GE173" s="5" t="str">
        <f t="shared" ca="1" si="52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6"/>
        <v>325</v>
      </c>
      <c r="GJ173" s="5" t="str">
        <f t="shared" ca="1" si="52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28"/>
        <v>540</v>
      </c>
      <c r="GO173" s="5" t="str">
        <f t="shared" ca="1" si="529"/>
        <v>VIGENTE</v>
      </c>
      <c r="GP173" s="4"/>
      <c r="GQ173" s="4">
        <v>45459</v>
      </c>
      <c r="GR173" s="4">
        <f t="shared" si="530"/>
        <v>47285</v>
      </c>
      <c r="GS173" s="8">
        <f t="shared" ca="1" si="615"/>
        <v>1150</v>
      </c>
      <c r="GT173" s="5" t="str">
        <f t="shared" ca="1" si="428"/>
        <v>VIGENTE</v>
      </c>
      <c r="GU173" s="3"/>
      <c r="GV173" s="4">
        <v>45478</v>
      </c>
      <c r="GW173" s="4">
        <f t="shared" si="531"/>
        <v>47304</v>
      </c>
      <c r="GX173" s="8">
        <f t="shared" ca="1" si="532"/>
        <v>1169</v>
      </c>
      <c r="GY173" s="5" t="str">
        <f t="shared" ca="1" si="435"/>
        <v>VIGENTE</v>
      </c>
      <c r="GZ173" s="3"/>
      <c r="HA173" s="4">
        <v>45454</v>
      </c>
      <c r="HB173" s="4">
        <f t="shared" si="533"/>
        <v>47280</v>
      </c>
      <c r="HC173" s="8">
        <f t="shared" ca="1" si="534"/>
        <v>1145</v>
      </c>
      <c r="HD173" s="5" t="str">
        <f t="shared" ca="1" si="430"/>
        <v>VIGENTE</v>
      </c>
      <c r="HE173" s="6"/>
      <c r="HF173" s="4">
        <v>45496</v>
      </c>
      <c r="HG173" s="4">
        <f t="shared" ref="HG173:HG178" si="617">DATE(YEAR(HF173)+5,MONTH(HF173),DAY(HF173))</f>
        <v>47322</v>
      </c>
      <c r="HH173" s="8">
        <f t="shared" ref="HH173:HH178" ca="1" si="618">HG173-TODAY()</f>
        <v>1187</v>
      </c>
      <c r="HI173" s="5" t="str">
        <f t="shared" ca="1" si="436"/>
        <v>VIGENTE</v>
      </c>
      <c r="HJ173" s="2"/>
      <c r="HK173" s="6"/>
      <c r="HL173" s="4"/>
      <c r="HM173" s="8"/>
      <c r="HN173" s="5" t="str">
        <f t="shared" si="453"/>
        <v>NO APLICA</v>
      </c>
      <c r="HO173" s="2"/>
      <c r="HP173" s="2"/>
      <c r="HQ173" s="4"/>
      <c r="HR173" s="2"/>
      <c r="HS173" s="5" t="str">
        <f t="shared" si="535"/>
        <v>NO APLICA</v>
      </c>
      <c r="HT173" s="2"/>
      <c r="HU173" s="6"/>
      <c r="HV173" s="4"/>
      <c r="HW173" s="8"/>
      <c r="HX173" s="5" t="str">
        <f t="shared" si="536"/>
        <v>NO APLICA</v>
      </c>
      <c r="HY173" s="2"/>
      <c r="HZ173" s="6"/>
      <c r="IA173" s="4"/>
      <c r="IB173" s="8"/>
      <c r="IC173" s="5" t="str">
        <f t="shared" si="537"/>
        <v>NO APLICA</v>
      </c>
      <c r="ID173" s="2"/>
      <c r="IE173" s="6"/>
      <c r="IF173" s="4"/>
      <c r="IG173" s="8"/>
      <c r="IH173" s="5" t="str">
        <f t="shared" si="538"/>
        <v>NO APLICA</v>
      </c>
      <c r="II173" s="6"/>
      <c r="IJ173" s="6"/>
      <c r="IK173" s="4"/>
      <c r="IL173" s="8"/>
      <c r="IM173" s="5" t="str">
        <f t="shared" si="539"/>
        <v>NO APLICA</v>
      </c>
      <c r="IN173" s="2"/>
      <c r="IO173" s="6"/>
      <c r="IP173" s="4"/>
      <c r="IQ173" s="8"/>
      <c r="IR173" s="5" t="str">
        <f t="shared" si="540"/>
        <v>NO APLICA</v>
      </c>
      <c r="IS173" s="2"/>
      <c r="IT173" s="6"/>
      <c r="IU173" s="4"/>
      <c r="IV173" s="8"/>
      <c r="IW173" s="5" t="str">
        <f t="shared" si="541"/>
        <v>NO APLICA</v>
      </c>
      <c r="IX173" s="2"/>
      <c r="IY173" s="6"/>
      <c r="IZ173" s="4"/>
      <c r="JA173" s="8"/>
      <c r="JB173" s="5" t="str">
        <f t="shared" si="542"/>
        <v>NO APLICA</v>
      </c>
      <c r="JC173" s="3"/>
      <c r="JD173" s="3"/>
      <c r="JE173" s="4"/>
      <c r="JF173" s="8"/>
      <c r="JG173" s="5" t="str">
        <f t="shared" si="543"/>
        <v>NO APLICA</v>
      </c>
      <c r="JH173" s="6"/>
      <c r="JI173" s="6"/>
      <c r="JJ173" s="6"/>
      <c r="JK173" s="6"/>
      <c r="JL173" s="5" t="str">
        <f t="shared" si="544"/>
        <v>NO APLICA</v>
      </c>
      <c r="JM173" s="6"/>
      <c r="JN173" s="6"/>
      <c r="JO173" s="6"/>
      <c r="JP173" s="6"/>
      <c r="JQ173" s="5" t="str">
        <f t="shared" si="545"/>
        <v>NO APLICA</v>
      </c>
      <c r="JR173" s="6"/>
      <c r="JS173" s="6"/>
      <c r="JT173" s="6"/>
      <c r="JU173" s="6"/>
      <c r="JV173" s="5" t="str">
        <f t="shared" si="546"/>
        <v>NO APLICA</v>
      </c>
      <c r="JW173" s="5"/>
      <c r="JX173" s="5"/>
      <c r="JY173" s="5"/>
      <c r="JZ173" s="5"/>
      <c r="KA173" s="5" t="str">
        <f t="shared" si="547"/>
        <v>NO APLICA</v>
      </c>
      <c r="KB173" s="5"/>
      <c r="KC173" s="2"/>
      <c r="KD173" s="4"/>
      <c r="KE173" s="8"/>
      <c r="KF173" s="5" t="str">
        <f t="shared" si="548"/>
        <v>NO APLICA</v>
      </c>
      <c r="KG173" s="5"/>
      <c r="KH173" s="2"/>
      <c r="KI173" s="4"/>
      <c r="KJ173" s="8"/>
      <c r="KK173" s="5" t="str">
        <f t="shared" si="573"/>
        <v>NO APLICA</v>
      </c>
      <c r="KL173" s="5"/>
      <c r="KM173" s="2"/>
      <c r="KN173" s="4"/>
      <c r="KO173" s="8"/>
      <c r="KP173" s="5" t="str">
        <f t="shared" si="549"/>
        <v>NO APLICA</v>
      </c>
      <c r="KQ173" s="5"/>
      <c r="KR173" s="2"/>
      <c r="KS173" s="4"/>
      <c r="KT173" s="8"/>
      <c r="KU173" s="5" t="str">
        <f t="shared" si="574"/>
        <v>NO APLICA</v>
      </c>
      <c r="KV173" s="2"/>
      <c r="KW173" s="6"/>
      <c r="KX173" s="4"/>
      <c r="KY173" s="8"/>
      <c r="KZ173" s="5" t="str">
        <f t="shared" si="579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75"/>
        <v>VIGENTE</v>
      </c>
      <c r="LF173" s="4"/>
      <c r="LG173" s="4"/>
      <c r="LH173" s="4"/>
      <c r="LI173" s="8"/>
      <c r="LJ173" s="5" t="str">
        <f t="shared" si="614"/>
        <v>NO APLICA</v>
      </c>
      <c r="LK173" s="5"/>
      <c r="LL173" s="5"/>
      <c r="LM173" s="4"/>
      <c r="LN173" s="8"/>
      <c r="LO173" s="5" t="str">
        <f t="shared" si="580"/>
        <v>NO APLICA</v>
      </c>
      <c r="LP173" s="2"/>
      <c r="LQ173" s="6"/>
      <c r="LR173" s="4"/>
      <c r="LS173" s="8"/>
      <c r="LT173" s="5" t="str">
        <f t="shared" si="576"/>
        <v>NO APLICA</v>
      </c>
      <c r="LU173" s="6"/>
      <c r="LV173" s="6"/>
      <c r="LW173" s="4"/>
      <c r="LX173" s="8"/>
      <c r="LY173" s="5" t="str">
        <f t="shared" si="577"/>
        <v>NO APLICA</v>
      </c>
      <c r="LZ173" s="6"/>
      <c r="MA173" s="6"/>
      <c r="MB173" s="4"/>
      <c r="MC173" s="8"/>
      <c r="MD173" s="5" t="str">
        <f t="shared" si="578"/>
        <v>NO APLICA</v>
      </c>
      <c r="ME173" s="2"/>
      <c r="MF173" s="2"/>
      <c r="MG173" s="4"/>
      <c r="MH173" s="8"/>
      <c r="MI173" s="5" t="str">
        <f t="shared" si="551"/>
        <v>NO APLICA</v>
      </c>
      <c r="MJ173" s="2"/>
      <c r="MK173" s="2"/>
      <c r="ML173" s="4"/>
      <c r="MM173" s="8"/>
      <c r="MN173" s="5" t="str">
        <f t="shared" si="552"/>
        <v>NO APLICA</v>
      </c>
      <c r="MO173" s="5"/>
      <c r="MP173" s="2"/>
      <c r="MQ173" s="4"/>
      <c r="MR173" s="8"/>
      <c r="MS173" s="5" t="str">
        <f t="shared" si="553"/>
        <v>NO APLICA</v>
      </c>
      <c r="MT173" s="5"/>
      <c r="MU173" s="2"/>
      <c r="MV173" s="4"/>
      <c r="MW173" s="2"/>
      <c r="MX173" s="5" t="str">
        <f t="shared" si="554"/>
        <v>NO APLICA</v>
      </c>
      <c r="MY173" s="2"/>
      <c r="MZ173" s="6"/>
      <c r="NA173" s="4"/>
      <c r="NB173" s="8"/>
      <c r="NC173" s="5" t="str">
        <f t="shared" si="555"/>
        <v>NO APLICA</v>
      </c>
      <c r="ND173" s="2"/>
      <c r="NE173" s="6"/>
      <c r="NF173" s="4"/>
      <c r="NG173" s="8"/>
      <c r="NH173" s="5" t="str">
        <f t="shared" si="556"/>
        <v>NO APLICA</v>
      </c>
      <c r="NI173" s="2"/>
      <c r="NJ173" s="6"/>
      <c r="NK173" s="4"/>
      <c r="NL173" s="8"/>
      <c r="NM173" s="5" t="str">
        <f t="shared" si="557"/>
        <v>NO APLICA</v>
      </c>
      <c r="NN173" s="2"/>
      <c r="NO173" s="2"/>
      <c r="NP173" s="4"/>
      <c r="NQ173" s="8"/>
      <c r="NR173" s="5" t="str">
        <f t="shared" si="558"/>
        <v>NO APLICA</v>
      </c>
      <c r="NS173" s="2"/>
      <c r="NT173" s="2"/>
      <c r="NU173" s="2"/>
      <c r="NV173" s="2"/>
      <c r="NW173" s="5" t="str">
        <f t="shared" si="559"/>
        <v>NO APLICA</v>
      </c>
      <c r="NX173" s="6"/>
      <c r="NY173" s="6"/>
      <c r="NZ173" s="4"/>
      <c r="OA173" s="8"/>
      <c r="OB173" s="5" t="str">
        <f t="shared" si="560"/>
        <v>NO APLICA</v>
      </c>
      <c r="OC173" s="6"/>
      <c r="OD173" s="6"/>
      <c r="OE173" s="6"/>
      <c r="OF173" s="6"/>
      <c r="OG173" s="5" t="str">
        <f t="shared" si="561"/>
        <v>NO APLICA</v>
      </c>
      <c r="OH173" s="2"/>
      <c r="OI173" s="2"/>
      <c r="OJ173" s="4"/>
      <c r="OK173" s="8"/>
      <c r="OL173" s="5" t="str">
        <f t="shared" si="562"/>
        <v>NO APLICA</v>
      </c>
      <c r="OM173" s="6"/>
      <c r="ON173" s="6"/>
      <c r="OO173" s="6"/>
      <c r="OP173" s="6"/>
      <c r="OQ173" s="5" t="str">
        <f t="shared" si="563"/>
        <v>NO APLICA</v>
      </c>
      <c r="OR173" s="6"/>
      <c r="OS173" s="6"/>
      <c r="OT173" s="6"/>
      <c r="OU173" s="6"/>
      <c r="OV173" s="5" t="str">
        <f t="shared" si="564"/>
        <v>NO APLICA</v>
      </c>
      <c r="OW173" s="6"/>
      <c r="OX173" s="6"/>
      <c r="OY173" s="6"/>
      <c r="OZ173" s="6"/>
      <c r="PA173" s="5" t="str">
        <f t="shared" si="565"/>
        <v>NO APLICA</v>
      </c>
      <c r="PB173" s="6"/>
      <c r="PC173" s="6"/>
      <c r="PD173" s="6"/>
      <c r="PE173" s="6"/>
      <c r="PF173" s="5" t="str">
        <f t="shared" si="566"/>
        <v>NO APLICA</v>
      </c>
      <c r="PG173" s="6"/>
      <c r="PH173" s="6"/>
      <c r="PI173" s="6"/>
      <c r="PJ173" s="6"/>
      <c r="PK173" s="5" t="str">
        <f t="shared" si="567"/>
        <v>NO APLICA</v>
      </c>
      <c r="PL173" s="5"/>
      <c r="PM173" s="6"/>
      <c r="PN173" s="4"/>
      <c r="PO173" s="8"/>
      <c r="PP173" s="5" t="str">
        <f t="shared" si="568"/>
        <v>NO APLICA</v>
      </c>
      <c r="PQ173" s="6"/>
      <c r="PR173" s="6"/>
      <c r="PS173" s="6"/>
      <c r="PT173" s="6"/>
      <c r="PU173" s="5" t="str">
        <f t="shared" si="569"/>
        <v>NO APLICA</v>
      </c>
      <c r="PV173" s="5"/>
      <c r="PW173" s="6"/>
      <c r="PX173" s="6"/>
      <c r="PY173" s="6"/>
      <c r="PZ173" s="5" t="str">
        <f t="shared" si="570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559</v>
      </c>
      <c r="D174" s="30" t="s">
        <v>69</v>
      </c>
      <c r="E174" s="31" t="s">
        <v>79</v>
      </c>
      <c r="F174" s="5"/>
      <c r="G174" s="6"/>
      <c r="H174" s="4"/>
      <c r="I174" s="8"/>
      <c r="J174" s="5" t="str">
        <f t="shared" si="464"/>
        <v>NO APLICA</v>
      </c>
      <c r="K174" s="5"/>
      <c r="L174" s="6"/>
      <c r="M174" s="6"/>
      <c r="N174" s="8"/>
      <c r="O174" s="5" t="str">
        <f t="shared" si="465"/>
        <v>NO APLICA</v>
      </c>
      <c r="P174" s="6"/>
      <c r="Q174" s="6"/>
      <c r="R174" s="4"/>
      <c r="S174" s="8"/>
      <c r="T174" s="5" t="str">
        <f t="shared" si="571"/>
        <v>NO APLICA</v>
      </c>
      <c r="U174" s="5"/>
      <c r="V174" s="2" t="s">
        <v>560</v>
      </c>
      <c r="W174" s="4">
        <v>44838</v>
      </c>
      <c r="X174" s="4">
        <f t="shared" si="601"/>
        <v>46664</v>
      </c>
      <c r="Y174" s="8">
        <f t="shared" ca="1" si="602"/>
        <v>529</v>
      </c>
      <c r="Z174" s="5" t="str">
        <f t="shared" ref="Z174:Z232" ca="1" si="619">IF(Y174&gt;=90,"VIGENTE",IF(Y174&gt;=1,"POR VENCER",IF(Y174&lt;=-1,"VENCIDA",IF(W174=0,"NO APLICA"))))</f>
        <v>VIGENTE</v>
      </c>
      <c r="AA174" s="5"/>
      <c r="AB174" s="2" t="s">
        <v>561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6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67"/>
        <v>188</v>
      </c>
      <c r="AK174" s="5" t="str">
        <f t="shared" ca="1" si="616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68"/>
        <v>521</v>
      </c>
      <c r="AP174" s="5" t="str">
        <f t="shared" ca="1" si="46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0"/>
        <v>440</v>
      </c>
      <c r="AU174" s="5" t="str">
        <f t="shared" ca="1" si="47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2"/>
        <v>570</v>
      </c>
      <c r="AZ174" s="5" t="str">
        <f t="shared" ca="1" si="47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4"/>
        <v>666</v>
      </c>
      <c r="BE174" s="5" t="str">
        <f t="shared" ca="1" si="47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6"/>
        <v>662</v>
      </c>
      <c r="BJ174" s="5" t="str">
        <f t="shared" ca="1" si="47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78"/>
        <v>643</v>
      </c>
      <c r="BO174" s="5" t="str">
        <f t="shared" ca="1" si="47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0"/>
        <v>664</v>
      </c>
      <c r="BT174" s="5" t="str">
        <f t="shared" ca="1" si="48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2"/>
        <v>658</v>
      </c>
      <c r="BY174" s="5" t="str">
        <f t="shared" ca="1" si="48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4"/>
        <v>569</v>
      </c>
      <c r="CD174" s="5" t="str">
        <f t="shared" ca="1" si="485"/>
        <v>VIGENTE</v>
      </c>
      <c r="CE174" s="6" t="s">
        <v>73</v>
      </c>
      <c r="CF174" s="4">
        <v>45227</v>
      </c>
      <c r="CG174" s="4">
        <f t="shared" si="604"/>
        <v>46688</v>
      </c>
      <c r="CH174" s="8">
        <f t="shared" ca="1" si="605"/>
        <v>553</v>
      </c>
      <c r="CI174" s="5" t="str">
        <f t="shared" ca="1" si="587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6"/>
        <v>105</v>
      </c>
      <c r="CN174" s="5" t="str">
        <f t="shared" ca="1" si="48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88"/>
        <v>111</v>
      </c>
      <c r="CS174" s="5" t="str">
        <f t="shared" ca="1" si="48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0"/>
        <v>239</v>
      </c>
      <c r="CX174" s="5" t="str">
        <f t="shared" ca="1" si="49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2"/>
        <v>259</v>
      </c>
      <c r="DC174" s="5" t="str">
        <f t="shared" ca="1" si="49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4"/>
        <v>283</v>
      </c>
      <c r="DH174" s="5" t="str">
        <f t="shared" ca="1" si="49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6"/>
        <v>290</v>
      </c>
      <c r="DM174" s="5" t="str">
        <f t="shared" ca="1" si="49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98"/>
        <v>577</v>
      </c>
      <c r="DR174" s="5" t="str">
        <f t="shared" ca="1" si="49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0"/>
        <v>648</v>
      </c>
      <c r="DW174" s="5" t="str">
        <f t="shared" ca="1" si="50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2"/>
        <v>276</v>
      </c>
      <c r="EB174" s="5" t="str">
        <f t="shared" ca="1" si="50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4"/>
        <v>268</v>
      </c>
      <c r="EG174" s="5" t="str">
        <f t="shared" ca="1" si="505"/>
        <v>VIGENTE</v>
      </c>
      <c r="EH174" s="3"/>
      <c r="EI174" s="4">
        <v>45808</v>
      </c>
      <c r="EJ174" s="4">
        <f t="shared" si="572"/>
        <v>46173</v>
      </c>
      <c r="EK174" s="8">
        <f t="shared" ca="1" si="506"/>
        <v>38</v>
      </c>
      <c r="EL174" s="5" t="str">
        <f t="shared" ca="1" si="50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08"/>
        <v>265</v>
      </c>
      <c r="EQ174" s="5" t="str">
        <f t="shared" ca="1" si="50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0"/>
        <v>657</v>
      </c>
      <c r="EV174" s="5" t="str">
        <f t="shared" ca="1" si="51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2"/>
        <v>559</v>
      </c>
      <c r="FA174" s="5" t="str">
        <f t="shared" ca="1" si="51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4"/>
        <v>526</v>
      </c>
      <c r="FF174" s="5" t="str">
        <f t="shared" ca="1" si="51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6"/>
        <v>564</v>
      </c>
      <c r="FK174" s="5" t="str">
        <f t="shared" ca="1" si="51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18"/>
        <v>280</v>
      </c>
      <c r="FP174" s="5" t="str">
        <f t="shared" ca="1" si="51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0"/>
        <v>258</v>
      </c>
      <c r="FU174" s="5" t="str">
        <f t="shared" ca="1" si="52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2"/>
        <v>536</v>
      </c>
      <c r="FZ174" s="5" t="str">
        <f t="shared" ca="1" si="52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4"/>
        <v>668</v>
      </c>
      <c r="GE174" s="5" t="str">
        <f t="shared" ca="1" si="52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6"/>
        <v>266</v>
      </c>
      <c r="GJ174" s="5" t="str">
        <f t="shared" ca="1" si="52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28"/>
        <v>540</v>
      </c>
      <c r="GO174" s="5" t="str">
        <f t="shared" ca="1" si="529"/>
        <v>VIGENTE</v>
      </c>
      <c r="GP174" s="4"/>
      <c r="GQ174" s="4">
        <v>45048</v>
      </c>
      <c r="GR174" s="4">
        <f t="shared" si="530"/>
        <v>46875</v>
      </c>
      <c r="GS174" s="8">
        <f t="shared" ca="1" si="615"/>
        <v>740</v>
      </c>
      <c r="GT174" s="5" t="str">
        <f t="shared" ref="GT174:GT175" ca="1" si="620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1"/>
        <v>46837</v>
      </c>
      <c r="GX174" s="8">
        <f t="shared" ca="1" si="532"/>
        <v>702</v>
      </c>
      <c r="GY174" s="5" t="str">
        <f t="shared" ca="1" si="435"/>
        <v>VIGENTE</v>
      </c>
      <c r="GZ174" s="2"/>
      <c r="HA174" s="4">
        <v>45073</v>
      </c>
      <c r="HB174" s="4">
        <f t="shared" si="533"/>
        <v>46900</v>
      </c>
      <c r="HC174" s="8">
        <f t="shared" ca="1" si="534"/>
        <v>765</v>
      </c>
      <c r="HD174" s="5" t="str">
        <f t="shared" ref="HD174:HD175" ca="1" si="621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17"/>
        <v>46942</v>
      </c>
      <c r="HH174" s="8">
        <f t="shared" ca="1" si="618"/>
        <v>807</v>
      </c>
      <c r="HI174" s="5" t="str">
        <f t="shared" ca="1" si="43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5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3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3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3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3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3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4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4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42"/>
        <v>VIGENTE</v>
      </c>
      <c r="JC174" s="3"/>
      <c r="JD174" s="3"/>
      <c r="JE174" s="4"/>
      <c r="JF174" s="8"/>
      <c r="JG174" s="5" t="str">
        <f t="shared" si="543"/>
        <v>NO APLICA</v>
      </c>
      <c r="JH174" s="4"/>
      <c r="JI174" s="4"/>
      <c r="JJ174" s="4"/>
      <c r="JK174" s="8"/>
      <c r="JL174" s="5" t="str">
        <f t="shared" si="544"/>
        <v>NO APLICA</v>
      </c>
      <c r="JM174" s="4"/>
      <c r="JN174" s="4"/>
      <c r="JO174" s="4"/>
      <c r="JP174" s="8"/>
      <c r="JQ174" s="5" t="str">
        <f t="shared" si="545"/>
        <v>NO APLICA</v>
      </c>
      <c r="JR174" s="4"/>
      <c r="JS174" s="4"/>
      <c r="JT174" s="4"/>
      <c r="JU174" s="8"/>
      <c r="JV174" s="5" t="str">
        <f t="shared" si="546"/>
        <v>NO APLICA</v>
      </c>
      <c r="JW174" s="5"/>
      <c r="JX174" s="5"/>
      <c r="JY174" s="5"/>
      <c r="JZ174" s="5"/>
      <c r="KA174" s="5" t="str">
        <f t="shared" si="547"/>
        <v>NO APLICA</v>
      </c>
      <c r="KB174" s="5"/>
      <c r="KC174" s="2"/>
      <c r="KD174" s="4"/>
      <c r="KE174" s="8"/>
      <c r="KF174" s="5" t="str">
        <f t="shared" si="548"/>
        <v>NO APLICA</v>
      </c>
      <c r="KG174" s="5"/>
      <c r="KH174" s="2"/>
      <c r="KI174" s="4"/>
      <c r="KJ174" s="8"/>
      <c r="KK174" s="5" t="str">
        <f t="shared" si="573"/>
        <v>NO APLICA</v>
      </c>
      <c r="KL174" s="5"/>
      <c r="KM174" s="2"/>
      <c r="KN174" s="4"/>
      <c r="KO174" s="8"/>
      <c r="KP174" s="5" t="str">
        <f t="shared" si="549"/>
        <v>NO APLICA</v>
      </c>
      <c r="KQ174" s="5"/>
      <c r="KR174" s="2"/>
      <c r="KS174" s="4"/>
      <c r="KT174" s="8"/>
      <c r="KU174" s="5" t="str">
        <f t="shared" si="574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79"/>
        <v>VIGENTE</v>
      </c>
      <c r="LA174" s="5"/>
      <c r="LB174" s="6"/>
      <c r="LC174" s="4"/>
      <c r="LD174" s="8"/>
      <c r="LE174" s="5" t="str">
        <f t="shared" si="575"/>
        <v>NO APLICA</v>
      </c>
      <c r="LF174" s="6"/>
      <c r="LG174" s="4"/>
      <c r="LH174" s="4"/>
      <c r="LI174" s="8"/>
      <c r="LJ174" s="5" t="str">
        <f t="shared" si="614"/>
        <v>NO APLICA</v>
      </c>
      <c r="LK174" s="5"/>
      <c r="LL174" s="5"/>
      <c r="LM174" s="5"/>
      <c r="LN174" s="5"/>
      <c r="LO174" s="5" t="str">
        <f t="shared" si="580"/>
        <v>NO APLICA</v>
      </c>
      <c r="LP174" s="2"/>
      <c r="LQ174" s="6"/>
      <c r="LR174" s="4"/>
      <c r="LS174" s="8"/>
      <c r="LT174" s="5" t="str">
        <f t="shared" si="576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77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78"/>
        <v>VIGENTE</v>
      </c>
      <c r="ME174" s="2"/>
      <c r="MF174" s="2"/>
      <c r="MG174" s="4"/>
      <c r="MH174" s="8"/>
      <c r="MI174" s="5" t="str">
        <f t="shared" si="551"/>
        <v>NO APLICA</v>
      </c>
      <c r="MJ174" s="2"/>
      <c r="MK174" s="2"/>
      <c r="ML174" s="4"/>
      <c r="MM174" s="8"/>
      <c r="MN174" s="5" t="str">
        <f t="shared" si="552"/>
        <v>NO APLICA</v>
      </c>
      <c r="MO174" s="5"/>
      <c r="MP174" s="2"/>
      <c r="MQ174" s="4"/>
      <c r="MR174" s="8"/>
      <c r="MS174" s="5" t="str">
        <f t="shared" si="553"/>
        <v>NO APLICA</v>
      </c>
      <c r="MT174" s="5"/>
      <c r="MU174" s="2"/>
      <c r="MV174" s="4"/>
      <c r="MW174" s="2"/>
      <c r="MX174" s="5" t="str">
        <f t="shared" si="554"/>
        <v>NO APLICA</v>
      </c>
      <c r="MY174" s="2"/>
      <c r="MZ174" s="6"/>
      <c r="NA174" s="4"/>
      <c r="NB174" s="8"/>
      <c r="NC174" s="5" t="str">
        <f t="shared" si="555"/>
        <v>NO APLICA</v>
      </c>
      <c r="ND174" s="2"/>
      <c r="NE174" s="6"/>
      <c r="NF174" s="4"/>
      <c r="NG174" s="8"/>
      <c r="NH174" s="5" t="str">
        <f t="shared" si="556"/>
        <v>NO APLICA</v>
      </c>
      <c r="NI174" s="2"/>
      <c r="NJ174" s="6"/>
      <c r="NK174" s="4"/>
      <c r="NL174" s="8"/>
      <c r="NM174" s="5" t="str">
        <f t="shared" si="557"/>
        <v>NO APLICA</v>
      </c>
      <c r="NN174" s="2"/>
      <c r="NO174" s="2"/>
      <c r="NP174" s="4"/>
      <c r="NQ174" s="2"/>
      <c r="NR174" s="5" t="str">
        <f t="shared" si="558"/>
        <v>NO APLICA</v>
      </c>
      <c r="NS174" s="2"/>
      <c r="NT174" s="2"/>
      <c r="NU174" s="4"/>
      <c r="NV174" s="2"/>
      <c r="NW174" s="5" t="str">
        <f t="shared" si="559"/>
        <v>NO APLICA</v>
      </c>
      <c r="NX174" s="6"/>
      <c r="NY174" s="6"/>
      <c r="NZ174" s="4"/>
      <c r="OA174" s="8"/>
      <c r="OB174" s="5" t="str">
        <f t="shared" si="560"/>
        <v>NO APLICA</v>
      </c>
      <c r="OC174" s="6"/>
      <c r="OD174" s="6"/>
      <c r="OE174" s="6"/>
      <c r="OF174" s="6"/>
      <c r="OG174" s="5" t="str">
        <f t="shared" si="561"/>
        <v>NO APLICA</v>
      </c>
      <c r="OH174" s="6"/>
      <c r="OI174" s="6"/>
      <c r="OJ174" s="4"/>
      <c r="OK174" s="8"/>
      <c r="OL174" s="5" t="str">
        <f t="shared" si="562"/>
        <v>NO APLICA</v>
      </c>
      <c r="OM174" s="6"/>
      <c r="ON174" s="6"/>
      <c r="OO174" s="6"/>
      <c r="OP174" s="6"/>
      <c r="OQ174" s="5" t="str">
        <f t="shared" si="563"/>
        <v>NO APLICA</v>
      </c>
      <c r="OR174" s="6"/>
      <c r="OS174" s="6"/>
      <c r="OT174" s="6"/>
      <c r="OU174" s="6"/>
      <c r="OV174" s="5" t="str">
        <f t="shared" si="564"/>
        <v>NO APLICA</v>
      </c>
      <c r="OW174" s="6"/>
      <c r="OX174" s="6"/>
      <c r="OY174" s="6"/>
      <c r="OZ174" s="6"/>
      <c r="PA174" s="5" t="str">
        <f t="shared" si="565"/>
        <v>NO APLICA</v>
      </c>
      <c r="PB174" s="6"/>
      <c r="PC174" s="6"/>
      <c r="PD174" s="6"/>
      <c r="PE174" s="6"/>
      <c r="PF174" s="5" t="str">
        <f t="shared" si="566"/>
        <v>NO APLICA</v>
      </c>
      <c r="PG174" s="6"/>
      <c r="PH174" s="6"/>
      <c r="PI174" s="6"/>
      <c r="PJ174" s="6"/>
      <c r="PK174" s="5" t="str">
        <f t="shared" si="567"/>
        <v>NO APLICA</v>
      </c>
      <c r="PL174" s="5"/>
      <c r="PM174" s="6"/>
      <c r="PN174" s="4"/>
      <c r="PO174" s="8"/>
      <c r="PP174" s="5" t="str">
        <f t="shared" si="568"/>
        <v>NO APLICA</v>
      </c>
      <c r="PQ174" s="6"/>
      <c r="PR174" s="6"/>
      <c r="PS174" s="6"/>
      <c r="PT174" s="6"/>
      <c r="PU174" s="5" t="str">
        <f t="shared" si="569"/>
        <v>NO APLICA</v>
      </c>
      <c r="PV174" s="5"/>
      <c r="PW174" s="6"/>
      <c r="PX174" s="6"/>
      <c r="PY174" s="6"/>
      <c r="PZ174" s="5" t="str">
        <f t="shared" si="570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562</v>
      </c>
      <c r="D175" s="30" t="s">
        <v>69</v>
      </c>
      <c r="E175" s="31" t="s">
        <v>75</v>
      </c>
      <c r="F175" s="6"/>
      <c r="G175" s="6"/>
      <c r="H175" s="6"/>
      <c r="I175" s="6"/>
      <c r="J175" s="5" t="str">
        <f t="shared" si="464"/>
        <v>NO APLICA</v>
      </c>
      <c r="K175" s="6"/>
      <c r="L175" s="6"/>
      <c r="M175" s="6"/>
      <c r="N175" s="6"/>
      <c r="O175" s="5" t="str">
        <f t="shared" si="465"/>
        <v>NO APLICA</v>
      </c>
      <c r="P175" s="6"/>
      <c r="Q175" s="6"/>
      <c r="R175" s="6"/>
      <c r="S175" s="6"/>
      <c r="T175" s="5" t="str">
        <f t="shared" si="571"/>
        <v>NO APLICA</v>
      </c>
      <c r="U175" s="5"/>
      <c r="V175" s="6" t="s">
        <v>563</v>
      </c>
      <c r="W175" s="4">
        <v>45189</v>
      </c>
      <c r="X175" s="4">
        <f t="shared" si="601"/>
        <v>47016</v>
      </c>
      <c r="Y175" s="8">
        <f t="shared" ca="1" si="602"/>
        <v>881</v>
      </c>
      <c r="Z175" s="5" t="str">
        <f t="shared" ca="1" si="619"/>
        <v>VIGENTE</v>
      </c>
      <c r="AA175" s="5"/>
      <c r="AB175" s="6" t="s">
        <v>564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6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67"/>
        <v>601</v>
      </c>
      <c r="AK175" s="5" t="str">
        <f t="shared" ca="1" si="616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68"/>
        <v>657</v>
      </c>
      <c r="AP175" s="5" t="str">
        <f t="shared" ca="1" si="46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0"/>
        <v>584</v>
      </c>
      <c r="AU175" s="5" t="str">
        <f t="shared" ca="1" si="47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2"/>
        <v>665</v>
      </c>
      <c r="AZ175" s="5" t="str">
        <f t="shared" ca="1" si="47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4"/>
        <v>666</v>
      </c>
      <c r="BE175" s="5" t="str">
        <f t="shared" ca="1" si="47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6"/>
        <v>582</v>
      </c>
      <c r="BJ175" s="5" t="str">
        <f t="shared" ca="1" si="47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78"/>
        <v>630</v>
      </c>
      <c r="BO175" s="5" t="str">
        <f t="shared" ca="1" si="47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0"/>
        <v>583</v>
      </c>
      <c r="BT175" s="5" t="str">
        <f t="shared" ca="1" si="48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2"/>
        <v>626</v>
      </c>
      <c r="BY175" s="5" t="str">
        <f t="shared" ca="1" si="48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4"/>
        <v>549</v>
      </c>
      <c r="CD175" s="5" t="str">
        <f t="shared" ca="1" si="485"/>
        <v>VIGENTE</v>
      </c>
      <c r="CE175" s="6" t="s">
        <v>73</v>
      </c>
      <c r="CF175" s="4">
        <v>45346</v>
      </c>
      <c r="CG175" s="4">
        <f t="shared" si="604"/>
        <v>46807</v>
      </c>
      <c r="CH175" s="8">
        <f t="shared" ca="1" si="605"/>
        <v>672</v>
      </c>
      <c r="CI175" s="5" t="str">
        <f t="shared" ca="1" si="587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6"/>
        <v>615</v>
      </c>
      <c r="CN175" s="5" t="str">
        <f t="shared" ca="1" si="48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88"/>
        <v>697</v>
      </c>
      <c r="CS175" s="5" t="str">
        <f t="shared" ca="1" si="48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0"/>
        <v>664</v>
      </c>
      <c r="CX175" s="5" t="str">
        <f t="shared" ca="1" si="49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2"/>
        <v>641</v>
      </c>
      <c r="DC175" s="5" t="str">
        <f t="shared" ca="1" si="49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4"/>
        <v>640</v>
      </c>
      <c r="DH175" s="5" t="str">
        <f t="shared" ca="1" si="49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6"/>
        <v>668</v>
      </c>
      <c r="DM175" s="5" t="str">
        <f t="shared" ca="1" si="49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98"/>
        <v>602</v>
      </c>
      <c r="DR175" s="5" t="str">
        <f t="shared" ca="1" si="49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0"/>
        <v>613</v>
      </c>
      <c r="DW175" s="5" t="str">
        <f t="shared" ca="1" si="50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2"/>
        <v>695</v>
      </c>
      <c r="EB175" s="5" t="str">
        <f t="shared" ca="1" si="50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4"/>
        <v>589</v>
      </c>
      <c r="EG175" s="5" t="str">
        <f t="shared" ca="1" si="505"/>
        <v>VIGENTE</v>
      </c>
      <c r="EH175" s="3"/>
      <c r="EI175" s="3">
        <v>46085</v>
      </c>
      <c r="EJ175" s="4">
        <f t="shared" si="572"/>
        <v>46450</v>
      </c>
      <c r="EK175" s="8">
        <f t="shared" ca="1" si="506"/>
        <v>315</v>
      </c>
      <c r="EL175" s="5" t="str">
        <f t="shared" ca="1" si="50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08"/>
        <v>590</v>
      </c>
      <c r="EQ175" s="5" t="str">
        <f t="shared" ca="1" si="50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0"/>
        <v>594</v>
      </c>
      <c r="EV175" s="5" t="str">
        <f t="shared" ca="1" si="51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2"/>
        <v>632</v>
      </c>
      <c r="FA175" s="5" t="str">
        <f t="shared" ca="1" si="51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4"/>
        <v>687</v>
      </c>
      <c r="FF175" s="5" t="str">
        <f t="shared" ca="1" si="51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6"/>
        <v>587</v>
      </c>
      <c r="FK175" s="5" t="str">
        <f t="shared" ca="1" si="51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18"/>
        <v>698</v>
      </c>
      <c r="FP175" s="5" t="str">
        <f t="shared" ca="1" si="51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0"/>
        <v>629</v>
      </c>
      <c r="FU175" s="5" t="str">
        <f t="shared" ca="1" si="52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2"/>
        <v>609</v>
      </c>
      <c r="FZ175" s="5" t="str">
        <f t="shared" ca="1" si="52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4"/>
        <v>625</v>
      </c>
      <c r="GE175" s="5" t="str">
        <f t="shared" ca="1" si="52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6"/>
        <v>674</v>
      </c>
      <c r="GJ175" s="5" t="str">
        <f t="shared" ca="1" si="52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28"/>
        <v>639</v>
      </c>
      <c r="GO175" s="5" t="str">
        <f t="shared" ca="1" si="529"/>
        <v>VIGENTE</v>
      </c>
      <c r="GP175" s="4"/>
      <c r="GQ175" s="4">
        <v>45367</v>
      </c>
      <c r="GR175" s="4">
        <f t="shared" si="530"/>
        <v>47193</v>
      </c>
      <c r="GS175" s="8">
        <f t="shared" ca="1" si="615"/>
        <v>1058</v>
      </c>
      <c r="GT175" s="5" t="str">
        <f t="shared" ca="1" si="620"/>
        <v>VIGENTE</v>
      </c>
      <c r="GU175" s="4"/>
      <c r="GV175" s="4">
        <v>45342</v>
      </c>
      <c r="GW175" s="4">
        <f t="shared" si="531"/>
        <v>47169</v>
      </c>
      <c r="GX175" s="8">
        <f t="shared" ca="1" si="532"/>
        <v>1034</v>
      </c>
      <c r="GY175" s="5" t="str">
        <f t="shared" ca="1" si="435"/>
        <v>VIGENTE</v>
      </c>
      <c r="GZ175" s="6"/>
      <c r="HA175" s="4">
        <v>45348</v>
      </c>
      <c r="HB175" s="4">
        <f t="shared" si="533"/>
        <v>47175</v>
      </c>
      <c r="HC175" s="8">
        <f t="shared" ca="1" si="534"/>
        <v>1040</v>
      </c>
      <c r="HD175" s="5" t="str">
        <f t="shared" ca="1" si="621"/>
        <v>VIGENTE</v>
      </c>
      <c r="HE175" s="6"/>
      <c r="HF175" s="4">
        <v>45404</v>
      </c>
      <c r="HG175" s="4">
        <f t="shared" si="617"/>
        <v>47230</v>
      </c>
      <c r="HH175" s="8">
        <f t="shared" ca="1" si="618"/>
        <v>1095</v>
      </c>
      <c r="HI175" s="5" t="str">
        <f t="shared" ca="1" si="436"/>
        <v>VIGENTE</v>
      </c>
      <c r="HJ175" s="6"/>
      <c r="HK175" s="6"/>
      <c r="HL175" s="4"/>
      <c r="HM175" s="8"/>
      <c r="HN175" s="5" t="str">
        <f t="shared" si="453"/>
        <v>NO APLICA</v>
      </c>
      <c r="HO175" s="2"/>
      <c r="HP175" s="2"/>
      <c r="HQ175" s="4"/>
      <c r="HR175" s="2"/>
      <c r="HS175" s="5" t="str">
        <f t="shared" si="53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3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37"/>
        <v>VIGENTE</v>
      </c>
      <c r="ID175" s="6"/>
      <c r="IE175" s="6"/>
      <c r="IF175" s="4"/>
      <c r="IG175" s="8"/>
      <c r="IH175" s="5" t="str">
        <f t="shared" si="53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3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4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4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42"/>
        <v>VIGENTE</v>
      </c>
      <c r="JC175" s="3"/>
      <c r="JD175" s="3"/>
      <c r="JE175" s="4"/>
      <c r="JF175" s="8"/>
      <c r="JG175" s="5" t="str">
        <f t="shared" si="543"/>
        <v>NO APLICA</v>
      </c>
      <c r="JH175" s="6"/>
      <c r="JI175" s="6"/>
      <c r="JJ175" s="6"/>
      <c r="JK175" s="6"/>
      <c r="JL175" s="5" t="str">
        <f t="shared" si="544"/>
        <v>NO APLICA</v>
      </c>
      <c r="JM175" s="6"/>
      <c r="JN175" s="6"/>
      <c r="JO175" s="6"/>
      <c r="JP175" s="6"/>
      <c r="JQ175" s="5" t="str">
        <f t="shared" si="545"/>
        <v>NO APLICA</v>
      </c>
      <c r="JR175" s="6"/>
      <c r="JS175" s="6"/>
      <c r="JT175" s="6"/>
      <c r="JU175" s="6"/>
      <c r="JV175" s="5" t="str">
        <f t="shared" si="546"/>
        <v>NO APLICA</v>
      </c>
      <c r="JW175" s="5"/>
      <c r="JX175" s="5"/>
      <c r="JY175" s="5"/>
      <c r="JZ175" s="5"/>
      <c r="KA175" s="5" t="str">
        <f t="shared" si="547"/>
        <v>NO APLICA</v>
      </c>
      <c r="KB175" s="5"/>
      <c r="KC175" s="2"/>
      <c r="KD175" s="4"/>
      <c r="KE175" s="8"/>
      <c r="KF175" s="5" t="str">
        <f t="shared" si="548"/>
        <v>NO APLICA</v>
      </c>
      <c r="KG175" s="5"/>
      <c r="KH175" s="6"/>
      <c r="KI175" s="4"/>
      <c r="KJ175" s="8"/>
      <c r="KK175" s="5" t="str">
        <f t="shared" si="573"/>
        <v>NO APLICA</v>
      </c>
      <c r="KL175" s="5"/>
      <c r="KM175" s="2"/>
      <c r="KN175" s="4"/>
      <c r="KO175" s="8"/>
      <c r="KP175" s="5" t="str">
        <f t="shared" si="549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74"/>
        <v>VIGENTE</v>
      </c>
      <c r="KV175" s="6"/>
      <c r="KW175" s="6"/>
      <c r="KX175" s="4"/>
      <c r="KY175" s="6"/>
      <c r="KZ175" s="5" t="str">
        <f t="shared" si="579"/>
        <v>NO APLICA</v>
      </c>
      <c r="LA175" s="5"/>
      <c r="LB175" s="6"/>
      <c r="LC175" s="4"/>
      <c r="LD175" s="6"/>
      <c r="LE175" s="5" t="str">
        <f t="shared" si="575"/>
        <v>NO APLICA</v>
      </c>
      <c r="LF175" s="6"/>
      <c r="LG175" s="6"/>
      <c r="LH175" s="6"/>
      <c r="LI175" s="6"/>
      <c r="LJ175" s="5" t="str">
        <f t="shared" si="614"/>
        <v>NO APLICA</v>
      </c>
      <c r="LK175" s="5"/>
      <c r="LL175" s="5"/>
      <c r="LM175" s="4"/>
      <c r="LN175" s="8"/>
      <c r="LO175" s="5" t="str">
        <f t="shared" si="580"/>
        <v>NO APLICA</v>
      </c>
      <c r="LP175" s="6"/>
      <c r="LQ175" s="6"/>
      <c r="LR175" s="4"/>
      <c r="LS175" s="8"/>
      <c r="LT175" s="5" t="str">
        <f t="shared" si="576"/>
        <v>NO APLICA</v>
      </c>
      <c r="LU175" s="6"/>
      <c r="LV175" s="6"/>
      <c r="LW175" s="4"/>
      <c r="LX175" s="6"/>
      <c r="LY175" s="5" t="str">
        <f t="shared" si="577"/>
        <v>NO APLICA</v>
      </c>
      <c r="LZ175" s="6"/>
      <c r="MA175" s="6"/>
      <c r="MB175" s="4"/>
      <c r="MC175" s="6"/>
      <c r="MD175" s="5" t="str">
        <f t="shared" si="578"/>
        <v>NO APLICA</v>
      </c>
      <c r="ME175" s="6"/>
      <c r="MF175" s="6"/>
      <c r="MG175" s="4"/>
      <c r="MH175" s="6"/>
      <c r="MI175" s="5" t="str">
        <f t="shared" si="551"/>
        <v>NO APLICA</v>
      </c>
      <c r="MJ175" s="6"/>
      <c r="MK175" s="6"/>
      <c r="ML175" s="4"/>
      <c r="MM175" s="6"/>
      <c r="MN175" s="5" t="str">
        <f t="shared" si="552"/>
        <v>NO APLICA</v>
      </c>
      <c r="MO175" s="5"/>
      <c r="MP175" s="6"/>
      <c r="MQ175" s="4"/>
      <c r="MR175" s="6"/>
      <c r="MS175" s="5" t="str">
        <f t="shared" si="553"/>
        <v>NO APLICA</v>
      </c>
      <c r="MT175" s="5"/>
      <c r="MU175" s="6"/>
      <c r="MV175" s="6"/>
      <c r="MW175" s="6"/>
      <c r="MX175" s="5" t="str">
        <f t="shared" si="554"/>
        <v>NO APLICA</v>
      </c>
      <c r="MY175" s="6"/>
      <c r="MZ175" s="6"/>
      <c r="NA175" s="4"/>
      <c r="NB175" s="6"/>
      <c r="NC175" s="5" t="str">
        <f t="shared" si="555"/>
        <v>NO APLICA</v>
      </c>
      <c r="ND175" s="6"/>
      <c r="NE175" s="6"/>
      <c r="NF175" s="4"/>
      <c r="NG175" s="6"/>
      <c r="NH175" s="5" t="str">
        <f t="shared" si="556"/>
        <v>NO APLICA</v>
      </c>
      <c r="NI175" s="6"/>
      <c r="NJ175" s="6"/>
      <c r="NK175" s="4"/>
      <c r="NL175" s="6"/>
      <c r="NM175" s="5" t="str">
        <f t="shared" si="557"/>
        <v>NO APLICA</v>
      </c>
      <c r="NN175" s="6"/>
      <c r="NO175" s="6"/>
      <c r="NP175" s="4"/>
      <c r="NQ175" s="6"/>
      <c r="NR175" s="5" t="str">
        <f t="shared" si="558"/>
        <v>NO APLICA</v>
      </c>
      <c r="NS175" s="6"/>
      <c r="NT175" s="6"/>
      <c r="NU175" s="4"/>
      <c r="NV175" s="6"/>
      <c r="NW175" s="5" t="str">
        <f t="shared" si="559"/>
        <v>NO APLICA</v>
      </c>
      <c r="NX175" s="6"/>
      <c r="NY175" s="6"/>
      <c r="NZ175" s="4"/>
      <c r="OA175" s="8"/>
      <c r="OB175" s="5" t="str">
        <f t="shared" si="560"/>
        <v>NO APLICA</v>
      </c>
      <c r="OC175" s="6"/>
      <c r="OD175" s="6"/>
      <c r="OE175" s="6"/>
      <c r="OF175" s="6"/>
      <c r="OG175" s="5" t="str">
        <f t="shared" si="561"/>
        <v>NO APLICA</v>
      </c>
      <c r="OH175" s="6"/>
      <c r="OI175" s="6"/>
      <c r="OJ175" s="6"/>
      <c r="OK175" s="6"/>
      <c r="OL175" s="5" t="str">
        <f t="shared" si="562"/>
        <v>NO APLICA</v>
      </c>
      <c r="OM175" s="6"/>
      <c r="ON175" s="6"/>
      <c r="OO175" s="6"/>
      <c r="OP175" s="6"/>
      <c r="OQ175" s="5" t="str">
        <f t="shared" si="563"/>
        <v>NO APLICA</v>
      </c>
      <c r="OR175" s="6"/>
      <c r="OS175" s="6"/>
      <c r="OT175" s="6"/>
      <c r="OU175" s="6"/>
      <c r="OV175" s="5" t="str">
        <f t="shared" si="564"/>
        <v>NO APLICA</v>
      </c>
      <c r="OW175" s="6"/>
      <c r="OX175" s="6"/>
      <c r="OY175" s="6"/>
      <c r="OZ175" s="6"/>
      <c r="PA175" s="5" t="str">
        <f t="shared" si="565"/>
        <v>NO APLICA</v>
      </c>
      <c r="PB175" s="6"/>
      <c r="PC175" s="6"/>
      <c r="PD175" s="6"/>
      <c r="PE175" s="6"/>
      <c r="PF175" s="5" t="str">
        <f t="shared" si="566"/>
        <v>NO APLICA</v>
      </c>
      <c r="PG175" s="6"/>
      <c r="PH175" s="6"/>
      <c r="PI175" s="6"/>
      <c r="PJ175" s="6"/>
      <c r="PK175" s="5" t="str">
        <f t="shared" si="567"/>
        <v>NO APLICA</v>
      </c>
      <c r="PL175" s="5"/>
      <c r="PM175" s="6"/>
      <c r="PN175" s="6"/>
      <c r="PO175" s="6"/>
      <c r="PP175" s="5" t="str">
        <f t="shared" si="568"/>
        <v>NO APLICA</v>
      </c>
      <c r="PQ175" s="6"/>
      <c r="PR175" s="6"/>
      <c r="PS175" s="6"/>
      <c r="PT175" s="6"/>
      <c r="PU175" s="5" t="str">
        <f t="shared" si="569"/>
        <v>NO APLICA</v>
      </c>
      <c r="PV175" s="5"/>
      <c r="PW175" s="6"/>
      <c r="PX175" s="6"/>
      <c r="PY175" s="6"/>
      <c r="PZ175" s="5" t="str">
        <f t="shared" si="570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778</v>
      </c>
      <c r="D176" s="30" t="s">
        <v>69</v>
      </c>
      <c r="E176" s="31" t="s">
        <v>75</v>
      </c>
      <c r="F176" s="6"/>
      <c r="G176" s="6"/>
      <c r="H176" s="6"/>
      <c r="I176" s="6"/>
      <c r="J176" s="5" t="str">
        <f t="shared" si="464"/>
        <v>NO APLICA</v>
      </c>
      <c r="K176" s="6"/>
      <c r="L176" s="6"/>
      <c r="M176" s="6"/>
      <c r="N176" s="6"/>
      <c r="O176" s="5" t="str">
        <f t="shared" si="46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71"/>
        <v>VIGENTE</v>
      </c>
      <c r="U176" s="5"/>
      <c r="V176" s="6" t="s">
        <v>565</v>
      </c>
      <c r="W176" s="4">
        <v>45693</v>
      </c>
      <c r="X176" s="4">
        <f t="shared" si="601"/>
        <v>47519</v>
      </c>
      <c r="Y176" s="8">
        <f t="shared" ca="1" si="602"/>
        <v>1384</v>
      </c>
      <c r="Z176" s="5" t="str">
        <f t="shared" ca="1" si="619"/>
        <v>VIGENTE</v>
      </c>
      <c r="AA176" s="5"/>
      <c r="AB176" s="6"/>
      <c r="AC176" s="6"/>
      <c r="AD176" s="4"/>
      <c r="AE176" s="8"/>
      <c r="AF176" s="5" t="str">
        <f t="shared" si="46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67"/>
        <v>203</v>
      </c>
      <c r="AK176" s="5" t="str">
        <f t="shared" ca="1" si="616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68"/>
        <v>196</v>
      </c>
      <c r="AP176" s="5" t="str">
        <f t="shared" ca="1" si="46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0"/>
        <v>234</v>
      </c>
      <c r="AU176" s="5" t="str">
        <f t="shared" ca="1" si="47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2"/>
        <v>238</v>
      </c>
      <c r="AZ176" s="5" t="str">
        <f t="shared" ca="1" si="47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4"/>
        <v>197</v>
      </c>
      <c r="BE176" s="5" t="str">
        <f t="shared" ca="1" si="47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6"/>
        <v>237</v>
      </c>
      <c r="BJ176" s="5" t="str">
        <f t="shared" ca="1" si="47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78"/>
        <v>293</v>
      </c>
      <c r="BO176" s="5" t="str">
        <f t="shared" ca="1" si="47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0"/>
        <v>295</v>
      </c>
      <c r="BT176" s="5" t="str">
        <f t="shared" ca="1" si="48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2"/>
        <v>289</v>
      </c>
      <c r="BY176" s="5" t="str">
        <f t="shared" ca="1" si="48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4"/>
        <v>324</v>
      </c>
      <c r="CD176" s="5" t="str">
        <f t="shared" ca="1" si="485"/>
        <v>VIGENTE</v>
      </c>
      <c r="CE176" s="6" t="s">
        <v>68</v>
      </c>
      <c r="CF176" s="4">
        <v>45723</v>
      </c>
      <c r="CG176" s="4">
        <f t="shared" si="604"/>
        <v>47184</v>
      </c>
      <c r="CH176" s="8">
        <f t="shared" ca="1" si="605"/>
        <v>1049</v>
      </c>
      <c r="CI176" s="5" t="str">
        <f t="shared" ca="1" si="587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6"/>
        <v>282</v>
      </c>
      <c r="CN176" s="5" t="str">
        <f t="shared" ca="1" si="48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88"/>
        <v>278</v>
      </c>
      <c r="CS176" s="5" t="str">
        <f t="shared" ca="1" si="48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0"/>
        <v>233</v>
      </c>
      <c r="CX176" s="5" t="str">
        <f t="shared" ca="1" si="49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2"/>
        <v>240</v>
      </c>
      <c r="DC176" s="5" t="str">
        <f t="shared" ca="1" si="49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4"/>
        <v>283</v>
      </c>
      <c r="DH176" s="5" t="str">
        <f t="shared" ca="1" si="49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6"/>
        <v>290</v>
      </c>
      <c r="DM176" s="5" t="str">
        <f t="shared" ca="1" si="49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98"/>
        <v>325</v>
      </c>
      <c r="DR176" s="5" t="str">
        <f t="shared" ca="1" si="49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0"/>
        <v>213</v>
      </c>
      <c r="DW176" s="5" t="str">
        <f t="shared" ca="1" si="50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2"/>
        <v>257</v>
      </c>
      <c r="EB176" s="5" t="str">
        <f t="shared" ca="1" si="50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4"/>
        <v>236</v>
      </c>
      <c r="EG176" s="5" t="str">
        <f t="shared" ca="1" si="505"/>
        <v>VIGENTE</v>
      </c>
      <c r="EH176" s="4"/>
      <c r="EI176" s="4">
        <v>45812</v>
      </c>
      <c r="EJ176" s="4">
        <f t="shared" si="572"/>
        <v>46177</v>
      </c>
      <c r="EK176" s="8">
        <f t="shared" ca="1" si="506"/>
        <v>42</v>
      </c>
      <c r="EL176" s="5" t="str">
        <f t="shared" ca="1" si="50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08"/>
        <v>206</v>
      </c>
      <c r="EQ176" s="5" t="str">
        <f t="shared" ca="1" si="50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0"/>
        <v>271</v>
      </c>
      <c r="EV176" s="5" t="str">
        <f t="shared" ca="1" si="51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2"/>
        <v>204</v>
      </c>
      <c r="FA176" s="5" t="str">
        <f t="shared" ca="1" si="51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4"/>
        <v>205</v>
      </c>
      <c r="FF176" s="5" t="str">
        <f t="shared" ca="1" si="51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6"/>
        <v>262</v>
      </c>
      <c r="FK176" s="5" t="str">
        <f t="shared" ca="1" si="51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18"/>
        <v>231</v>
      </c>
      <c r="FP176" s="5" t="str">
        <f t="shared" ca="1" si="51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0"/>
        <v>199</v>
      </c>
      <c r="FU176" s="5" t="str">
        <f t="shared" ca="1" si="52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2"/>
        <v>294</v>
      </c>
      <c r="FZ176" s="5" t="str">
        <f t="shared" ca="1" si="52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4"/>
        <v>220</v>
      </c>
      <c r="GE176" s="5" t="str">
        <f t="shared" ca="1" si="52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6"/>
        <v>266</v>
      </c>
      <c r="GJ176" s="5" t="str">
        <f t="shared" ca="1" si="52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28"/>
        <v>202</v>
      </c>
      <c r="GO176" s="5" t="str">
        <f t="shared" ca="1" si="529"/>
        <v>VIGENTE</v>
      </c>
      <c r="GP176" s="4"/>
      <c r="GQ176" s="6"/>
      <c r="GR176" s="4">
        <f t="shared" si="530"/>
        <v>1827</v>
      </c>
      <c r="GS176" s="8">
        <f t="shared" ca="1" si="615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1"/>
        <v>1827</v>
      </c>
      <c r="GX176" s="8">
        <f t="shared" ca="1" si="53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3"/>
        <v>1827</v>
      </c>
      <c r="HC176" s="8">
        <f t="shared" ca="1" si="53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17"/>
        <v>1827</v>
      </c>
      <c r="HH176" s="8">
        <f t="shared" ca="1" si="618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3"/>
        <v>NO APLICA</v>
      </c>
      <c r="HO176" s="6"/>
      <c r="HP176" s="6"/>
      <c r="HQ176" s="6"/>
      <c r="HR176" s="6"/>
      <c r="HS176" s="5" t="str">
        <f t="shared" si="535"/>
        <v>NO APLICA</v>
      </c>
      <c r="HT176" s="6"/>
      <c r="HU176" s="6"/>
      <c r="HV176" s="6"/>
      <c r="HW176" s="6"/>
      <c r="HX176" s="5" t="str">
        <f t="shared" si="536"/>
        <v>NO APLICA</v>
      </c>
      <c r="HY176" s="6"/>
      <c r="HZ176" s="6"/>
      <c r="IA176" s="6"/>
      <c r="IB176" s="6"/>
      <c r="IC176" s="5" t="str">
        <f t="shared" si="537"/>
        <v>NO APLICA</v>
      </c>
      <c r="ID176" s="6"/>
      <c r="IE176" s="6"/>
      <c r="IF176" s="6"/>
      <c r="IG176" s="6"/>
      <c r="IH176" s="5" t="str">
        <f t="shared" si="538"/>
        <v>NO APLICA</v>
      </c>
      <c r="II176" s="6"/>
      <c r="IJ176" s="6"/>
      <c r="IK176" s="6"/>
      <c r="IL176" s="6"/>
      <c r="IM176" s="5" t="str">
        <f t="shared" si="539"/>
        <v>NO APLICA</v>
      </c>
      <c r="IN176" s="6"/>
      <c r="IO176" s="6"/>
      <c r="IP176" s="6"/>
      <c r="IQ176" s="6"/>
      <c r="IR176" s="5" t="str">
        <f t="shared" si="540"/>
        <v>NO APLICA</v>
      </c>
      <c r="IS176" s="6"/>
      <c r="IT176" s="6"/>
      <c r="IU176" s="6"/>
      <c r="IV176" s="6"/>
      <c r="IW176" s="5" t="str">
        <f t="shared" si="541"/>
        <v>NO APLICA</v>
      </c>
      <c r="IX176" s="6"/>
      <c r="IY176" s="6"/>
      <c r="IZ176" s="6"/>
      <c r="JA176" s="6"/>
      <c r="JB176" s="5" t="str">
        <f t="shared" si="542"/>
        <v>NO APLICA</v>
      </c>
      <c r="JC176" s="6"/>
      <c r="JD176" s="6"/>
      <c r="JE176" s="6"/>
      <c r="JF176" s="6"/>
      <c r="JG176" s="5" t="str">
        <f t="shared" si="543"/>
        <v>NO APLICA</v>
      </c>
      <c r="JH176" s="6"/>
      <c r="JI176" s="6"/>
      <c r="JJ176" s="6"/>
      <c r="JK176" s="6"/>
      <c r="JL176" s="5" t="str">
        <f t="shared" si="544"/>
        <v>NO APLICA</v>
      </c>
      <c r="JM176" s="6"/>
      <c r="JN176" s="6"/>
      <c r="JO176" s="6"/>
      <c r="JP176" s="6"/>
      <c r="JQ176" s="5" t="str">
        <f t="shared" si="545"/>
        <v>NO APLICA</v>
      </c>
      <c r="JR176" s="6"/>
      <c r="JS176" s="6"/>
      <c r="JT176" s="6"/>
      <c r="JU176" s="6"/>
      <c r="JV176" s="5" t="str">
        <f t="shared" si="546"/>
        <v>NO APLICA</v>
      </c>
      <c r="JW176" s="5"/>
      <c r="JX176" s="5"/>
      <c r="JY176" s="5"/>
      <c r="JZ176" s="5"/>
      <c r="KA176" s="5" t="str">
        <f t="shared" si="547"/>
        <v>NO APLICA</v>
      </c>
      <c r="KB176" s="5"/>
      <c r="KC176" s="6"/>
      <c r="KD176" s="6"/>
      <c r="KE176" s="6"/>
      <c r="KF176" s="5" t="str">
        <f t="shared" si="548"/>
        <v>NO APLICA</v>
      </c>
      <c r="KG176" s="5"/>
      <c r="KH176" s="6"/>
      <c r="KI176" s="6"/>
      <c r="KJ176" s="6"/>
      <c r="KK176" s="5" t="str">
        <f t="shared" si="573"/>
        <v>NO APLICA</v>
      </c>
      <c r="KL176" s="5"/>
      <c r="KM176" s="6"/>
      <c r="KN176" s="6"/>
      <c r="KO176" s="6"/>
      <c r="KP176" s="5" t="str">
        <f t="shared" si="549"/>
        <v>NO APLICA</v>
      </c>
      <c r="KQ176" s="5"/>
      <c r="KR176" s="6"/>
      <c r="KS176" s="6"/>
      <c r="KT176" s="6"/>
      <c r="KU176" s="5" t="str">
        <f t="shared" si="574"/>
        <v>NO APLICA</v>
      </c>
      <c r="KV176" s="6"/>
      <c r="KW176" s="6"/>
      <c r="KX176" s="6"/>
      <c r="KY176" s="6"/>
      <c r="KZ176" s="5" t="str">
        <f t="shared" si="579"/>
        <v>NO APLICA</v>
      </c>
      <c r="LA176" s="5"/>
      <c r="LB176" s="6"/>
      <c r="LC176" s="6"/>
      <c r="LD176" s="6"/>
      <c r="LE176" s="5" t="str">
        <f t="shared" si="575"/>
        <v>NO APLICA</v>
      </c>
      <c r="LF176" s="6"/>
      <c r="LG176" s="6"/>
      <c r="LH176" s="6"/>
      <c r="LI176" s="6"/>
      <c r="LJ176" s="5" t="str">
        <f t="shared" si="614"/>
        <v>NO APLICA</v>
      </c>
      <c r="LK176" s="5"/>
      <c r="LL176" s="5"/>
      <c r="LM176" s="5"/>
      <c r="LN176" s="5"/>
      <c r="LO176" s="5" t="str">
        <f t="shared" si="580"/>
        <v>NO APLICA</v>
      </c>
      <c r="LP176" s="6"/>
      <c r="LQ176" s="6"/>
      <c r="LR176" s="6"/>
      <c r="LS176" s="6"/>
      <c r="LT176" s="5" t="str">
        <f t="shared" si="576"/>
        <v>NO APLICA</v>
      </c>
      <c r="LU176" s="6"/>
      <c r="LV176" s="6"/>
      <c r="LW176" s="6"/>
      <c r="LX176" s="6"/>
      <c r="LY176" s="5" t="str">
        <f t="shared" si="577"/>
        <v>NO APLICA</v>
      </c>
      <c r="LZ176" s="6"/>
      <c r="MA176" s="6"/>
      <c r="MB176" s="6"/>
      <c r="MC176" s="6"/>
      <c r="MD176" s="5" t="str">
        <f t="shared" si="578"/>
        <v>NO APLICA</v>
      </c>
      <c r="ME176" s="6"/>
      <c r="MF176" s="6"/>
      <c r="MG176" s="6"/>
      <c r="MH176" s="6"/>
      <c r="MI176" s="5" t="str">
        <f t="shared" si="551"/>
        <v>NO APLICA</v>
      </c>
      <c r="MJ176" s="6"/>
      <c r="MK176" s="6"/>
      <c r="ML176" s="6"/>
      <c r="MM176" s="6"/>
      <c r="MN176" s="5" t="str">
        <f t="shared" si="552"/>
        <v>NO APLICA</v>
      </c>
      <c r="MO176" s="5"/>
      <c r="MP176" s="6"/>
      <c r="MQ176" s="6"/>
      <c r="MR176" s="6"/>
      <c r="MS176" s="5" t="str">
        <f t="shared" si="553"/>
        <v>NO APLICA</v>
      </c>
      <c r="MT176" s="5"/>
      <c r="MU176" s="6"/>
      <c r="MV176" s="6"/>
      <c r="MW176" s="6"/>
      <c r="MX176" s="5" t="str">
        <f t="shared" si="554"/>
        <v>NO APLICA</v>
      </c>
      <c r="MY176" s="6"/>
      <c r="MZ176" s="6"/>
      <c r="NA176" s="6"/>
      <c r="NB176" s="6"/>
      <c r="NC176" s="5" t="str">
        <f t="shared" si="555"/>
        <v>NO APLICA</v>
      </c>
      <c r="ND176" s="6"/>
      <c r="NE176" s="6"/>
      <c r="NF176" s="6"/>
      <c r="NG176" s="6"/>
      <c r="NH176" s="5" t="str">
        <f t="shared" si="556"/>
        <v>NO APLICA</v>
      </c>
      <c r="NI176" s="6"/>
      <c r="NJ176" s="6"/>
      <c r="NK176" s="6"/>
      <c r="NL176" s="6"/>
      <c r="NM176" s="5" t="str">
        <f t="shared" si="557"/>
        <v>NO APLICA</v>
      </c>
      <c r="NN176" s="6"/>
      <c r="NO176" s="6"/>
      <c r="NP176" s="6"/>
      <c r="NQ176" s="6"/>
      <c r="NR176" s="5" t="str">
        <f t="shared" si="558"/>
        <v>NO APLICA</v>
      </c>
      <c r="NS176" s="6"/>
      <c r="NT176" s="6"/>
      <c r="NU176" s="6"/>
      <c r="NV176" s="6"/>
      <c r="NW176" s="5" t="str">
        <f t="shared" si="559"/>
        <v>NO APLICA</v>
      </c>
      <c r="NX176" s="6"/>
      <c r="NY176" s="6"/>
      <c r="NZ176" s="6"/>
      <c r="OA176" s="6"/>
      <c r="OB176" s="5" t="str">
        <f t="shared" si="560"/>
        <v>NO APLICA</v>
      </c>
      <c r="OC176" s="6"/>
      <c r="OD176" s="6"/>
      <c r="OE176" s="6"/>
      <c r="OF176" s="6"/>
      <c r="OG176" s="5" t="str">
        <f t="shared" si="561"/>
        <v>NO APLICA</v>
      </c>
      <c r="OH176" s="6"/>
      <c r="OI176" s="6"/>
      <c r="OJ176" s="6"/>
      <c r="OK176" s="6"/>
      <c r="OL176" s="5" t="str">
        <f t="shared" si="562"/>
        <v>NO APLICA</v>
      </c>
      <c r="OM176" s="6"/>
      <c r="ON176" s="6"/>
      <c r="OO176" s="6"/>
      <c r="OP176" s="6"/>
      <c r="OQ176" s="5" t="str">
        <f t="shared" si="563"/>
        <v>NO APLICA</v>
      </c>
      <c r="OR176" s="6"/>
      <c r="OS176" s="6"/>
      <c r="OT176" s="6"/>
      <c r="OU176" s="6"/>
      <c r="OV176" s="5" t="str">
        <f t="shared" si="564"/>
        <v>NO APLICA</v>
      </c>
      <c r="OW176" s="6"/>
      <c r="OX176" s="6"/>
      <c r="OY176" s="6"/>
      <c r="OZ176" s="6"/>
      <c r="PA176" s="5" t="str">
        <f t="shared" si="565"/>
        <v>NO APLICA</v>
      </c>
      <c r="PB176" s="6"/>
      <c r="PC176" s="6"/>
      <c r="PD176" s="6"/>
      <c r="PE176" s="6"/>
      <c r="PF176" s="5" t="str">
        <f t="shared" si="566"/>
        <v>NO APLICA</v>
      </c>
      <c r="PG176" s="6"/>
      <c r="PH176" s="6"/>
      <c r="PI176" s="6"/>
      <c r="PJ176" s="6"/>
      <c r="PK176" s="5" t="str">
        <f t="shared" si="567"/>
        <v>NO APLICA</v>
      </c>
      <c r="PL176" s="5"/>
      <c r="PM176" s="6"/>
      <c r="PN176" s="6"/>
      <c r="PO176" s="6"/>
      <c r="PP176" s="5" t="str">
        <f t="shared" si="568"/>
        <v>NO APLICA</v>
      </c>
      <c r="PQ176" s="6"/>
      <c r="PR176" s="6"/>
      <c r="PS176" s="6"/>
      <c r="PT176" s="6"/>
      <c r="PU176" s="5" t="str">
        <f t="shared" si="569"/>
        <v>NO APLICA</v>
      </c>
      <c r="PV176" s="5"/>
      <c r="PW176" s="6"/>
      <c r="PX176" s="6"/>
      <c r="PY176" s="6"/>
      <c r="PZ176" s="5" t="str">
        <f t="shared" si="570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566</v>
      </c>
      <c r="D177" s="30" t="s">
        <v>69</v>
      </c>
      <c r="E177" s="31" t="s">
        <v>75</v>
      </c>
      <c r="F177" s="6"/>
      <c r="G177" s="6"/>
      <c r="H177" s="6"/>
      <c r="I177" s="6"/>
      <c r="J177" s="5" t="str">
        <f t="shared" si="464"/>
        <v>NO APLICA</v>
      </c>
      <c r="K177" s="6"/>
      <c r="L177" s="6"/>
      <c r="M177" s="6"/>
      <c r="N177" s="6"/>
      <c r="O177" s="5" t="str">
        <f t="shared" si="465"/>
        <v>NO APLICA</v>
      </c>
      <c r="P177" s="9"/>
      <c r="Q177" s="9"/>
      <c r="R177" s="9"/>
      <c r="S177" s="9"/>
      <c r="T177" s="5" t="str">
        <f t="shared" si="571"/>
        <v>NO APLICA</v>
      </c>
      <c r="U177" s="5"/>
      <c r="V177" s="6" t="s">
        <v>567</v>
      </c>
      <c r="W177" s="4">
        <v>45261</v>
      </c>
      <c r="X177" s="4">
        <f t="shared" si="601"/>
        <v>47088</v>
      </c>
      <c r="Y177" s="8">
        <f t="shared" ca="1" si="602"/>
        <v>953</v>
      </c>
      <c r="Z177" s="5" t="str">
        <f t="shared" ca="1" si="619"/>
        <v>VIGENTE</v>
      </c>
      <c r="AA177" s="5"/>
      <c r="AB177" s="6" t="s">
        <v>568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6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67"/>
        <v>601</v>
      </c>
      <c r="AK177" s="5" t="str">
        <f t="shared" ca="1" si="616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68"/>
        <v>657</v>
      </c>
      <c r="AP177" s="5" t="str">
        <f t="shared" ca="1" si="469"/>
        <v>VIGENTE</v>
      </c>
      <c r="AQ177" s="6"/>
      <c r="AR177" s="4">
        <v>46048</v>
      </c>
      <c r="AS177" s="4">
        <f t="shared" ref="AS177:AS183" si="622">DATE(YEAR(AR177)+2,MONTH(AR177),DAY(AR177))</f>
        <v>46778</v>
      </c>
      <c r="AT177" s="8">
        <f t="shared" ca="1" si="470"/>
        <v>643</v>
      </c>
      <c r="AU177" s="5" t="str">
        <f t="shared" ca="1" si="47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2"/>
        <v>665</v>
      </c>
      <c r="AZ177" s="5" t="str">
        <f t="shared" ca="1" si="47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4"/>
        <v>636</v>
      </c>
      <c r="BE177" s="5" t="str">
        <f t="shared" ca="1" si="47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6"/>
        <v>662</v>
      </c>
      <c r="BJ177" s="5" t="str">
        <f t="shared" ca="1" si="47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78"/>
        <v>630</v>
      </c>
      <c r="BO177" s="5" t="str">
        <f t="shared" ca="1" si="47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0"/>
        <v>645</v>
      </c>
      <c r="BT177" s="5" t="str">
        <f t="shared" ca="1" si="48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2"/>
        <v>626</v>
      </c>
      <c r="BY177" s="5" t="str">
        <f t="shared" ca="1" si="48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4"/>
        <v>691</v>
      </c>
      <c r="CD177" s="5" t="str">
        <f t="shared" ca="1" si="485"/>
        <v>VIGENTE</v>
      </c>
      <c r="CE177" s="6" t="s">
        <v>73</v>
      </c>
      <c r="CF177" s="4">
        <v>45346</v>
      </c>
      <c r="CG177" s="4">
        <f t="shared" si="604"/>
        <v>46807</v>
      </c>
      <c r="CH177" s="8">
        <f t="shared" ca="1" si="605"/>
        <v>672</v>
      </c>
      <c r="CI177" s="5" t="str">
        <f t="shared" ca="1" si="587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6"/>
        <v>613</v>
      </c>
      <c r="CN177" s="5" t="str">
        <f t="shared" ca="1" si="48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88"/>
        <v>697</v>
      </c>
      <c r="CS177" s="5" t="str">
        <f t="shared" ca="1" si="48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0"/>
        <v>638</v>
      </c>
      <c r="CX177" s="5" t="str">
        <f t="shared" ca="1" si="49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2"/>
        <v>694</v>
      </c>
      <c r="DC177" s="5" t="str">
        <f t="shared" ca="1" si="49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4"/>
        <v>640</v>
      </c>
      <c r="DH177" s="5" t="str">
        <f t="shared" ca="1" si="49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6"/>
        <v>668</v>
      </c>
      <c r="DM177" s="5" t="str">
        <f t="shared" ca="1" si="49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98"/>
        <v>641</v>
      </c>
      <c r="DR177" s="5" t="str">
        <f t="shared" ca="1" si="49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0"/>
        <v>667</v>
      </c>
      <c r="DW177" s="5" t="str">
        <f t="shared" ca="1" si="50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2"/>
        <v>695</v>
      </c>
      <c r="EB177" s="5" t="str">
        <f t="shared" ca="1" si="50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4"/>
        <v>700</v>
      </c>
      <c r="EG177" s="5" t="str">
        <f t="shared" ca="1" si="505"/>
        <v>VIGENTE</v>
      </c>
      <c r="EH177" s="4"/>
      <c r="EI177" s="4">
        <v>45808</v>
      </c>
      <c r="EJ177" s="4">
        <f t="shared" si="572"/>
        <v>46173</v>
      </c>
      <c r="EK177" s="8">
        <f t="shared" ca="1" si="506"/>
        <v>38</v>
      </c>
      <c r="EL177" s="5" t="str">
        <f t="shared" ca="1" si="50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08"/>
        <v>696</v>
      </c>
      <c r="EQ177" s="5" t="str">
        <f t="shared" ca="1" si="50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0"/>
        <v>594</v>
      </c>
      <c r="EV177" s="5" t="str">
        <f t="shared" ca="1" si="511"/>
        <v>VIGENTE</v>
      </c>
      <c r="EW177" s="4"/>
      <c r="EX177" s="4">
        <v>45917</v>
      </c>
      <c r="EY177" s="4">
        <f t="shared" ref="EY177:EY186" si="623">DATE(YEAR(EX177)+2,MONTH(EX177),DAY(EX177))</f>
        <v>46647</v>
      </c>
      <c r="EZ177" s="8">
        <f t="shared" ca="1" si="512"/>
        <v>512</v>
      </c>
      <c r="FA177" s="5" t="str">
        <f t="shared" ca="1" si="51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4"/>
        <v>687</v>
      </c>
      <c r="FF177" s="5" t="str">
        <f t="shared" ca="1" si="51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6"/>
        <v>587</v>
      </c>
      <c r="FK177" s="5" t="str">
        <f t="shared" ca="1" si="51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18"/>
        <v>515</v>
      </c>
      <c r="FP177" s="5" t="str">
        <f t="shared" ca="1" si="51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0"/>
        <v>629</v>
      </c>
      <c r="FU177" s="5" t="str">
        <f t="shared" ca="1" si="52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2"/>
        <v>609</v>
      </c>
      <c r="FZ177" s="5" t="str">
        <f t="shared" ca="1" si="52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4"/>
        <v>625</v>
      </c>
      <c r="GE177" s="5" t="str">
        <f t="shared" ca="1" si="52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6"/>
        <v>631</v>
      </c>
      <c r="GJ177" s="5" t="str">
        <f t="shared" ca="1" si="52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28"/>
        <v>518</v>
      </c>
      <c r="GO177" s="5" t="str">
        <f t="shared" ca="1" si="529"/>
        <v>VIGENTE</v>
      </c>
      <c r="GP177" s="4"/>
      <c r="GQ177" s="4">
        <v>45367</v>
      </c>
      <c r="GR177" s="4">
        <f t="shared" si="530"/>
        <v>47193</v>
      </c>
      <c r="GS177" s="8">
        <f t="shared" ca="1" si="615"/>
        <v>1058</v>
      </c>
      <c r="GT177" s="5" t="str">
        <f t="shared" ref="GT177:GT240" ca="1" si="624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1"/>
        <v>47215</v>
      </c>
      <c r="GX177" s="8">
        <f t="shared" ca="1" si="532"/>
        <v>1080</v>
      </c>
      <c r="GY177" s="5" t="str">
        <f t="shared" ref="GY177:GY240" ca="1" si="625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3"/>
        <v>47175</v>
      </c>
      <c r="HC177" s="8">
        <f t="shared" ca="1" si="534"/>
        <v>1040</v>
      </c>
      <c r="HD177" s="5" t="str">
        <f t="shared" ref="HD177:HD240" ca="1" si="626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17"/>
        <v>47218</v>
      </c>
      <c r="HH177" s="8">
        <f t="shared" ca="1" si="618"/>
        <v>1083</v>
      </c>
      <c r="HI177" s="5" t="str">
        <f t="shared" ref="HI177:HI190" ca="1" si="627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3"/>
        <v>NO APLICA</v>
      </c>
      <c r="HO177" s="2"/>
      <c r="HP177" s="2"/>
      <c r="HQ177" s="4"/>
      <c r="HR177" s="2"/>
      <c r="HS177" s="5" t="str">
        <f t="shared" si="535"/>
        <v>NO APLICA</v>
      </c>
      <c r="HT177" s="6"/>
      <c r="HU177" s="6"/>
      <c r="HV177" s="4"/>
      <c r="HW177" s="8"/>
      <c r="HX177" s="5" t="str">
        <f t="shared" si="536"/>
        <v>NO APLICA</v>
      </c>
      <c r="HY177" s="6"/>
      <c r="HZ177" s="6"/>
      <c r="IA177" s="4"/>
      <c r="IB177" s="8"/>
      <c r="IC177" s="5" t="str">
        <f t="shared" si="537"/>
        <v>NO APLICA</v>
      </c>
      <c r="ID177" s="6"/>
      <c r="IE177" s="6"/>
      <c r="IF177" s="4"/>
      <c r="IG177" s="8"/>
      <c r="IH177" s="5" t="str">
        <f t="shared" si="538"/>
        <v>NO APLICA</v>
      </c>
      <c r="II177" s="6"/>
      <c r="IJ177" s="6"/>
      <c r="IK177" s="4"/>
      <c r="IL177" s="6"/>
      <c r="IM177" s="5" t="str">
        <f t="shared" si="539"/>
        <v>NO APLICA</v>
      </c>
      <c r="IN177" s="6"/>
      <c r="IO177" s="6"/>
      <c r="IP177" s="4"/>
      <c r="IQ177" s="8"/>
      <c r="IR177" s="5" t="str">
        <f t="shared" si="540"/>
        <v>NO APLICA</v>
      </c>
      <c r="IS177" s="6"/>
      <c r="IT177" s="6"/>
      <c r="IU177" s="4"/>
      <c r="IV177" s="8"/>
      <c r="IW177" s="5" t="str">
        <f t="shared" si="541"/>
        <v>NO APLICA</v>
      </c>
      <c r="IX177" s="6"/>
      <c r="IY177" s="6"/>
      <c r="IZ177" s="4"/>
      <c r="JA177" s="8"/>
      <c r="JB177" s="5" t="str">
        <f t="shared" si="542"/>
        <v>NO APLICA</v>
      </c>
      <c r="JC177" s="3"/>
      <c r="JD177" s="3"/>
      <c r="JE177" s="4"/>
      <c r="JF177" s="8"/>
      <c r="JG177" s="5" t="str">
        <f t="shared" si="543"/>
        <v>NO APLICA</v>
      </c>
      <c r="JH177" s="6"/>
      <c r="JI177" s="6"/>
      <c r="JJ177" s="6"/>
      <c r="JK177" s="6"/>
      <c r="JL177" s="5" t="str">
        <f t="shared" si="544"/>
        <v>NO APLICA</v>
      </c>
      <c r="JM177" s="6"/>
      <c r="JN177" s="6"/>
      <c r="JO177" s="6"/>
      <c r="JP177" s="6"/>
      <c r="JQ177" s="5" t="str">
        <f t="shared" si="545"/>
        <v>NO APLICA</v>
      </c>
      <c r="JR177" s="6"/>
      <c r="JS177" s="6"/>
      <c r="JT177" s="6"/>
      <c r="JU177" s="6"/>
      <c r="JV177" s="5" t="str">
        <f t="shared" si="546"/>
        <v>NO APLICA</v>
      </c>
      <c r="JW177" s="5"/>
      <c r="JX177" s="5"/>
      <c r="JY177" s="5"/>
      <c r="JZ177" s="5"/>
      <c r="KA177" s="5" t="str">
        <f t="shared" si="547"/>
        <v>NO APLICA</v>
      </c>
      <c r="KB177" s="5"/>
      <c r="KC177" s="2"/>
      <c r="KD177" s="4"/>
      <c r="KE177" s="8"/>
      <c r="KF177" s="5" t="str">
        <f t="shared" si="548"/>
        <v>NO APLICA</v>
      </c>
      <c r="KG177" s="5"/>
      <c r="KH177" s="2"/>
      <c r="KI177" s="4"/>
      <c r="KJ177" s="8"/>
      <c r="KK177" s="5" t="str">
        <f t="shared" si="573"/>
        <v>NO APLICA</v>
      </c>
      <c r="KL177" s="5"/>
      <c r="KM177" s="2"/>
      <c r="KN177" s="4"/>
      <c r="KO177" s="8"/>
      <c r="KP177" s="5" t="str">
        <f t="shared" si="549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74"/>
        <v>VIGENTE</v>
      </c>
      <c r="KV177" s="6"/>
      <c r="KW177" s="6"/>
      <c r="KX177" s="4"/>
      <c r="KY177" s="6"/>
      <c r="KZ177" s="5" t="str">
        <f t="shared" si="579"/>
        <v>NO APLICA</v>
      </c>
      <c r="LA177" s="5"/>
      <c r="LB177" s="6"/>
      <c r="LC177" s="4"/>
      <c r="LD177" s="6"/>
      <c r="LE177" s="5" t="str">
        <f t="shared" si="575"/>
        <v>NO APLICA</v>
      </c>
      <c r="LF177" s="6"/>
      <c r="LG177" s="6"/>
      <c r="LH177" s="6"/>
      <c r="LI177" s="6"/>
      <c r="LJ177" s="5" t="str">
        <f t="shared" si="614"/>
        <v>NO APLICA</v>
      </c>
      <c r="LK177" s="5"/>
      <c r="LL177" s="5"/>
      <c r="LM177" s="4"/>
      <c r="LN177" s="8"/>
      <c r="LO177" s="5" t="str">
        <f t="shared" si="580"/>
        <v>NO APLICA</v>
      </c>
      <c r="LP177" s="6"/>
      <c r="LQ177" s="6"/>
      <c r="LR177" s="4"/>
      <c r="LS177" s="8"/>
      <c r="LT177" s="5" t="str">
        <f t="shared" si="576"/>
        <v>NO APLICA</v>
      </c>
      <c r="LU177" s="6"/>
      <c r="LV177" s="6"/>
      <c r="LW177" s="4"/>
      <c r="LX177" s="6"/>
      <c r="LY177" s="5" t="str">
        <f t="shared" si="577"/>
        <v>NO APLICA</v>
      </c>
      <c r="LZ177" s="6"/>
      <c r="MA177" s="6"/>
      <c r="MB177" s="4"/>
      <c r="MC177" s="6"/>
      <c r="MD177" s="5" t="str">
        <f t="shared" si="578"/>
        <v>NO APLICA</v>
      </c>
      <c r="ME177" s="6"/>
      <c r="MF177" s="6"/>
      <c r="MG177" s="4"/>
      <c r="MH177" s="6"/>
      <c r="MI177" s="5" t="str">
        <f t="shared" si="551"/>
        <v>NO APLICA</v>
      </c>
      <c r="MJ177" s="6"/>
      <c r="MK177" s="6"/>
      <c r="ML177" s="4"/>
      <c r="MM177" s="6"/>
      <c r="MN177" s="5" t="str">
        <f t="shared" si="552"/>
        <v>NO APLICA</v>
      </c>
      <c r="MO177" s="5"/>
      <c r="MP177" s="6"/>
      <c r="MQ177" s="4"/>
      <c r="MR177" s="6"/>
      <c r="MS177" s="5" t="str">
        <f t="shared" si="553"/>
        <v>NO APLICA</v>
      </c>
      <c r="MT177" s="5"/>
      <c r="MU177" s="6"/>
      <c r="MV177" s="6"/>
      <c r="MW177" s="6"/>
      <c r="MX177" s="5" t="str">
        <f t="shared" si="554"/>
        <v>NO APLICA</v>
      </c>
      <c r="MY177" s="6"/>
      <c r="MZ177" s="6"/>
      <c r="NA177" s="4"/>
      <c r="NB177" s="6"/>
      <c r="NC177" s="5" t="str">
        <f t="shared" si="555"/>
        <v>NO APLICA</v>
      </c>
      <c r="ND177" s="6"/>
      <c r="NE177" s="6"/>
      <c r="NF177" s="4"/>
      <c r="NG177" s="6"/>
      <c r="NH177" s="5" t="str">
        <f t="shared" si="556"/>
        <v>NO APLICA</v>
      </c>
      <c r="NI177" s="6"/>
      <c r="NJ177" s="6"/>
      <c r="NK177" s="4"/>
      <c r="NL177" s="6"/>
      <c r="NM177" s="5" t="str">
        <f t="shared" si="557"/>
        <v>NO APLICA</v>
      </c>
      <c r="NN177" s="6"/>
      <c r="NO177" s="6"/>
      <c r="NP177" s="4"/>
      <c r="NQ177" s="6"/>
      <c r="NR177" s="5" t="str">
        <f t="shared" si="558"/>
        <v>NO APLICA</v>
      </c>
      <c r="NS177" s="6"/>
      <c r="NT177" s="6"/>
      <c r="NU177" s="4"/>
      <c r="NV177" s="6"/>
      <c r="NW177" s="5" t="str">
        <f t="shared" si="559"/>
        <v>NO APLICA</v>
      </c>
      <c r="NX177" s="6"/>
      <c r="NY177" s="6"/>
      <c r="NZ177" s="4"/>
      <c r="OA177" s="8"/>
      <c r="OB177" s="5" t="str">
        <f t="shared" si="560"/>
        <v>NO APLICA</v>
      </c>
      <c r="OC177" s="6"/>
      <c r="OD177" s="6"/>
      <c r="OE177" s="6"/>
      <c r="OF177" s="6"/>
      <c r="OG177" s="5" t="str">
        <f t="shared" si="561"/>
        <v>NO APLICA</v>
      </c>
      <c r="OH177" s="6"/>
      <c r="OI177" s="6"/>
      <c r="OJ177" s="6"/>
      <c r="OK177" s="6"/>
      <c r="OL177" s="5" t="str">
        <f t="shared" si="562"/>
        <v>NO APLICA</v>
      </c>
      <c r="OM177" s="6"/>
      <c r="ON177" s="6"/>
      <c r="OO177" s="6"/>
      <c r="OP177" s="6"/>
      <c r="OQ177" s="5" t="str">
        <f t="shared" si="563"/>
        <v>NO APLICA</v>
      </c>
      <c r="OR177" s="6"/>
      <c r="OS177" s="6"/>
      <c r="OT177" s="6"/>
      <c r="OU177" s="6"/>
      <c r="OV177" s="5" t="str">
        <f t="shared" si="564"/>
        <v>NO APLICA</v>
      </c>
      <c r="OW177" s="6"/>
      <c r="OX177" s="6"/>
      <c r="OY177" s="6"/>
      <c r="OZ177" s="6"/>
      <c r="PA177" s="5" t="str">
        <f t="shared" si="565"/>
        <v>NO APLICA</v>
      </c>
      <c r="PB177" s="6"/>
      <c r="PC177" s="6"/>
      <c r="PD177" s="6"/>
      <c r="PE177" s="6"/>
      <c r="PF177" s="5" t="str">
        <f t="shared" si="566"/>
        <v>NO APLICA</v>
      </c>
      <c r="PG177" s="6"/>
      <c r="PH177" s="6"/>
      <c r="PI177" s="6"/>
      <c r="PJ177" s="6"/>
      <c r="PK177" s="5" t="str">
        <f t="shared" si="567"/>
        <v>NO APLICA</v>
      </c>
      <c r="PL177" s="5"/>
      <c r="PM177" s="6"/>
      <c r="PN177" s="6"/>
      <c r="PO177" s="6"/>
      <c r="PP177" s="5" t="str">
        <f t="shared" si="568"/>
        <v>NO APLICA</v>
      </c>
      <c r="PQ177" s="6"/>
      <c r="PR177" s="6"/>
      <c r="PS177" s="6"/>
      <c r="PT177" s="6"/>
      <c r="PU177" s="5" t="str">
        <f t="shared" si="569"/>
        <v>NO APLICA</v>
      </c>
      <c r="PV177" s="5"/>
      <c r="PW177" s="6"/>
      <c r="PX177" s="6"/>
      <c r="PY177" s="6"/>
      <c r="PZ177" s="5" t="str">
        <f t="shared" si="570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569</v>
      </c>
      <c r="D178" s="30" t="s">
        <v>69</v>
      </c>
      <c r="E178" s="31" t="s">
        <v>131</v>
      </c>
      <c r="F178" s="5"/>
      <c r="G178" s="6"/>
      <c r="H178" s="4"/>
      <c r="I178" s="8"/>
      <c r="J178" s="5" t="str">
        <f t="shared" si="464"/>
        <v>NO APLICA</v>
      </c>
      <c r="K178" s="5"/>
      <c r="L178" s="6"/>
      <c r="M178" s="6"/>
      <c r="N178" s="8"/>
      <c r="O178" s="5" t="str">
        <f t="shared" si="465"/>
        <v>NO APLICA</v>
      </c>
      <c r="P178" s="6"/>
      <c r="Q178" s="6"/>
      <c r="R178" s="4"/>
      <c r="S178" s="8"/>
      <c r="T178" s="5" t="str">
        <f t="shared" si="571"/>
        <v>NO APLICA</v>
      </c>
      <c r="U178" s="5"/>
      <c r="V178" s="2" t="s">
        <v>570</v>
      </c>
      <c r="W178" s="4">
        <v>45216</v>
      </c>
      <c r="X178" s="4">
        <f t="shared" si="601"/>
        <v>47043</v>
      </c>
      <c r="Y178" s="8">
        <f t="shared" ca="1" si="602"/>
        <v>908</v>
      </c>
      <c r="Z178" s="5" t="str">
        <f t="shared" ca="1" si="619"/>
        <v>VIGENTE</v>
      </c>
      <c r="AA178" s="5"/>
      <c r="AB178" s="2" t="s">
        <v>571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6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67"/>
        <v>183</v>
      </c>
      <c r="AK178" s="5" t="str">
        <f t="shared" ca="1" si="616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68"/>
        <v>532</v>
      </c>
      <c r="AP178" s="5" t="str">
        <f t="shared" ca="1" si="469"/>
        <v>VIGENTE</v>
      </c>
      <c r="AQ178" s="3"/>
      <c r="AR178" s="4">
        <v>45887</v>
      </c>
      <c r="AS178" s="4">
        <f t="shared" si="622"/>
        <v>46617</v>
      </c>
      <c r="AT178" s="8">
        <f t="shared" ca="1" si="470"/>
        <v>482</v>
      </c>
      <c r="AU178" s="5" t="str">
        <f t="shared" ca="1" si="47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2"/>
        <v>585</v>
      </c>
      <c r="AZ178" s="5" t="str">
        <f t="shared" ca="1" si="47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4"/>
        <v>109</v>
      </c>
      <c r="BE178" s="5" t="str">
        <f t="shared" ca="1" si="47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6"/>
        <v>622</v>
      </c>
      <c r="BJ178" s="5" t="str">
        <f t="shared" ca="1" si="47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78"/>
        <v>71</v>
      </c>
      <c r="BO178" s="5" t="str">
        <f t="shared" ca="1" si="47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0"/>
        <v>41</v>
      </c>
      <c r="BT178" s="5" t="str">
        <f t="shared" ca="1" si="48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2"/>
        <v>466</v>
      </c>
      <c r="BY178" s="5" t="str">
        <f t="shared" ca="1" si="48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4"/>
        <v>539</v>
      </c>
      <c r="CD178" s="5" t="str">
        <f t="shared" ca="1" si="485"/>
        <v>VIGENTE</v>
      </c>
      <c r="CE178" s="6" t="s">
        <v>73</v>
      </c>
      <c r="CF178" s="4">
        <v>45227</v>
      </c>
      <c r="CG178" s="4">
        <f t="shared" si="604"/>
        <v>46688</v>
      </c>
      <c r="CH178" s="8">
        <f t="shared" ca="1" si="605"/>
        <v>553</v>
      </c>
      <c r="CI178" s="5" t="str">
        <f t="shared" ca="1" si="587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6"/>
        <v>490</v>
      </c>
      <c r="CN178" s="5" t="str">
        <f t="shared" ca="1" si="48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88"/>
        <v>493</v>
      </c>
      <c r="CS178" s="5" t="str">
        <f t="shared" ca="1" si="48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0"/>
        <v>239</v>
      </c>
      <c r="CX178" s="5" t="str">
        <f t="shared" ca="1" si="49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2"/>
        <v>255</v>
      </c>
      <c r="DC178" s="5" t="str">
        <f t="shared" ca="1" si="49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4"/>
        <v>283</v>
      </c>
      <c r="DH178" s="5" t="str">
        <f t="shared" ca="1" si="49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6"/>
        <v>550</v>
      </c>
      <c r="DM178" s="5" t="str">
        <f t="shared" ca="1" si="49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98"/>
        <v>577</v>
      </c>
      <c r="DR178" s="5" t="str">
        <f t="shared" ca="1" si="49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0"/>
        <v>513</v>
      </c>
      <c r="DW178" s="5" t="str">
        <f t="shared" ca="1" si="50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2"/>
        <v>510</v>
      </c>
      <c r="EB178" s="5" t="str">
        <f t="shared" ca="1" si="50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4"/>
        <v>478</v>
      </c>
      <c r="EG178" s="5" t="str">
        <f t="shared" ca="1" si="505"/>
        <v>VIGENTE</v>
      </c>
      <c r="EH178" s="3"/>
      <c r="EI178" s="3">
        <v>46002</v>
      </c>
      <c r="EJ178" s="4">
        <f t="shared" si="572"/>
        <v>46367</v>
      </c>
      <c r="EK178" s="8">
        <f t="shared" ca="1" si="506"/>
        <v>232</v>
      </c>
      <c r="EL178" s="5" t="str">
        <f t="shared" ca="1" si="50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08"/>
        <v>535</v>
      </c>
      <c r="EQ178" s="5" t="str">
        <f t="shared" ca="1" si="50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0"/>
        <v>419</v>
      </c>
      <c r="EV178" s="5" t="str">
        <f t="shared" ca="1" si="511"/>
        <v>VIGENTE</v>
      </c>
      <c r="EW178" s="3"/>
      <c r="EX178" s="4">
        <v>45917</v>
      </c>
      <c r="EY178" s="4">
        <f t="shared" si="623"/>
        <v>46647</v>
      </c>
      <c r="EZ178" s="8">
        <f t="shared" ca="1" si="512"/>
        <v>512</v>
      </c>
      <c r="FA178" s="5" t="str">
        <f t="shared" ca="1" si="51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4"/>
        <v>517</v>
      </c>
      <c r="FF178" s="5" t="str">
        <f t="shared" ca="1" si="51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6"/>
        <v>514</v>
      </c>
      <c r="FK178" s="5" t="str">
        <f t="shared" ca="1" si="51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18"/>
        <v>559</v>
      </c>
      <c r="FP178" s="5" t="str">
        <f t="shared" ca="1" si="51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0"/>
        <v>441</v>
      </c>
      <c r="FU178" s="5" t="str">
        <f t="shared" ca="1" si="52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2"/>
        <v>503</v>
      </c>
      <c r="FZ178" s="5" t="str">
        <f t="shared" ca="1" si="52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4"/>
        <v>469</v>
      </c>
      <c r="GE178" s="5" t="str">
        <f t="shared" ca="1" si="52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6"/>
        <v>555</v>
      </c>
      <c r="GJ178" s="5" t="str">
        <f t="shared" ca="1" si="52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28"/>
        <v>540</v>
      </c>
      <c r="GO178" s="5" t="str">
        <f t="shared" ca="1" si="529"/>
        <v>VIGENTE</v>
      </c>
      <c r="GP178" s="4"/>
      <c r="GQ178" s="4">
        <v>45224</v>
      </c>
      <c r="GR178" s="4">
        <f t="shared" si="530"/>
        <v>47051</v>
      </c>
      <c r="GS178" s="8">
        <f t="shared" ca="1" si="615"/>
        <v>916</v>
      </c>
      <c r="GT178" s="5" t="str">
        <f t="shared" ca="1" si="624"/>
        <v>VIGENTE</v>
      </c>
      <c r="GU178" s="3"/>
      <c r="GV178" s="4">
        <v>45200</v>
      </c>
      <c r="GW178" s="4">
        <f t="shared" si="531"/>
        <v>47027</v>
      </c>
      <c r="GX178" s="8">
        <f t="shared" ca="1" si="532"/>
        <v>892</v>
      </c>
      <c r="GY178" s="5" t="str">
        <f t="shared" ca="1" si="625"/>
        <v>VIGENTE</v>
      </c>
      <c r="GZ178" s="3"/>
      <c r="HA178" s="4">
        <v>45232</v>
      </c>
      <c r="HB178" s="4">
        <f t="shared" si="533"/>
        <v>47059</v>
      </c>
      <c r="HC178" s="8">
        <f t="shared" ca="1" si="534"/>
        <v>924</v>
      </c>
      <c r="HD178" s="5" t="str">
        <f t="shared" ca="1" si="626"/>
        <v>VIGENTE</v>
      </c>
      <c r="HE178" s="6"/>
      <c r="HF178" s="4">
        <v>44862</v>
      </c>
      <c r="HG178" s="4">
        <f t="shared" si="617"/>
        <v>46688</v>
      </c>
      <c r="HH178" s="8">
        <f t="shared" ca="1" si="618"/>
        <v>553</v>
      </c>
      <c r="HI178" s="5" t="str">
        <f t="shared" ca="1" si="627"/>
        <v>VIGENTE</v>
      </c>
      <c r="HJ178" s="2"/>
      <c r="HK178" s="6"/>
      <c r="HL178" s="4"/>
      <c r="HM178" s="8"/>
      <c r="HN178" s="5" t="str">
        <f t="shared" si="453"/>
        <v>NO APLICA</v>
      </c>
      <c r="HO178" s="2"/>
      <c r="HP178" s="5"/>
      <c r="HQ178" s="4"/>
      <c r="HR178" s="5"/>
      <c r="HS178" s="5" t="str">
        <f t="shared" si="53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3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3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3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3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4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4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42"/>
        <v>VIGENTE</v>
      </c>
      <c r="JC178" s="3"/>
      <c r="JD178" s="3"/>
      <c r="JE178" s="4"/>
      <c r="JF178" s="8"/>
      <c r="JG178" s="5" t="str">
        <f t="shared" si="543"/>
        <v>NO APLICA</v>
      </c>
      <c r="JH178" s="6"/>
      <c r="JI178" s="6"/>
      <c r="JJ178" s="6"/>
      <c r="JK178" s="6"/>
      <c r="JL178" s="5" t="str">
        <f t="shared" si="544"/>
        <v>NO APLICA</v>
      </c>
      <c r="JM178" s="6"/>
      <c r="JN178" s="6"/>
      <c r="JO178" s="6"/>
      <c r="JP178" s="6"/>
      <c r="JQ178" s="5" t="str">
        <f t="shared" si="545"/>
        <v>NO APLICA</v>
      </c>
      <c r="JR178" s="6"/>
      <c r="JS178" s="6"/>
      <c r="JT178" s="6"/>
      <c r="JU178" s="6"/>
      <c r="JV178" s="5" t="str">
        <f t="shared" si="546"/>
        <v>NO APLICA</v>
      </c>
      <c r="JW178" s="5"/>
      <c r="JX178" s="3"/>
      <c r="JY178" s="4"/>
      <c r="JZ178" s="8"/>
      <c r="KA178" s="5" t="str">
        <f t="shared" si="547"/>
        <v>NO APLICA</v>
      </c>
      <c r="KB178" s="5"/>
      <c r="KC178" s="5"/>
      <c r="KD178" s="4"/>
      <c r="KE178" s="8"/>
      <c r="KF178" s="5" t="str">
        <f t="shared" si="548"/>
        <v>NO APLICA</v>
      </c>
      <c r="KG178" s="5"/>
      <c r="KH178" s="5"/>
      <c r="KI178" s="4"/>
      <c r="KJ178" s="8"/>
      <c r="KK178" s="5" t="str">
        <f t="shared" si="573"/>
        <v>NO APLICA</v>
      </c>
      <c r="KL178" s="5"/>
      <c r="KM178" s="5"/>
      <c r="KN178" s="4"/>
      <c r="KO178" s="8"/>
      <c r="KP178" s="5" t="str">
        <f t="shared" si="549"/>
        <v>NO APLICA</v>
      </c>
      <c r="KQ178" s="5"/>
      <c r="KR178" s="2"/>
      <c r="KS178" s="4"/>
      <c r="KT178" s="8"/>
      <c r="KU178" s="5" t="str">
        <f t="shared" si="574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79"/>
        <v>VIGENTE</v>
      </c>
      <c r="LA178" s="5"/>
      <c r="LB178" s="6"/>
      <c r="LC178" s="4"/>
      <c r="LD178" s="8"/>
      <c r="LE178" s="5" t="str">
        <f t="shared" si="575"/>
        <v>NO APLICA</v>
      </c>
      <c r="LF178" s="6"/>
      <c r="LG178" s="4"/>
      <c r="LH178" s="4"/>
      <c r="LI178" s="8"/>
      <c r="LJ178" s="5" t="str">
        <f t="shared" si="614"/>
        <v>NO APLICA</v>
      </c>
      <c r="LK178" s="5"/>
      <c r="LL178" s="5"/>
      <c r="LM178" s="4"/>
      <c r="LN178" s="8"/>
      <c r="LO178" s="5" t="str">
        <f t="shared" si="580"/>
        <v>NO APLICA</v>
      </c>
      <c r="LP178" s="5"/>
      <c r="LQ178" s="6"/>
      <c r="LR178" s="4"/>
      <c r="LS178" s="8"/>
      <c r="LT178" s="5" t="str">
        <f t="shared" si="576"/>
        <v>NO APLICA</v>
      </c>
      <c r="LU178" s="6"/>
      <c r="LV178" s="6"/>
      <c r="LW178" s="4"/>
      <c r="LX178" s="8"/>
      <c r="LY178" s="5" t="str">
        <f t="shared" si="577"/>
        <v>NO APLICA</v>
      </c>
      <c r="LZ178" s="6"/>
      <c r="MA178" s="6"/>
      <c r="MB178" s="4"/>
      <c r="MC178" s="8"/>
      <c r="MD178" s="5" t="str">
        <f t="shared" si="578"/>
        <v>NO APLICA</v>
      </c>
      <c r="ME178" s="5"/>
      <c r="MF178" s="5"/>
      <c r="MG178" s="4"/>
      <c r="MH178" s="8"/>
      <c r="MI178" s="5" t="str">
        <f t="shared" si="551"/>
        <v>NO APLICA</v>
      </c>
      <c r="MJ178" s="5"/>
      <c r="MK178" s="5"/>
      <c r="ML178" s="4"/>
      <c r="MM178" s="8"/>
      <c r="MN178" s="5" t="str">
        <f t="shared" si="552"/>
        <v>NO APLICA</v>
      </c>
      <c r="MO178" s="5"/>
      <c r="MP178" s="5"/>
      <c r="MQ178" s="4"/>
      <c r="MR178" s="8"/>
      <c r="MS178" s="5" t="str">
        <f t="shared" si="553"/>
        <v>NO APLICA</v>
      </c>
      <c r="MT178" s="5"/>
      <c r="MU178" s="5"/>
      <c r="MV178" s="4"/>
      <c r="MW178" s="5"/>
      <c r="MX178" s="5" t="str">
        <f t="shared" si="554"/>
        <v>NO APLICA</v>
      </c>
      <c r="MY178" s="5"/>
      <c r="MZ178" s="6"/>
      <c r="NA178" s="4"/>
      <c r="NB178" s="8"/>
      <c r="NC178" s="5" t="str">
        <f t="shared" si="555"/>
        <v>NO APLICA</v>
      </c>
      <c r="ND178" s="5"/>
      <c r="NE178" s="6"/>
      <c r="NF178" s="4"/>
      <c r="NG178" s="8"/>
      <c r="NH178" s="5" t="str">
        <f t="shared" si="556"/>
        <v>NO APLICA</v>
      </c>
      <c r="NI178" s="5"/>
      <c r="NJ178" s="6"/>
      <c r="NK178" s="4"/>
      <c r="NL178" s="8"/>
      <c r="NM178" s="5" t="str">
        <f t="shared" si="557"/>
        <v>NO APLICA</v>
      </c>
      <c r="NN178" s="5"/>
      <c r="NO178" s="5"/>
      <c r="NP178" s="4"/>
      <c r="NQ178" s="8"/>
      <c r="NR178" s="5" t="str">
        <f t="shared" si="558"/>
        <v>NO APLICA</v>
      </c>
      <c r="NS178" s="5"/>
      <c r="NT178" s="5"/>
      <c r="NU178" s="5"/>
      <c r="NV178" s="5"/>
      <c r="NW178" s="5" t="str">
        <f t="shared" si="559"/>
        <v>NO APLICA</v>
      </c>
      <c r="NX178" s="6"/>
      <c r="NY178" s="6"/>
      <c r="NZ178" s="4"/>
      <c r="OA178" s="8"/>
      <c r="OB178" s="5" t="str">
        <f t="shared" si="560"/>
        <v>NO APLICA</v>
      </c>
      <c r="OC178" s="6"/>
      <c r="OD178" s="6"/>
      <c r="OE178" s="6"/>
      <c r="OF178" s="6"/>
      <c r="OG178" s="5" t="str">
        <f t="shared" si="561"/>
        <v>NO APLICA</v>
      </c>
      <c r="OH178" s="5"/>
      <c r="OI178" s="5"/>
      <c r="OJ178" s="4"/>
      <c r="OK178" s="8"/>
      <c r="OL178" s="5" t="str">
        <f t="shared" si="562"/>
        <v>NO APLICA</v>
      </c>
      <c r="OM178" s="6"/>
      <c r="ON178" s="6"/>
      <c r="OO178" s="6"/>
      <c r="OP178" s="6"/>
      <c r="OQ178" s="5" t="str">
        <f t="shared" si="563"/>
        <v>NO APLICA</v>
      </c>
      <c r="OR178" s="6"/>
      <c r="OS178" s="6"/>
      <c r="OT178" s="6"/>
      <c r="OU178" s="6"/>
      <c r="OV178" s="5" t="str">
        <f t="shared" si="564"/>
        <v>NO APLICA</v>
      </c>
      <c r="OW178" s="6"/>
      <c r="OX178" s="6"/>
      <c r="OY178" s="6"/>
      <c r="OZ178" s="6"/>
      <c r="PA178" s="5" t="str">
        <f t="shared" si="565"/>
        <v>NO APLICA</v>
      </c>
      <c r="PB178" s="6"/>
      <c r="PC178" s="6"/>
      <c r="PD178" s="6"/>
      <c r="PE178" s="6"/>
      <c r="PF178" s="5" t="str">
        <f t="shared" si="566"/>
        <v>NO APLICA</v>
      </c>
      <c r="PG178" s="6"/>
      <c r="PH178" s="6"/>
      <c r="PI178" s="6"/>
      <c r="PJ178" s="6"/>
      <c r="PK178" s="5" t="str">
        <f t="shared" si="567"/>
        <v>NO APLICA</v>
      </c>
      <c r="PL178" s="5"/>
      <c r="PM178" s="6"/>
      <c r="PN178" s="4"/>
      <c r="PO178" s="8"/>
      <c r="PP178" s="5" t="str">
        <f t="shared" si="568"/>
        <v>NO APLICA</v>
      </c>
      <c r="PQ178" s="6"/>
      <c r="PR178" s="6"/>
      <c r="PS178" s="6"/>
      <c r="PT178" s="6"/>
      <c r="PU178" s="5" t="str">
        <f t="shared" si="569"/>
        <v>NO APLICA</v>
      </c>
      <c r="PV178" s="5"/>
      <c r="PW178" s="6"/>
      <c r="PX178" s="6"/>
      <c r="PY178" s="6"/>
      <c r="PZ178" s="5" t="str">
        <f t="shared" si="570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572</v>
      </c>
      <c r="D179" s="30" t="s">
        <v>115</v>
      </c>
      <c r="E179" s="31" t="s">
        <v>128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64"/>
        <v>VIGENTE</v>
      </c>
      <c r="K179" s="2"/>
      <c r="L179" s="6"/>
      <c r="M179" s="6"/>
      <c r="N179" s="8"/>
      <c r="O179" s="5" t="str">
        <f t="shared" si="465"/>
        <v>NO APLICA</v>
      </c>
      <c r="P179" s="6"/>
      <c r="Q179" s="6"/>
      <c r="R179" s="4"/>
      <c r="S179" s="8"/>
      <c r="T179" s="5" t="str">
        <f t="shared" si="571"/>
        <v>NO APLICA</v>
      </c>
      <c r="U179" s="5"/>
      <c r="V179" s="2" t="s">
        <v>573</v>
      </c>
      <c r="W179" s="4">
        <v>45735</v>
      </c>
      <c r="X179" s="4">
        <f t="shared" si="601"/>
        <v>47561</v>
      </c>
      <c r="Y179" s="8">
        <f t="shared" ca="1" si="602"/>
        <v>1426</v>
      </c>
      <c r="Z179" s="5" t="str">
        <f t="shared" ca="1" si="619"/>
        <v>VIGENTE</v>
      </c>
      <c r="AA179" s="5"/>
      <c r="AB179" s="2"/>
      <c r="AC179" s="6"/>
      <c r="AD179" s="4"/>
      <c r="AE179" s="8"/>
      <c r="AF179" s="5" t="str">
        <f t="shared" si="46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67"/>
        <v>497</v>
      </c>
      <c r="AK179" s="5" t="str">
        <f t="shared" ca="1" si="616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68"/>
        <v>521</v>
      </c>
      <c r="AP179" s="5" t="str">
        <f t="shared" ca="1" si="469"/>
        <v>VIGENTE</v>
      </c>
      <c r="AQ179" s="3"/>
      <c r="AR179" s="4">
        <v>45904</v>
      </c>
      <c r="AS179" s="4">
        <f t="shared" si="622"/>
        <v>46634</v>
      </c>
      <c r="AT179" s="8">
        <f t="shared" ca="1" si="470"/>
        <v>499</v>
      </c>
      <c r="AU179" s="5" t="str">
        <f t="shared" ca="1" si="47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2"/>
        <v>501</v>
      </c>
      <c r="AZ179" s="5" t="str">
        <f t="shared" ca="1" si="47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4"/>
        <v>311</v>
      </c>
      <c r="BE179" s="5" t="str">
        <f t="shared" ca="1" si="47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6"/>
        <v>125</v>
      </c>
      <c r="BJ179" s="5" t="str">
        <f t="shared" ca="1" si="47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78"/>
        <v>164</v>
      </c>
      <c r="BO179" s="5" t="str">
        <f t="shared" ca="1" si="47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0"/>
        <v>295</v>
      </c>
      <c r="BT179" s="5" t="str">
        <f t="shared" ca="1" si="48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2"/>
        <v>289</v>
      </c>
      <c r="BY179" s="5" t="str">
        <f t="shared" ca="1" si="48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4"/>
        <v>506</v>
      </c>
      <c r="CD179" s="5" t="str">
        <f t="shared" ca="1" si="485"/>
        <v>VIGENTE</v>
      </c>
      <c r="CE179" s="6" t="s">
        <v>73</v>
      </c>
      <c r="CF179" s="4">
        <v>45529</v>
      </c>
      <c r="CG179" s="4">
        <f t="shared" si="604"/>
        <v>46990</v>
      </c>
      <c r="CH179" s="8">
        <f t="shared" ca="1" si="605"/>
        <v>855</v>
      </c>
      <c r="CI179" s="5" t="str">
        <f t="shared" ca="1" si="587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6"/>
        <v>282</v>
      </c>
      <c r="CN179" s="5" t="str">
        <f t="shared" ca="1" si="48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88"/>
        <v>364</v>
      </c>
      <c r="CS179" s="5" t="str">
        <f t="shared" ca="1" si="48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0"/>
        <v>560</v>
      </c>
      <c r="CX179" s="5" t="str">
        <f t="shared" ca="1" si="49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2"/>
        <v>519</v>
      </c>
      <c r="DC179" s="5" t="str">
        <f t="shared" ca="1" si="49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4"/>
        <v>283</v>
      </c>
      <c r="DH179" s="5" t="str">
        <f t="shared" ca="1" si="49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6"/>
        <v>570</v>
      </c>
      <c r="DM179" s="5" t="str">
        <f t="shared" ca="1" si="49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98"/>
        <v>577</v>
      </c>
      <c r="DR179" s="5" t="str">
        <f t="shared" ca="1" si="49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0"/>
        <v>279</v>
      </c>
      <c r="DW179" s="5" t="str">
        <f t="shared" ca="1" si="50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2"/>
        <v>257</v>
      </c>
      <c r="EB179" s="5" t="str">
        <f t="shared" ca="1" si="50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4"/>
        <v>268</v>
      </c>
      <c r="EG179" s="5" t="str">
        <f t="shared" ca="1" si="505"/>
        <v>VIGENTE</v>
      </c>
      <c r="EH179" s="3"/>
      <c r="EI179" s="3">
        <v>46085</v>
      </c>
      <c r="EJ179" s="4">
        <f t="shared" si="572"/>
        <v>46450</v>
      </c>
      <c r="EK179" s="8">
        <f t="shared" ca="1" si="506"/>
        <v>315</v>
      </c>
      <c r="EL179" s="5" t="str">
        <f t="shared" ca="1" si="50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08"/>
        <v>299</v>
      </c>
      <c r="EQ179" s="5" t="str">
        <f t="shared" ca="1" si="50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0"/>
        <v>343</v>
      </c>
      <c r="EV179" s="5" t="str">
        <f t="shared" ca="1" si="511"/>
        <v>VIGENTE</v>
      </c>
      <c r="EW179" s="3"/>
      <c r="EX179" s="4">
        <v>45917</v>
      </c>
      <c r="EY179" s="4">
        <f t="shared" si="623"/>
        <v>46647</v>
      </c>
      <c r="EZ179" s="8">
        <f t="shared" ca="1" si="512"/>
        <v>512</v>
      </c>
      <c r="FA179" s="5" t="str">
        <f t="shared" ca="1" si="51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4"/>
        <v>526</v>
      </c>
      <c r="FF179" s="5" t="str">
        <f t="shared" ca="1" si="51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6"/>
        <v>527</v>
      </c>
      <c r="FK179" s="5" t="str">
        <f t="shared" ca="1" si="51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18"/>
        <v>264</v>
      </c>
      <c r="FP179" s="5" t="str">
        <f t="shared" ca="1" si="51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0"/>
        <v>258</v>
      </c>
      <c r="FU179" s="5" t="str">
        <f t="shared" ca="1" si="52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2"/>
        <v>588</v>
      </c>
      <c r="FZ179" s="5" t="str">
        <f t="shared" ca="1" si="52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4"/>
        <v>261</v>
      </c>
      <c r="GE179" s="5" t="str">
        <f t="shared" ca="1" si="52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6"/>
        <v>266</v>
      </c>
      <c r="GJ179" s="5" t="str">
        <f t="shared" ca="1" si="52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28"/>
        <v>202</v>
      </c>
      <c r="GO179" s="5" t="str">
        <f t="shared" ca="1" si="529"/>
        <v>VIGENTE</v>
      </c>
      <c r="GP179" s="4"/>
      <c r="GQ179" s="4">
        <v>44912</v>
      </c>
      <c r="GR179" s="4">
        <f t="shared" si="530"/>
        <v>46738</v>
      </c>
      <c r="GS179" s="8">
        <f t="shared" ca="1" si="615"/>
        <v>603</v>
      </c>
      <c r="GT179" s="5" t="str">
        <f t="shared" ca="1" si="624"/>
        <v>VIGENTE</v>
      </c>
      <c r="GU179" s="3"/>
      <c r="GV179" s="4">
        <v>44984</v>
      </c>
      <c r="GW179" s="4">
        <f t="shared" si="531"/>
        <v>46810</v>
      </c>
      <c r="GX179" s="8">
        <f t="shared" ca="1" si="532"/>
        <v>675</v>
      </c>
      <c r="GY179" s="5" t="str">
        <f t="shared" ca="1" si="625"/>
        <v>VIGENTE</v>
      </c>
      <c r="GZ179" s="3"/>
      <c r="HA179" s="4">
        <v>45174</v>
      </c>
      <c r="HB179" s="4">
        <f t="shared" si="533"/>
        <v>47001</v>
      </c>
      <c r="HC179" s="8">
        <f t="shared" ca="1" si="534"/>
        <v>866</v>
      </c>
      <c r="HD179" s="5" t="str">
        <f t="shared" ca="1" si="626"/>
        <v>VIGENTE</v>
      </c>
      <c r="HE179" s="6"/>
      <c r="HF179" s="6"/>
      <c r="HG179" s="4"/>
      <c r="HH179" s="8"/>
      <c r="HI179" s="5" t="str">
        <f t="shared" si="627"/>
        <v>NO APLICA</v>
      </c>
      <c r="HJ179" s="2"/>
      <c r="HK179" s="6"/>
      <c r="HL179" s="4"/>
      <c r="HM179" s="8"/>
      <c r="HN179" s="5" t="str">
        <f t="shared" si="453"/>
        <v>NO APLICA</v>
      </c>
      <c r="HO179" s="2"/>
      <c r="HP179" s="2"/>
      <c r="HQ179" s="4"/>
      <c r="HR179" s="2"/>
      <c r="HS179" s="5" t="str">
        <f t="shared" si="535"/>
        <v>NO APLICA</v>
      </c>
      <c r="HT179" s="2"/>
      <c r="HU179" s="6"/>
      <c r="HV179" s="4"/>
      <c r="HW179" s="8"/>
      <c r="HX179" s="5" t="str">
        <f t="shared" si="536"/>
        <v>NO APLICA</v>
      </c>
      <c r="HY179" s="2"/>
      <c r="HZ179" s="6"/>
      <c r="IA179" s="4"/>
      <c r="IB179" s="8"/>
      <c r="IC179" s="5" t="str">
        <f t="shared" si="537"/>
        <v>NO APLICA</v>
      </c>
      <c r="ID179" s="2"/>
      <c r="IE179" s="6"/>
      <c r="IF179" s="4"/>
      <c r="IG179" s="8"/>
      <c r="IH179" s="5" t="str">
        <f t="shared" si="538"/>
        <v>NO APLICA</v>
      </c>
      <c r="II179" s="6"/>
      <c r="IJ179" s="6"/>
      <c r="IK179" s="4"/>
      <c r="IL179" s="8"/>
      <c r="IM179" s="5" t="str">
        <f t="shared" si="539"/>
        <v>NO APLICA</v>
      </c>
      <c r="IN179" s="2"/>
      <c r="IO179" s="6"/>
      <c r="IP179" s="4"/>
      <c r="IQ179" s="8"/>
      <c r="IR179" s="5" t="str">
        <f t="shared" si="540"/>
        <v>NO APLICA</v>
      </c>
      <c r="IS179" s="2"/>
      <c r="IT179" s="6"/>
      <c r="IU179" s="4"/>
      <c r="IV179" s="8"/>
      <c r="IW179" s="5" t="str">
        <f t="shared" si="541"/>
        <v>NO APLICA</v>
      </c>
      <c r="IX179" s="2"/>
      <c r="IY179" s="6"/>
      <c r="IZ179" s="4"/>
      <c r="JA179" s="8"/>
      <c r="JB179" s="5" t="str">
        <f t="shared" si="542"/>
        <v>NO APLICA</v>
      </c>
      <c r="JC179" s="3"/>
      <c r="JD179" s="3"/>
      <c r="JE179" s="4"/>
      <c r="JF179" s="8"/>
      <c r="JG179" s="5" t="str">
        <f t="shared" si="543"/>
        <v>NO APLICA</v>
      </c>
      <c r="JH179" s="6"/>
      <c r="JI179" s="6"/>
      <c r="JJ179" s="6"/>
      <c r="JK179" s="6"/>
      <c r="JL179" s="5" t="str">
        <f t="shared" si="544"/>
        <v>NO APLICA</v>
      </c>
      <c r="JM179" s="6"/>
      <c r="JN179" s="6"/>
      <c r="JO179" s="6"/>
      <c r="JP179" s="6"/>
      <c r="JQ179" s="5" t="str">
        <f t="shared" si="545"/>
        <v>NO APLICA</v>
      </c>
      <c r="JR179" s="6"/>
      <c r="JS179" s="6"/>
      <c r="JT179" s="6"/>
      <c r="JU179" s="6"/>
      <c r="JV179" s="5" t="str">
        <f t="shared" si="546"/>
        <v>NO APLICA</v>
      </c>
      <c r="JW179" s="5"/>
      <c r="JX179" s="3"/>
      <c r="JY179" s="4"/>
      <c r="JZ179" s="8"/>
      <c r="KA179" s="5" t="str">
        <f t="shared" si="547"/>
        <v>NO APLICA</v>
      </c>
      <c r="KB179" s="5"/>
      <c r="KC179" s="2"/>
      <c r="KD179" s="4"/>
      <c r="KE179" s="8"/>
      <c r="KF179" s="5" t="str">
        <f t="shared" si="548"/>
        <v>NO APLICA</v>
      </c>
      <c r="KG179" s="5"/>
      <c r="KH179" s="2"/>
      <c r="KI179" s="4"/>
      <c r="KJ179" s="8"/>
      <c r="KK179" s="5" t="str">
        <f t="shared" si="573"/>
        <v>NO APLICA</v>
      </c>
      <c r="KL179" s="5"/>
      <c r="KM179" s="2"/>
      <c r="KN179" s="4"/>
      <c r="KO179" s="8"/>
      <c r="KP179" s="5" t="str">
        <f t="shared" si="549"/>
        <v>NO APLICA</v>
      </c>
      <c r="KQ179" s="5"/>
      <c r="KR179" s="2"/>
      <c r="KS179" s="4"/>
      <c r="KT179" s="8"/>
      <c r="KU179" s="5" t="str">
        <f t="shared" si="574"/>
        <v>NO APLICA</v>
      </c>
      <c r="KV179" s="2"/>
      <c r="KW179" s="6"/>
      <c r="KX179" s="4"/>
      <c r="KY179" s="8"/>
      <c r="KZ179" s="5" t="str">
        <f t="shared" si="579"/>
        <v>NO APLICA</v>
      </c>
      <c r="LA179" s="5"/>
      <c r="LB179" s="6"/>
      <c r="LC179" s="4"/>
      <c r="LD179" s="8"/>
      <c r="LE179" s="5" t="str">
        <f t="shared" si="575"/>
        <v>NO APLICA</v>
      </c>
      <c r="LF179" s="6"/>
      <c r="LG179" s="6"/>
      <c r="LH179" s="4"/>
      <c r="LI179" s="8"/>
      <c r="LJ179" s="5" t="str">
        <f t="shared" si="614"/>
        <v>NO APLICA</v>
      </c>
      <c r="LK179" s="5"/>
      <c r="LL179" s="5"/>
      <c r="LM179" s="4"/>
      <c r="LN179" s="8"/>
      <c r="LO179" s="5" t="str">
        <f t="shared" si="580"/>
        <v>NO APLICA</v>
      </c>
      <c r="LP179" s="2"/>
      <c r="LQ179" s="6"/>
      <c r="LR179" s="4"/>
      <c r="LS179" s="8"/>
      <c r="LT179" s="5" t="str">
        <f t="shared" si="576"/>
        <v>NO APLICA</v>
      </c>
      <c r="LU179" s="6"/>
      <c r="LV179" s="6"/>
      <c r="LW179" s="4"/>
      <c r="LX179" s="8"/>
      <c r="LY179" s="5" t="str">
        <f t="shared" si="577"/>
        <v>NO APLICA</v>
      </c>
      <c r="LZ179" s="6"/>
      <c r="MA179" s="6"/>
      <c r="MB179" s="4"/>
      <c r="MC179" s="8"/>
      <c r="MD179" s="5" t="str">
        <f t="shared" si="578"/>
        <v>NO APLICA</v>
      </c>
      <c r="ME179" s="2"/>
      <c r="MF179" s="2"/>
      <c r="MG179" s="4"/>
      <c r="MH179" s="8"/>
      <c r="MI179" s="5" t="str">
        <f t="shared" si="551"/>
        <v>NO APLICA</v>
      </c>
      <c r="MJ179" s="2"/>
      <c r="MK179" s="2"/>
      <c r="ML179" s="4"/>
      <c r="MM179" s="8"/>
      <c r="MN179" s="5" t="str">
        <f t="shared" si="552"/>
        <v>NO APLICA</v>
      </c>
      <c r="MO179" s="5"/>
      <c r="MP179" s="2"/>
      <c r="MQ179" s="4"/>
      <c r="MR179" s="8"/>
      <c r="MS179" s="5" t="str">
        <f t="shared" si="553"/>
        <v>NO APLICA</v>
      </c>
      <c r="MT179" s="5"/>
      <c r="MU179" s="2"/>
      <c r="MV179" s="4"/>
      <c r="MW179" s="2"/>
      <c r="MX179" s="5" t="str">
        <f t="shared" si="554"/>
        <v>NO APLICA</v>
      </c>
      <c r="MY179" s="2"/>
      <c r="MZ179" s="6"/>
      <c r="NA179" s="4"/>
      <c r="NB179" s="8"/>
      <c r="NC179" s="5" t="str">
        <f t="shared" si="555"/>
        <v>NO APLICA</v>
      </c>
      <c r="ND179" s="2"/>
      <c r="NE179" s="6"/>
      <c r="NF179" s="4"/>
      <c r="NG179" s="8"/>
      <c r="NH179" s="5" t="str">
        <f t="shared" si="556"/>
        <v>NO APLICA</v>
      </c>
      <c r="NI179" s="2"/>
      <c r="NJ179" s="6"/>
      <c r="NK179" s="4"/>
      <c r="NL179" s="8"/>
      <c r="NM179" s="5" t="str">
        <f t="shared" si="557"/>
        <v>NO APLICA</v>
      </c>
      <c r="NN179" s="2"/>
      <c r="NO179" s="2"/>
      <c r="NP179" s="4"/>
      <c r="NQ179" s="8"/>
      <c r="NR179" s="5" t="str">
        <f t="shared" si="558"/>
        <v>NO APLICA</v>
      </c>
      <c r="NS179" s="2"/>
      <c r="NT179" s="2"/>
      <c r="NU179" s="2"/>
      <c r="NV179" s="2"/>
      <c r="NW179" s="5" t="str">
        <f t="shared" si="559"/>
        <v>NO APLICA</v>
      </c>
      <c r="NX179" s="6"/>
      <c r="NY179" s="6"/>
      <c r="NZ179" s="4"/>
      <c r="OA179" s="8"/>
      <c r="OB179" s="5" t="str">
        <f t="shared" si="560"/>
        <v>NO APLICA</v>
      </c>
      <c r="OC179" s="6"/>
      <c r="OD179" s="6"/>
      <c r="OE179" s="6"/>
      <c r="OF179" s="6"/>
      <c r="OG179" s="5" t="str">
        <f t="shared" si="561"/>
        <v>NO APLICA</v>
      </c>
      <c r="OH179" s="6"/>
      <c r="OI179" s="6"/>
      <c r="OJ179" s="4"/>
      <c r="OK179" s="8"/>
      <c r="OL179" s="5" t="str">
        <f t="shared" si="562"/>
        <v>NO APLICA</v>
      </c>
      <c r="OM179" s="6"/>
      <c r="ON179" s="6"/>
      <c r="OO179" s="6"/>
      <c r="OP179" s="6"/>
      <c r="OQ179" s="5" t="str">
        <f t="shared" si="563"/>
        <v>NO APLICA</v>
      </c>
      <c r="OR179" s="6"/>
      <c r="OS179" s="6"/>
      <c r="OT179" s="6"/>
      <c r="OU179" s="6"/>
      <c r="OV179" s="5" t="str">
        <f t="shared" si="564"/>
        <v>NO APLICA</v>
      </c>
      <c r="OW179" s="6"/>
      <c r="OX179" s="6"/>
      <c r="OY179" s="6"/>
      <c r="OZ179" s="6"/>
      <c r="PA179" s="5" t="str">
        <f t="shared" si="565"/>
        <v>NO APLICA</v>
      </c>
      <c r="PB179" s="6"/>
      <c r="PC179" s="6"/>
      <c r="PD179" s="6"/>
      <c r="PE179" s="6"/>
      <c r="PF179" s="5" t="str">
        <f t="shared" si="566"/>
        <v>NO APLICA</v>
      </c>
      <c r="PG179" s="6"/>
      <c r="PH179" s="6"/>
      <c r="PI179" s="6"/>
      <c r="PJ179" s="6"/>
      <c r="PK179" s="5" t="str">
        <f t="shared" si="567"/>
        <v>NO APLICA</v>
      </c>
      <c r="PL179" s="5"/>
      <c r="PM179" s="6"/>
      <c r="PN179" s="4"/>
      <c r="PO179" s="8"/>
      <c r="PP179" s="5" t="str">
        <f t="shared" si="568"/>
        <v>NO APLICA</v>
      </c>
      <c r="PQ179" s="6"/>
      <c r="PR179" s="6"/>
      <c r="PS179" s="6"/>
      <c r="PT179" s="6"/>
      <c r="PU179" s="5" t="str">
        <f t="shared" si="569"/>
        <v>NO APLICA</v>
      </c>
      <c r="PV179" s="5"/>
      <c r="PW179" s="6"/>
      <c r="PX179" s="6"/>
      <c r="PY179" s="6"/>
      <c r="PZ179" s="5" t="str">
        <f t="shared" si="570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782</v>
      </c>
      <c r="D180" s="30" t="s">
        <v>69</v>
      </c>
      <c r="E180" s="31" t="s">
        <v>75</v>
      </c>
      <c r="F180" s="6"/>
      <c r="G180" s="6"/>
      <c r="H180" s="6"/>
      <c r="I180" s="6"/>
      <c r="J180" s="5" t="str">
        <f t="shared" si="464"/>
        <v>NO APLICA</v>
      </c>
      <c r="K180" s="6"/>
      <c r="L180" s="6"/>
      <c r="M180" s="6"/>
      <c r="N180" s="6"/>
      <c r="O180" s="5" t="str">
        <f t="shared" si="465"/>
        <v>NO APLICA</v>
      </c>
      <c r="P180" s="6"/>
      <c r="Q180" s="6"/>
      <c r="R180" s="6"/>
      <c r="S180" s="6"/>
      <c r="T180" s="5" t="str">
        <f t="shared" si="571"/>
        <v>NO APLICA</v>
      </c>
      <c r="U180" s="5"/>
      <c r="V180" s="6" t="s">
        <v>574</v>
      </c>
      <c r="W180" s="4">
        <v>45426</v>
      </c>
      <c r="X180" s="4">
        <f t="shared" si="601"/>
        <v>47252</v>
      </c>
      <c r="Y180" s="8">
        <f t="shared" ca="1" si="602"/>
        <v>1117</v>
      </c>
      <c r="Z180" s="5" t="str">
        <f t="shared" ca="1" si="619"/>
        <v>VIGENTE</v>
      </c>
      <c r="AA180" s="5"/>
      <c r="AB180" s="6" t="s">
        <v>575</v>
      </c>
      <c r="AC180" s="4">
        <v>45464</v>
      </c>
      <c r="AD180" s="4">
        <f>DATE(YEAR(AC180)+5,MONTH(AC180),DAY(AC180))</f>
        <v>47290</v>
      </c>
      <c r="AE180" s="8">
        <f t="shared" ref="AE180:AE189" ca="1" si="628">AD180-TODAY()</f>
        <v>1155</v>
      </c>
      <c r="AF180" s="5" t="str">
        <f t="shared" ca="1" si="46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67"/>
        <v>106</v>
      </c>
      <c r="AK180" s="5" t="str">
        <f t="shared" ca="1" si="616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68"/>
        <v>680</v>
      </c>
      <c r="AP180" s="5" t="str">
        <f t="shared" ca="1" si="469"/>
        <v>VIGENTE</v>
      </c>
      <c r="AQ180" s="6"/>
      <c r="AR180" s="4">
        <v>46048</v>
      </c>
      <c r="AS180" s="4">
        <f t="shared" si="622"/>
        <v>46778</v>
      </c>
      <c r="AT180" s="8">
        <f t="shared" ca="1" si="470"/>
        <v>643</v>
      </c>
      <c r="AU180" s="5" t="str">
        <f t="shared" ca="1" si="47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2"/>
        <v>117</v>
      </c>
      <c r="AZ180" s="5" t="str">
        <f t="shared" ca="1" si="47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4"/>
        <v>666</v>
      </c>
      <c r="BE180" s="5" t="str">
        <f t="shared" ca="1" si="475"/>
        <v>VIGENTE</v>
      </c>
      <c r="BF180" s="6"/>
      <c r="BG180" s="4">
        <v>46067</v>
      </c>
      <c r="BH180" s="4">
        <f t="shared" ref="BH180:BH186" si="629">DATE(YEAR(BG180)+2,MONTH(BG180),DAY(BG180))</f>
        <v>46797</v>
      </c>
      <c r="BI180" s="8">
        <f t="shared" ca="1" si="476"/>
        <v>662</v>
      </c>
      <c r="BJ180" s="5" t="str">
        <f t="shared" ca="1" si="47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78"/>
        <v>686</v>
      </c>
      <c r="BO180" s="5" t="str">
        <f t="shared" ca="1" si="47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0"/>
        <v>41</v>
      </c>
      <c r="BT180" s="5" t="str">
        <f t="shared" ca="1" si="48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2"/>
        <v>43</v>
      </c>
      <c r="BY180" s="5" t="str">
        <f t="shared" ca="1" si="48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4"/>
        <v>660</v>
      </c>
      <c r="CD180" s="5" t="str">
        <f t="shared" ca="1" si="485"/>
        <v>VIGENTE</v>
      </c>
      <c r="CE180" s="6" t="s">
        <v>73</v>
      </c>
      <c r="CF180" s="4">
        <v>45455</v>
      </c>
      <c r="CG180" s="4">
        <f t="shared" si="604"/>
        <v>46916</v>
      </c>
      <c r="CH180" s="8">
        <f t="shared" ca="1" si="605"/>
        <v>781</v>
      </c>
      <c r="CI180" s="5" t="str">
        <f t="shared" ca="1" si="587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6"/>
        <v>46</v>
      </c>
      <c r="CN180" s="5" t="str">
        <f t="shared" ca="1" si="48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88"/>
        <v>697</v>
      </c>
      <c r="CS180" s="5" t="str">
        <f t="shared" ca="1" si="48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0"/>
        <v>676</v>
      </c>
      <c r="CX180" s="5" t="str">
        <f t="shared" ca="1" si="49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2"/>
        <v>694</v>
      </c>
      <c r="DC180" s="5" t="str">
        <f t="shared" ca="1" si="49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4"/>
        <v>129</v>
      </c>
      <c r="DH180" s="5" t="str">
        <f t="shared" ca="1" si="49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6"/>
        <v>45</v>
      </c>
      <c r="DM180" s="5" t="str">
        <f t="shared" ca="1" si="49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98"/>
        <v>80</v>
      </c>
      <c r="DR180" s="5" t="str">
        <f t="shared" ca="1" si="49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0"/>
        <v>648</v>
      </c>
      <c r="DW180" s="5" t="str">
        <f t="shared" ca="1" si="50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2"/>
        <v>695</v>
      </c>
      <c r="EB180" s="5" t="str">
        <f t="shared" ca="1" si="50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4"/>
        <v>700</v>
      </c>
      <c r="EG180" s="5" t="str">
        <f t="shared" ca="1" si="505"/>
        <v>VIGENTE</v>
      </c>
      <c r="EH180" s="4"/>
      <c r="EI180" s="4">
        <v>45812</v>
      </c>
      <c r="EJ180" s="4">
        <f t="shared" si="572"/>
        <v>46177</v>
      </c>
      <c r="EK180" s="8">
        <f t="shared" ca="1" si="506"/>
        <v>42</v>
      </c>
      <c r="EL180" s="5" t="str">
        <f t="shared" ca="1" si="50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08"/>
        <v>696</v>
      </c>
      <c r="EQ180" s="5" t="str">
        <f t="shared" ca="1" si="50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0"/>
        <v>690</v>
      </c>
      <c r="EV180" s="5" t="str">
        <f t="shared" ca="1" si="511"/>
        <v>VIGENTE</v>
      </c>
      <c r="EW180" s="4"/>
      <c r="EX180" s="4">
        <v>46063</v>
      </c>
      <c r="EY180" s="4">
        <f t="shared" si="623"/>
        <v>46793</v>
      </c>
      <c r="EZ180" s="8">
        <f t="shared" ca="1" si="512"/>
        <v>658</v>
      </c>
      <c r="FA180" s="5" t="str">
        <f t="shared" ca="1" si="51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4"/>
        <v>76</v>
      </c>
      <c r="FF180" s="5" t="str">
        <f t="shared" ca="1" si="51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6"/>
        <v>100</v>
      </c>
      <c r="FK180" s="5" t="str">
        <f t="shared" ca="1" si="51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18"/>
        <v>73</v>
      </c>
      <c r="FP180" s="5" t="str">
        <f t="shared" ca="1" si="51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0"/>
        <v>675</v>
      </c>
      <c r="FU180" s="5" t="str">
        <f t="shared" ca="1" si="52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2"/>
        <v>141</v>
      </c>
      <c r="FZ180" s="5" t="str">
        <f t="shared" ca="1" si="52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4"/>
        <v>668</v>
      </c>
      <c r="GE180" s="5" t="str">
        <f t="shared" ca="1" si="52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6"/>
        <v>688</v>
      </c>
      <c r="GJ180" s="5" t="str">
        <f t="shared" ca="1" si="52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28"/>
        <v>689</v>
      </c>
      <c r="GO180" s="5" t="str">
        <f t="shared" ca="1" si="529"/>
        <v>VIGENTE</v>
      </c>
      <c r="GP180" s="4"/>
      <c r="GQ180" s="4">
        <v>45468</v>
      </c>
      <c r="GR180" s="4">
        <f t="shared" si="530"/>
        <v>47294</v>
      </c>
      <c r="GS180" s="8">
        <f t="shared" ca="1" si="615"/>
        <v>1159</v>
      </c>
      <c r="GT180" s="5" t="str">
        <f t="shared" ca="1" si="624"/>
        <v>VIGENTE</v>
      </c>
      <c r="GU180" s="4"/>
      <c r="GV180" s="4">
        <v>45507</v>
      </c>
      <c r="GW180" s="4">
        <f t="shared" si="531"/>
        <v>47333</v>
      </c>
      <c r="GX180" s="8">
        <f t="shared" ca="1" si="532"/>
        <v>1198</v>
      </c>
      <c r="GY180" s="5" t="str">
        <f t="shared" ca="1" si="625"/>
        <v>VIGENTE</v>
      </c>
      <c r="GZ180" s="6"/>
      <c r="HA180" s="4">
        <v>45479</v>
      </c>
      <c r="HB180" s="4">
        <f t="shared" si="533"/>
        <v>47305</v>
      </c>
      <c r="HC180" s="8">
        <f t="shared" ca="1" si="534"/>
        <v>1170</v>
      </c>
      <c r="HD180" s="5" t="str">
        <f t="shared" ca="1" si="626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0">HG180-TODAY()</f>
        <v>1187</v>
      </c>
      <c r="HI180" s="5" t="str">
        <f t="shared" ca="1" si="627"/>
        <v>VIGENTE</v>
      </c>
      <c r="HJ180" s="6"/>
      <c r="HK180" s="6"/>
      <c r="HL180" s="4"/>
      <c r="HM180" s="8"/>
      <c r="HN180" s="5" t="str">
        <f t="shared" si="453"/>
        <v>NO APLICA</v>
      </c>
      <c r="HO180" s="6"/>
      <c r="HP180" s="6"/>
      <c r="HQ180" s="4"/>
      <c r="HR180" s="6"/>
      <c r="HS180" s="5" t="str">
        <f t="shared" si="535"/>
        <v>NO APLICA</v>
      </c>
      <c r="HT180" s="6"/>
      <c r="HU180" s="6"/>
      <c r="HV180" s="4"/>
      <c r="HW180" s="8"/>
      <c r="HX180" s="5" t="str">
        <f t="shared" si="536"/>
        <v>NO APLICA</v>
      </c>
      <c r="HY180" s="6"/>
      <c r="HZ180" s="6"/>
      <c r="IA180" s="4"/>
      <c r="IB180" s="8"/>
      <c r="IC180" s="5" t="str">
        <f t="shared" si="537"/>
        <v>NO APLICA</v>
      </c>
      <c r="ID180" s="6"/>
      <c r="IE180" s="6"/>
      <c r="IF180" s="4"/>
      <c r="IG180" s="8"/>
      <c r="IH180" s="5" t="str">
        <f t="shared" si="538"/>
        <v>NO APLICA</v>
      </c>
      <c r="II180" s="6"/>
      <c r="IJ180" s="6"/>
      <c r="IK180" s="4"/>
      <c r="IL180" s="6"/>
      <c r="IM180" s="5" t="str">
        <f t="shared" si="539"/>
        <v>NO APLICA</v>
      </c>
      <c r="IN180" s="6"/>
      <c r="IO180" s="6"/>
      <c r="IP180" s="4"/>
      <c r="IQ180" s="8"/>
      <c r="IR180" s="5" t="str">
        <f t="shared" si="540"/>
        <v>NO APLICA</v>
      </c>
      <c r="IS180" s="6"/>
      <c r="IT180" s="6"/>
      <c r="IU180" s="4"/>
      <c r="IV180" s="8"/>
      <c r="IW180" s="5" t="str">
        <f t="shared" si="541"/>
        <v>NO APLICA</v>
      </c>
      <c r="IX180" s="6"/>
      <c r="IY180" s="6"/>
      <c r="IZ180" s="4"/>
      <c r="JA180" s="8"/>
      <c r="JB180" s="5" t="str">
        <f t="shared" si="542"/>
        <v>NO APLICA</v>
      </c>
      <c r="JC180" s="6"/>
      <c r="JD180" s="6"/>
      <c r="JE180" s="6"/>
      <c r="JF180" s="6"/>
      <c r="JG180" s="5" t="str">
        <f t="shared" si="543"/>
        <v>NO APLICA</v>
      </c>
      <c r="JH180" s="6"/>
      <c r="JI180" s="6"/>
      <c r="JJ180" s="6"/>
      <c r="JK180" s="6"/>
      <c r="JL180" s="5" t="str">
        <f t="shared" si="544"/>
        <v>NO APLICA</v>
      </c>
      <c r="JM180" s="6"/>
      <c r="JN180" s="6"/>
      <c r="JO180" s="6"/>
      <c r="JP180" s="6"/>
      <c r="JQ180" s="5" t="str">
        <f t="shared" si="545"/>
        <v>NO APLICA</v>
      </c>
      <c r="JR180" s="6"/>
      <c r="JS180" s="6"/>
      <c r="JT180" s="6"/>
      <c r="JU180" s="6"/>
      <c r="JV180" s="5" t="str">
        <f t="shared" si="546"/>
        <v>NO APLICA</v>
      </c>
      <c r="JW180" s="5"/>
      <c r="JX180" s="5"/>
      <c r="JY180" s="5"/>
      <c r="JZ180" s="5"/>
      <c r="KA180" s="5" t="str">
        <f t="shared" si="547"/>
        <v>NO APLICA</v>
      </c>
      <c r="KB180" s="5"/>
      <c r="KC180" s="6"/>
      <c r="KD180" s="4"/>
      <c r="KE180" s="6"/>
      <c r="KF180" s="5" t="str">
        <f t="shared" si="548"/>
        <v>NO APLICA</v>
      </c>
      <c r="KG180" s="5"/>
      <c r="KH180" s="6"/>
      <c r="KI180" s="4"/>
      <c r="KJ180" s="6"/>
      <c r="KK180" s="5" t="str">
        <f t="shared" si="573"/>
        <v>NO APLICA</v>
      </c>
      <c r="KL180" s="5"/>
      <c r="KM180" s="6"/>
      <c r="KN180" s="4"/>
      <c r="KO180" s="6"/>
      <c r="KP180" s="5" t="str">
        <f t="shared" si="549"/>
        <v>NO APLICA</v>
      </c>
      <c r="KQ180" s="5"/>
      <c r="KR180" s="6"/>
      <c r="KS180" s="4"/>
      <c r="KT180" s="6"/>
      <c r="KU180" s="5" t="str">
        <f t="shared" si="574"/>
        <v>NO APLICA</v>
      </c>
      <c r="KV180" s="6"/>
      <c r="KW180" s="6"/>
      <c r="KX180" s="4"/>
      <c r="KY180" s="6"/>
      <c r="KZ180" s="5" t="str">
        <f t="shared" si="579"/>
        <v>NO APLICA</v>
      </c>
      <c r="LA180" s="5"/>
      <c r="LB180" s="6"/>
      <c r="LC180" s="4"/>
      <c r="LD180" s="6"/>
      <c r="LE180" s="5" t="str">
        <f t="shared" si="575"/>
        <v>NO APLICA</v>
      </c>
      <c r="LF180" s="6"/>
      <c r="LG180" s="6"/>
      <c r="LH180" s="6"/>
      <c r="LI180" s="6"/>
      <c r="LJ180" s="5" t="str">
        <f t="shared" si="614"/>
        <v>NO APLICA</v>
      </c>
      <c r="LK180" s="5"/>
      <c r="LL180" s="5"/>
      <c r="LM180" s="4"/>
      <c r="LN180" s="8"/>
      <c r="LO180" s="5" t="str">
        <f t="shared" si="580"/>
        <v>NO APLICA</v>
      </c>
      <c r="LP180" s="6"/>
      <c r="LQ180" s="6"/>
      <c r="LR180" s="4"/>
      <c r="LS180" s="8"/>
      <c r="LT180" s="5" t="str">
        <f t="shared" si="576"/>
        <v>NO APLICA</v>
      </c>
      <c r="LU180" s="6"/>
      <c r="LV180" s="6"/>
      <c r="LW180" s="4"/>
      <c r="LX180" s="6"/>
      <c r="LY180" s="5" t="str">
        <f t="shared" si="577"/>
        <v>NO APLICA</v>
      </c>
      <c r="LZ180" s="6"/>
      <c r="MA180" s="6"/>
      <c r="MB180" s="4"/>
      <c r="MC180" s="6"/>
      <c r="MD180" s="5" t="str">
        <f t="shared" si="578"/>
        <v>NO APLICA</v>
      </c>
      <c r="ME180" s="6"/>
      <c r="MF180" s="6"/>
      <c r="MG180" s="4"/>
      <c r="MH180" s="6"/>
      <c r="MI180" s="5" t="str">
        <f t="shared" si="551"/>
        <v>NO APLICA</v>
      </c>
      <c r="MJ180" s="6"/>
      <c r="MK180" s="6"/>
      <c r="ML180" s="4"/>
      <c r="MM180" s="6"/>
      <c r="MN180" s="5" t="str">
        <f t="shared" si="552"/>
        <v>NO APLICA</v>
      </c>
      <c r="MO180" s="5"/>
      <c r="MP180" s="6"/>
      <c r="MQ180" s="4"/>
      <c r="MR180" s="6"/>
      <c r="MS180" s="5" t="str">
        <f t="shared" si="553"/>
        <v>NO APLICA</v>
      </c>
      <c r="MT180" s="5"/>
      <c r="MU180" s="6"/>
      <c r="MV180" s="6"/>
      <c r="MW180" s="6"/>
      <c r="MX180" s="5" t="str">
        <f t="shared" si="554"/>
        <v>NO APLICA</v>
      </c>
      <c r="MY180" s="6"/>
      <c r="MZ180" s="6"/>
      <c r="NA180" s="4"/>
      <c r="NB180" s="6"/>
      <c r="NC180" s="5" t="str">
        <f t="shared" si="555"/>
        <v>NO APLICA</v>
      </c>
      <c r="ND180" s="6"/>
      <c r="NE180" s="6"/>
      <c r="NF180" s="4"/>
      <c r="NG180" s="6"/>
      <c r="NH180" s="5" t="str">
        <f t="shared" si="556"/>
        <v>NO APLICA</v>
      </c>
      <c r="NI180" s="6"/>
      <c r="NJ180" s="6"/>
      <c r="NK180" s="4"/>
      <c r="NL180" s="6"/>
      <c r="NM180" s="5" t="str">
        <f t="shared" si="557"/>
        <v>NO APLICA</v>
      </c>
      <c r="NN180" s="6"/>
      <c r="NO180" s="6"/>
      <c r="NP180" s="4"/>
      <c r="NQ180" s="6"/>
      <c r="NR180" s="5" t="str">
        <f t="shared" si="558"/>
        <v>NO APLICA</v>
      </c>
      <c r="NS180" s="6"/>
      <c r="NT180" s="6"/>
      <c r="NU180" s="4"/>
      <c r="NV180" s="6"/>
      <c r="NW180" s="5" t="str">
        <f t="shared" si="559"/>
        <v>NO APLICA</v>
      </c>
      <c r="NX180" s="6"/>
      <c r="NY180" s="6"/>
      <c r="NZ180" s="4"/>
      <c r="OA180" s="8"/>
      <c r="OB180" s="5" t="str">
        <f t="shared" si="560"/>
        <v>NO APLICA</v>
      </c>
      <c r="OC180" s="6"/>
      <c r="OD180" s="6"/>
      <c r="OE180" s="6"/>
      <c r="OF180" s="6"/>
      <c r="OG180" s="5" t="str">
        <f t="shared" si="561"/>
        <v>NO APLICA</v>
      </c>
      <c r="OH180" s="6"/>
      <c r="OI180" s="6"/>
      <c r="OJ180" s="6"/>
      <c r="OK180" s="6"/>
      <c r="OL180" s="5" t="str">
        <f t="shared" si="562"/>
        <v>NO APLICA</v>
      </c>
      <c r="OM180" s="6"/>
      <c r="ON180" s="6"/>
      <c r="OO180" s="4"/>
      <c r="OP180" s="8"/>
      <c r="OQ180" s="5" t="str">
        <f t="shared" si="563"/>
        <v>NO APLICA</v>
      </c>
      <c r="OR180" s="6"/>
      <c r="OS180" s="6"/>
      <c r="OT180" s="6"/>
      <c r="OU180" s="6"/>
      <c r="OV180" s="5" t="str">
        <f t="shared" si="564"/>
        <v>NO APLICA</v>
      </c>
      <c r="OW180" s="6"/>
      <c r="OX180" s="6"/>
      <c r="OY180" s="6"/>
      <c r="OZ180" s="6"/>
      <c r="PA180" s="5" t="str">
        <f t="shared" si="565"/>
        <v>NO APLICA</v>
      </c>
      <c r="PB180" s="6"/>
      <c r="PC180" s="6"/>
      <c r="PD180" s="6"/>
      <c r="PE180" s="6"/>
      <c r="PF180" s="5" t="str">
        <f t="shared" si="566"/>
        <v>NO APLICA</v>
      </c>
      <c r="PG180" s="6"/>
      <c r="PH180" s="6"/>
      <c r="PI180" s="6"/>
      <c r="PJ180" s="6"/>
      <c r="PK180" s="5" t="str">
        <f t="shared" si="567"/>
        <v>NO APLICA</v>
      </c>
      <c r="PL180" s="5"/>
      <c r="PM180" s="6"/>
      <c r="PN180" s="6"/>
      <c r="PO180" s="6"/>
      <c r="PP180" s="5" t="str">
        <f t="shared" si="568"/>
        <v>NO APLICA</v>
      </c>
      <c r="PQ180" s="6"/>
      <c r="PR180" s="6"/>
      <c r="PS180" s="6"/>
      <c r="PT180" s="6"/>
      <c r="PU180" s="5" t="str">
        <f t="shared" si="569"/>
        <v>NO APLICA</v>
      </c>
      <c r="PV180" s="5"/>
      <c r="PW180" s="6"/>
      <c r="PX180" s="6"/>
      <c r="PY180" s="6"/>
      <c r="PZ180" s="5" t="str">
        <f t="shared" si="570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576</v>
      </c>
      <c r="D181" s="30" t="s">
        <v>69</v>
      </c>
      <c r="E181" s="31" t="s">
        <v>188</v>
      </c>
      <c r="F181" s="5"/>
      <c r="G181" s="6"/>
      <c r="H181" s="4"/>
      <c r="I181" s="8"/>
      <c r="J181" s="5" t="str">
        <f t="shared" si="464"/>
        <v>NO APLICA</v>
      </c>
      <c r="K181" s="5"/>
      <c r="L181" s="6"/>
      <c r="M181" s="6"/>
      <c r="N181" s="8"/>
      <c r="O181" s="5" t="str">
        <f t="shared" si="465"/>
        <v>NO APLICA</v>
      </c>
      <c r="P181" s="6"/>
      <c r="Q181" s="6"/>
      <c r="R181" s="4"/>
      <c r="S181" s="8"/>
      <c r="T181" s="5" t="str">
        <f t="shared" si="571"/>
        <v>NO APLICA</v>
      </c>
      <c r="U181" s="5"/>
      <c r="V181" s="2" t="s">
        <v>577</v>
      </c>
      <c r="W181" s="4">
        <v>44790</v>
      </c>
      <c r="X181" s="4">
        <f t="shared" si="601"/>
        <v>46616</v>
      </c>
      <c r="Y181" s="8">
        <f t="shared" ca="1" si="602"/>
        <v>481</v>
      </c>
      <c r="Z181" s="5" t="str">
        <f t="shared" ca="1" si="619"/>
        <v>VIGENTE</v>
      </c>
      <c r="AA181" s="5"/>
      <c r="AB181" s="2" t="s">
        <v>578</v>
      </c>
      <c r="AC181" s="4">
        <v>44828</v>
      </c>
      <c r="AD181" s="4">
        <f>DATE(YEAR(AC181)+5,MONTH(AC181),DAY(AC181))</f>
        <v>46654</v>
      </c>
      <c r="AE181" s="8">
        <f t="shared" ca="1" si="628"/>
        <v>519</v>
      </c>
      <c r="AF181" s="5" t="str">
        <f t="shared" ca="1" si="46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67"/>
        <v>183</v>
      </c>
      <c r="AK181" s="5" t="str">
        <f t="shared" ca="1" si="616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68"/>
        <v>521</v>
      </c>
      <c r="AP181" s="5" t="str">
        <f t="shared" ca="1" si="469"/>
        <v>VIGENTE</v>
      </c>
      <c r="AQ181" s="3"/>
      <c r="AR181" s="4">
        <v>45967</v>
      </c>
      <c r="AS181" s="4">
        <f t="shared" si="622"/>
        <v>46697</v>
      </c>
      <c r="AT181" s="8">
        <f t="shared" ca="1" si="470"/>
        <v>562</v>
      </c>
      <c r="AU181" s="5" t="str">
        <f t="shared" ca="1" si="47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2"/>
        <v>567</v>
      </c>
      <c r="AZ181" s="5" t="str">
        <f t="shared" ca="1" si="47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4"/>
        <v>109</v>
      </c>
      <c r="BE181" s="5" t="str">
        <f t="shared" ca="1" si="475"/>
        <v>VIGENTE</v>
      </c>
      <c r="BF181" s="3"/>
      <c r="BG181" s="4">
        <v>45968</v>
      </c>
      <c r="BH181" s="4">
        <f t="shared" si="629"/>
        <v>46698</v>
      </c>
      <c r="BI181" s="8">
        <f t="shared" ca="1" si="476"/>
        <v>563</v>
      </c>
      <c r="BJ181" s="5" t="str">
        <f t="shared" ca="1" si="47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78"/>
        <v>630</v>
      </c>
      <c r="BO181" s="5" t="str">
        <f t="shared" ca="1" si="47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0"/>
        <v>664</v>
      </c>
      <c r="BT181" s="5" t="str">
        <f t="shared" ca="1" si="48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2"/>
        <v>43</v>
      </c>
      <c r="BY181" s="5" t="str">
        <f t="shared" ca="1" si="48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4"/>
        <v>539</v>
      </c>
      <c r="CD181" s="5" t="str">
        <f t="shared" ca="1" si="485"/>
        <v>VIGENTE</v>
      </c>
      <c r="CE181" s="6" t="s">
        <v>73</v>
      </c>
      <c r="CF181" s="4">
        <v>45262</v>
      </c>
      <c r="CG181" s="4">
        <f t="shared" si="604"/>
        <v>46723</v>
      </c>
      <c r="CH181" s="8">
        <f t="shared" ca="1" si="605"/>
        <v>588</v>
      </c>
      <c r="CI181" s="5" t="str">
        <f t="shared" ca="1" si="587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6"/>
        <v>105</v>
      </c>
      <c r="CN181" s="5" t="str">
        <f t="shared" ca="1" si="48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88"/>
        <v>111</v>
      </c>
      <c r="CS181" s="5" t="str">
        <f t="shared" ca="1" si="48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0"/>
        <v>233</v>
      </c>
      <c r="CX181" s="5" t="str">
        <f t="shared" ca="1" si="49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2"/>
        <v>255</v>
      </c>
      <c r="DC181" s="5" t="str">
        <f t="shared" ca="1" si="49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4"/>
        <v>283</v>
      </c>
      <c r="DH181" s="5" t="str">
        <f t="shared" ca="1" si="49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6"/>
        <v>290</v>
      </c>
      <c r="DM181" s="5" t="str">
        <f t="shared" ca="1" si="49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98"/>
        <v>114</v>
      </c>
      <c r="DR181" s="5" t="str">
        <f t="shared" ca="1" si="49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0"/>
        <v>213</v>
      </c>
      <c r="DW181" s="5" t="str">
        <f t="shared" ca="1" si="50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2"/>
        <v>276</v>
      </c>
      <c r="EB181" s="5" t="str">
        <f t="shared" ca="1" si="50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4"/>
        <v>268</v>
      </c>
      <c r="EG181" s="5" t="str">
        <f t="shared" ca="1" si="505"/>
        <v>VIGENTE</v>
      </c>
      <c r="EH181" s="3"/>
      <c r="EI181" s="4">
        <v>45812</v>
      </c>
      <c r="EJ181" s="4">
        <f t="shared" si="572"/>
        <v>46177</v>
      </c>
      <c r="EK181" s="8">
        <f t="shared" ca="1" si="506"/>
        <v>42</v>
      </c>
      <c r="EL181" s="5" t="str">
        <f t="shared" ca="1" si="50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08"/>
        <v>254</v>
      </c>
      <c r="EQ181" s="5" t="str">
        <f t="shared" ca="1" si="50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0"/>
        <v>271</v>
      </c>
      <c r="EV181" s="5" t="str">
        <f t="shared" ca="1" si="511"/>
        <v>VIGENTE</v>
      </c>
      <c r="EW181" s="3"/>
      <c r="EX181" s="4">
        <v>45953</v>
      </c>
      <c r="EY181" s="4">
        <f t="shared" si="623"/>
        <v>46683</v>
      </c>
      <c r="EZ181" s="8">
        <f t="shared" ca="1" si="512"/>
        <v>548</v>
      </c>
      <c r="FA181" s="5" t="str">
        <f t="shared" ca="1" si="51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4"/>
        <v>546</v>
      </c>
      <c r="FF181" s="5" t="str">
        <f t="shared" ca="1" si="51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6"/>
        <v>527</v>
      </c>
      <c r="FK181" s="5" t="str">
        <f t="shared" ca="1" si="51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18"/>
        <v>264</v>
      </c>
      <c r="FP181" s="5" t="str">
        <f t="shared" ca="1" si="51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0"/>
        <v>180</v>
      </c>
      <c r="FU181" s="5" t="str">
        <f t="shared" ca="1" si="52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2"/>
        <v>503</v>
      </c>
      <c r="FZ181" s="5" t="str">
        <f t="shared" ca="1" si="52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4"/>
        <v>261</v>
      </c>
      <c r="GE181" s="5" t="str">
        <f t="shared" ca="1" si="52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6"/>
        <v>173</v>
      </c>
      <c r="GJ181" s="5" t="str">
        <f t="shared" ca="1" si="52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28"/>
        <v>518</v>
      </c>
      <c r="GO181" s="5" t="str">
        <f t="shared" ca="1" si="529"/>
        <v>VIGENTE</v>
      </c>
      <c r="GP181" s="4"/>
      <c r="GQ181" s="4">
        <v>45459</v>
      </c>
      <c r="GR181" s="4">
        <f t="shared" si="530"/>
        <v>47285</v>
      </c>
      <c r="GS181" s="8">
        <f t="shared" ca="1" si="615"/>
        <v>1150</v>
      </c>
      <c r="GT181" s="5" t="str">
        <f t="shared" ca="1" si="624"/>
        <v>VIGENTE</v>
      </c>
      <c r="GU181" s="3"/>
      <c r="GV181" s="4">
        <v>45464</v>
      </c>
      <c r="GW181" s="4">
        <f t="shared" si="531"/>
        <v>47290</v>
      </c>
      <c r="GX181" s="8">
        <f t="shared" ca="1" si="532"/>
        <v>1155</v>
      </c>
      <c r="GY181" s="5" t="str">
        <f t="shared" ca="1" si="625"/>
        <v>VIGENTE</v>
      </c>
      <c r="GZ181" s="3"/>
      <c r="HA181" s="4">
        <v>45466</v>
      </c>
      <c r="HB181" s="4">
        <f t="shared" si="533"/>
        <v>47292</v>
      </c>
      <c r="HC181" s="8">
        <f t="shared" ca="1" si="534"/>
        <v>1157</v>
      </c>
      <c r="HD181" s="5" t="str">
        <f t="shared" ca="1" si="626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0"/>
        <v>553</v>
      </c>
      <c r="HI181" s="5" t="str">
        <f t="shared" ca="1" si="627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5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3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3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3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3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3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4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4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42"/>
        <v>VIGENTE</v>
      </c>
      <c r="JC181" s="3"/>
      <c r="JD181" s="3"/>
      <c r="JE181" s="4"/>
      <c r="JF181" s="8"/>
      <c r="JG181" s="5" t="str">
        <f t="shared" si="543"/>
        <v>NO APLICA</v>
      </c>
      <c r="JH181" s="6"/>
      <c r="JI181" s="6"/>
      <c r="JJ181" s="6"/>
      <c r="JK181" s="6"/>
      <c r="JL181" s="5" t="str">
        <f t="shared" si="544"/>
        <v>NO APLICA</v>
      </c>
      <c r="JM181" s="6"/>
      <c r="JN181" s="6"/>
      <c r="JO181" s="6"/>
      <c r="JP181" s="6"/>
      <c r="JQ181" s="5" t="str">
        <f t="shared" si="545"/>
        <v>NO APLICA</v>
      </c>
      <c r="JR181" s="6"/>
      <c r="JS181" s="6"/>
      <c r="JT181" s="6"/>
      <c r="JU181" s="6"/>
      <c r="JV181" s="5" t="str">
        <f t="shared" si="546"/>
        <v>NO APLICA</v>
      </c>
      <c r="JW181" s="5"/>
      <c r="JX181" s="3"/>
      <c r="JY181" s="4"/>
      <c r="JZ181" s="8"/>
      <c r="KA181" s="5" t="str">
        <f t="shared" si="547"/>
        <v>NO APLICA</v>
      </c>
      <c r="KB181" s="5"/>
      <c r="KC181" s="5"/>
      <c r="KD181" s="4"/>
      <c r="KE181" s="8"/>
      <c r="KF181" s="5" t="str">
        <f t="shared" si="548"/>
        <v>NO APLICA</v>
      </c>
      <c r="KG181" s="5"/>
      <c r="KH181" s="5"/>
      <c r="KI181" s="4"/>
      <c r="KJ181" s="8"/>
      <c r="KK181" s="5" t="str">
        <f t="shared" si="573"/>
        <v>NO APLICA</v>
      </c>
      <c r="KL181" s="5"/>
      <c r="KM181" s="5"/>
      <c r="KN181" s="4"/>
      <c r="KO181" s="8"/>
      <c r="KP181" s="5" t="str">
        <f t="shared" si="549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74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79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75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614"/>
        <v>VIGENTE</v>
      </c>
      <c r="LK181" s="5"/>
      <c r="LL181" s="5"/>
      <c r="LM181" s="4"/>
      <c r="LN181" s="8"/>
      <c r="LO181" s="5" t="str">
        <f t="shared" si="580"/>
        <v>NO APLICA</v>
      </c>
      <c r="LP181" s="5"/>
      <c r="LQ181" s="6"/>
      <c r="LR181" s="4"/>
      <c r="LS181" s="8"/>
      <c r="LT181" s="5" t="str">
        <f t="shared" si="576"/>
        <v>NO APLICA</v>
      </c>
      <c r="LU181" s="6"/>
      <c r="LV181" s="6"/>
      <c r="LW181" s="4"/>
      <c r="LX181" s="8"/>
      <c r="LY181" s="5" t="str">
        <f t="shared" si="577"/>
        <v>NO APLICA</v>
      </c>
      <c r="LZ181" s="6"/>
      <c r="MA181" s="6"/>
      <c r="MB181" s="4"/>
      <c r="MC181" s="8"/>
      <c r="MD181" s="5" t="str">
        <f t="shared" si="578"/>
        <v>NO APLICA</v>
      </c>
      <c r="ME181" s="5"/>
      <c r="MF181" s="5"/>
      <c r="MG181" s="4"/>
      <c r="MH181" s="8"/>
      <c r="MI181" s="5" t="str">
        <f t="shared" si="551"/>
        <v>NO APLICA</v>
      </c>
      <c r="MJ181" s="5"/>
      <c r="MK181" s="5"/>
      <c r="ML181" s="4"/>
      <c r="MM181" s="8"/>
      <c r="MN181" s="5" t="str">
        <f t="shared" si="552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53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54"/>
        <v>VIGENTE</v>
      </c>
      <c r="MY181" s="5"/>
      <c r="MZ181" s="6"/>
      <c r="NA181" s="4"/>
      <c r="NB181" s="8"/>
      <c r="NC181" s="5" t="str">
        <f t="shared" si="555"/>
        <v>NO APLICA</v>
      </c>
      <c r="ND181" s="5"/>
      <c r="NE181" s="6"/>
      <c r="NF181" s="4"/>
      <c r="NG181" s="8"/>
      <c r="NH181" s="5" t="str">
        <f t="shared" si="556"/>
        <v>NO APLICA</v>
      </c>
      <c r="NI181" s="5"/>
      <c r="NJ181" s="6"/>
      <c r="NK181" s="4"/>
      <c r="NL181" s="8"/>
      <c r="NM181" s="5" t="str">
        <f t="shared" si="557"/>
        <v>NO APLICA</v>
      </c>
      <c r="NN181" s="5"/>
      <c r="NO181" s="5"/>
      <c r="NP181" s="4"/>
      <c r="NQ181" s="8"/>
      <c r="NR181" s="5" t="str">
        <f t="shared" si="558"/>
        <v>NO APLICA</v>
      </c>
      <c r="NS181" s="5"/>
      <c r="NT181" s="5"/>
      <c r="NU181" s="5"/>
      <c r="NV181" s="5"/>
      <c r="NW181" s="5" t="str">
        <f t="shared" si="559"/>
        <v>NO APLICA</v>
      </c>
      <c r="NX181" s="6"/>
      <c r="NY181" s="6"/>
      <c r="NZ181" s="4"/>
      <c r="OA181" s="8"/>
      <c r="OB181" s="5" t="str">
        <f t="shared" si="560"/>
        <v>NO APLICA</v>
      </c>
      <c r="OC181" s="6"/>
      <c r="OD181" s="6"/>
      <c r="OE181" s="6"/>
      <c r="OF181" s="6"/>
      <c r="OG181" s="5" t="str">
        <f t="shared" si="561"/>
        <v>NO APLICA</v>
      </c>
      <c r="OH181" s="5"/>
      <c r="OI181" s="5"/>
      <c r="OJ181" s="4"/>
      <c r="OK181" s="8"/>
      <c r="OL181" s="5" t="str">
        <f t="shared" si="562"/>
        <v>NO APLICA</v>
      </c>
      <c r="OM181" s="6"/>
      <c r="ON181" s="6"/>
      <c r="OO181" s="6"/>
      <c r="OP181" s="6"/>
      <c r="OQ181" s="5" t="str">
        <f t="shared" si="563"/>
        <v>NO APLICA</v>
      </c>
      <c r="OR181" s="6"/>
      <c r="OS181" s="6"/>
      <c r="OT181" s="6"/>
      <c r="OU181" s="6"/>
      <c r="OV181" s="5" t="str">
        <f t="shared" si="564"/>
        <v>NO APLICA</v>
      </c>
      <c r="OW181" s="6"/>
      <c r="OX181" s="6"/>
      <c r="OY181" s="6"/>
      <c r="OZ181" s="6"/>
      <c r="PA181" s="5" t="str">
        <f t="shared" si="565"/>
        <v>NO APLICA</v>
      </c>
      <c r="PB181" s="6"/>
      <c r="PC181" s="6"/>
      <c r="PD181" s="6"/>
      <c r="PE181" s="6"/>
      <c r="PF181" s="5" t="str">
        <f t="shared" si="566"/>
        <v>NO APLICA</v>
      </c>
      <c r="PG181" s="6"/>
      <c r="PH181" s="6"/>
      <c r="PI181" s="6"/>
      <c r="PJ181" s="6"/>
      <c r="PK181" s="5" t="str">
        <f t="shared" si="567"/>
        <v>NO APLICA</v>
      </c>
      <c r="PL181" s="5"/>
      <c r="PM181" s="6"/>
      <c r="PN181" s="4"/>
      <c r="PO181" s="8"/>
      <c r="PP181" s="5" t="str">
        <f t="shared" si="568"/>
        <v>NO APLICA</v>
      </c>
      <c r="PQ181" s="6"/>
      <c r="PR181" s="6"/>
      <c r="PS181" s="6"/>
      <c r="PT181" s="6"/>
      <c r="PU181" s="5" t="str">
        <f t="shared" si="569"/>
        <v>NO APLICA</v>
      </c>
      <c r="PV181" s="5"/>
      <c r="PW181" s="6"/>
      <c r="PX181" s="6"/>
      <c r="PY181" s="6"/>
      <c r="PZ181" s="5" t="str">
        <f t="shared" si="570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579</v>
      </c>
      <c r="D182" s="30" t="s">
        <v>64</v>
      </c>
      <c r="E182" s="31" t="s">
        <v>539</v>
      </c>
      <c r="F182" s="5"/>
      <c r="G182" s="6"/>
      <c r="H182" s="4"/>
      <c r="I182" s="8"/>
      <c r="J182" s="5" t="str">
        <f t="shared" si="464"/>
        <v>NO APLICA</v>
      </c>
      <c r="K182" s="5"/>
      <c r="L182" s="6"/>
      <c r="M182" s="6"/>
      <c r="N182" s="8"/>
      <c r="O182" s="5" t="str">
        <f t="shared" si="46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71"/>
        <v>VIGENTE</v>
      </c>
      <c r="U182" s="5"/>
      <c r="V182" s="2" t="s">
        <v>580</v>
      </c>
      <c r="W182" s="4">
        <v>45693</v>
      </c>
      <c r="X182" s="4">
        <f t="shared" si="601"/>
        <v>47519</v>
      </c>
      <c r="Y182" s="8">
        <f t="shared" ca="1" si="602"/>
        <v>1384</v>
      </c>
      <c r="Z182" s="5" t="str">
        <f t="shared" ca="1" si="619"/>
        <v>VIGENTE</v>
      </c>
      <c r="AA182" s="5"/>
      <c r="AB182" s="2" t="s">
        <v>581</v>
      </c>
      <c r="AC182" s="4">
        <v>45190</v>
      </c>
      <c r="AD182" s="4">
        <f>DATE(YEAR(AC182)+5,MONTH(AC182),DAY(AC182))</f>
        <v>47017</v>
      </c>
      <c r="AE182" s="8">
        <f t="shared" ca="1" si="628"/>
        <v>882</v>
      </c>
      <c r="AF182" s="5" t="str">
        <f t="shared" ca="1" si="46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67"/>
        <v>497</v>
      </c>
      <c r="AK182" s="5" t="str">
        <f t="shared" ca="1" si="616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68"/>
        <v>342</v>
      </c>
      <c r="AP182" s="5" t="str">
        <f t="shared" ca="1" si="469"/>
        <v>VIGENTE</v>
      </c>
      <c r="AQ182" s="3"/>
      <c r="AR182" s="4">
        <v>45904</v>
      </c>
      <c r="AS182" s="4">
        <f t="shared" si="622"/>
        <v>46634</v>
      </c>
      <c r="AT182" s="8">
        <f t="shared" ca="1" si="470"/>
        <v>499</v>
      </c>
      <c r="AU182" s="5" t="str">
        <f t="shared" ca="1" si="47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2"/>
        <v>522</v>
      </c>
      <c r="AZ182" s="5" t="str">
        <f t="shared" ca="1" si="47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4"/>
        <v>636</v>
      </c>
      <c r="BE182" s="5" t="str">
        <f t="shared" ca="1" si="475"/>
        <v>VIGENTE</v>
      </c>
      <c r="BF182" s="3"/>
      <c r="BG182" s="4">
        <v>46027</v>
      </c>
      <c r="BH182" s="4">
        <f t="shared" si="629"/>
        <v>46757</v>
      </c>
      <c r="BI182" s="8">
        <f t="shared" ca="1" si="476"/>
        <v>622</v>
      </c>
      <c r="BJ182" s="5" t="str">
        <f t="shared" ca="1" si="47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78"/>
        <v>194</v>
      </c>
      <c r="BO182" s="5" t="str">
        <f t="shared" ca="1" si="47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0"/>
        <v>583</v>
      </c>
      <c r="BT182" s="5" t="str">
        <f t="shared" ca="1" si="48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2"/>
        <v>43</v>
      </c>
      <c r="BY182" s="5" t="str">
        <f t="shared" ca="1" si="48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4"/>
        <v>223</v>
      </c>
      <c r="CD182" s="5" t="str">
        <f t="shared" ca="1" si="485"/>
        <v>VIGENTE</v>
      </c>
      <c r="CE182" s="6" t="s">
        <v>73</v>
      </c>
      <c r="CF182" s="4">
        <v>45616</v>
      </c>
      <c r="CG182" s="4">
        <f t="shared" si="604"/>
        <v>47077</v>
      </c>
      <c r="CH182" s="8">
        <f t="shared" ca="1" si="605"/>
        <v>942</v>
      </c>
      <c r="CI182" s="5" t="str">
        <f t="shared" ca="1" si="587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6"/>
        <v>524</v>
      </c>
      <c r="CN182" s="5" t="str">
        <f t="shared" ca="1" si="48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88"/>
        <v>483</v>
      </c>
      <c r="CS182" s="5" t="str">
        <f t="shared" ca="1" si="48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0"/>
        <v>500</v>
      </c>
      <c r="CX182" s="5" t="str">
        <f t="shared" ca="1" si="49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2"/>
        <v>595</v>
      </c>
      <c r="DC182" s="5" t="str">
        <f t="shared" ca="1" si="49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4"/>
        <v>591</v>
      </c>
      <c r="DH182" s="5" t="str">
        <f t="shared" ca="1" si="49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6"/>
        <v>570</v>
      </c>
      <c r="DM182" s="5" t="str">
        <f t="shared" ca="1" si="49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98"/>
        <v>577</v>
      </c>
      <c r="DR182" s="5" t="str">
        <f t="shared" ca="1" si="49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0"/>
        <v>648</v>
      </c>
      <c r="DW182" s="5" t="str">
        <f t="shared" ca="1" si="50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2"/>
        <v>615</v>
      </c>
      <c r="EB182" s="5" t="str">
        <f t="shared" ca="1" si="50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4"/>
        <v>508</v>
      </c>
      <c r="EG182" s="5" t="str">
        <f t="shared" ca="1" si="505"/>
        <v>VIGENTE</v>
      </c>
      <c r="EH182" s="3"/>
      <c r="EI182" s="3">
        <v>45911</v>
      </c>
      <c r="EJ182" s="4">
        <f t="shared" si="572"/>
        <v>46276</v>
      </c>
      <c r="EK182" s="8">
        <f t="shared" ca="1" si="506"/>
        <v>141</v>
      </c>
      <c r="EL182" s="5" t="str">
        <f t="shared" ca="1" si="50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08"/>
        <v>535</v>
      </c>
      <c r="EQ182" s="5" t="str">
        <f t="shared" ca="1" si="50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0"/>
        <v>637</v>
      </c>
      <c r="EV182" s="5" t="str">
        <f t="shared" ca="1" si="511"/>
        <v>VIGENTE</v>
      </c>
      <c r="EW182" s="3"/>
      <c r="EX182" s="4">
        <v>45917</v>
      </c>
      <c r="EY182" s="4">
        <f t="shared" si="623"/>
        <v>46647</v>
      </c>
      <c r="EZ182" s="8">
        <f t="shared" ca="1" si="512"/>
        <v>512</v>
      </c>
      <c r="FA182" s="5" t="str">
        <f t="shared" ca="1" si="51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4"/>
        <v>526</v>
      </c>
      <c r="FF182" s="5" t="str">
        <f t="shared" ca="1" si="51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6"/>
        <v>514</v>
      </c>
      <c r="FK182" s="5" t="str">
        <f t="shared" ca="1" si="51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18"/>
        <v>528</v>
      </c>
      <c r="FP182" s="5" t="str">
        <f t="shared" ca="1" si="51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0"/>
        <v>552</v>
      </c>
      <c r="FU182" s="5" t="str">
        <f t="shared" ca="1" si="52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2"/>
        <v>536</v>
      </c>
      <c r="FZ182" s="5" t="str">
        <f t="shared" ca="1" si="52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4"/>
        <v>625</v>
      </c>
      <c r="GE182" s="5" t="str">
        <f t="shared" ca="1" si="52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6"/>
        <v>555</v>
      </c>
      <c r="GJ182" s="5" t="str">
        <f t="shared" ca="1" si="52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28"/>
        <v>540</v>
      </c>
      <c r="GO182" s="5" t="str">
        <f t="shared" ca="1" si="529"/>
        <v>VIGENTE</v>
      </c>
      <c r="GP182" s="4"/>
      <c r="GQ182" s="4">
        <v>45495</v>
      </c>
      <c r="GR182" s="4">
        <f t="shared" si="530"/>
        <v>47321</v>
      </c>
      <c r="GS182" s="8">
        <f t="shared" ca="1" si="615"/>
        <v>1186</v>
      </c>
      <c r="GT182" s="5" t="str">
        <f t="shared" ca="1" si="624"/>
        <v>VIGENTE</v>
      </c>
      <c r="GU182" s="3"/>
      <c r="GV182" s="4">
        <v>44979</v>
      </c>
      <c r="GW182" s="4">
        <f t="shared" si="531"/>
        <v>46805</v>
      </c>
      <c r="GX182" s="8">
        <f t="shared" ca="1" si="532"/>
        <v>670</v>
      </c>
      <c r="GY182" s="5" t="str">
        <f t="shared" ca="1" si="625"/>
        <v>VIGENTE</v>
      </c>
      <c r="GZ182" s="3"/>
      <c r="HA182" s="4">
        <v>45294</v>
      </c>
      <c r="HB182" s="4">
        <f t="shared" si="533"/>
        <v>47121</v>
      </c>
      <c r="HC182" s="8">
        <f t="shared" ca="1" si="534"/>
        <v>986</v>
      </c>
      <c r="HD182" s="5" t="str">
        <f t="shared" ca="1" si="626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0"/>
        <v>571</v>
      </c>
      <c r="HI182" s="5" t="str">
        <f t="shared" ca="1" si="627"/>
        <v>VIGENTE</v>
      </c>
      <c r="HJ182" s="2"/>
      <c r="HK182" s="6"/>
      <c r="HL182" s="4"/>
      <c r="HM182" s="8"/>
      <c r="HN182" s="5" t="str">
        <f t="shared" si="453"/>
        <v>NO APLICA</v>
      </c>
      <c r="HO182" s="2"/>
      <c r="HP182" s="2"/>
      <c r="HQ182" s="4"/>
      <c r="HR182" s="2"/>
      <c r="HS182" s="5" t="str">
        <f t="shared" si="535"/>
        <v>NO APLICA</v>
      </c>
      <c r="HT182" s="2"/>
      <c r="HU182" s="6"/>
      <c r="HV182" s="4"/>
      <c r="HW182" s="8"/>
      <c r="HX182" s="5" t="str">
        <f t="shared" si="536"/>
        <v>NO APLICA</v>
      </c>
      <c r="HY182" s="2"/>
      <c r="HZ182" s="6"/>
      <c r="IA182" s="4"/>
      <c r="IB182" s="8"/>
      <c r="IC182" s="5" t="str">
        <f t="shared" si="537"/>
        <v>NO APLICA</v>
      </c>
      <c r="ID182" s="2"/>
      <c r="IE182" s="6"/>
      <c r="IF182" s="4"/>
      <c r="IG182" s="8"/>
      <c r="IH182" s="5" t="str">
        <f t="shared" si="538"/>
        <v>NO APLICA</v>
      </c>
      <c r="II182" s="6"/>
      <c r="IJ182" s="6"/>
      <c r="IK182" s="4"/>
      <c r="IL182" s="8"/>
      <c r="IM182" s="5" t="str">
        <f t="shared" si="539"/>
        <v>NO APLICA</v>
      </c>
      <c r="IN182" s="2"/>
      <c r="IO182" s="6"/>
      <c r="IP182" s="4"/>
      <c r="IQ182" s="8"/>
      <c r="IR182" s="5" t="str">
        <f t="shared" si="540"/>
        <v>NO APLICA</v>
      </c>
      <c r="IS182" s="2"/>
      <c r="IT182" s="6"/>
      <c r="IU182" s="4"/>
      <c r="IV182" s="8"/>
      <c r="IW182" s="5" t="str">
        <f t="shared" si="541"/>
        <v>NO APLICA</v>
      </c>
      <c r="IX182" s="2"/>
      <c r="IY182" s="6"/>
      <c r="IZ182" s="4"/>
      <c r="JA182" s="8"/>
      <c r="JB182" s="5" t="str">
        <f t="shared" si="542"/>
        <v>NO APLICA</v>
      </c>
      <c r="JC182" s="3"/>
      <c r="JD182" s="3"/>
      <c r="JE182" s="4"/>
      <c r="JF182" s="8"/>
      <c r="JG182" s="5" t="str">
        <f t="shared" si="543"/>
        <v>NO APLICA</v>
      </c>
      <c r="JH182" s="6"/>
      <c r="JI182" s="6"/>
      <c r="JJ182" s="6"/>
      <c r="JK182" s="6"/>
      <c r="JL182" s="5" t="str">
        <f t="shared" si="544"/>
        <v>NO APLICA</v>
      </c>
      <c r="JM182" s="6"/>
      <c r="JN182" s="6"/>
      <c r="JO182" s="6"/>
      <c r="JP182" s="6"/>
      <c r="JQ182" s="5" t="str">
        <f t="shared" si="545"/>
        <v>NO APLICA</v>
      </c>
      <c r="JR182" s="6"/>
      <c r="JS182" s="6"/>
      <c r="JT182" s="6"/>
      <c r="JU182" s="6"/>
      <c r="JV182" s="5" t="str">
        <f t="shared" si="546"/>
        <v>NO APLICA</v>
      </c>
      <c r="JW182" s="5"/>
      <c r="JX182" s="5"/>
      <c r="JY182" s="5"/>
      <c r="JZ182" s="5"/>
      <c r="KA182" s="5" t="str">
        <f t="shared" si="547"/>
        <v>NO APLICA</v>
      </c>
      <c r="KB182" s="5"/>
      <c r="KC182" s="2"/>
      <c r="KD182" s="4"/>
      <c r="KE182" s="8"/>
      <c r="KF182" s="5" t="str">
        <f t="shared" si="548"/>
        <v>NO APLICA</v>
      </c>
      <c r="KG182" s="5"/>
      <c r="KH182" s="2"/>
      <c r="KI182" s="4"/>
      <c r="KJ182" s="8"/>
      <c r="KK182" s="5" t="str">
        <f t="shared" si="573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49"/>
        <v>VIGENTE</v>
      </c>
      <c r="KQ182" s="5"/>
      <c r="KR182" s="2"/>
      <c r="KS182" s="4"/>
      <c r="KT182" s="8"/>
      <c r="KU182" s="5" t="str">
        <f t="shared" si="574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79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75"/>
        <v>VIGENTE</v>
      </c>
      <c r="LF182" s="6"/>
      <c r="LG182" s="6"/>
      <c r="LH182" s="4"/>
      <c r="LI182" s="8"/>
      <c r="LJ182" s="5" t="str">
        <f t="shared" si="614"/>
        <v>NO APLICA</v>
      </c>
      <c r="LK182" s="5"/>
      <c r="LL182" s="5"/>
      <c r="LM182" s="5"/>
      <c r="LN182" s="5"/>
      <c r="LO182" s="5" t="str">
        <f t="shared" si="580"/>
        <v>NO APLICA</v>
      </c>
      <c r="LP182" s="2"/>
      <c r="LQ182" s="6"/>
      <c r="LR182" s="4"/>
      <c r="LS182" s="8"/>
      <c r="LT182" s="5" t="str">
        <f t="shared" si="576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77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78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51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52"/>
        <v>VIGENTE</v>
      </c>
      <c r="MO182" s="5"/>
      <c r="MP182" s="2"/>
      <c r="MQ182" s="4"/>
      <c r="MR182" s="8"/>
      <c r="MS182" s="5" t="str">
        <f t="shared" si="553"/>
        <v>NO APLICA</v>
      </c>
      <c r="MT182" s="5"/>
      <c r="MU182" s="2"/>
      <c r="MV182" s="4"/>
      <c r="MW182" s="2"/>
      <c r="MX182" s="5" t="str">
        <f t="shared" si="554"/>
        <v>NO APLICA</v>
      </c>
      <c r="MY182" s="2"/>
      <c r="MZ182" s="6"/>
      <c r="NA182" s="4"/>
      <c r="NB182" s="8"/>
      <c r="NC182" s="5" t="str">
        <f t="shared" si="555"/>
        <v>NO APLICA</v>
      </c>
      <c r="ND182" s="2"/>
      <c r="NE182" s="6"/>
      <c r="NF182" s="4"/>
      <c r="NG182" s="8"/>
      <c r="NH182" s="5" t="str">
        <f t="shared" si="556"/>
        <v>NO APLICA</v>
      </c>
      <c r="NI182" s="2"/>
      <c r="NJ182" s="6"/>
      <c r="NK182" s="4"/>
      <c r="NL182" s="8"/>
      <c r="NM182" s="5" t="str">
        <f t="shared" si="557"/>
        <v>NO APLICA</v>
      </c>
      <c r="NN182" s="2"/>
      <c r="NO182" s="2"/>
      <c r="NP182" s="4"/>
      <c r="NQ182" s="2"/>
      <c r="NR182" s="5" t="str">
        <f t="shared" si="558"/>
        <v>NO APLICA</v>
      </c>
      <c r="NS182" s="2"/>
      <c r="NT182" s="2"/>
      <c r="NU182" s="4"/>
      <c r="NV182" s="2"/>
      <c r="NW182" s="5" t="str">
        <f t="shared" si="559"/>
        <v>NO APLICA</v>
      </c>
      <c r="NX182" s="6"/>
      <c r="NY182" s="6"/>
      <c r="NZ182" s="4"/>
      <c r="OA182" s="8"/>
      <c r="OB182" s="5" t="str">
        <f t="shared" si="560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61"/>
        <v>VIGENTE</v>
      </c>
      <c r="OH182" s="6"/>
      <c r="OI182" s="6"/>
      <c r="OJ182" s="4"/>
      <c r="OK182" s="8"/>
      <c r="OL182" s="5" t="str">
        <f t="shared" si="562"/>
        <v>NO APLICA</v>
      </c>
      <c r="OM182" s="6"/>
      <c r="ON182" s="6"/>
      <c r="OO182" s="6"/>
      <c r="OP182" s="6"/>
      <c r="OQ182" s="5" t="str">
        <f t="shared" si="563"/>
        <v>NO APLICA</v>
      </c>
      <c r="OR182" s="6"/>
      <c r="OS182" s="6"/>
      <c r="OT182" s="6"/>
      <c r="OU182" s="6"/>
      <c r="OV182" s="5" t="str">
        <f t="shared" si="564"/>
        <v>NO APLICA</v>
      </c>
      <c r="OW182" s="6"/>
      <c r="OX182" s="6"/>
      <c r="OY182" s="6"/>
      <c r="OZ182" s="6"/>
      <c r="PA182" s="5" t="str">
        <f t="shared" si="565"/>
        <v>NO APLICA</v>
      </c>
      <c r="PB182" s="6"/>
      <c r="PC182" s="6"/>
      <c r="PD182" s="6"/>
      <c r="PE182" s="6"/>
      <c r="PF182" s="5" t="str">
        <f t="shared" si="566"/>
        <v>NO APLICA</v>
      </c>
      <c r="PG182" s="6"/>
      <c r="PH182" s="6"/>
      <c r="PI182" s="6"/>
      <c r="PJ182" s="6"/>
      <c r="PK182" s="5" t="str">
        <f t="shared" si="567"/>
        <v>NO APLICA</v>
      </c>
      <c r="PL182" s="5"/>
      <c r="PM182" s="6"/>
      <c r="PN182" s="4"/>
      <c r="PO182" s="8"/>
      <c r="PP182" s="5" t="str">
        <f t="shared" si="568"/>
        <v>NO APLICA</v>
      </c>
      <c r="PQ182" s="6"/>
      <c r="PR182" s="6"/>
      <c r="PS182" s="6"/>
      <c r="PT182" s="6"/>
      <c r="PU182" s="5" t="str">
        <f t="shared" si="569"/>
        <v>NO APLICA</v>
      </c>
      <c r="PV182" s="5"/>
      <c r="PW182" s="6"/>
      <c r="PX182" s="6"/>
      <c r="PY182" s="6"/>
      <c r="PZ182" s="5" t="str">
        <f t="shared" si="570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582</v>
      </c>
      <c r="D183" s="30" t="s">
        <v>69</v>
      </c>
      <c r="E183" s="31" t="s">
        <v>79</v>
      </c>
      <c r="F183" s="5"/>
      <c r="G183" s="6"/>
      <c r="H183" s="4"/>
      <c r="I183" s="8"/>
      <c r="J183" s="5" t="str">
        <f t="shared" si="464"/>
        <v>NO APLICA</v>
      </c>
      <c r="K183" s="5"/>
      <c r="L183" s="6"/>
      <c r="M183" s="6"/>
      <c r="N183" s="8"/>
      <c r="O183" s="5" t="str">
        <f t="shared" si="465"/>
        <v>NO APLICA</v>
      </c>
      <c r="P183" s="6"/>
      <c r="Q183" s="6"/>
      <c r="R183" s="4"/>
      <c r="S183" s="8"/>
      <c r="T183" s="5" t="str">
        <f t="shared" si="571"/>
        <v>NO APLICA</v>
      </c>
      <c r="U183" s="5"/>
      <c r="V183" s="2" t="s">
        <v>583</v>
      </c>
      <c r="W183" s="4">
        <v>44829</v>
      </c>
      <c r="X183" s="4">
        <f t="shared" si="601"/>
        <v>46655</v>
      </c>
      <c r="Y183" s="8">
        <f t="shared" ca="1" si="602"/>
        <v>520</v>
      </c>
      <c r="Z183" s="5" t="str">
        <f t="shared" ca="1" si="619"/>
        <v>VIGENTE</v>
      </c>
      <c r="AA183" s="5"/>
      <c r="AB183" s="2" t="s">
        <v>584</v>
      </c>
      <c r="AC183" s="4">
        <v>44603</v>
      </c>
      <c r="AD183" s="4">
        <f>DATE(YEAR(AC183)+5,MONTH(AC183),DAY(AC183))</f>
        <v>46429</v>
      </c>
      <c r="AE183" s="8">
        <f t="shared" ca="1" si="628"/>
        <v>294</v>
      </c>
      <c r="AF183" s="5" t="str">
        <f t="shared" ca="1" si="46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67"/>
        <v>203</v>
      </c>
      <c r="AK183" s="5" t="str">
        <f t="shared" ca="1" si="616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68"/>
        <v>532</v>
      </c>
      <c r="AP183" s="5" t="str">
        <f t="shared" ca="1" si="469"/>
        <v>VIGENTE</v>
      </c>
      <c r="AQ183" s="3"/>
      <c r="AR183" s="4">
        <v>45967</v>
      </c>
      <c r="AS183" s="4">
        <f t="shared" si="622"/>
        <v>46697</v>
      </c>
      <c r="AT183" s="8">
        <f t="shared" ca="1" si="470"/>
        <v>562</v>
      </c>
      <c r="AU183" s="5" t="str">
        <f t="shared" ca="1" si="47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2"/>
        <v>567</v>
      </c>
      <c r="AZ183" s="5" t="str">
        <f t="shared" ca="1" si="47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4"/>
        <v>666</v>
      </c>
      <c r="BE183" s="5" t="str">
        <f t="shared" ca="1" si="475"/>
        <v>VIGENTE</v>
      </c>
      <c r="BF183" s="3"/>
      <c r="BG183" s="4">
        <v>46027</v>
      </c>
      <c r="BH183" s="4">
        <f t="shared" si="629"/>
        <v>46757</v>
      </c>
      <c r="BI183" s="8">
        <f t="shared" ca="1" si="476"/>
        <v>622</v>
      </c>
      <c r="BJ183" s="5" t="str">
        <f t="shared" ca="1" si="47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78"/>
        <v>630</v>
      </c>
      <c r="BO183" s="5" t="str">
        <f t="shared" ca="1" si="47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0"/>
        <v>664</v>
      </c>
      <c r="BT183" s="5" t="str">
        <f t="shared" ca="1" si="48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2"/>
        <v>49</v>
      </c>
      <c r="BY183" s="5" t="str">
        <f t="shared" ca="1" si="48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4"/>
        <v>549</v>
      </c>
      <c r="CD183" s="5" t="str">
        <f t="shared" ca="1" si="485"/>
        <v>VIGENTE</v>
      </c>
      <c r="CE183" s="6" t="s">
        <v>73</v>
      </c>
      <c r="CF183" s="4">
        <v>45241</v>
      </c>
      <c r="CG183" s="4">
        <f t="shared" si="604"/>
        <v>46702</v>
      </c>
      <c r="CH183" s="8">
        <f t="shared" ca="1" si="605"/>
        <v>567</v>
      </c>
      <c r="CI183" s="5" t="str">
        <f t="shared" ca="1" si="587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6"/>
        <v>94</v>
      </c>
      <c r="CN183" s="5" t="str">
        <f t="shared" ca="1" si="48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88"/>
        <v>107</v>
      </c>
      <c r="CS183" s="5" t="str">
        <f t="shared" ca="1" si="48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0"/>
        <v>233</v>
      </c>
      <c r="CX183" s="5" t="str">
        <f t="shared" ca="1" si="49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2"/>
        <v>259</v>
      </c>
      <c r="DC183" s="5" t="str">
        <f t="shared" ca="1" si="49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4"/>
        <v>317</v>
      </c>
      <c r="DH183" s="5" t="str">
        <f t="shared" ca="1" si="49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6"/>
        <v>374</v>
      </c>
      <c r="DM183" s="5" t="str">
        <f t="shared" ca="1" si="49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98"/>
        <v>577</v>
      </c>
      <c r="DR183" s="5" t="str">
        <f t="shared" ca="1" si="49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0"/>
        <v>648</v>
      </c>
      <c r="DW183" s="5" t="str">
        <f t="shared" ca="1" si="50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2"/>
        <v>303</v>
      </c>
      <c r="EB183" s="5" t="str">
        <f t="shared" ca="1" si="50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4"/>
        <v>268</v>
      </c>
      <c r="EG183" s="5" t="str">
        <f t="shared" ca="1" si="505"/>
        <v>VIGENTE</v>
      </c>
      <c r="EH183" s="4"/>
      <c r="EI183" s="4">
        <v>45808</v>
      </c>
      <c r="EJ183" s="4">
        <f t="shared" si="572"/>
        <v>46173</v>
      </c>
      <c r="EK183" s="8">
        <f t="shared" ca="1" si="506"/>
        <v>38</v>
      </c>
      <c r="EL183" s="5" t="str">
        <f t="shared" ca="1" si="50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08"/>
        <v>265</v>
      </c>
      <c r="EQ183" s="5" t="str">
        <f t="shared" ca="1" si="50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0"/>
        <v>657</v>
      </c>
      <c r="EV183" s="5" t="str">
        <f t="shared" ca="1" si="511"/>
        <v>VIGENTE</v>
      </c>
      <c r="EW183" s="3"/>
      <c r="EX183" s="4">
        <v>45953</v>
      </c>
      <c r="EY183" s="4">
        <f t="shared" si="623"/>
        <v>46683</v>
      </c>
      <c r="EZ183" s="8">
        <f t="shared" ca="1" si="512"/>
        <v>548</v>
      </c>
      <c r="FA183" s="5" t="str">
        <f t="shared" ca="1" si="51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4"/>
        <v>526</v>
      </c>
      <c r="FF183" s="5" t="str">
        <f t="shared" ca="1" si="51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6"/>
        <v>557</v>
      </c>
      <c r="FK183" s="5" t="str">
        <f t="shared" ca="1" si="51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18"/>
        <v>280</v>
      </c>
      <c r="FP183" s="5" t="str">
        <f t="shared" ca="1" si="51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0"/>
        <v>180</v>
      </c>
      <c r="FU183" s="5" t="str">
        <f t="shared" ca="1" si="52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2"/>
        <v>130</v>
      </c>
      <c r="FZ183" s="5" t="str">
        <f t="shared" ca="1" si="52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4"/>
        <v>668</v>
      </c>
      <c r="GE183" s="5" t="str">
        <f t="shared" ca="1" si="52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6"/>
        <v>266</v>
      </c>
      <c r="GJ183" s="5" t="str">
        <f t="shared" ca="1" si="52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28"/>
        <v>518</v>
      </c>
      <c r="GO183" s="5" t="str">
        <f t="shared" ca="1" si="529"/>
        <v>VIGENTE</v>
      </c>
      <c r="GP183" s="4"/>
      <c r="GQ183" s="4">
        <v>45299</v>
      </c>
      <c r="GR183" s="4">
        <f t="shared" si="530"/>
        <v>47126</v>
      </c>
      <c r="GS183" s="8">
        <f t="shared" ca="1" si="615"/>
        <v>991</v>
      </c>
      <c r="GT183" s="5" t="str">
        <f t="shared" ca="1" si="624"/>
        <v>VIGENTE</v>
      </c>
      <c r="GU183" s="3"/>
      <c r="GV183" s="4">
        <v>45478</v>
      </c>
      <c r="GW183" s="4">
        <f t="shared" si="531"/>
        <v>47304</v>
      </c>
      <c r="GX183" s="8">
        <f t="shared" ca="1" si="532"/>
        <v>1169</v>
      </c>
      <c r="GY183" s="5" t="str">
        <f t="shared" ca="1" si="625"/>
        <v>VIGENTE</v>
      </c>
      <c r="GZ183" s="3"/>
      <c r="HA183" s="4">
        <v>45258</v>
      </c>
      <c r="HB183" s="4">
        <f t="shared" si="533"/>
        <v>47085</v>
      </c>
      <c r="HC183" s="8">
        <f t="shared" ca="1" si="534"/>
        <v>950</v>
      </c>
      <c r="HD183" s="5" t="str">
        <f t="shared" ca="1" si="626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0"/>
        <v>556</v>
      </c>
      <c r="HI183" s="5" t="str">
        <f t="shared" ca="1" si="627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53"/>
        <v>VIGENTE</v>
      </c>
      <c r="HO183" s="2"/>
      <c r="HP183" s="2"/>
      <c r="HQ183" s="4"/>
      <c r="HR183" s="2"/>
      <c r="HS183" s="5" t="str">
        <f t="shared" si="53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3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3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3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3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4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1">IU183-TODAY()</f>
        <v>1178</v>
      </c>
      <c r="IW183" s="5" t="str">
        <f t="shared" ca="1" si="54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2">IZ183-TODAY()</f>
        <v>1152</v>
      </c>
      <c r="JB183" s="5" t="str">
        <f t="shared" ca="1" si="542"/>
        <v>VIGENTE</v>
      </c>
      <c r="JC183" s="3"/>
      <c r="JD183" s="3"/>
      <c r="JE183" s="4"/>
      <c r="JF183" s="8"/>
      <c r="JG183" s="5" t="str">
        <f t="shared" si="543"/>
        <v>NO APLICA</v>
      </c>
      <c r="JH183" s="6"/>
      <c r="JI183" s="6"/>
      <c r="JJ183" s="6"/>
      <c r="JK183" s="6"/>
      <c r="JL183" s="5" t="str">
        <f t="shared" si="544"/>
        <v>NO APLICA</v>
      </c>
      <c r="JM183" s="6"/>
      <c r="JN183" s="6"/>
      <c r="JO183" s="6"/>
      <c r="JP183" s="6"/>
      <c r="JQ183" s="5" t="str">
        <f t="shared" si="545"/>
        <v>NO APLICA</v>
      </c>
      <c r="JR183" s="6"/>
      <c r="JS183" s="6"/>
      <c r="JT183" s="6"/>
      <c r="JU183" s="6"/>
      <c r="JV183" s="5" t="str">
        <f t="shared" si="546"/>
        <v>NO APLICA</v>
      </c>
      <c r="JW183" s="5"/>
      <c r="JX183" s="5"/>
      <c r="JY183" s="5"/>
      <c r="JZ183" s="5"/>
      <c r="KA183" s="5" t="str">
        <f t="shared" si="547"/>
        <v>NO APLICA</v>
      </c>
      <c r="KB183" s="5"/>
      <c r="KC183" s="2"/>
      <c r="KD183" s="4"/>
      <c r="KE183" s="8"/>
      <c r="KF183" s="5" t="str">
        <f t="shared" si="548"/>
        <v>NO APLICA</v>
      </c>
      <c r="KG183" s="5"/>
      <c r="KH183" s="2"/>
      <c r="KI183" s="4"/>
      <c r="KJ183" s="8"/>
      <c r="KK183" s="5" t="str">
        <f t="shared" si="573"/>
        <v>NO APLICA</v>
      </c>
      <c r="KL183" s="5"/>
      <c r="KM183" s="2"/>
      <c r="KN183" s="4"/>
      <c r="KO183" s="8"/>
      <c r="KP183" s="5" t="str">
        <f t="shared" si="549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74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79"/>
        <v>VIGENTE</v>
      </c>
      <c r="LA183" s="5"/>
      <c r="LB183" s="6"/>
      <c r="LC183" s="4"/>
      <c r="LD183" s="8"/>
      <c r="LE183" s="5" t="str">
        <f t="shared" si="575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614"/>
        <v>VIGENTE</v>
      </c>
      <c r="LK183" s="5"/>
      <c r="LL183" s="5"/>
      <c r="LM183" s="4"/>
      <c r="LN183" s="8"/>
      <c r="LO183" s="5" t="str">
        <f t="shared" si="580"/>
        <v>NO APLICA</v>
      </c>
      <c r="LP183" s="2"/>
      <c r="LQ183" s="6"/>
      <c r="LR183" s="4"/>
      <c r="LS183" s="8"/>
      <c r="LT183" s="5" t="str">
        <f t="shared" si="576"/>
        <v>NO APLICA</v>
      </c>
      <c r="LU183" s="6"/>
      <c r="LV183" s="6"/>
      <c r="LW183" s="4"/>
      <c r="LX183" s="8"/>
      <c r="LY183" s="5" t="str">
        <f t="shared" si="577"/>
        <v>NO APLICA</v>
      </c>
      <c r="LZ183" s="6"/>
      <c r="MA183" s="6"/>
      <c r="MB183" s="4"/>
      <c r="MC183" s="8"/>
      <c r="MD183" s="5" t="str">
        <f t="shared" si="578"/>
        <v>NO APLICA</v>
      </c>
      <c r="ME183" s="2"/>
      <c r="MF183" s="2"/>
      <c r="MG183" s="4"/>
      <c r="MH183" s="8"/>
      <c r="MI183" s="5" t="str">
        <f t="shared" si="551"/>
        <v>NO APLICA</v>
      </c>
      <c r="MJ183" s="2"/>
      <c r="MK183" s="2"/>
      <c r="ML183" s="4"/>
      <c r="MM183" s="8"/>
      <c r="MN183" s="5" t="str">
        <f t="shared" si="552"/>
        <v>NO APLICA</v>
      </c>
      <c r="MO183" s="5"/>
      <c r="MP183" s="2"/>
      <c r="MQ183" s="4"/>
      <c r="MR183" s="8"/>
      <c r="MS183" s="5" t="str">
        <f t="shared" si="553"/>
        <v>NO APLICA</v>
      </c>
      <c r="MT183" s="5"/>
      <c r="MU183" s="2"/>
      <c r="MV183" s="4"/>
      <c r="MW183" s="2"/>
      <c r="MX183" s="5" t="str">
        <f t="shared" si="554"/>
        <v>NO APLICA</v>
      </c>
      <c r="MY183" s="2"/>
      <c r="MZ183" s="6"/>
      <c r="NA183" s="4"/>
      <c r="NB183" s="8"/>
      <c r="NC183" s="5" t="str">
        <f t="shared" si="555"/>
        <v>NO APLICA</v>
      </c>
      <c r="ND183" s="2"/>
      <c r="NE183" s="6"/>
      <c r="NF183" s="4"/>
      <c r="NG183" s="8"/>
      <c r="NH183" s="5" t="str">
        <f t="shared" si="556"/>
        <v>NO APLICA</v>
      </c>
      <c r="NI183" s="2"/>
      <c r="NJ183" s="6"/>
      <c r="NK183" s="4"/>
      <c r="NL183" s="8"/>
      <c r="NM183" s="5" t="str">
        <f t="shared" si="557"/>
        <v>NO APLICA</v>
      </c>
      <c r="NN183" s="2"/>
      <c r="NO183" s="2"/>
      <c r="NP183" s="4"/>
      <c r="NQ183" s="2"/>
      <c r="NR183" s="5" t="str">
        <f t="shared" si="558"/>
        <v>NO APLICA</v>
      </c>
      <c r="NS183" s="2"/>
      <c r="NT183" s="2"/>
      <c r="NU183" s="4"/>
      <c r="NV183" s="2"/>
      <c r="NW183" s="5" t="str">
        <f t="shared" si="559"/>
        <v>NO APLICA</v>
      </c>
      <c r="NX183" s="6"/>
      <c r="NY183" s="6"/>
      <c r="NZ183" s="4"/>
      <c r="OA183" s="8"/>
      <c r="OB183" s="5" t="str">
        <f t="shared" si="560"/>
        <v>NO APLICA</v>
      </c>
      <c r="OC183" s="6"/>
      <c r="OD183" s="6"/>
      <c r="OE183" s="6"/>
      <c r="OF183" s="6"/>
      <c r="OG183" s="5" t="str">
        <f t="shared" si="561"/>
        <v>NO APLICA</v>
      </c>
      <c r="OH183" s="6"/>
      <c r="OI183" s="6"/>
      <c r="OJ183" s="4"/>
      <c r="OK183" s="8"/>
      <c r="OL183" s="5" t="str">
        <f t="shared" si="562"/>
        <v>NO APLICA</v>
      </c>
      <c r="OM183" s="6"/>
      <c r="ON183" s="6"/>
      <c r="OO183" s="6"/>
      <c r="OP183" s="6"/>
      <c r="OQ183" s="5" t="str">
        <f t="shared" si="563"/>
        <v>NO APLICA</v>
      </c>
      <c r="OR183" s="6"/>
      <c r="OS183" s="6"/>
      <c r="OT183" s="6"/>
      <c r="OU183" s="6"/>
      <c r="OV183" s="5" t="str">
        <f t="shared" si="564"/>
        <v>NO APLICA</v>
      </c>
      <c r="OW183" s="6"/>
      <c r="OX183" s="6"/>
      <c r="OY183" s="6"/>
      <c r="OZ183" s="6"/>
      <c r="PA183" s="5" t="str">
        <f t="shared" si="565"/>
        <v>NO APLICA</v>
      </c>
      <c r="PB183" s="6"/>
      <c r="PC183" s="6"/>
      <c r="PD183" s="6"/>
      <c r="PE183" s="6"/>
      <c r="PF183" s="5" t="str">
        <f t="shared" si="566"/>
        <v>NO APLICA</v>
      </c>
      <c r="PG183" s="6"/>
      <c r="PH183" s="6"/>
      <c r="PI183" s="6"/>
      <c r="PJ183" s="6"/>
      <c r="PK183" s="5" t="str">
        <f t="shared" si="567"/>
        <v>NO APLICA</v>
      </c>
      <c r="PL183" s="5"/>
      <c r="PM183" s="6"/>
      <c r="PN183" s="4"/>
      <c r="PO183" s="8"/>
      <c r="PP183" s="5" t="str">
        <f t="shared" si="568"/>
        <v>NO APLICA</v>
      </c>
      <c r="PQ183" s="6"/>
      <c r="PR183" s="6"/>
      <c r="PS183" s="6"/>
      <c r="PT183" s="6"/>
      <c r="PU183" s="5" t="str">
        <f t="shared" si="569"/>
        <v>NO APLICA</v>
      </c>
      <c r="PV183" s="5"/>
      <c r="PW183" s="6"/>
      <c r="PX183" s="6"/>
      <c r="PY183" s="6"/>
      <c r="PZ183" s="5" t="str">
        <f t="shared" si="570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585</v>
      </c>
      <c r="D184" s="30" t="s">
        <v>69</v>
      </c>
      <c r="E184" s="31" t="s">
        <v>75</v>
      </c>
      <c r="F184" s="5"/>
      <c r="G184" s="6"/>
      <c r="H184" s="4"/>
      <c r="I184" s="8"/>
      <c r="J184" s="5" t="str">
        <f t="shared" si="464"/>
        <v>NO APLICA</v>
      </c>
      <c r="K184" s="5"/>
      <c r="L184" s="6"/>
      <c r="M184" s="6"/>
      <c r="N184" s="8"/>
      <c r="O184" s="5" t="str">
        <f t="shared" si="465"/>
        <v>NO APLICA</v>
      </c>
      <c r="P184" s="6"/>
      <c r="Q184" s="6"/>
      <c r="R184" s="4"/>
      <c r="S184" s="8"/>
      <c r="T184" s="5" t="str">
        <f t="shared" si="571"/>
        <v>NO APLICA</v>
      </c>
      <c r="U184" s="5"/>
      <c r="V184" s="2" t="s">
        <v>586</v>
      </c>
      <c r="W184" s="4">
        <v>44786</v>
      </c>
      <c r="X184" s="4">
        <f t="shared" si="601"/>
        <v>46612</v>
      </c>
      <c r="Y184" s="8">
        <f t="shared" ca="1" si="602"/>
        <v>477</v>
      </c>
      <c r="Z184" s="5" t="str">
        <f t="shared" ca="1" si="619"/>
        <v>VIGENTE</v>
      </c>
      <c r="AA184" s="5"/>
      <c r="AB184" s="2" t="s">
        <v>587</v>
      </c>
      <c r="AC184" s="4">
        <v>44988</v>
      </c>
      <c r="AD184" s="4">
        <f t="shared" ref="AD184:AD189" si="633">DATE(YEAR(AC184)+5,MONTH(AC184),DAY(AC184))</f>
        <v>46815</v>
      </c>
      <c r="AE184" s="8">
        <f t="shared" ca="1" si="628"/>
        <v>680</v>
      </c>
      <c r="AF184" s="5" t="str">
        <f t="shared" ca="1" si="466"/>
        <v>VIGENTE</v>
      </c>
      <c r="AG184" s="3"/>
      <c r="AH184" s="4">
        <v>45589</v>
      </c>
      <c r="AI184" s="4">
        <f t="shared" ref="AI184:AI188" si="634">DATE(YEAR(AH184)+2,MONTH(AH184),DAY(AH184)-1)</f>
        <v>46318</v>
      </c>
      <c r="AJ184" s="8">
        <f t="shared" ca="1" si="467"/>
        <v>183</v>
      </c>
      <c r="AK184" s="5" t="str">
        <f t="shared" ca="1" si="616"/>
        <v>VIGENTE</v>
      </c>
      <c r="AL184" s="3"/>
      <c r="AM184" s="4">
        <v>46084</v>
      </c>
      <c r="AN184" s="4">
        <f t="shared" ref="AN184:AN186" si="635">DATE(YEAR(AM184)+2,MONTH(AM184),DAY(AM184))</f>
        <v>46815</v>
      </c>
      <c r="AO184" s="8">
        <f t="shared" ca="1" si="468"/>
        <v>680</v>
      </c>
      <c r="AP184" s="5" t="str">
        <f t="shared" ca="1" si="469"/>
        <v>VIGENTE</v>
      </c>
      <c r="AQ184" s="3"/>
      <c r="AR184" s="4">
        <v>45505</v>
      </c>
      <c r="AS184" s="4">
        <f t="shared" ref="AS184" si="636">DATE(YEAR(AR184)+2,MONTH(AR184),DAY(AR184)-1)</f>
        <v>46234</v>
      </c>
      <c r="AT184" s="8">
        <f t="shared" ca="1" si="470"/>
        <v>99</v>
      </c>
      <c r="AU184" s="5" t="str">
        <f t="shared" ca="1" si="471"/>
        <v>VIGENTE</v>
      </c>
      <c r="AV184" s="3"/>
      <c r="AW184" s="4">
        <v>45464</v>
      </c>
      <c r="AX184" s="4">
        <f t="shared" ref="AX184:AX187" si="637">DATE(YEAR(AW184)+2,MONTH(AW184),DAY(AW184)-1)</f>
        <v>46193</v>
      </c>
      <c r="AY184" s="8">
        <f t="shared" ca="1" si="472"/>
        <v>58</v>
      </c>
      <c r="AZ184" s="5" t="str">
        <f t="shared" ca="1" si="473"/>
        <v>POR VENCER</v>
      </c>
      <c r="BA184" s="3"/>
      <c r="BB184" s="4">
        <v>45476</v>
      </c>
      <c r="BC184" s="4">
        <f t="shared" ref="BC184:BC190" si="638">DATE(YEAR(BB184)+2,MONTH(BB184),DAY(BB184)-1)</f>
        <v>46205</v>
      </c>
      <c r="BD184" s="8">
        <f t="shared" ca="1" si="474"/>
        <v>70</v>
      </c>
      <c r="BE184" s="5" t="str">
        <f t="shared" ca="1" si="475"/>
        <v>POR VENCER</v>
      </c>
      <c r="BF184" s="3"/>
      <c r="BG184" s="4">
        <v>46067</v>
      </c>
      <c r="BH184" s="4">
        <f t="shared" si="629"/>
        <v>46797</v>
      </c>
      <c r="BI184" s="8">
        <f t="shared" ca="1" si="476"/>
        <v>662</v>
      </c>
      <c r="BJ184" s="5" t="str">
        <f t="shared" ca="1" si="477"/>
        <v>VIGENTE</v>
      </c>
      <c r="BK184" s="3"/>
      <c r="BL184" s="4">
        <v>46035</v>
      </c>
      <c r="BM184" s="4">
        <f t="shared" ref="BM184:BM186" si="639">DATE(YEAR(BL184)+2,MONTH(BL184),DAY(BL184))</f>
        <v>46765</v>
      </c>
      <c r="BN184" s="8">
        <f t="shared" ca="1" si="478"/>
        <v>630</v>
      </c>
      <c r="BO184" s="5" t="str">
        <f t="shared" ca="1" si="479"/>
        <v>VIGENTE</v>
      </c>
      <c r="BP184" s="3"/>
      <c r="BQ184" s="4">
        <v>46069</v>
      </c>
      <c r="BR184" s="4">
        <f t="shared" ref="BR184" si="640">DATE(YEAR(BQ184)+2,MONTH(BQ184),DAY(BQ184))</f>
        <v>46799</v>
      </c>
      <c r="BS184" s="8">
        <f t="shared" ca="1" si="480"/>
        <v>664</v>
      </c>
      <c r="BT184" s="5" t="str">
        <f t="shared" ca="1" si="481"/>
        <v>VIGENTE</v>
      </c>
      <c r="BU184" s="3"/>
      <c r="BV184" s="4">
        <v>45736</v>
      </c>
      <c r="BW184" s="4">
        <f t="shared" ref="BW184:BW188" si="641">DATE(YEAR(BV184)+2,MONTH(BV184),DAY(BV184)-1)</f>
        <v>46465</v>
      </c>
      <c r="BX184" s="8">
        <f t="shared" ca="1" si="482"/>
        <v>330</v>
      </c>
      <c r="BY184" s="5" t="str">
        <f t="shared" ca="1" si="483"/>
        <v>VIGENTE</v>
      </c>
      <c r="BZ184" s="3"/>
      <c r="CA184" s="4">
        <v>45480</v>
      </c>
      <c r="CB184" s="4">
        <f t="shared" ref="CB184:CB187" si="642">DATE(YEAR(CA184)+2,MONTH(CA184),DAY(CA184)-1)</f>
        <v>46209</v>
      </c>
      <c r="CC184" s="8">
        <f t="shared" ca="1" si="484"/>
        <v>74</v>
      </c>
      <c r="CD184" s="5" t="str">
        <f t="shared" ca="1" si="485"/>
        <v>POR VENCER</v>
      </c>
      <c r="CE184" s="6" t="s">
        <v>73</v>
      </c>
      <c r="CF184" s="4">
        <v>45282</v>
      </c>
      <c r="CG184" s="4">
        <f t="shared" si="604"/>
        <v>46743</v>
      </c>
      <c r="CH184" s="8">
        <f t="shared" ca="1" si="605"/>
        <v>608</v>
      </c>
      <c r="CI184" s="5" t="str">
        <f t="shared" ca="1" si="587"/>
        <v>VIGENTE</v>
      </c>
      <c r="CJ184" s="4"/>
      <c r="CK184" s="4">
        <v>45688</v>
      </c>
      <c r="CL184" s="4">
        <f t="shared" ref="CL184:CL190" si="643">DATE(YEAR(CK184)+2,MONTH(CK184),DAY(CK184)-1)</f>
        <v>46417</v>
      </c>
      <c r="CM184" s="8">
        <f t="shared" ca="1" si="486"/>
        <v>282</v>
      </c>
      <c r="CN184" s="5" t="str">
        <f t="shared" ca="1" si="487"/>
        <v>VIGENTE</v>
      </c>
      <c r="CO184" s="3"/>
      <c r="CP184" s="4">
        <v>45684</v>
      </c>
      <c r="CQ184" s="4">
        <f t="shared" ref="CQ184:CQ190" si="644">DATE(YEAR(CP184)+2,MONTH(CP184),DAY(CP184)-1)</f>
        <v>46413</v>
      </c>
      <c r="CR184" s="8">
        <f t="shared" ca="1" si="488"/>
        <v>278</v>
      </c>
      <c r="CS184" s="5" t="str">
        <f t="shared" ca="1" si="489"/>
        <v>VIGENTE</v>
      </c>
      <c r="CT184" s="3"/>
      <c r="CU184" s="4">
        <v>45645</v>
      </c>
      <c r="CV184" s="4">
        <f t="shared" ref="CV184:CV188" si="645">DATE(YEAR(CU184)+2,MONTH(CU184),DAY(CU184)-1)</f>
        <v>46374</v>
      </c>
      <c r="CW184" s="8">
        <f t="shared" ca="1" si="490"/>
        <v>239</v>
      </c>
      <c r="CX184" s="5" t="str">
        <f t="shared" ca="1" si="491"/>
        <v>VIGENTE</v>
      </c>
      <c r="CY184" s="3"/>
      <c r="CZ184" s="4">
        <v>45665</v>
      </c>
      <c r="DA184" s="4">
        <f t="shared" ref="DA184:DA188" si="646">DATE(YEAR(CZ184)+2,MONTH(CZ184),DAY(CZ184)-1)</f>
        <v>46394</v>
      </c>
      <c r="DB184" s="8">
        <f t="shared" ca="1" si="492"/>
        <v>259</v>
      </c>
      <c r="DC184" s="5" t="str">
        <f t="shared" ca="1" si="493"/>
        <v>VIGENTE</v>
      </c>
      <c r="DD184" s="3"/>
      <c r="DE184" s="4">
        <v>45689</v>
      </c>
      <c r="DF184" s="4">
        <f t="shared" ref="DF184:DF190" si="647">DATE(YEAR(DE184)+2,MONTH(DE184),DAY(DE184)-1)</f>
        <v>46418</v>
      </c>
      <c r="DG184" s="8">
        <f t="shared" ca="1" si="494"/>
        <v>283</v>
      </c>
      <c r="DH184" s="5" t="str">
        <f t="shared" ca="1" si="495"/>
        <v>VIGENTE</v>
      </c>
      <c r="DI184" s="3"/>
      <c r="DJ184" s="4">
        <v>46073</v>
      </c>
      <c r="DK184" s="4">
        <f t="shared" ref="DK184:DK186" si="648">DATE(YEAR(DJ184)+2,MONTH(DJ184),DAY(DJ184))</f>
        <v>46803</v>
      </c>
      <c r="DL184" s="8">
        <f t="shared" ca="1" si="496"/>
        <v>668</v>
      </c>
      <c r="DM184" s="5" t="str">
        <f t="shared" ca="1" si="497"/>
        <v>VIGENTE</v>
      </c>
      <c r="DN184" s="3"/>
      <c r="DO184" s="4">
        <v>45731</v>
      </c>
      <c r="DP184" s="4">
        <f t="shared" ref="DP184:DP187" si="649">DATE(YEAR(DO184)+2,MONTH(DO184),DAY(DO184)-1)</f>
        <v>46460</v>
      </c>
      <c r="DQ184" s="8">
        <f t="shared" ca="1" si="498"/>
        <v>325</v>
      </c>
      <c r="DR184" s="5" t="str">
        <f t="shared" ca="1" si="49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0"/>
        <v>667</v>
      </c>
      <c r="DW184" s="5" t="str">
        <f t="shared" ca="1" si="501"/>
        <v>VIGENTE</v>
      </c>
      <c r="DX184" s="3"/>
      <c r="DY184" s="4">
        <v>45709</v>
      </c>
      <c r="DZ184" s="4">
        <f t="shared" ref="DZ184:DZ190" si="650">DATE(YEAR(DY184)+2,MONTH(DY184),DAY(DY184)-1)</f>
        <v>46438</v>
      </c>
      <c r="EA184" s="8">
        <f t="shared" ca="1" si="502"/>
        <v>303</v>
      </c>
      <c r="EB184" s="5" t="str">
        <f t="shared" ca="1" si="503"/>
        <v>VIGENTE</v>
      </c>
      <c r="EC184" s="3"/>
      <c r="ED184" s="4">
        <v>46104</v>
      </c>
      <c r="EE184" s="4">
        <f t="shared" ref="EE184:EE189" si="651">DATE(YEAR(ED184)+2,MONTH(ED184),DAY(ED184))</f>
        <v>46835</v>
      </c>
      <c r="EF184" s="8">
        <f t="shared" ca="1" si="504"/>
        <v>700</v>
      </c>
      <c r="EG184" s="5" t="str">
        <f t="shared" ca="1" si="505"/>
        <v>VIGENTE</v>
      </c>
      <c r="EH184" s="3"/>
      <c r="EI184" s="4">
        <v>45948</v>
      </c>
      <c r="EJ184" s="4">
        <f t="shared" si="572"/>
        <v>46313</v>
      </c>
      <c r="EK184" s="8">
        <f t="shared" ca="1" si="506"/>
        <v>178</v>
      </c>
      <c r="EL184" s="5" t="str">
        <f t="shared" ca="1" si="507"/>
        <v>VIGENTE</v>
      </c>
      <c r="EM184" s="3"/>
      <c r="EN184" s="4">
        <v>45465</v>
      </c>
      <c r="EO184" s="4">
        <f t="shared" ref="EO184:EO190" si="652">DATE(YEAR(EN184)+2,MONTH(EN184),DAY(EN184)-1)</f>
        <v>46194</v>
      </c>
      <c r="EP184" s="8">
        <f t="shared" ca="1" si="508"/>
        <v>59</v>
      </c>
      <c r="EQ184" s="5" t="str">
        <f t="shared" ca="1" si="509"/>
        <v>POR VENCER</v>
      </c>
      <c r="ER184" s="3"/>
      <c r="ES184" s="4">
        <v>46094</v>
      </c>
      <c r="ET184" s="4">
        <f t="shared" ref="ET184:ET186" si="653">DATE(YEAR(ES184)+2,MONTH(ES184),DAY(ES184))</f>
        <v>46825</v>
      </c>
      <c r="EU184" s="8">
        <f t="shared" ca="1" si="510"/>
        <v>690</v>
      </c>
      <c r="EV184" s="5" t="str">
        <f t="shared" ca="1" si="511"/>
        <v>VIGENTE</v>
      </c>
      <c r="EW184" s="3"/>
      <c r="EX184" s="4">
        <v>46070</v>
      </c>
      <c r="EY184" s="4">
        <f t="shared" si="623"/>
        <v>46800</v>
      </c>
      <c r="EZ184" s="8">
        <f t="shared" ca="1" si="512"/>
        <v>665</v>
      </c>
      <c r="FA184" s="5" t="str">
        <f t="shared" ca="1" si="513"/>
        <v>VIGENTE</v>
      </c>
      <c r="FB184" s="3"/>
      <c r="FC184" s="4">
        <v>46091</v>
      </c>
      <c r="FD184" s="4">
        <f t="shared" ref="FD184:FD186" si="654">DATE(YEAR(FC184)+2,MONTH(FC184),DAY(FC184))</f>
        <v>46822</v>
      </c>
      <c r="FE184" s="8">
        <f t="shared" ca="1" si="514"/>
        <v>687</v>
      </c>
      <c r="FF184" s="5" t="str">
        <f t="shared" ca="1" si="515"/>
        <v>VIGENTE</v>
      </c>
      <c r="FG184" s="3"/>
      <c r="FH184" s="4">
        <v>45506</v>
      </c>
      <c r="FI184" s="4">
        <f t="shared" ref="FI184:FI187" si="655">DATE(YEAR(FH184)+2,MONTH(FH184),DAY(FH184)-1)</f>
        <v>46235</v>
      </c>
      <c r="FJ184" s="8">
        <f t="shared" ca="1" si="516"/>
        <v>100</v>
      </c>
      <c r="FK184" s="5" t="str">
        <f t="shared" ca="1" si="517"/>
        <v>VIGENTE</v>
      </c>
      <c r="FL184" s="3"/>
      <c r="FM184" s="4">
        <v>46049</v>
      </c>
      <c r="FN184" s="4">
        <f t="shared" ref="FN184:FN186" si="656">DATE(YEAR(FM184)+2,MONTH(FM184),DAY(FM184))</f>
        <v>46779</v>
      </c>
      <c r="FO184" s="8">
        <f t="shared" ca="1" si="518"/>
        <v>644</v>
      </c>
      <c r="FP184" s="5" t="str">
        <f t="shared" ca="1" si="519"/>
        <v>VIGENTE</v>
      </c>
      <c r="FQ184" s="3"/>
      <c r="FR184" s="4">
        <v>45471</v>
      </c>
      <c r="FS184" s="4">
        <f t="shared" ref="FS184:FS190" si="657">DATE(YEAR(FR184)+2,MONTH(FR184),DAY(FR184)-1)</f>
        <v>46200</v>
      </c>
      <c r="FT184" s="8">
        <f t="shared" ca="1" si="520"/>
        <v>65</v>
      </c>
      <c r="FU184" s="5" t="str">
        <f t="shared" ca="1" si="521"/>
        <v>POR VENCER</v>
      </c>
      <c r="FV184" s="3"/>
      <c r="FW184" s="4">
        <v>45581</v>
      </c>
      <c r="FX184" s="4">
        <f t="shared" ref="FX184:FX188" si="658">DATE(YEAR(FW184)+2,MONTH(FW184),DAY(FW184)-1)</f>
        <v>46310</v>
      </c>
      <c r="FY184" s="8">
        <f t="shared" ca="1" si="522"/>
        <v>175</v>
      </c>
      <c r="FZ184" s="5" t="str">
        <f t="shared" ca="1" si="523"/>
        <v>VIGENTE</v>
      </c>
      <c r="GA184" s="3"/>
      <c r="GB184" s="4">
        <v>45507</v>
      </c>
      <c r="GC184" s="4">
        <f t="shared" ref="GC184:GC190" si="659">DATE(YEAR(GB184)+2,MONTH(GB184),DAY(GB184)-1)</f>
        <v>46236</v>
      </c>
      <c r="GD184" s="8">
        <f t="shared" ca="1" si="524"/>
        <v>101</v>
      </c>
      <c r="GE184" s="5" t="str">
        <f t="shared" ca="1" si="525"/>
        <v>VIGENTE</v>
      </c>
      <c r="GF184" s="3"/>
      <c r="GG184" s="4">
        <v>45472</v>
      </c>
      <c r="GH184" s="4">
        <f t="shared" ref="GH184:GH187" si="660">DATE(YEAR(GG184)+2,MONTH(GG184),DAY(GG184)-1)</f>
        <v>46201</v>
      </c>
      <c r="GI184" s="8">
        <f t="shared" ca="1" si="526"/>
        <v>66</v>
      </c>
      <c r="GJ184" s="5" t="str">
        <f t="shared" ca="1" si="527"/>
        <v>POR VENCER</v>
      </c>
      <c r="GK184" s="3"/>
      <c r="GL184" s="4">
        <v>45687</v>
      </c>
      <c r="GM184" s="4">
        <f t="shared" ref="GM184:GM189" si="661">DATE(YEAR(GL184)+2,MONTH(GL184),DAY(GL184)-1)</f>
        <v>46416</v>
      </c>
      <c r="GN184" s="8">
        <f t="shared" ca="1" si="528"/>
        <v>281</v>
      </c>
      <c r="GO184" s="5" t="str">
        <f t="shared" ca="1" si="529"/>
        <v>VIGENTE</v>
      </c>
      <c r="GP184" s="4"/>
      <c r="GQ184" s="4">
        <v>45421</v>
      </c>
      <c r="GR184" s="4">
        <f t="shared" si="530"/>
        <v>47247</v>
      </c>
      <c r="GS184" s="8">
        <f t="shared" ca="1" si="615"/>
        <v>1112</v>
      </c>
      <c r="GT184" s="5" t="str">
        <f t="shared" ca="1" si="624"/>
        <v>VIGENTE</v>
      </c>
      <c r="GU184" s="3"/>
      <c r="GV184" s="4">
        <v>45432</v>
      </c>
      <c r="GW184" s="4">
        <f t="shared" si="531"/>
        <v>47258</v>
      </c>
      <c r="GX184" s="8">
        <f t="shared" ca="1" si="532"/>
        <v>1123</v>
      </c>
      <c r="GY184" s="5" t="str">
        <f t="shared" ca="1" si="625"/>
        <v>VIGENTE</v>
      </c>
      <c r="GZ184" s="2"/>
      <c r="HA184" s="4">
        <v>45016</v>
      </c>
      <c r="HB184" s="4">
        <f t="shared" si="533"/>
        <v>46843</v>
      </c>
      <c r="HC184" s="8">
        <f t="shared" ca="1" si="534"/>
        <v>708</v>
      </c>
      <c r="HD184" s="5" t="str">
        <f t="shared" ca="1" si="626"/>
        <v>VIGENTE</v>
      </c>
      <c r="HE184" s="6"/>
      <c r="HF184" s="4">
        <v>44956</v>
      </c>
      <c r="HG184" s="4">
        <f t="shared" ref="HG184:HG189" si="662">DATE(YEAR(HF184)+5,MONTH(HF184),DAY(HF184))</f>
        <v>46782</v>
      </c>
      <c r="HH184" s="8">
        <f t="shared" ca="1" si="630"/>
        <v>647</v>
      </c>
      <c r="HI184" s="5" t="str">
        <f t="shared" ca="1" si="627"/>
        <v>VIGENTE</v>
      </c>
      <c r="HJ184" s="2"/>
      <c r="HK184" s="6"/>
      <c r="HL184" s="4"/>
      <c r="HM184" s="8"/>
      <c r="HN184" s="5" t="str">
        <f t="shared" si="453"/>
        <v>NO APLICA</v>
      </c>
      <c r="HO184" s="2"/>
      <c r="HP184" s="2"/>
      <c r="HQ184" s="4"/>
      <c r="HR184" s="2"/>
      <c r="HS184" s="5" t="str">
        <f t="shared" si="53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3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3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3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3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40"/>
        <v>VIGENTE</v>
      </c>
      <c r="IS184" s="3"/>
      <c r="IT184" s="4">
        <v>45423</v>
      </c>
      <c r="IU184" s="4">
        <f t="shared" ref="IU184:IU188" si="663">DATE(YEAR(IT184)+5,MONTH(IT184),DAY(IT184))</f>
        <v>47249</v>
      </c>
      <c r="IV184" s="8">
        <f t="shared" ca="1" si="631"/>
        <v>1114</v>
      </c>
      <c r="IW184" s="5" t="str">
        <f t="shared" ca="1" si="541"/>
        <v>VIGENTE</v>
      </c>
      <c r="IX184" s="2"/>
      <c r="IY184" s="4">
        <v>44973</v>
      </c>
      <c r="IZ184" s="4">
        <f t="shared" ref="IZ184:IZ188" si="664">DATE(YEAR(IY184)+5,MONTH(IY184),DAY(IY184))</f>
        <v>46799</v>
      </c>
      <c r="JA184" s="8">
        <f t="shared" ca="1" si="632"/>
        <v>664</v>
      </c>
      <c r="JB184" s="5" t="str">
        <f t="shared" ca="1" si="542"/>
        <v>VIGENTE</v>
      </c>
      <c r="JC184" s="3"/>
      <c r="JD184" s="3"/>
      <c r="JE184" s="4"/>
      <c r="JF184" s="8"/>
      <c r="JG184" s="5" t="str">
        <f t="shared" si="543"/>
        <v>NO APLICA</v>
      </c>
      <c r="JH184" s="6"/>
      <c r="JI184" s="6"/>
      <c r="JJ184" s="6"/>
      <c r="JK184" s="6"/>
      <c r="JL184" s="5" t="str">
        <f t="shared" si="544"/>
        <v>NO APLICA</v>
      </c>
      <c r="JM184" s="6"/>
      <c r="JN184" s="6"/>
      <c r="JO184" s="6"/>
      <c r="JP184" s="6"/>
      <c r="JQ184" s="5" t="str">
        <f t="shared" si="545"/>
        <v>NO APLICA</v>
      </c>
      <c r="JR184" s="6"/>
      <c r="JS184" s="6"/>
      <c r="JT184" s="6"/>
      <c r="JU184" s="6"/>
      <c r="JV184" s="5" t="str">
        <f t="shared" si="546"/>
        <v>NO APLICA</v>
      </c>
      <c r="JW184" s="5"/>
      <c r="JX184" s="5"/>
      <c r="JY184" s="5"/>
      <c r="JZ184" s="5"/>
      <c r="KA184" s="5" t="str">
        <f t="shared" si="547"/>
        <v>NO APLICA</v>
      </c>
      <c r="KB184" s="5"/>
      <c r="KC184" s="2"/>
      <c r="KD184" s="4"/>
      <c r="KE184" s="8"/>
      <c r="KF184" s="5" t="str">
        <f t="shared" si="548"/>
        <v>NO APLICA</v>
      </c>
      <c r="KG184" s="5"/>
      <c r="KH184" s="2"/>
      <c r="KI184" s="4"/>
      <c r="KJ184" s="8"/>
      <c r="KK184" s="5" t="str">
        <f t="shared" si="573"/>
        <v>NO APLICA</v>
      </c>
      <c r="KL184" s="5"/>
      <c r="KM184" s="2"/>
      <c r="KN184" s="4"/>
      <c r="KO184" s="8"/>
      <c r="KP184" s="5" t="str">
        <f t="shared" si="549"/>
        <v>NO APLICA</v>
      </c>
      <c r="KQ184" s="5"/>
      <c r="KR184" s="2"/>
      <c r="KS184" s="4"/>
      <c r="KT184" s="8"/>
      <c r="KU184" s="5" t="str">
        <f t="shared" si="574"/>
        <v>NO APLICA</v>
      </c>
      <c r="KV184" s="2"/>
      <c r="KW184" s="6"/>
      <c r="KX184" s="4"/>
      <c r="KY184" s="8"/>
      <c r="KZ184" s="5" t="str">
        <f t="shared" si="579"/>
        <v>NO APLICA</v>
      </c>
      <c r="LA184" s="5"/>
      <c r="LB184" s="6"/>
      <c r="LC184" s="4"/>
      <c r="LD184" s="8"/>
      <c r="LE184" s="5" t="str">
        <f t="shared" si="575"/>
        <v>NO APLICA</v>
      </c>
      <c r="LF184" s="6"/>
      <c r="LG184" s="6"/>
      <c r="LH184" s="4"/>
      <c r="LI184" s="8"/>
      <c r="LJ184" s="5" t="str">
        <f t="shared" si="614"/>
        <v>NO APLICA</v>
      </c>
      <c r="LK184" s="5"/>
      <c r="LL184" s="5"/>
      <c r="LM184" s="5"/>
      <c r="LN184" s="5"/>
      <c r="LO184" s="5" t="str">
        <f t="shared" si="580"/>
        <v>NO APLICA</v>
      </c>
      <c r="LP184" s="2"/>
      <c r="LQ184" s="6"/>
      <c r="LR184" s="4"/>
      <c r="LS184" s="8"/>
      <c r="LT184" s="5" t="str">
        <f t="shared" si="576"/>
        <v>NO APLICA</v>
      </c>
      <c r="LU184" s="6"/>
      <c r="LV184" s="6"/>
      <c r="LW184" s="4"/>
      <c r="LX184" s="8"/>
      <c r="LY184" s="5" t="str">
        <f t="shared" si="577"/>
        <v>NO APLICA</v>
      </c>
      <c r="LZ184" s="6"/>
      <c r="MA184" s="6"/>
      <c r="MB184" s="4"/>
      <c r="MC184" s="8"/>
      <c r="MD184" s="5" t="str">
        <f t="shared" si="578"/>
        <v>NO APLICA</v>
      </c>
      <c r="ME184" s="2"/>
      <c r="MF184" s="2"/>
      <c r="MG184" s="4"/>
      <c r="MH184" s="2"/>
      <c r="MI184" s="5" t="str">
        <f t="shared" si="551"/>
        <v>NO APLICA</v>
      </c>
      <c r="MJ184" s="2"/>
      <c r="MK184" s="2"/>
      <c r="ML184" s="4"/>
      <c r="MM184" s="8"/>
      <c r="MN184" s="5" t="str">
        <f t="shared" si="552"/>
        <v>NO APLICA</v>
      </c>
      <c r="MO184" s="5"/>
      <c r="MP184" s="2"/>
      <c r="MQ184" s="4"/>
      <c r="MR184" s="8"/>
      <c r="MS184" s="5" t="str">
        <f t="shared" si="553"/>
        <v>NO APLICA</v>
      </c>
      <c r="MT184" s="5"/>
      <c r="MU184" s="2"/>
      <c r="MV184" s="4"/>
      <c r="MW184" s="2"/>
      <c r="MX184" s="5" t="str">
        <f t="shared" si="554"/>
        <v>NO APLICA</v>
      </c>
      <c r="MY184" s="2"/>
      <c r="MZ184" s="6"/>
      <c r="NA184" s="4"/>
      <c r="NB184" s="8"/>
      <c r="NC184" s="5" t="str">
        <f t="shared" si="555"/>
        <v>NO APLICA</v>
      </c>
      <c r="ND184" s="2"/>
      <c r="NE184" s="6"/>
      <c r="NF184" s="4"/>
      <c r="NG184" s="8"/>
      <c r="NH184" s="5" t="str">
        <f t="shared" si="556"/>
        <v>NO APLICA</v>
      </c>
      <c r="NI184" s="2"/>
      <c r="NJ184" s="6"/>
      <c r="NK184" s="4"/>
      <c r="NL184" s="8"/>
      <c r="NM184" s="5" t="str">
        <f t="shared" si="557"/>
        <v>NO APLICA</v>
      </c>
      <c r="NN184" s="2"/>
      <c r="NO184" s="2"/>
      <c r="NP184" s="4"/>
      <c r="NQ184" s="2"/>
      <c r="NR184" s="5" t="str">
        <f t="shared" si="558"/>
        <v>NO APLICA</v>
      </c>
      <c r="NS184" s="2"/>
      <c r="NT184" s="2"/>
      <c r="NU184" s="4"/>
      <c r="NV184" s="2"/>
      <c r="NW184" s="5" t="str">
        <f t="shared" si="559"/>
        <v>NO APLICA</v>
      </c>
      <c r="NX184" s="6"/>
      <c r="NY184" s="6"/>
      <c r="NZ184" s="4"/>
      <c r="OA184" s="8"/>
      <c r="OB184" s="5" t="str">
        <f t="shared" si="560"/>
        <v>NO APLICA</v>
      </c>
      <c r="OC184" s="6"/>
      <c r="OD184" s="6"/>
      <c r="OE184" s="6"/>
      <c r="OF184" s="6"/>
      <c r="OG184" s="5" t="str">
        <f t="shared" si="561"/>
        <v>NO APLICA</v>
      </c>
      <c r="OH184" s="6"/>
      <c r="OI184" s="6"/>
      <c r="OJ184" s="4"/>
      <c r="OK184" s="8"/>
      <c r="OL184" s="5" t="str">
        <f t="shared" si="562"/>
        <v>NO APLICA</v>
      </c>
      <c r="OM184" s="6"/>
      <c r="ON184" s="6"/>
      <c r="OO184" s="6"/>
      <c r="OP184" s="6"/>
      <c r="OQ184" s="5" t="str">
        <f t="shared" si="563"/>
        <v>NO APLICA</v>
      </c>
      <c r="OR184" s="6"/>
      <c r="OS184" s="6"/>
      <c r="OT184" s="6"/>
      <c r="OU184" s="6"/>
      <c r="OV184" s="5" t="str">
        <f t="shared" si="564"/>
        <v>NO APLICA</v>
      </c>
      <c r="OW184" s="6"/>
      <c r="OX184" s="6"/>
      <c r="OY184" s="6"/>
      <c r="OZ184" s="6"/>
      <c r="PA184" s="5" t="str">
        <f t="shared" si="565"/>
        <v>NO APLICA</v>
      </c>
      <c r="PB184" s="6"/>
      <c r="PC184" s="6"/>
      <c r="PD184" s="6"/>
      <c r="PE184" s="6"/>
      <c r="PF184" s="5" t="str">
        <f t="shared" si="566"/>
        <v>NO APLICA</v>
      </c>
      <c r="PG184" s="6"/>
      <c r="PH184" s="6"/>
      <c r="PI184" s="6"/>
      <c r="PJ184" s="6"/>
      <c r="PK184" s="5" t="str">
        <f t="shared" si="567"/>
        <v>NO APLICA</v>
      </c>
      <c r="PL184" s="5"/>
      <c r="PM184" s="6"/>
      <c r="PN184" s="4"/>
      <c r="PO184" s="8"/>
      <c r="PP184" s="5" t="str">
        <f t="shared" si="568"/>
        <v>NO APLICA</v>
      </c>
      <c r="PQ184" s="6"/>
      <c r="PR184" s="6"/>
      <c r="PS184" s="6"/>
      <c r="PT184" s="6"/>
      <c r="PU184" s="5" t="str">
        <f t="shared" si="569"/>
        <v>NO APLICA</v>
      </c>
      <c r="PV184" s="5"/>
      <c r="PW184" s="6"/>
      <c r="PX184" s="6"/>
      <c r="PY184" s="6"/>
      <c r="PZ184" s="5" t="str">
        <f t="shared" si="570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588</v>
      </c>
      <c r="D185" s="30" t="s">
        <v>69</v>
      </c>
      <c r="E185" s="31" t="s">
        <v>75</v>
      </c>
      <c r="F185" s="5"/>
      <c r="G185" s="6"/>
      <c r="H185" s="4"/>
      <c r="I185" s="8"/>
      <c r="J185" s="5" t="str">
        <f t="shared" si="464"/>
        <v>NO APLICA</v>
      </c>
      <c r="K185" s="5"/>
      <c r="L185" s="6"/>
      <c r="M185" s="6"/>
      <c r="N185" s="8"/>
      <c r="O185" s="5" t="str">
        <f t="shared" si="465"/>
        <v>NO APLICA</v>
      </c>
      <c r="P185" s="6"/>
      <c r="Q185" s="6"/>
      <c r="R185" s="4"/>
      <c r="S185" s="8"/>
      <c r="T185" s="5" t="str">
        <f t="shared" si="571"/>
        <v>NO APLICA</v>
      </c>
      <c r="U185" s="5"/>
      <c r="V185" s="2" t="s">
        <v>589</v>
      </c>
      <c r="W185" s="4">
        <v>44590</v>
      </c>
      <c r="X185" s="4">
        <f t="shared" si="601"/>
        <v>46416</v>
      </c>
      <c r="Y185" s="8">
        <f t="shared" ca="1" si="602"/>
        <v>281</v>
      </c>
      <c r="Z185" s="5" t="str">
        <f t="shared" ca="1" si="619"/>
        <v>VIGENTE</v>
      </c>
      <c r="AA185" s="5"/>
      <c r="AB185" s="2" t="s">
        <v>590</v>
      </c>
      <c r="AC185" s="4">
        <v>44824</v>
      </c>
      <c r="AD185" s="4">
        <f t="shared" si="633"/>
        <v>46650</v>
      </c>
      <c r="AE185" s="8">
        <f t="shared" ca="1" si="628"/>
        <v>515</v>
      </c>
      <c r="AF185" s="5" t="str">
        <f t="shared" ca="1" si="466"/>
        <v>VIGENTE</v>
      </c>
      <c r="AG185" s="3"/>
      <c r="AH185" s="4">
        <v>46002</v>
      </c>
      <c r="AI185" s="4">
        <f t="shared" ref="AI185:AI186" si="665">DATE(YEAR(AH185)+2,MONTH(AH185),DAY(AH185))</f>
        <v>46732</v>
      </c>
      <c r="AJ185" s="8">
        <f t="shared" ca="1" si="467"/>
        <v>597</v>
      </c>
      <c r="AK185" s="5" t="str">
        <f t="shared" ca="1" si="616"/>
        <v>VIGENTE</v>
      </c>
      <c r="AL185" s="3"/>
      <c r="AM185" s="4">
        <v>45959</v>
      </c>
      <c r="AN185" s="4">
        <f t="shared" si="635"/>
        <v>46689</v>
      </c>
      <c r="AO185" s="8">
        <f t="shared" ca="1" si="468"/>
        <v>554</v>
      </c>
      <c r="AP185" s="5" t="str">
        <f t="shared" ca="1" si="469"/>
        <v>VIGENTE</v>
      </c>
      <c r="AQ185" s="3"/>
      <c r="AR185" s="4">
        <v>45967</v>
      </c>
      <c r="AS185" s="4">
        <f t="shared" ref="AS185:AS186" si="666">DATE(YEAR(AR185)+2,MONTH(AR185),DAY(AR185))</f>
        <v>46697</v>
      </c>
      <c r="AT185" s="8">
        <f t="shared" ca="1" si="470"/>
        <v>562</v>
      </c>
      <c r="AU185" s="5" t="str">
        <f t="shared" ca="1" si="47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2"/>
        <v>567</v>
      </c>
      <c r="AZ185" s="5" t="str">
        <f t="shared" ca="1" si="473"/>
        <v>VIGENTE</v>
      </c>
      <c r="BA185" s="3"/>
      <c r="BB185" s="4">
        <v>45930</v>
      </c>
      <c r="BC185" s="4">
        <f t="shared" ref="BC185:BC186" si="667">DATE(YEAR(BB185)+2,MONTH(BB185),DAY(BB185))</f>
        <v>46660</v>
      </c>
      <c r="BD185" s="8">
        <f t="shared" ca="1" si="474"/>
        <v>525</v>
      </c>
      <c r="BE185" s="5" t="str">
        <f t="shared" ca="1" si="475"/>
        <v>VIGENTE</v>
      </c>
      <c r="BF185" s="3"/>
      <c r="BG185" s="4">
        <v>45987</v>
      </c>
      <c r="BH185" s="4">
        <f t="shared" si="629"/>
        <v>46717</v>
      </c>
      <c r="BI185" s="8">
        <f t="shared" ca="1" si="476"/>
        <v>582</v>
      </c>
      <c r="BJ185" s="5" t="str">
        <f t="shared" ca="1" si="477"/>
        <v>VIGENTE</v>
      </c>
      <c r="BK185" s="3"/>
      <c r="BL185" s="4">
        <v>46051</v>
      </c>
      <c r="BM185" s="4">
        <f t="shared" si="639"/>
        <v>46781</v>
      </c>
      <c r="BN185" s="8">
        <f t="shared" ca="1" si="478"/>
        <v>646</v>
      </c>
      <c r="BO185" s="5" t="str">
        <f t="shared" ca="1" si="47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0"/>
        <v>436</v>
      </c>
      <c r="BT185" s="5" t="str">
        <f t="shared" ca="1" si="481"/>
        <v>VIGENTE</v>
      </c>
      <c r="BU185" s="3"/>
      <c r="BV185" s="4">
        <v>45950</v>
      </c>
      <c r="BW185" s="4">
        <f t="shared" ref="BW185:BW186" si="668">DATE(YEAR(BV185)+2,MONTH(BV185),DAY(BV185))</f>
        <v>46680</v>
      </c>
      <c r="BX185" s="8">
        <f t="shared" ca="1" si="482"/>
        <v>545</v>
      </c>
      <c r="BY185" s="5" t="str">
        <f t="shared" ca="1" si="483"/>
        <v>VIGENTE</v>
      </c>
      <c r="BZ185" s="3"/>
      <c r="CA185" s="4">
        <v>45954</v>
      </c>
      <c r="CB185" s="4">
        <f t="shared" ref="CB185:CB186" si="669">DATE(YEAR(CA185)+2,MONTH(CA185),DAY(CA185))</f>
        <v>46684</v>
      </c>
      <c r="CC185" s="8">
        <f t="shared" ca="1" si="484"/>
        <v>549</v>
      </c>
      <c r="CD185" s="5" t="str">
        <f t="shared" ca="1" si="485"/>
        <v>VIGENTE</v>
      </c>
      <c r="CE185" s="6" t="s">
        <v>73</v>
      </c>
      <c r="CF185" s="4">
        <v>45247</v>
      </c>
      <c r="CG185" s="4">
        <f t="shared" si="604"/>
        <v>46708</v>
      </c>
      <c r="CH185" s="8">
        <f t="shared" ca="1" si="605"/>
        <v>573</v>
      </c>
      <c r="CI185" s="5" t="str">
        <f t="shared" ca="1" si="587"/>
        <v>VIGENTE</v>
      </c>
      <c r="CJ185" s="4"/>
      <c r="CK185" s="4">
        <v>45688</v>
      </c>
      <c r="CL185" s="4">
        <f t="shared" si="643"/>
        <v>46417</v>
      </c>
      <c r="CM185" s="8">
        <f t="shared" ca="1" si="486"/>
        <v>282</v>
      </c>
      <c r="CN185" s="5" t="str">
        <f t="shared" ca="1" si="487"/>
        <v>VIGENTE</v>
      </c>
      <c r="CO185" s="3"/>
      <c r="CP185" s="4">
        <v>45979</v>
      </c>
      <c r="CQ185" s="4">
        <f t="shared" ref="CQ185:CQ186" si="670">DATE(YEAR(CP185)+2,MONTH(CP185),DAY(CP185))</f>
        <v>46709</v>
      </c>
      <c r="CR185" s="8">
        <f t="shared" ca="1" si="488"/>
        <v>574</v>
      </c>
      <c r="CS185" s="5" t="str">
        <f t="shared" ca="1" si="489"/>
        <v>VIGENTE</v>
      </c>
      <c r="CT185" s="3"/>
      <c r="CU185" s="4">
        <v>45639</v>
      </c>
      <c r="CV185" s="4">
        <f t="shared" si="645"/>
        <v>46368</v>
      </c>
      <c r="CW185" s="8">
        <f t="shared" ca="1" si="490"/>
        <v>233</v>
      </c>
      <c r="CX185" s="5" t="str">
        <f t="shared" ca="1" si="491"/>
        <v>VIGENTE</v>
      </c>
      <c r="CY185" s="3"/>
      <c r="CZ185" s="4">
        <v>45665</v>
      </c>
      <c r="DA185" s="4">
        <f t="shared" si="646"/>
        <v>46394</v>
      </c>
      <c r="DB185" s="8">
        <f t="shared" ca="1" si="492"/>
        <v>259</v>
      </c>
      <c r="DC185" s="5" t="str">
        <f t="shared" ca="1" si="493"/>
        <v>VIGENTE</v>
      </c>
      <c r="DD185" s="3"/>
      <c r="DE185" s="4">
        <v>45689</v>
      </c>
      <c r="DF185" s="4">
        <f t="shared" si="647"/>
        <v>46418</v>
      </c>
      <c r="DG185" s="8">
        <f t="shared" ca="1" si="494"/>
        <v>283</v>
      </c>
      <c r="DH185" s="5" t="str">
        <f t="shared" ca="1" si="495"/>
        <v>VIGENTE</v>
      </c>
      <c r="DI185" s="3"/>
      <c r="DJ185" s="4">
        <v>45955</v>
      </c>
      <c r="DK185" s="4">
        <f t="shared" si="648"/>
        <v>46685</v>
      </c>
      <c r="DL185" s="8">
        <f t="shared" ca="1" si="496"/>
        <v>550</v>
      </c>
      <c r="DM185" s="5" t="str">
        <f t="shared" ca="1" si="497"/>
        <v>VIGENTE</v>
      </c>
      <c r="DN185" s="3"/>
      <c r="DO185" s="4">
        <v>45473</v>
      </c>
      <c r="DP185" s="4">
        <f t="shared" si="649"/>
        <v>46202</v>
      </c>
      <c r="DQ185" s="8">
        <f t="shared" ca="1" si="498"/>
        <v>67</v>
      </c>
      <c r="DR185" s="5" t="str">
        <f t="shared" ca="1" si="49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0"/>
        <v>613</v>
      </c>
      <c r="DW185" s="5" t="str">
        <f t="shared" ca="1" si="501"/>
        <v>VIGENTE</v>
      </c>
      <c r="DX185" s="3"/>
      <c r="DY185" s="4">
        <v>46020</v>
      </c>
      <c r="DZ185" s="4">
        <f t="shared" ref="DZ185:DZ186" si="671">DATE(YEAR(DY185)+2,MONTH(DY185),DAY(DY185))</f>
        <v>46750</v>
      </c>
      <c r="EA185" s="8">
        <f t="shared" ca="1" si="502"/>
        <v>615</v>
      </c>
      <c r="EB185" s="5" t="str">
        <f t="shared" ca="1" si="503"/>
        <v>VIGENTE</v>
      </c>
      <c r="EC185" s="3"/>
      <c r="ED185" s="4">
        <v>45938</v>
      </c>
      <c r="EE185" s="4">
        <f t="shared" si="651"/>
        <v>46668</v>
      </c>
      <c r="EF185" s="8">
        <f t="shared" ca="1" si="504"/>
        <v>533</v>
      </c>
      <c r="EG185" s="5" t="str">
        <f t="shared" ca="1" si="505"/>
        <v>VIGENTE</v>
      </c>
      <c r="EH185" s="3"/>
      <c r="EI185" s="4">
        <v>45948</v>
      </c>
      <c r="EJ185" s="4">
        <f t="shared" si="572"/>
        <v>46313</v>
      </c>
      <c r="EK185" s="8">
        <f t="shared" ca="1" si="506"/>
        <v>178</v>
      </c>
      <c r="EL185" s="5" t="str">
        <f t="shared" ca="1" si="507"/>
        <v>VIGENTE</v>
      </c>
      <c r="EM185" s="3"/>
      <c r="EN185" s="4">
        <v>45940</v>
      </c>
      <c r="EO185" s="4">
        <f t="shared" ref="EO185:EO186" si="672">DATE(YEAR(EN185)+2,MONTH(EN185),DAY(EN185))</f>
        <v>46670</v>
      </c>
      <c r="EP185" s="8">
        <f t="shared" ca="1" si="508"/>
        <v>535</v>
      </c>
      <c r="EQ185" s="5" t="str">
        <f t="shared" ca="1" si="509"/>
        <v>VIGENTE</v>
      </c>
      <c r="ER185" s="3"/>
      <c r="ES185" s="4">
        <v>45824</v>
      </c>
      <c r="ET185" s="4">
        <f t="shared" si="653"/>
        <v>46554</v>
      </c>
      <c r="EU185" s="8">
        <f t="shared" ca="1" si="510"/>
        <v>419</v>
      </c>
      <c r="EV185" s="5" t="str">
        <f t="shared" ca="1" si="511"/>
        <v>VIGENTE</v>
      </c>
      <c r="EW185" s="3"/>
      <c r="EX185" s="4">
        <v>45953</v>
      </c>
      <c r="EY185" s="4">
        <f t="shared" si="623"/>
        <v>46683</v>
      </c>
      <c r="EZ185" s="8">
        <f t="shared" ca="1" si="512"/>
        <v>548</v>
      </c>
      <c r="FA185" s="5" t="str">
        <f t="shared" ca="1" si="513"/>
        <v>VIGENTE</v>
      </c>
      <c r="FB185" s="3"/>
      <c r="FC185" s="4">
        <v>45951</v>
      </c>
      <c r="FD185" s="4">
        <f t="shared" si="654"/>
        <v>46681</v>
      </c>
      <c r="FE185" s="8">
        <f t="shared" ca="1" si="514"/>
        <v>546</v>
      </c>
      <c r="FF185" s="5" t="str">
        <f t="shared" ca="1" si="515"/>
        <v>VIGENTE</v>
      </c>
      <c r="FG185" s="3"/>
      <c r="FH185" s="4">
        <v>46009</v>
      </c>
      <c r="FI185" s="4">
        <f t="shared" ref="FI185:FI186" si="673">DATE(YEAR(FH185)+2,MONTH(FH185),DAY(FH185))</f>
        <v>46739</v>
      </c>
      <c r="FJ185" s="8">
        <f t="shared" ca="1" si="516"/>
        <v>604</v>
      </c>
      <c r="FK185" s="5" t="str">
        <f t="shared" ca="1" si="517"/>
        <v>VIGENTE</v>
      </c>
      <c r="FL185" s="3"/>
      <c r="FM185" s="4">
        <v>45920</v>
      </c>
      <c r="FN185" s="4">
        <f t="shared" si="656"/>
        <v>46650</v>
      </c>
      <c r="FO185" s="8">
        <f t="shared" ca="1" si="518"/>
        <v>515</v>
      </c>
      <c r="FP185" s="5" t="str">
        <f t="shared" ca="1" si="519"/>
        <v>VIGENTE</v>
      </c>
      <c r="FQ185" s="3"/>
      <c r="FR185" s="4">
        <v>45957</v>
      </c>
      <c r="FS185" s="4">
        <f t="shared" ref="FS185:FS186" si="674">DATE(YEAR(FR185)+2,MONTH(FR185),DAY(FR185))</f>
        <v>46687</v>
      </c>
      <c r="FT185" s="8">
        <f t="shared" ca="1" si="520"/>
        <v>552</v>
      </c>
      <c r="FU185" s="5" t="str">
        <f t="shared" ca="1" si="521"/>
        <v>VIGENTE</v>
      </c>
      <c r="FV185" s="3"/>
      <c r="FW185" s="4">
        <v>45547</v>
      </c>
      <c r="FX185" s="4">
        <f t="shared" si="658"/>
        <v>46276</v>
      </c>
      <c r="FY185" s="8">
        <f t="shared" ca="1" si="522"/>
        <v>141</v>
      </c>
      <c r="FZ185" s="5" t="str">
        <f t="shared" ca="1" si="523"/>
        <v>VIGENTE</v>
      </c>
      <c r="GA185" s="3"/>
      <c r="GB185" s="4">
        <v>45925</v>
      </c>
      <c r="GC185" s="4">
        <f t="shared" ref="GC185:GC186" si="675">DATE(YEAR(GB185)+2,MONTH(GB185),DAY(GB185))</f>
        <v>46655</v>
      </c>
      <c r="GD185" s="8">
        <f t="shared" ca="1" si="524"/>
        <v>520</v>
      </c>
      <c r="GE185" s="5" t="str">
        <f t="shared" ca="1" si="525"/>
        <v>VIGENTE</v>
      </c>
      <c r="GF185" s="3"/>
      <c r="GG185" s="4">
        <v>45912</v>
      </c>
      <c r="GH185" s="4">
        <f t="shared" ref="GH185:GH186" si="676">DATE(YEAR(GG185)+2,MONTH(GG185),DAY(GG185))</f>
        <v>46642</v>
      </c>
      <c r="GI185" s="8">
        <f t="shared" ca="1" si="526"/>
        <v>507</v>
      </c>
      <c r="GJ185" s="5" t="str">
        <f t="shared" ca="1" si="527"/>
        <v>VIGENTE</v>
      </c>
      <c r="GK185" s="3"/>
      <c r="GL185" s="4">
        <v>45923</v>
      </c>
      <c r="GM185" s="4">
        <f t="shared" ref="GM185:GM186" si="677">DATE(YEAR(GL185)+2,MONTH(GL185),DAY(GL185))</f>
        <v>46653</v>
      </c>
      <c r="GN185" s="8">
        <f t="shared" ca="1" si="528"/>
        <v>518</v>
      </c>
      <c r="GO185" s="5" t="str">
        <f t="shared" ca="1" si="529"/>
        <v>VIGENTE</v>
      </c>
      <c r="GP185" s="4"/>
      <c r="GQ185" s="4">
        <v>45299</v>
      </c>
      <c r="GR185" s="4">
        <f t="shared" si="530"/>
        <v>47126</v>
      </c>
      <c r="GS185" s="8">
        <f t="shared" ca="1" si="615"/>
        <v>991</v>
      </c>
      <c r="GT185" s="5" t="str">
        <f t="shared" ca="1" si="624"/>
        <v>VIGENTE</v>
      </c>
      <c r="GU185" s="3"/>
      <c r="GV185" s="4">
        <v>45200</v>
      </c>
      <c r="GW185" s="4">
        <f t="shared" si="531"/>
        <v>47027</v>
      </c>
      <c r="GX185" s="8">
        <f t="shared" ca="1" si="532"/>
        <v>892</v>
      </c>
      <c r="GY185" s="5" t="str">
        <f t="shared" ca="1" si="625"/>
        <v>VIGENTE</v>
      </c>
      <c r="GZ185" s="3"/>
      <c r="HA185" s="4">
        <v>45258</v>
      </c>
      <c r="HB185" s="4">
        <f t="shared" si="533"/>
        <v>47085</v>
      </c>
      <c r="HC185" s="8">
        <f t="shared" ca="1" si="534"/>
        <v>950</v>
      </c>
      <c r="HD185" s="5" t="str">
        <f t="shared" ca="1" si="626"/>
        <v>VIGENTE</v>
      </c>
      <c r="HE185" s="6"/>
      <c r="HF185" s="4">
        <v>44921</v>
      </c>
      <c r="HG185" s="4">
        <f t="shared" si="662"/>
        <v>46747</v>
      </c>
      <c r="HH185" s="8">
        <f t="shared" ca="1" si="630"/>
        <v>612</v>
      </c>
      <c r="HI185" s="5" t="str">
        <f t="shared" ca="1" si="627"/>
        <v>VIGENTE</v>
      </c>
      <c r="HJ185" s="2"/>
      <c r="HK185" s="6"/>
      <c r="HL185" s="4"/>
      <c r="HM185" s="8"/>
      <c r="HN185" s="5" t="str">
        <f t="shared" si="453"/>
        <v>NO APLICA</v>
      </c>
      <c r="HO185" s="2"/>
      <c r="HP185" s="2"/>
      <c r="HQ185" s="4"/>
      <c r="HR185" s="2"/>
      <c r="HS185" s="5" t="str">
        <f t="shared" si="535"/>
        <v>NO APLICA</v>
      </c>
      <c r="HT185" s="2"/>
      <c r="HU185" s="6"/>
      <c r="HV185" s="4"/>
      <c r="HW185" s="8"/>
      <c r="HX185" s="5" t="str">
        <f t="shared" si="536"/>
        <v>NO APLICA</v>
      </c>
      <c r="HY185" s="2"/>
      <c r="HZ185" s="6"/>
      <c r="IA185" s="4"/>
      <c r="IB185" s="8"/>
      <c r="IC185" s="5" t="str">
        <f t="shared" si="537"/>
        <v>NO APLICA</v>
      </c>
      <c r="ID185" s="2"/>
      <c r="IE185" s="6"/>
      <c r="IF185" s="4"/>
      <c r="IG185" s="8"/>
      <c r="IH185" s="5" t="str">
        <f t="shared" si="538"/>
        <v>NO APLICA</v>
      </c>
      <c r="II185" s="6"/>
      <c r="IJ185" s="6"/>
      <c r="IK185" s="4"/>
      <c r="IL185" s="8"/>
      <c r="IM185" s="5" t="str">
        <f t="shared" si="539"/>
        <v>NO APLICA</v>
      </c>
      <c r="IN185" s="2"/>
      <c r="IO185" s="6"/>
      <c r="IP185" s="4"/>
      <c r="IQ185" s="8"/>
      <c r="IR185" s="5" t="str">
        <f t="shared" si="540"/>
        <v>NO APLICA</v>
      </c>
      <c r="IS185" s="2"/>
      <c r="IT185" s="4">
        <v>45350</v>
      </c>
      <c r="IU185" s="4">
        <f t="shared" si="663"/>
        <v>47177</v>
      </c>
      <c r="IV185" s="8">
        <f t="shared" ca="1" si="631"/>
        <v>1042</v>
      </c>
      <c r="IW185" s="5" t="str">
        <f t="shared" ca="1" si="541"/>
        <v>VIGENTE</v>
      </c>
      <c r="IX185" s="2"/>
      <c r="IY185" s="4">
        <v>45339</v>
      </c>
      <c r="IZ185" s="4">
        <f t="shared" si="664"/>
        <v>47166</v>
      </c>
      <c r="JA185" s="8">
        <f t="shared" ca="1" si="632"/>
        <v>1031</v>
      </c>
      <c r="JB185" s="5" t="str">
        <f t="shared" ca="1" si="542"/>
        <v>VIGENTE</v>
      </c>
      <c r="JC185" s="3"/>
      <c r="JD185" s="3"/>
      <c r="JE185" s="4"/>
      <c r="JF185" s="8"/>
      <c r="JG185" s="5" t="str">
        <f t="shared" si="543"/>
        <v>NO APLICA</v>
      </c>
      <c r="JH185" s="6"/>
      <c r="JI185" s="6"/>
      <c r="JJ185" s="6"/>
      <c r="JK185" s="6"/>
      <c r="JL185" s="5" t="str">
        <f t="shared" si="544"/>
        <v>NO APLICA</v>
      </c>
      <c r="JM185" s="6"/>
      <c r="JN185" s="6"/>
      <c r="JO185" s="6"/>
      <c r="JP185" s="6"/>
      <c r="JQ185" s="5" t="str">
        <f t="shared" si="545"/>
        <v>NO APLICA</v>
      </c>
      <c r="JR185" s="6"/>
      <c r="JS185" s="6"/>
      <c r="JT185" s="6"/>
      <c r="JU185" s="6"/>
      <c r="JV185" s="5" t="str">
        <f t="shared" si="546"/>
        <v>NO APLICA</v>
      </c>
      <c r="JW185" s="5"/>
      <c r="JX185" s="5"/>
      <c r="JY185" s="5"/>
      <c r="JZ185" s="5"/>
      <c r="KA185" s="5" t="str">
        <f t="shared" si="547"/>
        <v>NO APLICA</v>
      </c>
      <c r="KB185" s="5"/>
      <c r="KC185" s="2"/>
      <c r="KD185" s="4"/>
      <c r="KE185" s="8"/>
      <c r="KF185" s="5" t="str">
        <f t="shared" si="548"/>
        <v>NO APLICA</v>
      </c>
      <c r="KG185" s="5"/>
      <c r="KH185" s="2"/>
      <c r="KI185" s="4"/>
      <c r="KJ185" s="8"/>
      <c r="KK185" s="5" t="str">
        <f t="shared" si="573"/>
        <v>NO APLICA</v>
      </c>
      <c r="KL185" s="5"/>
      <c r="KM185" s="2"/>
      <c r="KN185" s="4"/>
      <c r="KO185" s="8"/>
      <c r="KP185" s="5" t="str">
        <f t="shared" si="549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79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0"/>
        <v>NO APLICA</v>
      </c>
      <c r="LP185" s="2"/>
      <c r="LQ185" s="6"/>
      <c r="LR185" s="4"/>
      <c r="LS185" s="8"/>
      <c r="LT185" s="5" t="str">
        <f t="shared" si="576"/>
        <v>NO APLICA</v>
      </c>
      <c r="LU185" s="6"/>
      <c r="LV185" s="6"/>
      <c r="LW185" s="4"/>
      <c r="LX185" s="8"/>
      <c r="LY185" s="5" t="str">
        <f t="shared" si="577"/>
        <v>NO APLICA</v>
      </c>
      <c r="LZ185" s="6"/>
      <c r="MA185" s="6"/>
      <c r="MB185" s="4"/>
      <c r="MC185" s="8"/>
      <c r="MD185" s="5" t="str">
        <f t="shared" si="578"/>
        <v>NO APLICA</v>
      </c>
      <c r="ME185" s="2"/>
      <c r="MF185" s="2"/>
      <c r="MG185" s="4"/>
      <c r="MH185" s="8"/>
      <c r="MI185" s="5" t="str">
        <f t="shared" si="551"/>
        <v>NO APLICA</v>
      </c>
      <c r="MJ185" s="2"/>
      <c r="MK185" s="2"/>
      <c r="ML185" s="4"/>
      <c r="MM185" s="8"/>
      <c r="MN185" s="5" t="str">
        <f t="shared" si="552"/>
        <v>NO APLICA</v>
      </c>
      <c r="MO185" s="5"/>
      <c r="MP185" s="2"/>
      <c r="MQ185" s="4"/>
      <c r="MR185" s="8"/>
      <c r="MS185" s="5" t="str">
        <f t="shared" si="553"/>
        <v>NO APLICA</v>
      </c>
      <c r="MT185" s="5"/>
      <c r="MU185" s="2"/>
      <c r="MV185" s="4"/>
      <c r="MW185" s="2"/>
      <c r="MX185" s="5" t="str">
        <f t="shared" si="554"/>
        <v>NO APLICA</v>
      </c>
      <c r="MY185" s="2"/>
      <c r="MZ185" s="6"/>
      <c r="NA185" s="4"/>
      <c r="NB185" s="8"/>
      <c r="NC185" s="5" t="str">
        <f t="shared" si="555"/>
        <v>NO APLICA</v>
      </c>
      <c r="ND185" s="2"/>
      <c r="NE185" s="6"/>
      <c r="NF185" s="4"/>
      <c r="NG185" s="8"/>
      <c r="NH185" s="5" t="str">
        <f t="shared" si="556"/>
        <v>NO APLICA</v>
      </c>
      <c r="NI185" s="2"/>
      <c r="NJ185" s="6"/>
      <c r="NK185" s="4"/>
      <c r="NL185" s="8"/>
      <c r="NM185" s="5" t="str">
        <f t="shared" si="557"/>
        <v>NO APLICA</v>
      </c>
      <c r="NN185" s="2"/>
      <c r="NO185" s="2"/>
      <c r="NP185" s="4"/>
      <c r="NQ185" s="2"/>
      <c r="NR185" s="5" t="str">
        <f t="shared" si="558"/>
        <v>NO APLICA</v>
      </c>
      <c r="NS185" s="2"/>
      <c r="NT185" s="2"/>
      <c r="NU185" s="4"/>
      <c r="NV185" s="2"/>
      <c r="NW185" s="5" t="str">
        <f t="shared" si="559"/>
        <v>NO APLICA</v>
      </c>
      <c r="NX185" s="6"/>
      <c r="NY185" s="6"/>
      <c r="NZ185" s="4"/>
      <c r="OA185" s="8"/>
      <c r="OB185" s="5" t="str">
        <f t="shared" si="560"/>
        <v>NO APLICA</v>
      </c>
      <c r="OC185" s="6"/>
      <c r="OD185" s="6"/>
      <c r="OE185" s="6"/>
      <c r="OF185" s="6"/>
      <c r="OG185" s="5" t="str">
        <f t="shared" si="561"/>
        <v>NO APLICA</v>
      </c>
      <c r="OH185" s="6"/>
      <c r="OI185" s="6"/>
      <c r="OJ185" s="4"/>
      <c r="OK185" s="8"/>
      <c r="OL185" s="5" t="str">
        <f t="shared" si="562"/>
        <v>NO APLICA</v>
      </c>
      <c r="OM185" s="6"/>
      <c r="ON185" s="6"/>
      <c r="OO185" s="6"/>
      <c r="OP185" s="6"/>
      <c r="OQ185" s="5" t="str">
        <f t="shared" si="563"/>
        <v>NO APLICA</v>
      </c>
      <c r="OR185" s="6"/>
      <c r="OS185" s="6"/>
      <c r="OT185" s="6"/>
      <c r="OU185" s="6"/>
      <c r="OV185" s="5" t="str">
        <f t="shared" si="564"/>
        <v>NO APLICA</v>
      </c>
      <c r="OW185" s="6"/>
      <c r="OX185" s="6"/>
      <c r="OY185" s="6"/>
      <c r="OZ185" s="6"/>
      <c r="PA185" s="5" t="str">
        <f t="shared" si="565"/>
        <v>NO APLICA</v>
      </c>
      <c r="PB185" s="6"/>
      <c r="PC185" s="6"/>
      <c r="PD185" s="6"/>
      <c r="PE185" s="6"/>
      <c r="PF185" s="5" t="str">
        <f t="shared" si="566"/>
        <v>NO APLICA</v>
      </c>
      <c r="PG185" s="6"/>
      <c r="PH185" s="6"/>
      <c r="PI185" s="6"/>
      <c r="PJ185" s="6"/>
      <c r="PK185" s="5" t="str">
        <f t="shared" si="567"/>
        <v>NO APLICA</v>
      </c>
      <c r="PL185" s="5"/>
      <c r="PM185" s="6"/>
      <c r="PN185" s="4"/>
      <c r="PO185" s="8"/>
      <c r="PP185" s="5" t="str">
        <f t="shared" si="568"/>
        <v>NO APLICA</v>
      </c>
      <c r="PQ185" s="6"/>
      <c r="PR185" s="6"/>
      <c r="PS185" s="6"/>
      <c r="PT185" s="6"/>
      <c r="PU185" s="5" t="str">
        <f t="shared" si="569"/>
        <v>NO APLICA</v>
      </c>
      <c r="PV185" s="5"/>
      <c r="PW185" s="6"/>
      <c r="PX185" s="6"/>
      <c r="PY185" s="6"/>
      <c r="PZ185" s="5" t="str">
        <f t="shared" si="570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591</v>
      </c>
      <c r="D186" s="30" t="s">
        <v>64</v>
      </c>
      <c r="E186" s="31" t="s">
        <v>382</v>
      </c>
      <c r="F186" s="5"/>
      <c r="G186" s="6"/>
      <c r="H186" s="4"/>
      <c r="I186" s="8"/>
      <c r="J186" s="5" t="str">
        <f t="shared" si="464"/>
        <v>NO APLICA</v>
      </c>
      <c r="K186" s="5"/>
      <c r="L186" s="6"/>
      <c r="M186" s="6"/>
      <c r="N186" s="8"/>
      <c r="O186" s="5" t="str">
        <f t="shared" si="46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592</v>
      </c>
      <c r="W186" s="4">
        <v>44716</v>
      </c>
      <c r="X186" s="4">
        <f t="shared" si="601"/>
        <v>46542</v>
      </c>
      <c r="Y186" s="8">
        <f t="shared" ca="1" si="602"/>
        <v>407</v>
      </c>
      <c r="Z186" s="5" t="str">
        <f t="shared" ca="1" si="619"/>
        <v>VIGENTE</v>
      </c>
      <c r="AA186" s="5"/>
      <c r="AB186" s="2" t="s">
        <v>593</v>
      </c>
      <c r="AC186" s="4">
        <v>45162</v>
      </c>
      <c r="AD186" s="4">
        <f t="shared" si="633"/>
        <v>46989</v>
      </c>
      <c r="AE186" s="8">
        <f t="shared" ca="1" si="628"/>
        <v>854</v>
      </c>
      <c r="AF186" s="5" t="str">
        <f t="shared" ca="1" si="466"/>
        <v>VIGENTE</v>
      </c>
      <c r="AG186" s="3"/>
      <c r="AH186" s="4">
        <v>45936</v>
      </c>
      <c r="AI186" s="4">
        <f t="shared" si="665"/>
        <v>46666</v>
      </c>
      <c r="AJ186" s="8">
        <f t="shared" ca="1" si="467"/>
        <v>531</v>
      </c>
      <c r="AK186" s="5" t="str">
        <f t="shared" ca="1" si="616"/>
        <v>VIGENTE</v>
      </c>
      <c r="AL186" s="3"/>
      <c r="AM186" s="4">
        <v>45937</v>
      </c>
      <c r="AN186" s="4">
        <f t="shared" si="635"/>
        <v>46667</v>
      </c>
      <c r="AO186" s="8">
        <f t="shared" ca="1" si="468"/>
        <v>532</v>
      </c>
      <c r="AP186" s="5" t="str">
        <f t="shared" ca="1" si="469"/>
        <v>VIGENTE</v>
      </c>
      <c r="AQ186" s="3"/>
      <c r="AR186" s="4">
        <v>45904</v>
      </c>
      <c r="AS186" s="4">
        <f t="shared" si="666"/>
        <v>46634</v>
      </c>
      <c r="AT186" s="8">
        <f t="shared" ca="1" si="470"/>
        <v>499</v>
      </c>
      <c r="AU186" s="5" t="str">
        <f t="shared" ca="1" si="47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2"/>
        <v>522</v>
      </c>
      <c r="AZ186" s="5" t="str">
        <f t="shared" ca="1" si="473"/>
        <v>VIGENTE</v>
      </c>
      <c r="BA186" s="3"/>
      <c r="BB186" s="4">
        <v>45930</v>
      </c>
      <c r="BC186" s="4">
        <f t="shared" si="667"/>
        <v>46660</v>
      </c>
      <c r="BD186" s="8">
        <f t="shared" ca="1" si="474"/>
        <v>525</v>
      </c>
      <c r="BE186" s="5" t="str">
        <f t="shared" ca="1" si="475"/>
        <v>VIGENTE</v>
      </c>
      <c r="BF186" s="3"/>
      <c r="BG186" s="4">
        <v>45997</v>
      </c>
      <c r="BH186" s="4">
        <f t="shared" si="629"/>
        <v>46727</v>
      </c>
      <c r="BI186" s="8">
        <f t="shared" ca="1" si="476"/>
        <v>592</v>
      </c>
      <c r="BJ186" s="5" t="str">
        <f t="shared" ca="1" si="477"/>
        <v>VIGENTE</v>
      </c>
      <c r="BK186" s="3"/>
      <c r="BL186" s="4">
        <v>46051</v>
      </c>
      <c r="BM186" s="4">
        <f t="shared" si="639"/>
        <v>46781</v>
      </c>
      <c r="BN186" s="8">
        <f t="shared" ca="1" si="478"/>
        <v>646</v>
      </c>
      <c r="BO186" s="5" t="str">
        <f t="shared" ca="1" si="47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0"/>
        <v>436</v>
      </c>
      <c r="BT186" s="5" t="str">
        <f t="shared" ca="1" si="481"/>
        <v>VIGENTE</v>
      </c>
      <c r="BU186" s="3"/>
      <c r="BV186" s="4">
        <v>45950</v>
      </c>
      <c r="BW186" s="4">
        <f t="shared" si="668"/>
        <v>46680</v>
      </c>
      <c r="BX186" s="8">
        <f t="shared" ca="1" si="482"/>
        <v>545</v>
      </c>
      <c r="BY186" s="5" t="str">
        <f t="shared" ca="1" si="483"/>
        <v>VIGENTE</v>
      </c>
      <c r="BZ186" s="3"/>
      <c r="CA186" s="4">
        <v>45944</v>
      </c>
      <c r="CB186" s="4">
        <f t="shared" si="669"/>
        <v>46674</v>
      </c>
      <c r="CC186" s="8">
        <f t="shared" ca="1" si="484"/>
        <v>539</v>
      </c>
      <c r="CD186" s="5" t="str">
        <f t="shared" ca="1" si="485"/>
        <v>VIGENTE</v>
      </c>
      <c r="CE186" s="6" t="s">
        <v>68</v>
      </c>
      <c r="CF186" s="4">
        <v>45828</v>
      </c>
      <c r="CG186" s="4">
        <f t="shared" si="604"/>
        <v>47289</v>
      </c>
      <c r="CH186" s="8">
        <f t="shared" ca="1" si="605"/>
        <v>1154</v>
      </c>
      <c r="CI186" s="5" t="str">
        <f t="shared" ca="1" si="587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6"/>
        <v>524</v>
      </c>
      <c r="CN186" s="5" t="str">
        <f t="shared" ca="1" si="487"/>
        <v>VIGENTE</v>
      </c>
      <c r="CO186" s="3"/>
      <c r="CP186" s="4">
        <v>45888</v>
      </c>
      <c r="CQ186" s="4">
        <f t="shared" si="670"/>
        <v>46618</v>
      </c>
      <c r="CR186" s="8">
        <f t="shared" ca="1" si="488"/>
        <v>483</v>
      </c>
      <c r="CS186" s="5" t="str">
        <f t="shared" ca="1" si="48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0"/>
        <v>500</v>
      </c>
      <c r="CX186" s="5" t="str">
        <f t="shared" ca="1" si="49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2"/>
        <v>519</v>
      </c>
      <c r="DC186" s="5" t="str">
        <f t="shared" ca="1" si="49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4"/>
        <v>491</v>
      </c>
      <c r="DH186" s="5" t="str">
        <f t="shared" ca="1" si="495"/>
        <v>VIGENTE</v>
      </c>
      <c r="DI186" s="3"/>
      <c r="DJ186" s="4">
        <v>45899</v>
      </c>
      <c r="DK186" s="4">
        <f t="shared" si="648"/>
        <v>46629</v>
      </c>
      <c r="DL186" s="8">
        <f t="shared" ca="1" si="496"/>
        <v>494</v>
      </c>
      <c r="DM186" s="5" t="str">
        <f t="shared" ca="1" si="49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98"/>
        <v>577</v>
      </c>
      <c r="DR186" s="5" t="str">
        <f t="shared" ca="1" si="49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0"/>
        <v>480</v>
      </c>
      <c r="DW186" s="5" t="str">
        <f t="shared" ca="1" si="501"/>
        <v>VIGENTE</v>
      </c>
      <c r="DX186" s="3"/>
      <c r="DY186" s="4">
        <v>46020</v>
      </c>
      <c r="DZ186" s="4">
        <f t="shared" si="671"/>
        <v>46750</v>
      </c>
      <c r="EA186" s="8">
        <f t="shared" ca="1" si="502"/>
        <v>615</v>
      </c>
      <c r="EB186" s="5" t="str">
        <f t="shared" ca="1" si="503"/>
        <v>VIGENTE</v>
      </c>
      <c r="EC186" s="3"/>
      <c r="ED186" s="4">
        <v>45938</v>
      </c>
      <c r="EE186" s="4">
        <f t="shared" si="651"/>
        <v>46668</v>
      </c>
      <c r="EF186" s="8">
        <f t="shared" ca="1" si="504"/>
        <v>533</v>
      </c>
      <c r="EG186" s="5" t="str">
        <f t="shared" ca="1" si="505"/>
        <v>VIGENTE</v>
      </c>
      <c r="EH186" s="3"/>
      <c r="EI186" s="3">
        <v>45911</v>
      </c>
      <c r="EJ186" s="4">
        <f t="shared" si="572"/>
        <v>46276</v>
      </c>
      <c r="EK186" s="8">
        <f t="shared" ca="1" si="506"/>
        <v>141</v>
      </c>
      <c r="EL186" s="5" t="str">
        <f t="shared" ca="1" si="507"/>
        <v>VIGENTE</v>
      </c>
      <c r="EM186" s="3"/>
      <c r="EN186" s="4">
        <v>45940</v>
      </c>
      <c r="EO186" s="4">
        <f t="shared" si="672"/>
        <v>46670</v>
      </c>
      <c r="EP186" s="8">
        <f t="shared" ca="1" si="508"/>
        <v>535</v>
      </c>
      <c r="EQ186" s="5" t="str">
        <f t="shared" ca="1" si="509"/>
        <v>VIGENTE</v>
      </c>
      <c r="ER186" s="3"/>
      <c r="ES186" s="4">
        <v>45922</v>
      </c>
      <c r="ET186" s="4">
        <f t="shared" si="653"/>
        <v>46652</v>
      </c>
      <c r="EU186" s="8">
        <f t="shared" ca="1" si="510"/>
        <v>517</v>
      </c>
      <c r="EV186" s="5" t="str">
        <f t="shared" ca="1" si="511"/>
        <v>VIGENTE</v>
      </c>
      <c r="EW186" s="3"/>
      <c r="EX186" s="4">
        <v>45917</v>
      </c>
      <c r="EY186" s="4">
        <f t="shared" si="623"/>
        <v>46647</v>
      </c>
      <c r="EZ186" s="8">
        <f t="shared" ca="1" si="512"/>
        <v>512</v>
      </c>
      <c r="FA186" s="5" t="str">
        <f t="shared" ca="1" si="513"/>
        <v>VIGENTE</v>
      </c>
      <c r="FB186" s="3"/>
      <c r="FC186" s="4">
        <v>45931</v>
      </c>
      <c r="FD186" s="4">
        <f t="shared" si="654"/>
        <v>46661</v>
      </c>
      <c r="FE186" s="8">
        <f t="shared" ca="1" si="514"/>
        <v>526</v>
      </c>
      <c r="FF186" s="5" t="str">
        <f t="shared" ca="1" si="515"/>
        <v>VIGENTE</v>
      </c>
      <c r="FG186" s="3"/>
      <c r="FH186" s="4">
        <v>45919</v>
      </c>
      <c r="FI186" s="4">
        <f t="shared" si="673"/>
        <v>46649</v>
      </c>
      <c r="FJ186" s="8">
        <f t="shared" ca="1" si="516"/>
        <v>514</v>
      </c>
      <c r="FK186" s="5" t="str">
        <f t="shared" ca="1" si="517"/>
        <v>VIGENTE</v>
      </c>
      <c r="FL186" s="3"/>
      <c r="FM186" s="4">
        <v>45933</v>
      </c>
      <c r="FN186" s="4">
        <f t="shared" si="656"/>
        <v>46663</v>
      </c>
      <c r="FO186" s="8">
        <f t="shared" ca="1" si="518"/>
        <v>528</v>
      </c>
      <c r="FP186" s="5" t="str">
        <f t="shared" ca="1" si="519"/>
        <v>VIGENTE</v>
      </c>
      <c r="FQ186" s="3"/>
      <c r="FR186" s="4">
        <v>45957</v>
      </c>
      <c r="FS186" s="4">
        <f t="shared" si="674"/>
        <v>46687</v>
      </c>
      <c r="FT186" s="8">
        <f t="shared" ca="1" si="520"/>
        <v>552</v>
      </c>
      <c r="FU186" s="5" t="str">
        <f t="shared" ca="1" si="52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2"/>
        <v>556</v>
      </c>
      <c r="FZ186" s="5" t="str">
        <f t="shared" ca="1" si="523"/>
        <v>VIGENTE</v>
      </c>
      <c r="GA186" s="3"/>
      <c r="GB186" s="4">
        <v>45925</v>
      </c>
      <c r="GC186" s="4">
        <f t="shared" si="675"/>
        <v>46655</v>
      </c>
      <c r="GD186" s="8">
        <f t="shared" ca="1" si="524"/>
        <v>520</v>
      </c>
      <c r="GE186" s="5" t="str">
        <f t="shared" ca="1" si="525"/>
        <v>VIGENTE</v>
      </c>
      <c r="GF186" s="3"/>
      <c r="GG186" s="4">
        <v>45912</v>
      </c>
      <c r="GH186" s="4">
        <f t="shared" si="676"/>
        <v>46642</v>
      </c>
      <c r="GI186" s="8">
        <f t="shared" ca="1" si="526"/>
        <v>507</v>
      </c>
      <c r="GJ186" s="5" t="str">
        <f t="shared" ca="1" si="527"/>
        <v>VIGENTE</v>
      </c>
      <c r="GK186" s="3"/>
      <c r="GL186" s="4">
        <v>45945</v>
      </c>
      <c r="GM186" s="4">
        <f t="shared" si="677"/>
        <v>46675</v>
      </c>
      <c r="GN186" s="8">
        <f t="shared" ca="1" si="528"/>
        <v>540</v>
      </c>
      <c r="GO186" s="5" t="str">
        <f t="shared" ca="1" si="529"/>
        <v>VIGENTE</v>
      </c>
      <c r="GP186" s="4"/>
      <c r="GQ186" s="4">
        <v>45048</v>
      </c>
      <c r="GR186" s="4">
        <f t="shared" si="530"/>
        <v>46875</v>
      </c>
      <c r="GS186" s="8">
        <f t="shared" ca="1" si="615"/>
        <v>740</v>
      </c>
      <c r="GT186" s="5" t="str">
        <f t="shared" ca="1" si="624"/>
        <v>VIGENTE</v>
      </c>
      <c r="GU186" s="3"/>
      <c r="GV186" s="4">
        <v>45006</v>
      </c>
      <c r="GW186" s="4">
        <f t="shared" si="531"/>
        <v>46833</v>
      </c>
      <c r="GX186" s="8">
        <f t="shared" ca="1" si="532"/>
        <v>698</v>
      </c>
      <c r="GY186" s="5" t="str">
        <f t="shared" ca="1" si="625"/>
        <v>VIGENTE</v>
      </c>
      <c r="GZ186" s="2"/>
      <c r="HA186" s="4">
        <v>45073</v>
      </c>
      <c r="HB186" s="4">
        <f t="shared" si="533"/>
        <v>46900</v>
      </c>
      <c r="HC186" s="8">
        <f t="shared" ca="1" si="534"/>
        <v>765</v>
      </c>
      <c r="HD186" s="5" t="str">
        <f t="shared" ca="1" si="626"/>
        <v>VIGENTE</v>
      </c>
      <c r="HE186" s="6"/>
      <c r="HF186" s="4">
        <v>45020</v>
      </c>
      <c r="HG186" s="4">
        <f t="shared" si="662"/>
        <v>46847</v>
      </c>
      <c r="HH186" s="8">
        <f t="shared" ca="1" si="630"/>
        <v>712</v>
      </c>
      <c r="HI186" s="5" t="str">
        <f t="shared" ca="1" si="627"/>
        <v>VIGENTE</v>
      </c>
      <c r="HJ186" s="2"/>
      <c r="HK186" s="6"/>
      <c r="HL186" s="4"/>
      <c r="HM186" s="8"/>
      <c r="HN186" s="5" t="str">
        <f t="shared" si="453"/>
        <v>NO APLICA</v>
      </c>
      <c r="HO186" s="2"/>
      <c r="HP186" s="2"/>
      <c r="HQ186" s="4"/>
      <c r="HR186" s="2"/>
      <c r="HS186" s="5" t="str">
        <f t="shared" si="53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3"/>
        <v>46889</v>
      </c>
      <c r="IV186" s="8">
        <f t="shared" ca="1" si="631"/>
        <v>754</v>
      </c>
      <c r="IW186" s="5" t="str">
        <f t="shared" ca="1" si="541"/>
        <v>VIGENTE</v>
      </c>
      <c r="IX186" s="2"/>
      <c r="IY186" s="4">
        <v>44996</v>
      </c>
      <c r="IZ186" s="4">
        <f t="shared" si="664"/>
        <v>46823</v>
      </c>
      <c r="JA186" s="8">
        <f t="shared" ca="1" si="632"/>
        <v>688</v>
      </c>
      <c r="JB186" s="5" t="str">
        <f t="shared" ca="1" si="542"/>
        <v>VIGENTE</v>
      </c>
      <c r="JC186" s="3"/>
      <c r="JD186" s="3"/>
      <c r="JE186" s="4"/>
      <c r="JF186" s="8"/>
      <c r="JG186" s="5" t="str">
        <f t="shared" si="543"/>
        <v>NO APLICA</v>
      </c>
      <c r="JH186" s="6"/>
      <c r="JI186" s="6"/>
      <c r="JJ186" s="6"/>
      <c r="JK186" s="6"/>
      <c r="JL186" s="5" t="str">
        <f t="shared" si="544"/>
        <v>NO APLICA</v>
      </c>
      <c r="JM186" s="6"/>
      <c r="JN186" s="6"/>
      <c r="JO186" s="6"/>
      <c r="JP186" s="6"/>
      <c r="JQ186" s="5" t="str">
        <f t="shared" si="545"/>
        <v>NO APLICA</v>
      </c>
      <c r="JR186" s="6"/>
      <c r="JS186" s="6"/>
      <c r="JT186" s="6"/>
      <c r="JU186" s="6"/>
      <c r="JV186" s="5" t="str">
        <f t="shared" si="546"/>
        <v>NO APLICA</v>
      </c>
      <c r="JW186" s="5"/>
      <c r="JX186" s="5"/>
      <c r="JY186" s="5"/>
      <c r="JZ186" s="5"/>
      <c r="KA186" s="5" t="str">
        <f t="shared" si="547"/>
        <v>NO APLICA</v>
      </c>
      <c r="KB186" s="5"/>
      <c r="KC186" s="2"/>
      <c r="KD186" s="4"/>
      <c r="KE186" s="8"/>
      <c r="KF186" s="5" t="str">
        <f t="shared" si="548"/>
        <v>NO APLICA</v>
      </c>
      <c r="KG186" s="5"/>
      <c r="KH186" s="2"/>
      <c r="KI186" s="4"/>
      <c r="KJ186" s="8"/>
      <c r="KK186" s="5" t="str">
        <f t="shared" si="573"/>
        <v>NO APLICA</v>
      </c>
      <c r="KL186" s="5"/>
      <c r="KM186" s="2"/>
      <c r="KN186" s="4"/>
      <c r="KO186" s="8"/>
      <c r="KP186" s="5" t="str">
        <f t="shared" si="549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4"/>
        <v>NO APLICA</v>
      </c>
      <c r="LK186" s="5"/>
      <c r="LL186" s="5"/>
      <c r="LM186" s="4"/>
      <c r="LN186" s="8"/>
      <c r="LO186" s="5" t="str">
        <f t="shared" si="580"/>
        <v>NO APLICA</v>
      </c>
      <c r="LP186" s="2"/>
      <c r="LQ186" s="6"/>
      <c r="LR186" s="4"/>
      <c r="LS186" s="8"/>
      <c r="LT186" s="5" t="str">
        <f t="shared" si="576"/>
        <v>NO APLICA</v>
      </c>
      <c r="LU186" s="6"/>
      <c r="LV186" s="6"/>
      <c r="LW186" s="4"/>
      <c r="LX186" s="8"/>
      <c r="LY186" s="5" t="str">
        <f t="shared" si="577"/>
        <v>NO APLICA</v>
      </c>
      <c r="LZ186" s="6"/>
      <c r="MA186" s="6"/>
      <c r="MB186" s="4"/>
      <c r="MC186" s="8"/>
      <c r="MD186" s="5" t="str">
        <f t="shared" si="578"/>
        <v>NO APLICA</v>
      </c>
      <c r="ME186" s="2"/>
      <c r="MF186" s="2"/>
      <c r="MG186" s="4"/>
      <c r="MH186" s="8"/>
      <c r="MI186" s="5" t="str">
        <f t="shared" si="551"/>
        <v>NO APLICA</v>
      </c>
      <c r="MJ186" s="2"/>
      <c r="MK186" s="2"/>
      <c r="ML186" s="4"/>
      <c r="MM186" s="8"/>
      <c r="MN186" s="5" t="str">
        <f t="shared" si="552"/>
        <v>NO APLICA</v>
      </c>
      <c r="MO186" s="5"/>
      <c r="MP186" s="2"/>
      <c r="MQ186" s="4"/>
      <c r="MR186" s="8"/>
      <c r="MS186" s="5" t="str">
        <f t="shared" si="553"/>
        <v>NO APLICA</v>
      </c>
      <c r="MT186" s="5"/>
      <c r="MU186" s="2"/>
      <c r="MV186" s="4"/>
      <c r="MW186" s="2"/>
      <c r="MX186" s="5" t="str">
        <f t="shared" si="554"/>
        <v>NO APLICA</v>
      </c>
      <c r="MY186" s="2"/>
      <c r="MZ186" s="6"/>
      <c r="NA186" s="4"/>
      <c r="NB186" s="8"/>
      <c r="NC186" s="5" t="str">
        <f t="shared" si="555"/>
        <v>NO APLICA</v>
      </c>
      <c r="ND186" s="2"/>
      <c r="NE186" s="6"/>
      <c r="NF186" s="4"/>
      <c r="NG186" s="8"/>
      <c r="NH186" s="5" t="str">
        <f t="shared" si="556"/>
        <v>NO APLICA</v>
      </c>
      <c r="NI186" s="2"/>
      <c r="NJ186" s="6"/>
      <c r="NK186" s="4"/>
      <c r="NL186" s="8"/>
      <c r="NM186" s="5" t="str">
        <f t="shared" si="557"/>
        <v>NO APLICA</v>
      </c>
      <c r="NN186" s="2"/>
      <c r="NO186" s="2"/>
      <c r="NP186" s="4"/>
      <c r="NQ186" s="8"/>
      <c r="NR186" s="5" t="str">
        <f t="shared" si="558"/>
        <v>NO APLICA</v>
      </c>
      <c r="NS186" s="2"/>
      <c r="NT186" s="2"/>
      <c r="NU186" s="2"/>
      <c r="NV186" s="2"/>
      <c r="NW186" s="5" t="str">
        <f t="shared" si="559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1"/>
        <v>NO APLICA</v>
      </c>
      <c r="OH186" s="2"/>
      <c r="OI186" s="2"/>
      <c r="OJ186" s="4"/>
      <c r="OK186" s="8"/>
      <c r="OL186" s="5" t="str">
        <f t="shared" si="562"/>
        <v>NO APLICA</v>
      </c>
      <c r="OM186" s="6"/>
      <c r="ON186" s="6"/>
      <c r="OO186" s="6"/>
      <c r="OP186" s="6"/>
      <c r="OQ186" s="5" t="str">
        <f t="shared" si="563"/>
        <v>NO APLICA</v>
      </c>
      <c r="OR186" s="6"/>
      <c r="OS186" s="6"/>
      <c r="OT186" s="6"/>
      <c r="OU186" s="6"/>
      <c r="OV186" s="5" t="str">
        <f t="shared" si="564"/>
        <v>NO APLICA</v>
      </c>
      <c r="OW186" s="6"/>
      <c r="OX186" s="6"/>
      <c r="OY186" s="6"/>
      <c r="OZ186" s="6"/>
      <c r="PA186" s="5" t="str">
        <f t="shared" si="565"/>
        <v>NO APLICA</v>
      </c>
      <c r="PB186" s="6"/>
      <c r="PC186" s="6"/>
      <c r="PD186" s="6"/>
      <c r="PE186" s="6"/>
      <c r="PF186" s="5" t="str">
        <f t="shared" si="566"/>
        <v>NO APLICA</v>
      </c>
      <c r="PG186" s="6"/>
      <c r="PH186" s="6"/>
      <c r="PI186" s="6"/>
      <c r="PJ186" s="6"/>
      <c r="PK186" s="5" t="str">
        <f t="shared" si="567"/>
        <v>NO APLICA</v>
      </c>
      <c r="PL186" s="5"/>
      <c r="PM186" s="6"/>
      <c r="PN186" s="4"/>
      <c r="PO186" s="8"/>
      <c r="PP186" s="5" t="str">
        <f t="shared" si="568"/>
        <v>NO APLICA</v>
      </c>
      <c r="PQ186" s="6"/>
      <c r="PR186" s="6"/>
      <c r="PS186" s="6"/>
      <c r="PT186" s="6"/>
      <c r="PU186" s="5" t="str">
        <f t="shared" si="569"/>
        <v>NO APLICA</v>
      </c>
      <c r="PV186" s="5"/>
      <c r="PW186" s="6"/>
      <c r="PX186" s="6"/>
      <c r="PY186" s="6"/>
      <c r="PZ186" s="5" t="str">
        <f t="shared" si="570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594</v>
      </c>
      <c r="D187" s="30" t="s">
        <v>69</v>
      </c>
      <c r="E187" s="31" t="s">
        <v>75</v>
      </c>
      <c r="F187" s="2"/>
      <c r="G187" s="6"/>
      <c r="H187" s="4"/>
      <c r="I187" s="8"/>
      <c r="J187" s="5" t="str">
        <f t="shared" si="464"/>
        <v>NO APLICA</v>
      </c>
      <c r="K187" s="5"/>
      <c r="L187" s="6"/>
      <c r="M187" s="6"/>
      <c r="N187" s="8"/>
      <c r="O187" s="5" t="str">
        <f t="shared" si="465"/>
        <v>NO APLICA</v>
      </c>
      <c r="P187" s="6"/>
      <c r="Q187" s="6"/>
      <c r="R187" s="4"/>
      <c r="S187" s="8"/>
      <c r="T187" s="5" t="str">
        <f t="shared" si="571"/>
        <v>NO APLICA</v>
      </c>
      <c r="U187" s="5"/>
      <c r="V187" s="2" t="s">
        <v>595</v>
      </c>
      <c r="W187" s="4">
        <v>45849</v>
      </c>
      <c r="X187" s="4">
        <f t="shared" si="601"/>
        <v>47675</v>
      </c>
      <c r="Y187" s="8">
        <f t="shared" ca="1" si="602"/>
        <v>1540</v>
      </c>
      <c r="Z187" s="5" t="str">
        <f t="shared" ca="1" si="619"/>
        <v>VIGENTE</v>
      </c>
      <c r="AA187" s="5"/>
      <c r="AB187" s="2" t="s">
        <v>596</v>
      </c>
      <c r="AC187" s="4">
        <v>45136</v>
      </c>
      <c r="AD187" s="4">
        <f t="shared" si="633"/>
        <v>46963</v>
      </c>
      <c r="AE187" s="8">
        <f t="shared" ca="1" si="628"/>
        <v>828</v>
      </c>
      <c r="AF187" s="5" t="str">
        <f t="shared" ca="1" si="466"/>
        <v>VIGENTE</v>
      </c>
      <c r="AG187" s="3"/>
      <c r="AH187" s="4">
        <v>45609</v>
      </c>
      <c r="AI187" s="4">
        <f t="shared" si="634"/>
        <v>46338</v>
      </c>
      <c r="AJ187" s="8">
        <f t="shared" ca="1" si="467"/>
        <v>203</v>
      </c>
      <c r="AK187" s="5" t="str">
        <f t="shared" ca="1" si="616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68"/>
        <v>110</v>
      </c>
      <c r="AP187" s="5" t="str">
        <f t="shared" ca="1" si="469"/>
        <v>VIGENTE</v>
      </c>
      <c r="AQ187" s="3"/>
      <c r="AR187" s="4">
        <v>45529</v>
      </c>
      <c r="AS187" s="4">
        <f t="shared" ref="AS187" si="678">DATE(YEAR(AR187)+2,MONTH(AR187),DAY(AR187)-1)</f>
        <v>46258</v>
      </c>
      <c r="AT187" s="8">
        <f t="shared" ca="1" si="470"/>
        <v>123</v>
      </c>
      <c r="AU187" s="5" t="str">
        <f t="shared" ca="1" si="471"/>
        <v>VIGENTE</v>
      </c>
      <c r="AV187" s="3"/>
      <c r="AW187" s="4">
        <v>45523</v>
      </c>
      <c r="AX187" s="4">
        <f t="shared" si="637"/>
        <v>46252</v>
      </c>
      <c r="AY187" s="8">
        <f t="shared" ca="1" si="472"/>
        <v>117</v>
      </c>
      <c r="AZ187" s="5" t="str">
        <f t="shared" ca="1" si="473"/>
        <v>VIGENTE</v>
      </c>
      <c r="BA187" s="3"/>
      <c r="BB187" s="4">
        <v>45534</v>
      </c>
      <c r="BC187" s="4">
        <f t="shared" si="638"/>
        <v>46263</v>
      </c>
      <c r="BD187" s="8">
        <f t="shared" ca="1" si="474"/>
        <v>128</v>
      </c>
      <c r="BE187" s="5" t="str">
        <f t="shared" ca="1" si="475"/>
        <v>VIGENTE</v>
      </c>
      <c r="BF187" s="3"/>
      <c r="BG187" s="4">
        <v>45531</v>
      </c>
      <c r="BH187" s="4">
        <f t="shared" ref="BH187" si="679">DATE(YEAR(BG187)+2,MONTH(BG187),DAY(BG187)-1)</f>
        <v>46260</v>
      </c>
      <c r="BI187" s="8">
        <f t="shared" ca="1" si="476"/>
        <v>125</v>
      </c>
      <c r="BJ187" s="5" t="str">
        <f t="shared" ca="1" si="477"/>
        <v>VIGENTE</v>
      </c>
      <c r="BK187" s="3"/>
      <c r="BL187" s="4">
        <v>45519</v>
      </c>
      <c r="BM187" s="4">
        <f t="shared" ref="BM187" si="680">DATE(YEAR(BL187)+2,MONTH(BL187),DAY(BL187)-1)</f>
        <v>46248</v>
      </c>
      <c r="BN187" s="8">
        <f t="shared" ca="1" si="478"/>
        <v>113</v>
      </c>
      <c r="BO187" s="5" t="str">
        <f t="shared" ca="1" si="47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0"/>
        <v>126</v>
      </c>
      <c r="BT187" s="5" t="str">
        <f t="shared" ca="1" si="481"/>
        <v>VIGENTE</v>
      </c>
      <c r="BU187" s="3"/>
      <c r="BV187" s="4">
        <v>45484</v>
      </c>
      <c r="BW187" s="4">
        <f t="shared" si="641"/>
        <v>46213</v>
      </c>
      <c r="BX187" s="8">
        <f t="shared" ca="1" si="482"/>
        <v>78</v>
      </c>
      <c r="BY187" s="5" t="str">
        <f t="shared" ca="1" si="483"/>
        <v>POR VENCER</v>
      </c>
      <c r="BZ187" s="3"/>
      <c r="CA187" s="4">
        <v>45730</v>
      </c>
      <c r="CB187" s="4">
        <f t="shared" si="642"/>
        <v>46459</v>
      </c>
      <c r="CC187" s="8">
        <f t="shared" ca="1" si="484"/>
        <v>324</v>
      </c>
      <c r="CD187" s="5" t="str">
        <f t="shared" ca="1" si="485"/>
        <v>VIGENTE</v>
      </c>
      <c r="CE187" s="6" t="s">
        <v>73</v>
      </c>
      <c r="CF187" s="4">
        <v>45262</v>
      </c>
      <c r="CG187" s="4">
        <f t="shared" si="604"/>
        <v>46723</v>
      </c>
      <c r="CH187" s="8">
        <f t="shared" ca="1" si="605"/>
        <v>588</v>
      </c>
      <c r="CI187" s="5" t="str">
        <f t="shared" ca="1" si="587"/>
        <v>VIGENTE</v>
      </c>
      <c r="CJ187" s="4"/>
      <c r="CK187" s="4">
        <v>45500</v>
      </c>
      <c r="CL187" s="4">
        <f t="shared" si="643"/>
        <v>46229</v>
      </c>
      <c r="CM187" s="8">
        <f t="shared" ca="1" si="486"/>
        <v>94</v>
      </c>
      <c r="CN187" s="5" t="str">
        <f t="shared" ca="1" si="487"/>
        <v>VIGENTE</v>
      </c>
      <c r="CO187" s="3"/>
      <c r="CP187" s="4">
        <v>45481</v>
      </c>
      <c r="CQ187" s="4">
        <f t="shared" si="644"/>
        <v>46210</v>
      </c>
      <c r="CR187" s="8">
        <f t="shared" ca="1" si="488"/>
        <v>75</v>
      </c>
      <c r="CS187" s="5" t="str">
        <f t="shared" ca="1" si="489"/>
        <v>POR VENCER</v>
      </c>
      <c r="CT187" s="3"/>
      <c r="CU187" s="4">
        <v>45639</v>
      </c>
      <c r="CV187" s="4">
        <f t="shared" si="645"/>
        <v>46368</v>
      </c>
      <c r="CW187" s="8">
        <f t="shared" ca="1" si="490"/>
        <v>233</v>
      </c>
      <c r="CX187" s="5" t="str">
        <f t="shared" ca="1" si="491"/>
        <v>VIGENTE</v>
      </c>
      <c r="CY187" s="3"/>
      <c r="CZ187" s="4">
        <v>45681</v>
      </c>
      <c r="DA187" s="4">
        <f t="shared" si="646"/>
        <v>46410</v>
      </c>
      <c r="DB187" s="8">
        <f t="shared" ca="1" si="492"/>
        <v>275</v>
      </c>
      <c r="DC187" s="5" t="str">
        <f t="shared" ca="1" si="493"/>
        <v>VIGENTE</v>
      </c>
      <c r="DD187" s="3"/>
      <c r="DE187" s="4">
        <v>45689</v>
      </c>
      <c r="DF187" s="4">
        <f t="shared" si="647"/>
        <v>46418</v>
      </c>
      <c r="DG187" s="8">
        <f t="shared" ca="1" si="494"/>
        <v>283</v>
      </c>
      <c r="DH187" s="5" t="str">
        <f t="shared" ca="1" si="495"/>
        <v>VIGENTE</v>
      </c>
      <c r="DI187" s="3"/>
      <c r="DJ187" s="4">
        <v>45580</v>
      </c>
      <c r="DK187" s="4">
        <f t="shared" ref="DK187" si="681">DATE(YEAR(DJ187)+2,MONTH(DJ187),DAY(DJ187)-1)</f>
        <v>46309</v>
      </c>
      <c r="DL187" s="8">
        <f t="shared" ca="1" si="496"/>
        <v>174</v>
      </c>
      <c r="DM187" s="5" t="str">
        <f t="shared" ca="1" si="497"/>
        <v>VIGENTE</v>
      </c>
      <c r="DN187" s="3"/>
      <c r="DO187" s="4">
        <v>45577</v>
      </c>
      <c r="DP187" s="4">
        <f t="shared" si="649"/>
        <v>46306</v>
      </c>
      <c r="DQ187" s="8">
        <f t="shared" ca="1" si="498"/>
        <v>171</v>
      </c>
      <c r="DR187" s="5" t="str">
        <f t="shared" ca="1" si="499"/>
        <v>VIGENTE</v>
      </c>
      <c r="DS187" s="3"/>
      <c r="DT187" s="4">
        <v>45619</v>
      </c>
      <c r="DU187" s="4">
        <f t="shared" ref="DU187:DU190" si="682">DATE(YEAR(DT187)+2,MONTH(DT187),DAY(DT187)-1)</f>
        <v>46348</v>
      </c>
      <c r="DV187" s="8">
        <f t="shared" ca="1" si="500"/>
        <v>213</v>
      </c>
      <c r="DW187" s="5" t="str">
        <f t="shared" ca="1" si="501"/>
        <v>VIGENTE</v>
      </c>
      <c r="DX187" s="3"/>
      <c r="DY187" s="4">
        <v>45751</v>
      </c>
      <c r="DZ187" s="4">
        <f t="shared" si="650"/>
        <v>46480</v>
      </c>
      <c r="EA187" s="8">
        <f t="shared" ca="1" si="502"/>
        <v>345</v>
      </c>
      <c r="EB187" s="5" t="str">
        <f t="shared" ca="1" si="503"/>
        <v>VIGENTE</v>
      </c>
      <c r="EC187" s="3"/>
      <c r="ED187" s="4">
        <v>45768</v>
      </c>
      <c r="EE187" s="4">
        <f t="shared" si="651"/>
        <v>46498</v>
      </c>
      <c r="EF187" s="8">
        <f t="shared" ca="1" si="504"/>
        <v>363</v>
      </c>
      <c r="EG187" s="5" t="str">
        <f t="shared" ca="1" si="505"/>
        <v>VIGENTE</v>
      </c>
      <c r="EH187" s="3"/>
      <c r="EI187" s="3">
        <v>46107</v>
      </c>
      <c r="EJ187" s="4">
        <f t="shared" si="572"/>
        <v>46472</v>
      </c>
      <c r="EK187" s="8">
        <f t="shared" ca="1" si="506"/>
        <v>337</v>
      </c>
      <c r="EL187" s="5" t="str">
        <f t="shared" ca="1" si="507"/>
        <v>VIGENTE</v>
      </c>
      <c r="EM187" s="3"/>
      <c r="EN187" s="4">
        <v>45660</v>
      </c>
      <c r="EO187" s="4">
        <f t="shared" si="652"/>
        <v>46389</v>
      </c>
      <c r="EP187" s="8">
        <f t="shared" ca="1" si="508"/>
        <v>254</v>
      </c>
      <c r="EQ187" s="5" t="str">
        <f t="shared" ca="1" si="509"/>
        <v>VIGENTE</v>
      </c>
      <c r="ER187" s="3"/>
      <c r="ES187" s="4">
        <v>45524</v>
      </c>
      <c r="ET187" s="4">
        <f t="shared" ref="ET187:ET190" si="683">DATE(YEAR(ES187)+2,MONTH(ES187),DAY(ES187)-1)</f>
        <v>46253</v>
      </c>
      <c r="EU187" s="8">
        <f t="shared" ca="1" si="510"/>
        <v>118</v>
      </c>
      <c r="EV187" s="5" t="str">
        <f t="shared" ca="1" si="511"/>
        <v>VIGENTE</v>
      </c>
      <c r="EW187" s="3"/>
      <c r="EX187" s="4">
        <v>45694</v>
      </c>
      <c r="EY187" s="4">
        <f t="shared" ref="EY187" si="684">DATE(YEAR(EX187)+2,MONTH(EX187),DAY(EX187)-1)</f>
        <v>46423</v>
      </c>
      <c r="EZ187" s="8">
        <f t="shared" ca="1" si="512"/>
        <v>288</v>
      </c>
      <c r="FA187" s="5" t="str">
        <f t="shared" ca="1" si="513"/>
        <v>VIGENTE</v>
      </c>
      <c r="FB187" s="3"/>
      <c r="FC187" s="4">
        <v>45611</v>
      </c>
      <c r="FD187" s="4">
        <f t="shared" ref="FD187:FD190" si="685">DATE(YEAR(FC187)+2,MONTH(FC187),DAY(FC187)-1)</f>
        <v>46340</v>
      </c>
      <c r="FE187" s="8">
        <f t="shared" ca="1" si="514"/>
        <v>205</v>
      </c>
      <c r="FF187" s="5" t="str">
        <f t="shared" ca="1" si="515"/>
        <v>VIGENTE</v>
      </c>
      <c r="FG187" s="3"/>
      <c r="FH187" s="4">
        <v>45668</v>
      </c>
      <c r="FI187" s="4">
        <f t="shared" si="655"/>
        <v>46397</v>
      </c>
      <c r="FJ187" s="8">
        <f t="shared" ca="1" si="516"/>
        <v>262</v>
      </c>
      <c r="FK187" s="5" t="str">
        <f t="shared" ca="1" si="517"/>
        <v>VIGENTE</v>
      </c>
      <c r="FL187" s="3"/>
      <c r="FM187" s="4">
        <v>45530</v>
      </c>
      <c r="FN187" s="4">
        <f t="shared" ref="FN187:FN190" si="686">DATE(YEAR(FM187)+2,MONTH(FM187),DAY(FM187)-1)</f>
        <v>46259</v>
      </c>
      <c r="FO187" s="8">
        <f t="shared" ca="1" si="518"/>
        <v>124</v>
      </c>
      <c r="FP187" s="5" t="str">
        <f t="shared" ca="1" si="519"/>
        <v>VIGENTE</v>
      </c>
      <c r="FQ187" s="3"/>
      <c r="FR187" s="4">
        <v>45605</v>
      </c>
      <c r="FS187" s="4">
        <f t="shared" si="657"/>
        <v>46334</v>
      </c>
      <c r="FT187" s="8">
        <f t="shared" ca="1" si="520"/>
        <v>199</v>
      </c>
      <c r="FU187" s="5" t="str">
        <f t="shared" ca="1" si="521"/>
        <v>VIGENTE</v>
      </c>
      <c r="FV187" s="3"/>
      <c r="FW187" s="4">
        <v>45581</v>
      </c>
      <c r="FX187" s="4">
        <f t="shared" si="658"/>
        <v>46310</v>
      </c>
      <c r="FY187" s="8">
        <f t="shared" ca="1" si="522"/>
        <v>175</v>
      </c>
      <c r="FZ187" s="5" t="str">
        <f t="shared" ca="1" si="523"/>
        <v>VIGENTE</v>
      </c>
      <c r="GA187" s="3"/>
      <c r="GB187" s="4">
        <v>45595</v>
      </c>
      <c r="GC187" s="4">
        <f t="shared" si="659"/>
        <v>46324</v>
      </c>
      <c r="GD187" s="8">
        <f t="shared" ca="1" si="524"/>
        <v>189</v>
      </c>
      <c r="GE187" s="5" t="str">
        <f t="shared" ca="1" si="525"/>
        <v>VIGENTE</v>
      </c>
      <c r="GF187" s="3"/>
      <c r="GG187" s="4">
        <v>45579</v>
      </c>
      <c r="GH187" s="4">
        <f t="shared" si="660"/>
        <v>46308</v>
      </c>
      <c r="GI187" s="8">
        <f t="shared" ca="1" si="526"/>
        <v>173</v>
      </c>
      <c r="GJ187" s="5" t="str">
        <f t="shared" ca="1" si="527"/>
        <v>VIGENTE</v>
      </c>
      <c r="GK187" s="3"/>
      <c r="GL187" s="4">
        <v>45557</v>
      </c>
      <c r="GM187" s="4">
        <f t="shared" si="661"/>
        <v>46286</v>
      </c>
      <c r="GN187" s="8">
        <f t="shared" ca="1" si="528"/>
        <v>151</v>
      </c>
      <c r="GO187" s="5" t="str">
        <f t="shared" ca="1" si="529"/>
        <v>VIGENTE</v>
      </c>
      <c r="GP187" s="4"/>
      <c r="GQ187" s="4">
        <v>44912</v>
      </c>
      <c r="GR187" s="4">
        <f t="shared" si="530"/>
        <v>46738</v>
      </c>
      <c r="GS187" s="8">
        <f t="shared" ca="1" si="615"/>
        <v>603</v>
      </c>
      <c r="GT187" s="5" t="str">
        <f t="shared" ca="1" si="624"/>
        <v>VIGENTE</v>
      </c>
      <c r="GU187" s="3"/>
      <c r="GV187" s="4">
        <v>44910</v>
      </c>
      <c r="GW187" s="4">
        <f t="shared" si="531"/>
        <v>46736</v>
      </c>
      <c r="GX187" s="8">
        <f t="shared" ca="1" si="532"/>
        <v>601</v>
      </c>
      <c r="GY187" s="5" t="str">
        <f t="shared" ca="1" si="625"/>
        <v>VIGENTE</v>
      </c>
      <c r="GZ187" s="2"/>
      <c r="HA187" s="4">
        <v>44911</v>
      </c>
      <c r="HB187" s="4">
        <f t="shared" si="533"/>
        <v>46737</v>
      </c>
      <c r="HC187" s="8">
        <f t="shared" ca="1" si="534"/>
        <v>602</v>
      </c>
      <c r="HD187" s="5" t="str">
        <f t="shared" ca="1" si="626"/>
        <v>VIGENTE</v>
      </c>
      <c r="HE187" s="6"/>
      <c r="HF187" s="4">
        <v>45020</v>
      </c>
      <c r="HG187" s="4">
        <f t="shared" si="662"/>
        <v>46847</v>
      </c>
      <c r="HH187" s="8">
        <f t="shared" ca="1" si="630"/>
        <v>712</v>
      </c>
      <c r="HI187" s="5" t="str">
        <f t="shared" ca="1" si="627"/>
        <v>VIGENTE</v>
      </c>
      <c r="HJ187" s="2"/>
      <c r="HK187" s="6"/>
      <c r="HL187" s="4"/>
      <c r="HM187" s="8"/>
      <c r="HN187" s="5" t="str">
        <f t="shared" si="453"/>
        <v>NO APLICA</v>
      </c>
      <c r="HO187" s="2"/>
      <c r="HP187" s="2"/>
      <c r="HQ187" s="4"/>
      <c r="HR187" s="2"/>
      <c r="HS187" s="5" t="str">
        <f t="shared" si="53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3"/>
        <v>46840</v>
      </c>
      <c r="IV187" s="8">
        <f t="shared" ca="1" si="631"/>
        <v>705</v>
      </c>
      <c r="IW187" s="5" t="str">
        <f t="shared" ca="1" si="541"/>
        <v>VIGENTE</v>
      </c>
      <c r="IX187" s="2"/>
      <c r="IY187" s="4">
        <v>44973</v>
      </c>
      <c r="IZ187" s="4">
        <f t="shared" si="664"/>
        <v>46799</v>
      </c>
      <c r="JA187" s="8">
        <f t="shared" ca="1" si="632"/>
        <v>664</v>
      </c>
      <c r="JB187" s="5" t="str">
        <f t="shared" ca="1" si="542"/>
        <v>VIGENTE</v>
      </c>
      <c r="JC187" s="3"/>
      <c r="JD187" s="3"/>
      <c r="JE187" s="4"/>
      <c r="JF187" s="8"/>
      <c r="JG187" s="5" t="str">
        <f t="shared" si="543"/>
        <v>NO APLICA</v>
      </c>
      <c r="JH187" s="6"/>
      <c r="JI187" s="6"/>
      <c r="JJ187" s="6"/>
      <c r="JK187" s="6"/>
      <c r="JL187" s="5" t="str">
        <f t="shared" si="544"/>
        <v>NO APLICA</v>
      </c>
      <c r="JM187" s="6"/>
      <c r="JN187" s="6"/>
      <c r="JO187" s="6"/>
      <c r="JP187" s="6"/>
      <c r="JQ187" s="5" t="str">
        <f t="shared" si="545"/>
        <v>NO APLICA</v>
      </c>
      <c r="JR187" s="6"/>
      <c r="JS187" s="6"/>
      <c r="JT187" s="6"/>
      <c r="JU187" s="6"/>
      <c r="JV187" s="5" t="str">
        <f t="shared" si="546"/>
        <v>NO APLICA</v>
      </c>
      <c r="JW187" s="5"/>
      <c r="JX187" s="5"/>
      <c r="JY187" s="5"/>
      <c r="JZ187" s="5"/>
      <c r="KA187" s="5" t="str">
        <f t="shared" si="547"/>
        <v>NO APLICA</v>
      </c>
      <c r="KB187" s="5"/>
      <c r="KC187" s="2"/>
      <c r="KD187" s="4"/>
      <c r="KE187" s="8"/>
      <c r="KF187" s="5" t="str">
        <f t="shared" si="548"/>
        <v>NO APLICA</v>
      </c>
      <c r="KG187" s="5"/>
      <c r="KH187" s="2"/>
      <c r="KI187" s="4"/>
      <c r="KJ187" s="8"/>
      <c r="KK187" s="5" t="str">
        <f t="shared" si="573"/>
        <v>NO APLICA</v>
      </c>
      <c r="KL187" s="5"/>
      <c r="KM187" s="2"/>
      <c r="KN187" s="4"/>
      <c r="KO187" s="8"/>
      <c r="KP187" s="5" t="str">
        <f t="shared" si="549"/>
        <v>NO APLICA</v>
      </c>
      <c r="KQ187" s="5"/>
      <c r="KR187" s="2"/>
      <c r="KS187" s="4"/>
      <c r="KT187" s="8"/>
      <c r="KU187" s="5" t="str">
        <f t="shared" si="574"/>
        <v>NO APLICA</v>
      </c>
      <c r="KV187" s="2"/>
      <c r="KW187" s="6"/>
      <c r="KX187" s="4"/>
      <c r="KY187" s="8"/>
      <c r="KZ187" s="5" t="str">
        <f t="shared" si="579"/>
        <v>NO APLICA</v>
      </c>
      <c r="LA187" s="5"/>
      <c r="LB187" s="6"/>
      <c r="LC187" s="4"/>
      <c r="LD187" s="8"/>
      <c r="LE187" s="5" t="str">
        <f t="shared" si="575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0"/>
        <v>NO APLICA</v>
      </c>
      <c r="LP187" s="2"/>
      <c r="LQ187" s="6"/>
      <c r="LR187" s="4"/>
      <c r="LS187" s="8"/>
      <c r="LT187" s="5" t="str">
        <f t="shared" si="576"/>
        <v>NO APLICA</v>
      </c>
      <c r="LU187" s="6"/>
      <c r="LV187" s="6"/>
      <c r="LW187" s="4"/>
      <c r="LX187" s="8"/>
      <c r="LY187" s="5" t="str">
        <f t="shared" si="577"/>
        <v>NO APLICA</v>
      </c>
      <c r="LZ187" s="6"/>
      <c r="MA187" s="6"/>
      <c r="MB187" s="4"/>
      <c r="MC187" s="8"/>
      <c r="MD187" s="5" t="str">
        <f t="shared" si="578"/>
        <v>NO APLICA</v>
      </c>
      <c r="ME187" s="2"/>
      <c r="MF187" s="2"/>
      <c r="MG187" s="4"/>
      <c r="MH187" s="8"/>
      <c r="MI187" s="5" t="str">
        <f t="shared" si="551"/>
        <v>NO APLICA</v>
      </c>
      <c r="MJ187" s="2"/>
      <c r="MK187" s="2"/>
      <c r="ML187" s="4"/>
      <c r="MM187" s="8"/>
      <c r="MN187" s="5" t="str">
        <f t="shared" si="552"/>
        <v>NO APLICA</v>
      </c>
      <c r="MO187" s="5"/>
      <c r="MP187" s="2"/>
      <c r="MQ187" s="4"/>
      <c r="MR187" s="8"/>
      <c r="MS187" s="5" t="str">
        <f t="shared" si="553"/>
        <v>NO APLICA</v>
      </c>
      <c r="MT187" s="5"/>
      <c r="MU187" s="2"/>
      <c r="MV187" s="4"/>
      <c r="MW187" s="2"/>
      <c r="MX187" s="5" t="str">
        <f t="shared" si="554"/>
        <v>NO APLICA</v>
      </c>
      <c r="MY187" s="2"/>
      <c r="MZ187" s="6"/>
      <c r="NA187" s="4"/>
      <c r="NB187" s="8"/>
      <c r="NC187" s="5" t="str">
        <f t="shared" si="555"/>
        <v>NO APLICA</v>
      </c>
      <c r="ND187" s="2"/>
      <c r="NE187" s="6"/>
      <c r="NF187" s="4"/>
      <c r="NG187" s="8"/>
      <c r="NH187" s="5" t="str">
        <f t="shared" si="556"/>
        <v>NO APLICA</v>
      </c>
      <c r="NI187" s="2"/>
      <c r="NJ187" s="6"/>
      <c r="NK187" s="4"/>
      <c r="NL187" s="8"/>
      <c r="NM187" s="5" t="str">
        <f t="shared" si="557"/>
        <v>NO APLICA</v>
      </c>
      <c r="NN187" s="2"/>
      <c r="NO187" s="2"/>
      <c r="NP187" s="4"/>
      <c r="NQ187" s="2"/>
      <c r="NR187" s="5" t="str">
        <f t="shared" si="558"/>
        <v>NO APLICA</v>
      </c>
      <c r="NS187" s="2"/>
      <c r="NT187" s="2"/>
      <c r="NU187" s="4"/>
      <c r="NV187" s="2"/>
      <c r="NW187" s="5" t="str">
        <f t="shared" si="559"/>
        <v>NO APLICA</v>
      </c>
      <c r="NX187" s="6"/>
      <c r="NY187" s="6"/>
      <c r="NZ187" s="4"/>
      <c r="OA187" s="8"/>
      <c r="OB187" s="5" t="str">
        <f t="shared" si="560"/>
        <v>NO APLICA</v>
      </c>
      <c r="OC187" s="6"/>
      <c r="OD187" s="6"/>
      <c r="OE187" s="6"/>
      <c r="OF187" s="6"/>
      <c r="OG187" s="5" t="str">
        <f t="shared" si="561"/>
        <v>NO APLICA</v>
      </c>
      <c r="OH187" s="6"/>
      <c r="OI187" s="6"/>
      <c r="OJ187" s="4"/>
      <c r="OK187" s="8"/>
      <c r="OL187" s="5" t="str">
        <f t="shared" si="562"/>
        <v>NO APLICA</v>
      </c>
      <c r="OM187" s="6"/>
      <c r="ON187" s="6"/>
      <c r="OO187" s="6"/>
      <c r="OP187" s="6"/>
      <c r="OQ187" s="5" t="str">
        <f t="shared" si="563"/>
        <v>NO APLICA</v>
      </c>
      <c r="OR187" s="6"/>
      <c r="OS187" s="6"/>
      <c r="OT187" s="6"/>
      <c r="OU187" s="6"/>
      <c r="OV187" s="5" t="str">
        <f t="shared" si="564"/>
        <v>NO APLICA</v>
      </c>
      <c r="OW187" s="6"/>
      <c r="OX187" s="6"/>
      <c r="OY187" s="6"/>
      <c r="OZ187" s="6"/>
      <c r="PA187" s="5" t="str">
        <f t="shared" si="565"/>
        <v>NO APLICA</v>
      </c>
      <c r="PB187" s="6"/>
      <c r="PC187" s="6"/>
      <c r="PD187" s="6"/>
      <c r="PE187" s="6"/>
      <c r="PF187" s="5" t="str">
        <f t="shared" si="566"/>
        <v>NO APLICA</v>
      </c>
      <c r="PG187" s="6"/>
      <c r="PH187" s="6"/>
      <c r="PI187" s="6"/>
      <c r="PJ187" s="6"/>
      <c r="PK187" s="5" t="str">
        <f t="shared" si="567"/>
        <v>NO APLICA</v>
      </c>
      <c r="PL187" s="5"/>
      <c r="PM187" s="6"/>
      <c r="PN187" s="4"/>
      <c r="PO187" s="8"/>
      <c r="PP187" s="5" t="str">
        <f t="shared" si="568"/>
        <v>NO APLICA</v>
      </c>
      <c r="PQ187" s="6"/>
      <c r="PR187" s="6"/>
      <c r="PS187" s="6"/>
      <c r="PT187" s="6"/>
      <c r="PU187" s="5" t="str">
        <f t="shared" si="569"/>
        <v>NO APLICA</v>
      </c>
      <c r="PV187" s="5"/>
      <c r="PW187" s="6"/>
      <c r="PX187" s="6"/>
      <c r="PY187" s="6"/>
      <c r="PZ187" s="5" t="str">
        <f t="shared" si="570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597</v>
      </c>
      <c r="D188" s="30" t="s">
        <v>69</v>
      </c>
      <c r="E188" s="31" t="s">
        <v>75</v>
      </c>
      <c r="F188" s="5"/>
      <c r="G188" s="6"/>
      <c r="H188" s="4"/>
      <c r="I188" s="8"/>
      <c r="J188" s="5" t="str">
        <f t="shared" si="464"/>
        <v>NO APLICA</v>
      </c>
      <c r="K188" s="5"/>
      <c r="L188" s="6"/>
      <c r="M188" s="6"/>
      <c r="N188" s="8"/>
      <c r="O188" s="5" t="str">
        <f t="shared" si="465"/>
        <v>NO APLICA</v>
      </c>
      <c r="P188" s="6"/>
      <c r="Q188" s="6"/>
      <c r="R188" s="4"/>
      <c r="S188" s="8"/>
      <c r="T188" s="5" t="str">
        <f t="shared" si="571"/>
        <v>NO APLICA</v>
      </c>
      <c r="U188" s="5"/>
      <c r="V188" s="2" t="s">
        <v>598</v>
      </c>
      <c r="W188" s="4">
        <v>45337</v>
      </c>
      <c r="X188" s="4">
        <f t="shared" si="601"/>
        <v>47164</v>
      </c>
      <c r="Y188" s="8">
        <f t="shared" ca="1" si="602"/>
        <v>1029</v>
      </c>
      <c r="Z188" s="5" t="str">
        <f t="shared" ca="1" si="619"/>
        <v>VIGENTE</v>
      </c>
      <c r="AA188" s="5"/>
      <c r="AB188" s="2" t="s">
        <v>599</v>
      </c>
      <c r="AC188" s="4">
        <v>44824</v>
      </c>
      <c r="AD188" s="4">
        <f t="shared" si="633"/>
        <v>46650</v>
      </c>
      <c r="AE188" s="8">
        <f t="shared" ca="1" si="628"/>
        <v>515</v>
      </c>
      <c r="AF188" s="5" t="str">
        <f t="shared" ca="1" si="466"/>
        <v>VIGENTE</v>
      </c>
      <c r="AG188" s="3"/>
      <c r="AH188" s="4">
        <v>45609</v>
      </c>
      <c r="AI188" s="4">
        <f t="shared" si="634"/>
        <v>46338</v>
      </c>
      <c r="AJ188" s="8">
        <f t="shared" ca="1" si="467"/>
        <v>203</v>
      </c>
      <c r="AK188" s="5" t="str">
        <f t="shared" ca="1" si="616"/>
        <v>VIGENTE</v>
      </c>
      <c r="AL188" s="3"/>
      <c r="AM188" s="4">
        <v>45926</v>
      </c>
      <c r="AN188" s="4">
        <f t="shared" ref="AN188:AN191" si="687">DATE(YEAR(AM188)+2,MONTH(AM188),DAY(AM188))</f>
        <v>46656</v>
      </c>
      <c r="AO188" s="8">
        <f t="shared" ca="1" si="468"/>
        <v>521</v>
      </c>
      <c r="AP188" s="5" t="str">
        <f t="shared" ca="1" si="469"/>
        <v>VIGENTE</v>
      </c>
      <c r="AQ188" s="3"/>
      <c r="AR188" s="4">
        <v>45904</v>
      </c>
      <c r="AS188" s="4">
        <f t="shared" ref="AS188:AS191" si="688">DATE(YEAR(AR188)+2,MONTH(AR188),DAY(AR188))</f>
        <v>46634</v>
      </c>
      <c r="AT188" s="8">
        <f t="shared" ca="1" si="470"/>
        <v>499</v>
      </c>
      <c r="AU188" s="5" t="str">
        <f t="shared" ca="1" si="47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2"/>
        <v>522</v>
      </c>
      <c r="AZ188" s="5" t="str">
        <f t="shared" ca="1" si="473"/>
        <v>VIGENTE</v>
      </c>
      <c r="BA188" s="3"/>
      <c r="BB188" s="4">
        <v>45901</v>
      </c>
      <c r="BC188" s="4">
        <f t="shared" ref="BC188:BC189" si="689">DATE(YEAR(BB188)+2,MONTH(BB188),DAY(BB188))</f>
        <v>46631</v>
      </c>
      <c r="BD188" s="8">
        <f t="shared" ca="1" si="474"/>
        <v>496</v>
      </c>
      <c r="BE188" s="5" t="str">
        <f t="shared" ca="1" si="47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6"/>
        <v>563</v>
      </c>
      <c r="BJ188" s="5" t="str">
        <f t="shared" ca="1" si="477"/>
        <v>VIGENTE</v>
      </c>
      <c r="BK188" s="3"/>
      <c r="BL188" s="4">
        <v>46035</v>
      </c>
      <c r="BM188" s="4">
        <f t="shared" ref="BM188:BM191" si="690">DATE(YEAR(BL188)+2,MONTH(BL188),DAY(BL188))</f>
        <v>46765</v>
      </c>
      <c r="BN188" s="8">
        <f t="shared" ca="1" si="478"/>
        <v>630</v>
      </c>
      <c r="BO188" s="5" t="str">
        <f t="shared" ca="1" si="47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0"/>
        <v>41</v>
      </c>
      <c r="BT188" s="5" t="str">
        <f t="shared" ca="1" si="481"/>
        <v>POR VENCER</v>
      </c>
      <c r="BU188" s="3"/>
      <c r="BV188" s="4">
        <v>45449</v>
      </c>
      <c r="BW188" s="4">
        <f t="shared" si="641"/>
        <v>46178</v>
      </c>
      <c r="BX188" s="8">
        <f t="shared" ca="1" si="482"/>
        <v>43</v>
      </c>
      <c r="BY188" s="5" t="str">
        <f t="shared" ca="1" si="483"/>
        <v>POR VENCER</v>
      </c>
      <c r="BZ188" s="3"/>
      <c r="CA188" s="3">
        <v>45894</v>
      </c>
      <c r="CB188" s="4">
        <f t="shared" ref="CB188:CB191" si="691">DATE(YEAR(CA188)+2,MONTH(CA188),DAY(CA188))</f>
        <v>46624</v>
      </c>
      <c r="CC188" s="8">
        <f t="shared" ca="1" si="484"/>
        <v>489</v>
      </c>
      <c r="CD188" s="5" t="str">
        <f t="shared" ca="1" si="485"/>
        <v>VIGENTE</v>
      </c>
      <c r="CE188" s="6" t="s">
        <v>73</v>
      </c>
      <c r="CF188" s="4">
        <v>45227</v>
      </c>
      <c r="CG188" s="4">
        <f t="shared" si="604"/>
        <v>46688</v>
      </c>
      <c r="CH188" s="8">
        <f t="shared" ca="1" si="605"/>
        <v>553</v>
      </c>
      <c r="CI188" s="5" t="str">
        <f t="shared" ca="1" si="587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6"/>
        <v>524</v>
      </c>
      <c r="CN188" s="5" t="str">
        <f t="shared" ca="1" si="487"/>
        <v>VIGENTE</v>
      </c>
      <c r="CO188" s="3"/>
      <c r="CP188" s="4">
        <v>45898</v>
      </c>
      <c r="CQ188" s="4">
        <f t="shared" ref="CQ188:CQ189" si="692">DATE(YEAR(CP188)+2,MONTH(CP188),DAY(CP188))</f>
        <v>46628</v>
      </c>
      <c r="CR188" s="8">
        <f t="shared" ca="1" si="488"/>
        <v>493</v>
      </c>
      <c r="CS188" s="5" t="str">
        <f t="shared" ca="1" si="489"/>
        <v>VIGENTE</v>
      </c>
      <c r="CT188" s="3"/>
      <c r="CU188" s="4">
        <v>45631</v>
      </c>
      <c r="CV188" s="4">
        <f t="shared" si="645"/>
        <v>46360</v>
      </c>
      <c r="CW188" s="8">
        <f t="shared" ca="1" si="490"/>
        <v>225</v>
      </c>
      <c r="CX188" s="5" t="str">
        <f t="shared" ca="1" si="491"/>
        <v>VIGENTE</v>
      </c>
      <c r="CY188" s="3"/>
      <c r="CZ188" s="4">
        <v>45665</v>
      </c>
      <c r="DA188" s="4">
        <f t="shared" si="646"/>
        <v>46394</v>
      </c>
      <c r="DB188" s="8">
        <f t="shared" ca="1" si="492"/>
        <v>259</v>
      </c>
      <c r="DC188" s="5" t="str">
        <f t="shared" ca="1" si="493"/>
        <v>VIGENTE</v>
      </c>
      <c r="DD188" s="3"/>
      <c r="DE188" s="4">
        <v>45689</v>
      </c>
      <c r="DF188" s="4">
        <f t="shared" si="647"/>
        <v>46418</v>
      </c>
      <c r="DG188" s="8">
        <f t="shared" ca="1" si="494"/>
        <v>283</v>
      </c>
      <c r="DH188" s="5" t="str">
        <f t="shared" ca="1" si="495"/>
        <v>VIGENTE</v>
      </c>
      <c r="DI188" s="3"/>
      <c r="DJ188" s="4">
        <v>45899</v>
      </c>
      <c r="DK188" s="4">
        <f t="shared" ref="DK188:DK191" si="693">DATE(YEAR(DJ188)+2,MONTH(DJ188),DAY(DJ188))</f>
        <v>46629</v>
      </c>
      <c r="DL188" s="8">
        <f t="shared" ca="1" si="496"/>
        <v>494</v>
      </c>
      <c r="DM188" s="5" t="str">
        <f t="shared" ca="1" si="497"/>
        <v>VIGENTE</v>
      </c>
      <c r="DN188" s="3"/>
      <c r="DO188" s="4">
        <v>45982</v>
      </c>
      <c r="DP188" s="4">
        <f t="shared" ref="DP188:DP191" si="694">DATE(YEAR(DO188)+2,MONTH(DO188),DAY(DO188))</f>
        <v>46712</v>
      </c>
      <c r="DQ188" s="8">
        <f t="shared" ca="1" si="498"/>
        <v>577</v>
      </c>
      <c r="DR188" s="5" t="str">
        <f t="shared" ca="1" si="49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0"/>
        <v>513</v>
      </c>
      <c r="DW188" s="5" t="str">
        <f t="shared" ca="1" si="501"/>
        <v>VIGENTE</v>
      </c>
      <c r="DX188" s="3"/>
      <c r="DY188" s="4">
        <v>45915</v>
      </c>
      <c r="DZ188" s="4">
        <f t="shared" ref="DZ188:DZ189" si="695">DATE(YEAR(DY188)+2,MONTH(DY188),DAY(DY188))</f>
        <v>46645</v>
      </c>
      <c r="EA188" s="8">
        <f t="shared" ca="1" si="502"/>
        <v>510</v>
      </c>
      <c r="EB188" s="5" t="str">
        <f t="shared" ca="1" si="503"/>
        <v>VIGENTE</v>
      </c>
      <c r="EC188" s="3"/>
      <c r="ED188" s="4">
        <v>45883</v>
      </c>
      <c r="EE188" s="4">
        <f t="shared" si="651"/>
        <v>46613</v>
      </c>
      <c r="EF188" s="8">
        <f t="shared" ca="1" si="504"/>
        <v>478</v>
      </c>
      <c r="EG188" s="5" t="str">
        <f t="shared" ca="1" si="505"/>
        <v>VIGENTE</v>
      </c>
      <c r="EH188" s="3"/>
      <c r="EI188" s="4">
        <v>45948</v>
      </c>
      <c r="EJ188" s="4">
        <f t="shared" si="572"/>
        <v>46313</v>
      </c>
      <c r="EK188" s="8">
        <f t="shared" ca="1" si="506"/>
        <v>178</v>
      </c>
      <c r="EL188" s="5" t="str">
        <f t="shared" ca="1" si="507"/>
        <v>VIGENTE</v>
      </c>
      <c r="EM188" s="3"/>
      <c r="EN188" s="4">
        <v>45983</v>
      </c>
      <c r="EO188" s="4">
        <f t="shared" ref="EO188:EO189" si="696">DATE(YEAR(EN188)+2,MONTH(EN188),DAY(EN188))</f>
        <v>46713</v>
      </c>
      <c r="EP188" s="8">
        <f t="shared" ca="1" si="508"/>
        <v>578</v>
      </c>
      <c r="EQ188" s="5" t="str">
        <f t="shared" ca="1" si="509"/>
        <v>VIGENTE</v>
      </c>
      <c r="ER188" s="3"/>
      <c r="ES188" s="4">
        <v>45999</v>
      </c>
      <c r="ET188" s="4">
        <f t="shared" ref="ET188:ET189" si="697">DATE(YEAR(ES188)+2,MONTH(ES188),DAY(ES188))</f>
        <v>46729</v>
      </c>
      <c r="EU188" s="8">
        <f t="shared" ca="1" si="510"/>
        <v>594</v>
      </c>
      <c r="EV188" s="5" t="str">
        <f t="shared" ca="1" si="511"/>
        <v>VIGENTE</v>
      </c>
      <c r="EW188" s="3"/>
      <c r="EX188" s="4">
        <v>45917</v>
      </c>
      <c r="EY188" s="4">
        <f t="shared" ref="EY188:EY191" si="698">DATE(YEAR(EX188)+2,MONTH(EX188),DAY(EX188))</f>
        <v>46647</v>
      </c>
      <c r="EZ188" s="8">
        <f t="shared" ca="1" si="512"/>
        <v>512</v>
      </c>
      <c r="FA188" s="5" t="str">
        <f t="shared" ca="1" si="513"/>
        <v>VIGENTE</v>
      </c>
      <c r="FB188" s="3"/>
      <c r="FC188" s="4">
        <v>45922</v>
      </c>
      <c r="FD188" s="4">
        <f t="shared" ref="FD188:FD189" si="699">DATE(YEAR(FC188)+2,MONTH(FC188),DAY(FC188))</f>
        <v>46652</v>
      </c>
      <c r="FE188" s="8">
        <f t="shared" ca="1" si="514"/>
        <v>517</v>
      </c>
      <c r="FF188" s="5" t="str">
        <f t="shared" ca="1" si="515"/>
        <v>VIGENTE</v>
      </c>
      <c r="FG188" s="3"/>
      <c r="FH188" s="4">
        <v>45932</v>
      </c>
      <c r="FI188" s="4">
        <f t="shared" ref="FI188:FI191" si="700">DATE(YEAR(FH188)+2,MONTH(FH188),DAY(FH188))</f>
        <v>46662</v>
      </c>
      <c r="FJ188" s="8">
        <f t="shared" ca="1" si="516"/>
        <v>527</v>
      </c>
      <c r="FK188" s="5" t="str">
        <f t="shared" ca="1" si="517"/>
        <v>VIGENTE</v>
      </c>
      <c r="FL188" s="3"/>
      <c r="FM188" s="4">
        <v>45920</v>
      </c>
      <c r="FN188" s="4">
        <f t="shared" ref="FN188:FN189" si="701">DATE(YEAR(FM188)+2,MONTH(FM188),DAY(FM188))</f>
        <v>46650</v>
      </c>
      <c r="FO188" s="8">
        <f t="shared" ca="1" si="518"/>
        <v>515</v>
      </c>
      <c r="FP188" s="5" t="str">
        <f t="shared" ca="1" si="519"/>
        <v>VIGENTE</v>
      </c>
      <c r="FQ188" s="3"/>
      <c r="FR188" s="4">
        <v>45957</v>
      </c>
      <c r="FS188" s="4">
        <f t="shared" ref="FS188:FS189" si="702">DATE(YEAR(FR188)+2,MONTH(FR188),DAY(FR188))</f>
        <v>46687</v>
      </c>
      <c r="FT188" s="8">
        <f t="shared" ca="1" si="520"/>
        <v>552</v>
      </c>
      <c r="FU188" s="5" t="str">
        <f t="shared" ca="1" si="521"/>
        <v>VIGENTE</v>
      </c>
      <c r="FV188" s="3"/>
      <c r="FW188" s="4">
        <v>45587</v>
      </c>
      <c r="FX188" s="4">
        <f t="shared" si="658"/>
        <v>46316</v>
      </c>
      <c r="FY188" s="8">
        <f t="shared" ca="1" si="522"/>
        <v>181</v>
      </c>
      <c r="FZ188" s="5" t="str">
        <f t="shared" ca="1" si="52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4"/>
        <v>520</v>
      </c>
      <c r="GE188" s="5" t="str">
        <f t="shared" ca="1" si="525"/>
        <v>VIGENTE</v>
      </c>
      <c r="GF188" s="3"/>
      <c r="GG188" s="4">
        <v>45912</v>
      </c>
      <c r="GH188" s="4">
        <f t="shared" ref="GH188:GH191" si="703">DATE(YEAR(GG188)+2,MONTH(GG188),DAY(GG188))</f>
        <v>46642</v>
      </c>
      <c r="GI188" s="8">
        <f t="shared" ca="1" si="526"/>
        <v>507</v>
      </c>
      <c r="GJ188" s="5" t="str">
        <f t="shared" ca="1" si="52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28"/>
        <v>518</v>
      </c>
      <c r="GO188" s="5" t="str">
        <f t="shared" ca="1" si="529"/>
        <v>VIGENTE</v>
      </c>
      <c r="GP188" s="4"/>
      <c r="GQ188" s="4">
        <v>45244</v>
      </c>
      <c r="GR188" s="4">
        <f t="shared" si="530"/>
        <v>47071</v>
      </c>
      <c r="GS188" s="8">
        <f t="shared" ca="1" si="615"/>
        <v>936</v>
      </c>
      <c r="GT188" s="5" t="str">
        <f t="shared" ca="1" si="624"/>
        <v>VIGENTE</v>
      </c>
      <c r="GU188" s="4"/>
      <c r="GV188" s="4">
        <v>45245</v>
      </c>
      <c r="GW188" s="4">
        <f t="shared" si="531"/>
        <v>47072</v>
      </c>
      <c r="GX188" s="8">
        <f t="shared" ca="1" si="532"/>
        <v>937</v>
      </c>
      <c r="GY188" s="5" t="str">
        <f t="shared" ca="1" si="625"/>
        <v>VIGENTE</v>
      </c>
      <c r="GZ188" s="3"/>
      <c r="HA188" s="4">
        <v>45249</v>
      </c>
      <c r="HB188" s="4">
        <f t="shared" si="533"/>
        <v>47076</v>
      </c>
      <c r="HC188" s="8">
        <f t="shared" ca="1" si="534"/>
        <v>941</v>
      </c>
      <c r="HD188" s="5" t="str">
        <f t="shared" ca="1" si="626"/>
        <v>VIGENTE</v>
      </c>
      <c r="HE188" s="6"/>
      <c r="HF188" s="4">
        <v>44879</v>
      </c>
      <c r="HG188" s="4">
        <f t="shared" si="662"/>
        <v>46705</v>
      </c>
      <c r="HH188" s="8">
        <f t="shared" ca="1" si="630"/>
        <v>570</v>
      </c>
      <c r="HI188" s="5" t="str">
        <f t="shared" ca="1" si="627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3"/>
        <v>47060</v>
      </c>
      <c r="IV188" s="8">
        <f t="shared" ca="1" si="631"/>
        <v>925</v>
      </c>
      <c r="IW188" s="5" t="str">
        <f t="shared" ca="1" si="541"/>
        <v>VIGENTE</v>
      </c>
      <c r="IX188" s="3"/>
      <c r="IY188" s="4">
        <v>45261</v>
      </c>
      <c r="IZ188" s="4">
        <f t="shared" si="664"/>
        <v>47088</v>
      </c>
      <c r="JA188" s="8">
        <f t="shared" ca="1" si="632"/>
        <v>953</v>
      </c>
      <c r="JB188" s="5" t="str">
        <f t="shared" ca="1" si="542"/>
        <v>VIGENTE</v>
      </c>
      <c r="JC188" s="3"/>
      <c r="JD188" s="3"/>
      <c r="JE188" s="4"/>
      <c r="JF188" s="8"/>
      <c r="JG188" s="5" t="str">
        <f t="shared" si="543"/>
        <v>NO APLICA</v>
      </c>
      <c r="JH188" s="6"/>
      <c r="JI188" s="6"/>
      <c r="JJ188" s="6"/>
      <c r="JK188" s="6"/>
      <c r="JL188" s="5" t="str">
        <f t="shared" si="544"/>
        <v>NO APLICA</v>
      </c>
      <c r="JM188" s="6"/>
      <c r="JN188" s="6"/>
      <c r="JO188" s="6"/>
      <c r="JP188" s="6"/>
      <c r="JQ188" s="5" t="str">
        <f t="shared" si="545"/>
        <v>NO APLICA</v>
      </c>
      <c r="JR188" s="6"/>
      <c r="JS188" s="6"/>
      <c r="JT188" s="6"/>
      <c r="JU188" s="6"/>
      <c r="JV188" s="5" t="str">
        <f t="shared" si="546"/>
        <v>NO APLICA</v>
      </c>
      <c r="JW188" s="5"/>
      <c r="JX188" s="5"/>
      <c r="JY188" s="5"/>
      <c r="JZ188" s="5"/>
      <c r="KA188" s="5" t="str">
        <f t="shared" si="547"/>
        <v>NO APLICA</v>
      </c>
      <c r="KB188" s="5"/>
      <c r="KC188" s="2"/>
      <c r="KD188" s="4"/>
      <c r="KE188" s="8"/>
      <c r="KF188" s="5" t="str">
        <f t="shared" si="548"/>
        <v>NO APLICA</v>
      </c>
      <c r="KG188" s="5"/>
      <c r="KH188" s="2"/>
      <c r="KI188" s="4"/>
      <c r="KJ188" s="8"/>
      <c r="KK188" s="5" t="str">
        <f t="shared" si="573"/>
        <v>NO APLICA</v>
      </c>
      <c r="KL188" s="5"/>
      <c r="KM188" s="2"/>
      <c r="KN188" s="4"/>
      <c r="KO188" s="8"/>
      <c r="KP188" s="5" t="str">
        <f t="shared" si="549"/>
        <v>NO APLICA</v>
      </c>
      <c r="KQ188" s="5"/>
      <c r="KR188" s="2"/>
      <c r="KS188" s="4"/>
      <c r="KT188" s="8"/>
      <c r="KU188" s="5" t="str">
        <f t="shared" si="574"/>
        <v>NO APLICA</v>
      </c>
      <c r="KV188" s="2"/>
      <c r="KW188" s="6"/>
      <c r="KX188" s="4"/>
      <c r="KY188" s="8"/>
      <c r="KZ188" s="5" t="str">
        <f t="shared" si="579"/>
        <v>NO APLICA</v>
      </c>
      <c r="LA188" s="5"/>
      <c r="LB188" s="6"/>
      <c r="LC188" s="4"/>
      <c r="LD188" s="8"/>
      <c r="LE188" s="5" t="str">
        <f t="shared" si="575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0"/>
        <v>NO APLICA</v>
      </c>
      <c r="LP188" s="2"/>
      <c r="LQ188" s="6"/>
      <c r="LR188" s="4"/>
      <c r="LS188" s="8"/>
      <c r="LT188" s="5" t="str">
        <f t="shared" si="576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1"/>
        <v>NO APLICA</v>
      </c>
      <c r="MJ188" s="2"/>
      <c r="MK188" s="2"/>
      <c r="ML188" s="4"/>
      <c r="MM188" s="8"/>
      <c r="MN188" s="5" t="str">
        <f t="shared" si="552"/>
        <v>NO APLICA</v>
      </c>
      <c r="MO188" s="5"/>
      <c r="MP188" s="2"/>
      <c r="MQ188" s="4"/>
      <c r="MR188" s="8"/>
      <c r="MS188" s="5" t="str">
        <f t="shared" si="553"/>
        <v>NO APLICA</v>
      </c>
      <c r="MT188" s="5"/>
      <c r="MU188" s="2"/>
      <c r="MV188" s="4"/>
      <c r="MW188" s="2"/>
      <c r="MX188" s="5" t="str">
        <f t="shared" si="554"/>
        <v>NO APLICA</v>
      </c>
      <c r="MY188" s="2"/>
      <c r="MZ188" s="6"/>
      <c r="NA188" s="4"/>
      <c r="NB188" s="8"/>
      <c r="NC188" s="5" t="str">
        <f t="shared" si="555"/>
        <v>NO APLICA</v>
      </c>
      <c r="ND188" s="2"/>
      <c r="NE188" s="6"/>
      <c r="NF188" s="4"/>
      <c r="NG188" s="8"/>
      <c r="NH188" s="5" t="str">
        <f t="shared" si="556"/>
        <v>NO APLICA</v>
      </c>
      <c r="NI188" s="2"/>
      <c r="NJ188" s="6"/>
      <c r="NK188" s="4"/>
      <c r="NL188" s="8"/>
      <c r="NM188" s="5" t="str">
        <f t="shared" si="557"/>
        <v>NO APLICA</v>
      </c>
      <c r="NN188" s="2"/>
      <c r="NO188" s="2"/>
      <c r="NP188" s="4"/>
      <c r="NQ188" s="2"/>
      <c r="NR188" s="5" t="str">
        <f t="shared" si="558"/>
        <v>NO APLICA</v>
      </c>
      <c r="NS188" s="2"/>
      <c r="NT188" s="2"/>
      <c r="NU188" s="4"/>
      <c r="NV188" s="2"/>
      <c r="NW188" s="5" t="str">
        <f t="shared" si="559"/>
        <v>NO APLICA</v>
      </c>
      <c r="NX188" s="6"/>
      <c r="NY188" s="6"/>
      <c r="NZ188" s="4"/>
      <c r="OA188" s="8"/>
      <c r="OB188" s="5" t="str">
        <f t="shared" si="560"/>
        <v>NO APLICA</v>
      </c>
      <c r="OC188" s="6"/>
      <c r="OD188" s="6"/>
      <c r="OE188" s="6"/>
      <c r="OF188" s="6"/>
      <c r="OG188" s="5" t="str">
        <f t="shared" si="561"/>
        <v>NO APLICA</v>
      </c>
      <c r="OH188" s="6"/>
      <c r="OI188" s="6"/>
      <c r="OJ188" s="4"/>
      <c r="OK188" s="8"/>
      <c r="OL188" s="5" t="str">
        <f t="shared" si="562"/>
        <v>NO APLICA</v>
      </c>
      <c r="OM188" s="6"/>
      <c r="ON188" s="6"/>
      <c r="OO188" s="6"/>
      <c r="OP188" s="6"/>
      <c r="OQ188" s="5" t="str">
        <f t="shared" si="563"/>
        <v>NO APLICA</v>
      </c>
      <c r="OR188" s="6"/>
      <c r="OS188" s="6"/>
      <c r="OT188" s="6"/>
      <c r="OU188" s="6"/>
      <c r="OV188" s="5" t="str">
        <f t="shared" si="564"/>
        <v>NO APLICA</v>
      </c>
      <c r="OW188" s="6"/>
      <c r="OX188" s="6"/>
      <c r="OY188" s="6"/>
      <c r="OZ188" s="6"/>
      <c r="PA188" s="5" t="str">
        <f t="shared" si="565"/>
        <v>NO APLICA</v>
      </c>
      <c r="PB188" s="6"/>
      <c r="PC188" s="6"/>
      <c r="PD188" s="6"/>
      <c r="PE188" s="6"/>
      <c r="PF188" s="5" t="str">
        <f t="shared" si="566"/>
        <v>NO APLICA</v>
      </c>
      <c r="PG188" s="6"/>
      <c r="PH188" s="6"/>
      <c r="PI188" s="6"/>
      <c r="PJ188" s="6"/>
      <c r="PK188" s="5" t="str">
        <f t="shared" si="567"/>
        <v>NO APLICA</v>
      </c>
      <c r="PL188" s="5"/>
      <c r="PM188" s="6"/>
      <c r="PN188" s="4"/>
      <c r="PO188" s="8"/>
      <c r="PP188" s="5" t="str">
        <f t="shared" si="568"/>
        <v>NO APLICA</v>
      </c>
      <c r="PQ188" s="6"/>
      <c r="PR188" s="6"/>
      <c r="PS188" s="6"/>
      <c r="PT188" s="6"/>
      <c r="PU188" s="5" t="str">
        <f t="shared" si="569"/>
        <v>NO APLICA</v>
      </c>
      <c r="PV188" s="5"/>
      <c r="PW188" s="6"/>
      <c r="PX188" s="6"/>
      <c r="PY188" s="6"/>
      <c r="PZ188" s="5" t="str">
        <f t="shared" si="570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600</v>
      </c>
      <c r="D189" s="30" t="s">
        <v>69</v>
      </c>
      <c r="E189" s="31" t="s">
        <v>75</v>
      </c>
      <c r="F189" s="5"/>
      <c r="G189" s="6"/>
      <c r="H189" s="4"/>
      <c r="I189" s="8"/>
      <c r="J189" s="5" t="str">
        <f t="shared" si="464"/>
        <v>NO APLICA</v>
      </c>
      <c r="K189" s="5"/>
      <c r="L189" s="6"/>
      <c r="M189" s="6"/>
      <c r="N189" s="8"/>
      <c r="O189" s="5" t="str">
        <f t="shared" si="465"/>
        <v>NO APLICA</v>
      </c>
      <c r="P189" s="4"/>
      <c r="Q189" s="4"/>
      <c r="R189" s="4"/>
      <c r="S189" s="8"/>
      <c r="T189" s="5" t="str">
        <f t="shared" si="571"/>
        <v>NO APLICA</v>
      </c>
      <c r="U189" s="5"/>
      <c r="V189" s="2" t="s">
        <v>601</v>
      </c>
      <c r="W189" s="4">
        <v>45156</v>
      </c>
      <c r="X189" s="4">
        <f t="shared" si="601"/>
        <v>46983</v>
      </c>
      <c r="Y189" s="8">
        <f t="shared" ca="1" si="602"/>
        <v>848</v>
      </c>
      <c r="Z189" s="5" t="str">
        <f t="shared" ca="1" si="619"/>
        <v>VIGENTE</v>
      </c>
      <c r="AA189" s="5"/>
      <c r="AB189" s="2" t="s">
        <v>602</v>
      </c>
      <c r="AC189" s="4">
        <v>45162</v>
      </c>
      <c r="AD189" s="4">
        <f t="shared" si="633"/>
        <v>46989</v>
      </c>
      <c r="AE189" s="8">
        <f t="shared" ca="1" si="628"/>
        <v>854</v>
      </c>
      <c r="AF189" s="5" t="str">
        <f t="shared" ca="1" si="466"/>
        <v>VIGENTE</v>
      </c>
      <c r="AG189" s="3"/>
      <c r="AH189" s="4">
        <v>46006</v>
      </c>
      <c r="AI189" s="4">
        <f t="shared" ref="AI189:AI191" si="704">DATE(YEAR(AH189)+2,MONTH(AH189),DAY(AH189))</f>
        <v>46736</v>
      </c>
      <c r="AJ189" s="8">
        <f t="shared" ca="1" si="467"/>
        <v>601</v>
      </c>
      <c r="AK189" s="5" t="str">
        <f t="shared" ca="1" si="616"/>
        <v>VIGENTE</v>
      </c>
      <c r="AL189" s="3"/>
      <c r="AM189" s="4">
        <v>45959</v>
      </c>
      <c r="AN189" s="4">
        <f t="shared" si="687"/>
        <v>46689</v>
      </c>
      <c r="AO189" s="8">
        <f t="shared" ca="1" si="468"/>
        <v>554</v>
      </c>
      <c r="AP189" s="5" t="str">
        <f t="shared" ca="1" si="469"/>
        <v>VIGENTE</v>
      </c>
      <c r="AQ189" s="3"/>
      <c r="AR189" s="4">
        <v>45971</v>
      </c>
      <c r="AS189" s="4">
        <f t="shared" si="688"/>
        <v>46701</v>
      </c>
      <c r="AT189" s="8">
        <f t="shared" ca="1" si="470"/>
        <v>566</v>
      </c>
      <c r="AU189" s="5" t="str">
        <f t="shared" ca="1" si="47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2"/>
        <v>547</v>
      </c>
      <c r="AZ189" s="5" t="str">
        <f t="shared" ca="1" si="473"/>
        <v>VIGENTE</v>
      </c>
      <c r="BA189" s="3"/>
      <c r="BB189" s="4">
        <v>46041</v>
      </c>
      <c r="BC189" s="4">
        <f t="shared" si="689"/>
        <v>46771</v>
      </c>
      <c r="BD189" s="8">
        <f t="shared" ca="1" si="474"/>
        <v>636</v>
      </c>
      <c r="BE189" s="5" t="str">
        <f t="shared" ca="1" si="47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6"/>
        <v>582</v>
      </c>
      <c r="BJ189" s="5" t="str">
        <f t="shared" ca="1" si="477"/>
        <v>VIGENTE</v>
      </c>
      <c r="BK189" s="3"/>
      <c r="BL189" s="4">
        <v>46007</v>
      </c>
      <c r="BM189" s="4">
        <f t="shared" si="690"/>
        <v>46737</v>
      </c>
      <c r="BN189" s="8">
        <f t="shared" ca="1" si="478"/>
        <v>602</v>
      </c>
      <c r="BO189" s="5" t="str">
        <f t="shared" ca="1" si="47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0"/>
        <v>576</v>
      </c>
      <c r="BT189" s="5" t="str">
        <f t="shared" ca="1" si="48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2"/>
        <v>626</v>
      </c>
      <c r="BY189" s="5" t="str">
        <f t="shared" ca="1" si="483"/>
        <v>VIGENTE</v>
      </c>
      <c r="BZ189" s="2"/>
      <c r="CA189" s="4">
        <v>45986</v>
      </c>
      <c r="CB189" s="4">
        <f t="shared" si="691"/>
        <v>46716</v>
      </c>
      <c r="CC189" s="8">
        <f t="shared" ca="1" si="484"/>
        <v>581</v>
      </c>
      <c r="CD189" s="5" t="str">
        <f t="shared" ca="1" si="485"/>
        <v>VIGENTE</v>
      </c>
      <c r="CE189" s="6" t="s">
        <v>73</v>
      </c>
      <c r="CF189" s="4">
        <v>45164</v>
      </c>
      <c r="CG189" s="4">
        <f t="shared" si="604"/>
        <v>46625</v>
      </c>
      <c r="CH189" s="8">
        <f t="shared" ca="1" si="605"/>
        <v>490</v>
      </c>
      <c r="CI189" s="5" t="str">
        <f t="shared" ca="1" si="587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6"/>
        <v>613</v>
      </c>
      <c r="CN189" s="5" t="str">
        <f t="shared" ca="1" si="487"/>
        <v>VIGENTE</v>
      </c>
      <c r="CO189" s="4"/>
      <c r="CP189" s="4">
        <v>45979</v>
      </c>
      <c r="CQ189" s="4">
        <f t="shared" si="692"/>
        <v>46709</v>
      </c>
      <c r="CR189" s="8">
        <f t="shared" ca="1" si="488"/>
        <v>574</v>
      </c>
      <c r="CS189" s="5" t="str">
        <f t="shared" ca="1" si="489"/>
        <v>VIGENTE</v>
      </c>
      <c r="CT189" s="2"/>
      <c r="CU189" s="4">
        <v>45939</v>
      </c>
      <c r="CV189" s="4">
        <f t="shared" ref="CV189:CV191" si="705">DATE(YEAR(CU189)+2,MONTH(CU189),DAY(CU189))</f>
        <v>46669</v>
      </c>
      <c r="CW189" s="8">
        <f t="shared" ca="1" si="490"/>
        <v>534</v>
      </c>
      <c r="CX189" s="5" t="str">
        <f t="shared" ca="1" si="491"/>
        <v>VIGENTE</v>
      </c>
      <c r="CY189" s="3"/>
      <c r="CZ189" s="4">
        <v>46000</v>
      </c>
      <c r="DA189" s="4">
        <f t="shared" ref="DA189:DA191" si="706">DATE(YEAR(CZ189)+2,MONTH(CZ189),DAY(CZ189))</f>
        <v>46730</v>
      </c>
      <c r="DB189" s="8">
        <f t="shared" ca="1" si="492"/>
        <v>595</v>
      </c>
      <c r="DC189" s="5" t="str">
        <f t="shared" ca="1" si="49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4"/>
        <v>640</v>
      </c>
      <c r="DH189" s="5" t="str">
        <f t="shared" ca="1" si="495"/>
        <v>VIGENTE</v>
      </c>
      <c r="DI189" s="3"/>
      <c r="DJ189" s="4">
        <v>45955</v>
      </c>
      <c r="DK189" s="4">
        <f t="shared" si="693"/>
        <v>46685</v>
      </c>
      <c r="DL189" s="8">
        <f t="shared" ca="1" si="496"/>
        <v>550</v>
      </c>
      <c r="DM189" s="5" t="str">
        <f t="shared" ca="1" si="497"/>
        <v>VIGENTE</v>
      </c>
      <c r="DN189" s="3"/>
      <c r="DO189" s="4">
        <v>45982</v>
      </c>
      <c r="DP189" s="4">
        <f t="shared" si="694"/>
        <v>46712</v>
      </c>
      <c r="DQ189" s="8">
        <f t="shared" ca="1" si="498"/>
        <v>577</v>
      </c>
      <c r="DR189" s="5" t="str">
        <f t="shared" ca="1" si="49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0"/>
        <v>598</v>
      </c>
      <c r="DW189" s="5" t="str">
        <f t="shared" ca="1" si="501"/>
        <v>VIGENTE</v>
      </c>
      <c r="DX189" s="4"/>
      <c r="DY189" s="4">
        <v>46032</v>
      </c>
      <c r="DZ189" s="4">
        <f t="shared" si="695"/>
        <v>46762</v>
      </c>
      <c r="EA189" s="8">
        <f t="shared" ca="1" si="502"/>
        <v>627</v>
      </c>
      <c r="EB189" s="5" t="str">
        <f t="shared" ca="1" si="503"/>
        <v>VIGENTE</v>
      </c>
      <c r="EC189" s="4"/>
      <c r="ED189" s="4">
        <v>45994</v>
      </c>
      <c r="EE189" s="4">
        <f t="shared" si="651"/>
        <v>46724</v>
      </c>
      <c r="EF189" s="8">
        <f t="shared" ca="1" si="504"/>
        <v>589</v>
      </c>
      <c r="EG189" s="5" t="str">
        <f t="shared" ca="1" si="505"/>
        <v>VIGENTE</v>
      </c>
      <c r="EH189" s="3"/>
      <c r="EI189" s="4">
        <v>45812</v>
      </c>
      <c r="EJ189" s="4">
        <f t="shared" si="572"/>
        <v>46177</v>
      </c>
      <c r="EK189" s="8">
        <f t="shared" ca="1" si="506"/>
        <v>42</v>
      </c>
      <c r="EL189" s="5" t="str">
        <f t="shared" ca="1" si="507"/>
        <v>POR VENCER</v>
      </c>
      <c r="EM189" s="3"/>
      <c r="EN189" s="4">
        <v>45995</v>
      </c>
      <c r="EO189" s="4">
        <f t="shared" si="696"/>
        <v>46725</v>
      </c>
      <c r="EP189" s="8">
        <f t="shared" ca="1" si="508"/>
        <v>590</v>
      </c>
      <c r="EQ189" s="5" t="str">
        <f t="shared" ca="1" si="509"/>
        <v>VIGENTE</v>
      </c>
      <c r="ER189" s="2"/>
      <c r="ES189" s="4">
        <v>45999</v>
      </c>
      <c r="ET189" s="4">
        <f t="shared" si="697"/>
        <v>46729</v>
      </c>
      <c r="EU189" s="8">
        <f t="shared" ca="1" si="510"/>
        <v>594</v>
      </c>
      <c r="EV189" s="5" t="str">
        <f t="shared" ca="1" si="511"/>
        <v>VIGENTE</v>
      </c>
      <c r="EW189" s="3"/>
      <c r="EX189" s="4">
        <v>46063</v>
      </c>
      <c r="EY189" s="4">
        <f t="shared" si="698"/>
        <v>46793</v>
      </c>
      <c r="EZ189" s="8">
        <f t="shared" ca="1" si="512"/>
        <v>658</v>
      </c>
      <c r="FA189" s="5" t="str">
        <f t="shared" ca="1" si="513"/>
        <v>VIGENTE</v>
      </c>
      <c r="FB189" s="2"/>
      <c r="FC189" s="4">
        <v>45988</v>
      </c>
      <c r="FD189" s="4">
        <f t="shared" si="699"/>
        <v>46718</v>
      </c>
      <c r="FE189" s="8">
        <f t="shared" ca="1" si="514"/>
        <v>583</v>
      </c>
      <c r="FF189" s="5" t="str">
        <f t="shared" ca="1" si="515"/>
        <v>VIGENTE</v>
      </c>
      <c r="FG189" s="2"/>
      <c r="FH189" s="4">
        <v>45992</v>
      </c>
      <c r="FI189" s="4">
        <f t="shared" si="700"/>
        <v>46722</v>
      </c>
      <c r="FJ189" s="8">
        <f t="shared" ca="1" si="516"/>
        <v>587</v>
      </c>
      <c r="FK189" s="5" t="str">
        <f t="shared" ca="1" si="517"/>
        <v>VIGENTE</v>
      </c>
      <c r="FL189" s="4"/>
      <c r="FM189" s="4">
        <v>46039</v>
      </c>
      <c r="FN189" s="4">
        <f t="shared" si="701"/>
        <v>46769</v>
      </c>
      <c r="FO189" s="8">
        <f t="shared" ca="1" si="518"/>
        <v>634</v>
      </c>
      <c r="FP189" s="5" t="str">
        <f t="shared" ca="1" si="519"/>
        <v>VIGENTE</v>
      </c>
      <c r="FQ189" s="4"/>
      <c r="FR189" s="4">
        <v>46034</v>
      </c>
      <c r="FS189" s="4">
        <f t="shared" si="702"/>
        <v>46764</v>
      </c>
      <c r="FT189" s="8">
        <f t="shared" ca="1" si="520"/>
        <v>629</v>
      </c>
      <c r="FU189" s="5" t="str">
        <f t="shared" ca="1" si="521"/>
        <v>VIGENTE</v>
      </c>
      <c r="FV189" s="3"/>
      <c r="FW189" s="4">
        <v>45993</v>
      </c>
      <c r="FX189" s="4">
        <f t="shared" ref="FX189:FX191" si="707">DATE(YEAR(FW189)+2,MONTH(FW189),DAY(FW189))</f>
        <v>46723</v>
      </c>
      <c r="FY189" s="8">
        <f t="shared" ca="1" si="522"/>
        <v>588</v>
      </c>
      <c r="FZ189" s="5" t="str">
        <f t="shared" ca="1" si="52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4"/>
        <v>520</v>
      </c>
      <c r="GE189" s="5" t="str">
        <f t="shared" ca="1" si="525"/>
        <v>VIGENTE</v>
      </c>
      <c r="GF189" s="3"/>
      <c r="GG189" s="4">
        <v>45960</v>
      </c>
      <c r="GH189" s="4">
        <f t="shared" si="703"/>
        <v>46690</v>
      </c>
      <c r="GI189" s="8">
        <f t="shared" ca="1" si="526"/>
        <v>555</v>
      </c>
      <c r="GJ189" s="5" t="str">
        <f t="shared" ca="1" si="527"/>
        <v>VIGENTE</v>
      </c>
      <c r="GK189" s="3"/>
      <c r="GL189" s="4">
        <v>45499</v>
      </c>
      <c r="GM189" s="4">
        <f t="shared" si="661"/>
        <v>46228</v>
      </c>
      <c r="GN189" s="8">
        <f t="shared" ca="1" si="528"/>
        <v>93</v>
      </c>
      <c r="GO189" s="5" t="str">
        <f t="shared" ca="1" si="529"/>
        <v>VIGENTE</v>
      </c>
      <c r="GP189" s="4"/>
      <c r="GQ189" s="4">
        <v>45299</v>
      </c>
      <c r="GR189" s="4">
        <f t="shared" si="530"/>
        <v>47126</v>
      </c>
      <c r="GS189" s="8">
        <f t="shared" ca="1" si="615"/>
        <v>991</v>
      </c>
      <c r="GT189" s="5" t="str">
        <f t="shared" ca="1" si="624"/>
        <v>VIGENTE</v>
      </c>
      <c r="GU189" s="3"/>
      <c r="GV189" s="4">
        <v>45329</v>
      </c>
      <c r="GW189" s="4">
        <f t="shared" si="531"/>
        <v>47156</v>
      </c>
      <c r="GX189" s="8">
        <f t="shared" ca="1" si="532"/>
        <v>1021</v>
      </c>
      <c r="GY189" s="5" t="str">
        <f t="shared" ca="1" si="625"/>
        <v>VIGENTE</v>
      </c>
      <c r="GZ189" s="2"/>
      <c r="HA189" s="4">
        <v>45343</v>
      </c>
      <c r="HB189" s="4">
        <f t="shared" si="533"/>
        <v>47170</v>
      </c>
      <c r="HC189" s="8">
        <f t="shared" ca="1" si="534"/>
        <v>1035</v>
      </c>
      <c r="HD189" s="5" t="str">
        <f t="shared" ca="1" si="626"/>
        <v>VIGENTE</v>
      </c>
      <c r="HE189" s="6"/>
      <c r="HF189" s="4">
        <v>45317</v>
      </c>
      <c r="HG189" s="4">
        <f t="shared" si="662"/>
        <v>47144</v>
      </c>
      <c r="HH189" s="8">
        <f t="shared" ca="1" si="630"/>
        <v>1009</v>
      </c>
      <c r="HI189" s="5" t="str">
        <f t="shared" ca="1" si="627"/>
        <v>VIGENTE</v>
      </c>
      <c r="HJ189" s="2"/>
      <c r="HK189" s="6"/>
      <c r="HL189" s="4"/>
      <c r="HM189" s="8"/>
      <c r="HN189" s="5" t="str">
        <f t="shared" ref="HN189:HN240" si="708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5"/>
        <v>NO APLICA</v>
      </c>
      <c r="HT189" s="2"/>
      <c r="HU189" s="6"/>
      <c r="HV189" s="4"/>
      <c r="HW189" s="8"/>
      <c r="HX189" s="5" t="str">
        <f t="shared" si="536"/>
        <v>NO APLICA</v>
      </c>
      <c r="HY189" s="2"/>
      <c r="HZ189" s="6"/>
      <c r="IA189" s="4"/>
      <c r="IB189" s="8"/>
      <c r="IC189" s="5" t="str">
        <f t="shared" si="537"/>
        <v>NO APLICA</v>
      </c>
      <c r="ID189" s="2"/>
      <c r="IE189" s="6"/>
      <c r="IF189" s="4"/>
      <c r="IG189" s="8"/>
      <c r="IH189" s="5" t="str">
        <f t="shared" si="538"/>
        <v>NO APLICA</v>
      </c>
      <c r="II189" s="6"/>
      <c r="IJ189" s="6"/>
      <c r="IK189" s="4"/>
      <c r="IL189" s="8"/>
      <c r="IM189" s="5" t="str">
        <f t="shared" si="539"/>
        <v>NO APLICA</v>
      </c>
      <c r="IN189" s="2"/>
      <c r="IO189" s="6"/>
      <c r="IP189" s="4"/>
      <c r="IQ189" s="8"/>
      <c r="IR189" s="5" t="str">
        <f t="shared" si="540"/>
        <v>NO APLICA</v>
      </c>
      <c r="IS189" s="2"/>
      <c r="IT189" s="6"/>
      <c r="IU189" s="4"/>
      <c r="IV189" s="8"/>
      <c r="IW189" s="5" t="str">
        <f t="shared" si="541"/>
        <v>NO APLICA</v>
      </c>
      <c r="IX189" s="2"/>
      <c r="IY189" s="6"/>
      <c r="IZ189" s="4"/>
      <c r="JA189" s="8"/>
      <c r="JB189" s="5" t="str">
        <f t="shared" si="542"/>
        <v>NO APLICA</v>
      </c>
      <c r="JC189" s="3"/>
      <c r="JD189" s="3"/>
      <c r="JE189" s="4"/>
      <c r="JF189" s="8"/>
      <c r="JG189" s="5" t="str">
        <f t="shared" si="543"/>
        <v>NO APLICA</v>
      </c>
      <c r="JH189" s="6"/>
      <c r="JI189" s="6"/>
      <c r="JJ189" s="6"/>
      <c r="JK189" s="6"/>
      <c r="JL189" s="5" t="str">
        <f t="shared" si="544"/>
        <v>NO APLICA</v>
      </c>
      <c r="JM189" s="6"/>
      <c r="JN189" s="6"/>
      <c r="JO189" s="6"/>
      <c r="JP189" s="6"/>
      <c r="JQ189" s="5" t="str">
        <f t="shared" si="545"/>
        <v>NO APLICA</v>
      </c>
      <c r="JR189" s="6"/>
      <c r="JS189" s="6"/>
      <c r="JT189" s="6"/>
      <c r="JU189" s="6"/>
      <c r="JV189" s="5" t="str">
        <f t="shared" si="546"/>
        <v>NO APLICA</v>
      </c>
      <c r="JW189" s="5"/>
      <c r="JX189" s="5"/>
      <c r="JY189" s="5"/>
      <c r="JZ189" s="5"/>
      <c r="KA189" s="5" t="str">
        <f t="shared" si="547"/>
        <v>NO APLICA</v>
      </c>
      <c r="KB189" s="5"/>
      <c r="KC189" s="2"/>
      <c r="KD189" s="4"/>
      <c r="KE189" s="8"/>
      <c r="KF189" s="5" t="str">
        <f t="shared" si="548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49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79"/>
        <v>NO APLICA</v>
      </c>
      <c r="LA189" s="5"/>
      <c r="LB189" s="6"/>
      <c r="LC189" s="4"/>
      <c r="LD189" s="8"/>
      <c r="LE189" s="5" t="str">
        <f t="shared" si="575"/>
        <v>NO APLICA</v>
      </c>
      <c r="LF189" s="6"/>
      <c r="LG189" s="6"/>
      <c r="LH189" s="4"/>
      <c r="LI189" s="8"/>
      <c r="LJ189" s="5" t="str">
        <f t="shared" si="614"/>
        <v>NO APLICA</v>
      </c>
      <c r="LK189" s="5"/>
      <c r="LL189" s="5"/>
      <c r="LM189" s="4"/>
      <c r="LN189" s="8"/>
      <c r="LO189" s="5" t="str">
        <f t="shared" si="580"/>
        <v>NO APLICA</v>
      </c>
      <c r="LP189" s="2"/>
      <c r="LQ189" s="6"/>
      <c r="LR189" s="4"/>
      <c r="LS189" s="8"/>
      <c r="LT189" s="5" t="str">
        <f t="shared" si="576"/>
        <v>NO APLICA</v>
      </c>
      <c r="LU189" s="6"/>
      <c r="LV189" s="6"/>
      <c r="LW189" s="4"/>
      <c r="LX189" s="8"/>
      <c r="LY189" s="5" t="str">
        <f t="shared" si="577"/>
        <v>NO APLICA</v>
      </c>
      <c r="LZ189" s="6"/>
      <c r="MA189" s="6"/>
      <c r="MB189" s="4"/>
      <c r="MC189" s="8"/>
      <c r="MD189" s="5" t="str">
        <f t="shared" si="578"/>
        <v>NO APLICA</v>
      </c>
      <c r="ME189" s="2"/>
      <c r="MF189" s="2"/>
      <c r="MG189" s="4"/>
      <c r="MH189" s="8"/>
      <c r="MI189" s="5" t="str">
        <f t="shared" si="551"/>
        <v>NO APLICA</v>
      </c>
      <c r="MJ189" s="2"/>
      <c r="MK189" s="2"/>
      <c r="ML189" s="4"/>
      <c r="MM189" s="8"/>
      <c r="MN189" s="5" t="str">
        <f t="shared" si="552"/>
        <v>NO APLICA</v>
      </c>
      <c r="MO189" s="5"/>
      <c r="MP189" s="2"/>
      <c r="MQ189" s="4"/>
      <c r="MR189" s="8"/>
      <c r="MS189" s="5" t="str">
        <f t="shared" si="553"/>
        <v>NO APLICA</v>
      </c>
      <c r="MT189" s="5"/>
      <c r="MU189" s="2"/>
      <c r="MV189" s="4"/>
      <c r="MW189" s="2"/>
      <c r="MX189" s="5" t="str">
        <f t="shared" si="554"/>
        <v>NO APLICA</v>
      </c>
      <c r="MY189" s="2"/>
      <c r="MZ189" s="6"/>
      <c r="NA189" s="4"/>
      <c r="NB189" s="8"/>
      <c r="NC189" s="5" t="str">
        <f t="shared" si="555"/>
        <v>NO APLICA</v>
      </c>
      <c r="ND189" s="2"/>
      <c r="NE189" s="6"/>
      <c r="NF189" s="4"/>
      <c r="NG189" s="8"/>
      <c r="NH189" s="5" t="str">
        <f t="shared" si="556"/>
        <v>NO APLICA</v>
      </c>
      <c r="NI189" s="2"/>
      <c r="NJ189" s="6"/>
      <c r="NK189" s="4"/>
      <c r="NL189" s="8"/>
      <c r="NM189" s="5" t="str">
        <f t="shared" si="557"/>
        <v>NO APLICA</v>
      </c>
      <c r="NN189" s="2"/>
      <c r="NO189" s="2"/>
      <c r="NP189" s="4"/>
      <c r="NQ189" s="8"/>
      <c r="NR189" s="5" t="str">
        <f t="shared" si="558"/>
        <v>NO APLICA</v>
      </c>
      <c r="NS189" s="2"/>
      <c r="NT189" s="2"/>
      <c r="NU189" s="4"/>
      <c r="NV189" s="2"/>
      <c r="NW189" s="5" t="str">
        <f t="shared" si="559"/>
        <v>NO APLICA</v>
      </c>
      <c r="NX189" s="6"/>
      <c r="NY189" s="6"/>
      <c r="NZ189" s="4"/>
      <c r="OA189" s="8"/>
      <c r="OB189" s="5" t="str">
        <f t="shared" si="560"/>
        <v>NO APLICA</v>
      </c>
      <c r="OC189" s="6"/>
      <c r="OD189" s="6"/>
      <c r="OE189" s="6"/>
      <c r="OF189" s="6"/>
      <c r="OG189" s="5" t="str">
        <f t="shared" si="561"/>
        <v>NO APLICA</v>
      </c>
      <c r="OH189" s="6"/>
      <c r="OI189" s="6"/>
      <c r="OJ189" s="4"/>
      <c r="OK189" s="8"/>
      <c r="OL189" s="5" t="str">
        <f t="shared" si="562"/>
        <v>NO APLICA</v>
      </c>
      <c r="OM189" s="6"/>
      <c r="ON189" s="6"/>
      <c r="OO189" s="6"/>
      <c r="OP189" s="6"/>
      <c r="OQ189" s="5" t="str">
        <f t="shared" si="563"/>
        <v>NO APLICA</v>
      </c>
      <c r="OR189" s="6"/>
      <c r="OS189" s="6"/>
      <c r="OT189" s="6"/>
      <c r="OU189" s="6"/>
      <c r="OV189" s="5" t="str">
        <f t="shared" si="564"/>
        <v>NO APLICA</v>
      </c>
      <c r="OW189" s="6"/>
      <c r="OX189" s="6"/>
      <c r="OY189" s="6"/>
      <c r="OZ189" s="6"/>
      <c r="PA189" s="5" t="str">
        <f t="shared" si="565"/>
        <v>NO APLICA</v>
      </c>
      <c r="PB189" s="6"/>
      <c r="PC189" s="6"/>
      <c r="PD189" s="6"/>
      <c r="PE189" s="6"/>
      <c r="PF189" s="5" t="str">
        <f t="shared" si="566"/>
        <v>NO APLICA</v>
      </c>
      <c r="PG189" s="6"/>
      <c r="PH189" s="6"/>
      <c r="PI189" s="6"/>
      <c r="PJ189" s="6"/>
      <c r="PK189" s="5" t="str">
        <f t="shared" si="567"/>
        <v>NO APLICA</v>
      </c>
      <c r="PL189" s="5"/>
      <c r="PM189" s="6"/>
      <c r="PN189" s="4"/>
      <c r="PO189" s="8"/>
      <c r="PP189" s="5" t="str">
        <f t="shared" si="568"/>
        <v>NO APLICA</v>
      </c>
      <c r="PQ189" s="6"/>
      <c r="PR189" s="6"/>
      <c r="PS189" s="6"/>
      <c r="PT189" s="6"/>
      <c r="PU189" s="5" t="str">
        <f t="shared" si="569"/>
        <v>NO APLICA</v>
      </c>
      <c r="PV189" s="5"/>
      <c r="PW189" s="6"/>
      <c r="PX189" s="6"/>
      <c r="PY189" s="6"/>
      <c r="PZ189" s="5" t="str">
        <f t="shared" si="570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603</v>
      </c>
      <c r="D190" s="30" t="s">
        <v>115</v>
      </c>
      <c r="E190" s="31" t="s">
        <v>128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5"/>
        <v>NO APLICA</v>
      </c>
      <c r="P190" s="6"/>
      <c r="Q190" s="6"/>
      <c r="R190" s="4"/>
      <c r="S190" s="8"/>
      <c r="T190" s="5" t="str">
        <f t="shared" si="571"/>
        <v>NO APLICA</v>
      </c>
      <c r="U190" s="5"/>
      <c r="V190" s="2" t="s">
        <v>604</v>
      </c>
      <c r="W190" s="4">
        <v>44801</v>
      </c>
      <c r="X190" s="4">
        <f t="shared" si="601"/>
        <v>46627</v>
      </c>
      <c r="Y190" s="8">
        <f t="shared" ca="1" si="602"/>
        <v>492</v>
      </c>
      <c r="Z190" s="5" t="str">
        <f t="shared" ca="1" si="619"/>
        <v>VIGENTE</v>
      </c>
      <c r="AA190" s="5"/>
      <c r="AB190" s="2"/>
      <c r="AC190" s="6"/>
      <c r="AD190" s="4"/>
      <c r="AE190" s="8"/>
      <c r="AF190" s="5" t="str">
        <f t="shared" si="466"/>
        <v>NO APLICA</v>
      </c>
      <c r="AG190" s="3"/>
      <c r="AH190" s="4">
        <v>45936</v>
      </c>
      <c r="AI190" s="4">
        <f t="shared" si="704"/>
        <v>46666</v>
      </c>
      <c r="AJ190" s="8">
        <f t="shared" ca="1" si="467"/>
        <v>531</v>
      </c>
      <c r="AK190" s="5" t="str">
        <f t="shared" ca="1" si="616"/>
        <v>VIGENTE</v>
      </c>
      <c r="AL190" s="3"/>
      <c r="AM190" s="4">
        <v>45903</v>
      </c>
      <c r="AN190" s="4">
        <f t="shared" si="687"/>
        <v>46633</v>
      </c>
      <c r="AO190" s="8">
        <f t="shared" ca="1" si="468"/>
        <v>498</v>
      </c>
      <c r="AP190" s="5" t="str">
        <f t="shared" ca="1" si="469"/>
        <v>VIGENTE</v>
      </c>
      <c r="AQ190" s="3"/>
      <c r="AR190" s="4">
        <v>45904</v>
      </c>
      <c r="AS190" s="4">
        <f t="shared" si="688"/>
        <v>46634</v>
      </c>
      <c r="AT190" s="8">
        <f t="shared" ca="1" si="470"/>
        <v>499</v>
      </c>
      <c r="AU190" s="5" t="str">
        <f t="shared" ca="1" si="47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2"/>
        <v>585</v>
      </c>
      <c r="AZ190" s="5" t="str">
        <f t="shared" ca="1" si="473"/>
        <v>VIGENTE</v>
      </c>
      <c r="BA190" s="3"/>
      <c r="BB190" s="4">
        <v>45603</v>
      </c>
      <c r="BC190" s="4">
        <f t="shared" si="638"/>
        <v>46332</v>
      </c>
      <c r="BD190" s="8">
        <f t="shared" ca="1" si="474"/>
        <v>197</v>
      </c>
      <c r="BE190" s="5" t="str">
        <f t="shared" ca="1" si="47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6"/>
        <v>563</v>
      </c>
      <c r="BJ190" s="5" t="str">
        <f t="shared" ca="1" si="477"/>
        <v>VIGENTE</v>
      </c>
      <c r="BK190" s="3"/>
      <c r="BL190" s="4">
        <v>46090</v>
      </c>
      <c r="BM190" s="4">
        <f t="shared" si="690"/>
        <v>46821</v>
      </c>
      <c r="BN190" s="8">
        <f t="shared" ca="1" si="478"/>
        <v>686</v>
      </c>
      <c r="BO190" s="5" t="str">
        <f t="shared" ca="1" si="47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0"/>
        <v>41</v>
      </c>
      <c r="BT190" s="5" t="str">
        <f t="shared" ca="1" si="48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2"/>
        <v>448</v>
      </c>
      <c r="BY190" s="5" t="str">
        <f t="shared" ca="1" si="483"/>
        <v>VIGENTE</v>
      </c>
      <c r="BZ190" s="3"/>
      <c r="CA190" s="4">
        <v>45944</v>
      </c>
      <c r="CB190" s="4">
        <f t="shared" si="691"/>
        <v>46674</v>
      </c>
      <c r="CC190" s="8">
        <f t="shared" ca="1" si="484"/>
        <v>539</v>
      </c>
      <c r="CD190" s="5" t="str">
        <f t="shared" ca="1" si="485"/>
        <v>VIGENTE</v>
      </c>
      <c r="CE190" s="6" t="s">
        <v>73</v>
      </c>
      <c r="CF190" s="4">
        <v>45616</v>
      </c>
      <c r="CG190" s="4">
        <f t="shared" si="604"/>
        <v>47077</v>
      </c>
      <c r="CH190" s="8">
        <f t="shared" ca="1" si="605"/>
        <v>942</v>
      </c>
      <c r="CI190" s="5" t="str">
        <f t="shared" ca="1" si="587"/>
        <v>VIGENTE</v>
      </c>
      <c r="CJ190" s="4"/>
      <c r="CK190" s="4">
        <v>45504</v>
      </c>
      <c r="CL190" s="4">
        <f t="shared" si="643"/>
        <v>46233</v>
      </c>
      <c r="CM190" s="8">
        <f t="shared" ca="1" si="486"/>
        <v>98</v>
      </c>
      <c r="CN190" s="5" t="str">
        <f t="shared" ca="1" si="487"/>
        <v>VIGENTE</v>
      </c>
      <c r="CO190" s="3"/>
      <c r="CP190" s="4">
        <v>45517</v>
      </c>
      <c r="CQ190" s="4">
        <f t="shared" si="644"/>
        <v>46246</v>
      </c>
      <c r="CR190" s="8">
        <f t="shared" ca="1" si="488"/>
        <v>111</v>
      </c>
      <c r="CS190" s="5" t="str">
        <f t="shared" ca="1" si="489"/>
        <v>VIGENTE</v>
      </c>
      <c r="CT190" s="3"/>
      <c r="CU190" s="4">
        <v>45905</v>
      </c>
      <c r="CV190" s="4">
        <f t="shared" si="705"/>
        <v>46635</v>
      </c>
      <c r="CW190" s="8">
        <f t="shared" ca="1" si="490"/>
        <v>500</v>
      </c>
      <c r="CX190" s="5" t="str">
        <f t="shared" ca="1" si="491"/>
        <v>VIGENTE</v>
      </c>
      <c r="CY190" s="3"/>
      <c r="CZ190" s="4">
        <v>45924</v>
      </c>
      <c r="DA190" s="4">
        <f t="shared" si="706"/>
        <v>46654</v>
      </c>
      <c r="DB190" s="8">
        <f t="shared" ca="1" si="492"/>
        <v>519</v>
      </c>
      <c r="DC190" s="5" t="str">
        <f t="shared" ca="1" si="493"/>
        <v>VIGENTE</v>
      </c>
      <c r="DD190" s="3"/>
      <c r="DE190" s="4">
        <v>45463</v>
      </c>
      <c r="DF190" s="4">
        <f t="shared" si="647"/>
        <v>46192</v>
      </c>
      <c r="DG190" s="8">
        <f t="shared" ca="1" si="494"/>
        <v>57</v>
      </c>
      <c r="DH190" s="5" t="str">
        <f t="shared" ca="1" si="495"/>
        <v>POR VENCER</v>
      </c>
      <c r="DI190" s="3"/>
      <c r="DJ190" s="4">
        <v>45899</v>
      </c>
      <c r="DK190" s="4">
        <f t="shared" si="693"/>
        <v>46629</v>
      </c>
      <c r="DL190" s="8">
        <f t="shared" ca="1" si="496"/>
        <v>494</v>
      </c>
      <c r="DM190" s="5" t="str">
        <f t="shared" ca="1" si="497"/>
        <v>VIGENTE</v>
      </c>
      <c r="DN190" s="3"/>
      <c r="DO190" s="4">
        <v>45982</v>
      </c>
      <c r="DP190" s="4">
        <f t="shared" si="694"/>
        <v>46712</v>
      </c>
      <c r="DQ190" s="8">
        <f t="shared" ca="1" si="498"/>
        <v>577</v>
      </c>
      <c r="DR190" s="5" t="str">
        <f t="shared" ca="1" si="499"/>
        <v>VIGENTE</v>
      </c>
      <c r="DS190" s="3"/>
      <c r="DT190" s="4">
        <v>45608</v>
      </c>
      <c r="DU190" s="4">
        <f t="shared" si="682"/>
        <v>46337</v>
      </c>
      <c r="DV190" s="8">
        <f t="shared" ca="1" si="500"/>
        <v>202</v>
      </c>
      <c r="DW190" s="5" t="str">
        <f t="shared" ca="1" si="501"/>
        <v>VIGENTE</v>
      </c>
      <c r="DX190" s="3"/>
      <c r="DY190" s="4">
        <v>45612</v>
      </c>
      <c r="DZ190" s="4">
        <f t="shared" si="650"/>
        <v>46341</v>
      </c>
      <c r="EA190" s="8">
        <f t="shared" ca="1" si="502"/>
        <v>206</v>
      </c>
      <c r="EB190" s="5" t="str">
        <f t="shared" ca="1" si="50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4"/>
        <v>268</v>
      </c>
      <c r="EG190" s="5" t="str">
        <f t="shared" ca="1" si="505"/>
        <v>VIGENTE</v>
      </c>
      <c r="EH190" s="3"/>
      <c r="EI190" s="3">
        <v>46085</v>
      </c>
      <c r="EJ190" s="4">
        <f t="shared" si="572"/>
        <v>46450</v>
      </c>
      <c r="EK190" s="8">
        <f t="shared" ca="1" si="506"/>
        <v>315</v>
      </c>
      <c r="EL190" s="5" t="str">
        <f t="shared" ca="1" si="507"/>
        <v>VIGENTE</v>
      </c>
      <c r="EM190" s="3"/>
      <c r="EN190" s="4">
        <v>45465</v>
      </c>
      <c r="EO190" s="4">
        <f t="shared" si="652"/>
        <v>46194</v>
      </c>
      <c r="EP190" s="8">
        <f t="shared" ca="1" si="508"/>
        <v>59</v>
      </c>
      <c r="EQ190" s="5" t="str">
        <f t="shared" ca="1" si="509"/>
        <v>POR VENCER</v>
      </c>
      <c r="ER190" s="3"/>
      <c r="ES190" s="4">
        <v>45575</v>
      </c>
      <c r="ET190" s="4">
        <f t="shared" si="683"/>
        <v>46304</v>
      </c>
      <c r="EU190" s="8">
        <f t="shared" ca="1" si="510"/>
        <v>169</v>
      </c>
      <c r="EV190" s="5" t="str">
        <f t="shared" ca="1" si="511"/>
        <v>VIGENTE</v>
      </c>
      <c r="EW190" s="3"/>
      <c r="EX190" s="4">
        <v>45917</v>
      </c>
      <c r="EY190" s="4">
        <f t="shared" si="698"/>
        <v>46647</v>
      </c>
      <c r="EZ190" s="8">
        <f t="shared" ca="1" si="512"/>
        <v>512</v>
      </c>
      <c r="FA190" s="5" t="str">
        <f t="shared" ca="1" si="513"/>
        <v>VIGENTE</v>
      </c>
      <c r="FB190" s="3"/>
      <c r="FC190" s="4">
        <v>45611</v>
      </c>
      <c r="FD190" s="4">
        <f t="shared" si="685"/>
        <v>46340</v>
      </c>
      <c r="FE190" s="8">
        <f t="shared" ca="1" si="514"/>
        <v>205</v>
      </c>
      <c r="FF190" s="5" t="str">
        <f t="shared" ca="1" si="515"/>
        <v>VIGENTE</v>
      </c>
      <c r="FG190" s="3"/>
      <c r="FH190" s="4">
        <v>45932</v>
      </c>
      <c r="FI190" s="4">
        <f t="shared" si="700"/>
        <v>46662</v>
      </c>
      <c r="FJ190" s="8">
        <f t="shared" ca="1" si="516"/>
        <v>527</v>
      </c>
      <c r="FK190" s="5" t="str">
        <f t="shared" ca="1" si="517"/>
        <v>VIGENTE</v>
      </c>
      <c r="FL190" s="3"/>
      <c r="FM190" s="4">
        <v>45588</v>
      </c>
      <c r="FN190" s="4">
        <f t="shared" si="686"/>
        <v>46317</v>
      </c>
      <c r="FO190" s="8">
        <f t="shared" ca="1" si="518"/>
        <v>182</v>
      </c>
      <c r="FP190" s="5" t="str">
        <f t="shared" ca="1" si="519"/>
        <v>VIGENTE</v>
      </c>
      <c r="FQ190" s="3"/>
      <c r="FR190" s="4">
        <v>45466</v>
      </c>
      <c r="FS190" s="4">
        <f t="shared" si="657"/>
        <v>46195</v>
      </c>
      <c r="FT190" s="8">
        <f t="shared" ca="1" si="520"/>
        <v>60</v>
      </c>
      <c r="FU190" s="5" t="str">
        <f t="shared" ca="1" si="521"/>
        <v>POR VENCER</v>
      </c>
      <c r="FV190" s="3"/>
      <c r="FW190" s="4">
        <v>45941</v>
      </c>
      <c r="FX190" s="4">
        <f t="shared" si="707"/>
        <v>46671</v>
      </c>
      <c r="FY190" s="8">
        <f t="shared" ca="1" si="522"/>
        <v>536</v>
      </c>
      <c r="FZ190" s="5" t="str">
        <f t="shared" ca="1" si="523"/>
        <v>VIGENTE</v>
      </c>
      <c r="GA190" s="3"/>
      <c r="GB190" s="4">
        <v>45667</v>
      </c>
      <c r="GC190" s="4">
        <f t="shared" si="659"/>
        <v>46396</v>
      </c>
      <c r="GD190" s="8">
        <f t="shared" ca="1" si="524"/>
        <v>261</v>
      </c>
      <c r="GE190" s="5" t="str">
        <f t="shared" ca="1" si="525"/>
        <v>VIGENTE</v>
      </c>
      <c r="GF190" s="3"/>
      <c r="GG190" s="4">
        <v>46092</v>
      </c>
      <c r="GH190" s="4">
        <f t="shared" si="703"/>
        <v>46823</v>
      </c>
      <c r="GI190" s="8">
        <f t="shared" ca="1" si="526"/>
        <v>688</v>
      </c>
      <c r="GJ190" s="5" t="str">
        <f t="shared" ca="1" si="527"/>
        <v>VIGENTE</v>
      </c>
      <c r="GK190" s="3"/>
      <c r="GL190" s="4">
        <v>45945</v>
      </c>
      <c r="GM190" s="4">
        <f t="shared" ref="GM190:GM191" si="709">DATE(YEAR(GL190)+2,MONTH(GL190),DAY(GL190))</f>
        <v>46675</v>
      </c>
      <c r="GN190" s="8">
        <f t="shared" ca="1" si="528"/>
        <v>540</v>
      </c>
      <c r="GO190" s="5" t="str">
        <f t="shared" ca="1" si="529"/>
        <v>VIGENTE</v>
      </c>
      <c r="GP190" s="4"/>
      <c r="GQ190" s="4">
        <v>45048</v>
      </c>
      <c r="GR190" s="4">
        <f t="shared" si="530"/>
        <v>46875</v>
      </c>
      <c r="GS190" s="8">
        <f t="shared" ca="1" si="615"/>
        <v>740</v>
      </c>
      <c r="GT190" s="5" t="str">
        <f t="shared" ca="1" si="624"/>
        <v>VIGENTE</v>
      </c>
      <c r="GU190" s="3"/>
      <c r="GV190" s="4">
        <v>44979</v>
      </c>
      <c r="GW190" s="4">
        <f t="shared" si="531"/>
        <v>46805</v>
      </c>
      <c r="GX190" s="8">
        <f t="shared" ca="1" si="532"/>
        <v>670</v>
      </c>
      <c r="GY190" s="5" t="str">
        <f t="shared" ca="1" si="625"/>
        <v>VIGENTE</v>
      </c>
      <c r="GZ190" s="2"/>
      <c r="HA190" s="4">
        <v>45003</v>
      </c>
      <c r="HB190" s="4">
        <f t="shared" si="533"/>
        <v>46830</v>
      </c>
      <c r="HC190" s="8">
        <f t="shared" ca="1" si="534"/>
        <v>695</v>
      </c>
      <c r="HD190" s="5" t="str">
        <f t="shared" ca="1" si="626"/>
        <v>VIGENTE</v>
      </c>
      <c r="HE190" s="6"/>
      <c r="HF190" s="6"/>
      <c r="HG190" s="4"/>
      <c r="HH190" s="8"/>
      <c r="HI190" s="5" t="str">
        <f t="shared" si="627"/>
        <v>NO APLICA</v>
      </c>
      <c r="HJ190" s="2"/>
      <c r="HK190" s="6"/>
      <c r="HL190" s="4"/>
      <c r="HM190" s="8"/>
      <c r="HN190" s="5" t="str">
        <f t="shared" si="708"/>
        <v>NO APLICA</v>
      </c>
      <c r="HO190" s="2"/>
      <c r="HP190" s="2"/>
      <c r="HQ190" s="4"/>
      <c r="HR190" s="2"/>
      <c r="HS190" s="5" t="str">
        <f t="shared" si="535"/>
        <v>NO APLICA</v>
      </c>
      <c r="HT190" s="2"/>
      <c r="HU190" s="6"/>
      <c r="HV190" s="4"/>
      <c r="HW190" s="8"/>
      <c r="HX190" s="5" t="str">
        <f t="shared" si="536"/>
        <v>NO APLICA</v>
      </c>
      <c r="HY190" s="2"/>
      <c r="HZ190" s="6"/>
      <c r="IA190" s="4"/>
      <c r="IB190" s="8"/>
      <c r="IC190" s="5" t="str">
        <f t="shared" si="537"/>
        <v>NO APLICA</v>
      </c>
      <c r="ID190" s="2"/>
      <c r="IE190" s="6"/>
      <c r="IF190" s="4"/>
      <c r="IG190" s="8"/>
      <c r="IH190" s="5" t="str">
        <f t="shared" si="538"/>
        <v>NO APLICA</v>
      </c>
      <c r="II190" s="6"/>
      <c r="IJ190" s="6"/>
      <c r="IK190" s="4"/>
      <c r="IL190" s="8"/>
      <c r="IM190" s="5" t="str">
        <f t="shared" si="539"/>
        <v>NO APLICA</v>
      </c>
      <c r="IN190" s="2"/>
      <c r="IO190" s="6"/>
      <c r="IP190" s="4"/>
      <c r="IQ190" s="8"/>
      <c r="IR190" s="5" t="str">
        <f t="shared" si="540"/>
        <v>NO APLICA</v>
      </c>
      <c r="IS190" s="2"/>
      <c r="IT190" s="6"/>
      <c r="IU190" s="4"/>
      <c r="IV190" s="8"/>
      <c r="IW190" s="5" t="str">
        <f t="shared" si="541"/>
        <v>NO APLICA</v>
      </c>
      <c r="IX190" s="2"/>
      <c r="IY190" s="6"/>
      <c r="IZ190" s="4"/>
      <c r="JA190" s="8"/>
      <c r="JB190" s="5" t="str">
        <f t="shared" si="542"/>
        <v>NO APLICA</v>
      </c>
      <c r="JC190" s="3"/>
      <c r="JD190" s="3"/>
      <c r="JE190" s="4"/>
      <c r="JF190" s="8"/>
      <c r="JG190" s="5" t="str">
        <f t="shared" si="543"/>
        <v>NO APLICA</v>
      </c>
      <c r="JH190" s="6"/>
      <c r="JI190" s="6"/>
      <c r="JJ190" s="6"/>
      <c r="JK190" s="6"/>
      <c r="JL190" s="5" t="str">
        <f t="shared" si="544"/>
        <v>NO APLICA</v>
      </c>
      <c r="JM190" s="6"/>
      <c r="JN190" s="6"/>
      <c r="JO190" s="6"/>
      <c r="JP190" s="6"/>
      <c r="JQ190" s="5" t="str">
        <f t="shared" si="545"/>
        <v>NO APLICA</v>
      </c>
      <c r="JR190" s="6"/>
      <c r="JS190" s="6"/>
      <c r="JT190" s="6"/>
      <c r="JU190" s="6"/>
      <c r="JV190" s="5" t="str">
        <f t="shared" si="546"/>
        <v>NO APLICA</v>
      </c>
      <c r="JW190" s="5"/>
      <c r="JX190" s="5"/>
      <c r="JY190" s="5"/>
      <c r="JZ190" s="5"/>
      <c r="KA190" s="5" t="str">
        <f t="shared" si="547"/>
        <v>NO APLICA</v>
      </c>
      <c r="KB190" s="5"/>
      <c r="KC190" s="2"/>
      <c r="KD190" s="4"/>
      <c r="KE190" s="8"/>
      <c r="KF190" s="5" t="str">
        <f t="shared" si="548"/>
        <v>NO APLICA</v>
      </c>
      <c r="KG190" s="5"/>
      <c r="KH190" s="2"/>
      <c r="KI190" s="4"/>
      <c r="KJ190" s="8"/>
      <c r="KK190" s="5" t="str">
        <f t="shared" si="573"/>
        <v>NO APLICA</v>
      </c>
      <c r="KL190" s="5"/>
      <c r="KM190" s="2"/>
      <c r="KN190" s="4"/>
      <c r="KO190" s="8"/>
      <c r="KP190" s="5" t="str">
        <f t="shared" si="549"/>
        <v>NO APLICA</v>
      </c>
      <c r="KQ190" s="5"/>
      <c r="KR190" s="2"/>
      <c r="KS190" s="4"/>
      <c r="KT190" s="8"/>
      <c r="KU190" s="5" t="str">
        <f t="shared" si="574"/>
        <v>NO APLICA</v>
      </c>
      <c r="KV190" s="2"/>
      <c r="KW190" s="6"/>
      <c r="KX190" s="4"/>
      <c r="KY190" s="8"/>
      <c r="KZ190" s="5" t="str">
        <f t="shared" si="579"/>
        <v>NO APLICA</v>
      </c>
      <c r="LA190" s="5"/>
      <c r="LB190" s="6"/>
      <c r="LC190" s="4"/>
      <c r="LD190" s="8"/>
      <c r="LE190" s="5" t="str">
        <f t="shared" si="575"/>
        <v>NO APLICA</v>
      </c>
      <c r="LF190" s="6"/>
      <c r="LG190" s="6"/>
      <c r="LH190" s="4"/>
      <c r="LI190" s="8"/>
      <c r="LJ190" s="5" t="str">
        <f t="shared" si="614"/>
        <v>NO APLICA</v>
      </c>
      <c r="LK190" s="5"/>
      <c r="LL190" s="5"/>
      <c r="LM190" s="5"/>
      <c r="LN190" s="5"/>
      <c r="LO190" s="5" t="str">
        <f t="shared" si="580"/>
        <v>NO APLICA</v>
      </c>
      <c r="LP190" s="2"/>
      <c r="LQ190" s="6"/>
      <c r="LR190" s="4"/>
      <c r="LS190" s="8"/>
      <c r="LT190" s="5" t="str">
        <f t="shared" si="576"/>
        <v>NO APLICA</v>
      </c>
      <c r="LU190" s="6"/>
      <c r="LV190" s="6"/>
      <c r="LW190" s="4"/>
      <c r="LX190" s="8"/>
      <c r="LY190" s="5" t="str">
        <f t="shared" si="577"/>
        <v>NO APLICA</v>
      </c>
      <c r="LZ190" s="6"/>
      <c r="MA190" s="6"/>
      <c r="MB190" s="4"/>
      <c r="MC190" s="8"/>
      <c r="MD190" s="5" t="str">
        <f t="shared" si="578"/>
        <v>NO APLICA</v>
      </c>
      <c r="ME190" s="2"/>
      <c r="MF190" s="2"/>
      <c r="MG190" s="4"/>
      <c r="MH190" s="8"/>
      <c r="MI190" s="5" t="str">
        <f t="shared" si="551"/>
        <v>NO APLICA</v>
      </c>
      <c r="MJ190" s="2"/>
      <c r="MK190" s="2"/>
      <c r="ML190" s="4"/>
      <c r="MM190" s="8"/>
      <c r="MN190" s="5" t="str">
        <f t="shared" si="552"/>
        <v>NO APLICA</v>
      </c>
      <c r="MO190" s="5"/>
      <c r="MP190" s="2"/>
      <c r="MQ190" s="4"/>
      <c r="MR190" s="8"/>
      <c r="MS190" s="5" t="str">
        <f t="shared" si="553"/>
        <v>NO APLICA</v>
      </c>
      <c r="MT190" s="5"/>
      <c r="MU190" s="2"/>
      <c r="MV190" s="4"/>
      <c r="MW190" s="2"/>
      <c r="MX190" s="5" t="str">
        <f t="shared" si="554"/>
        <v>NO APLICA</v>
      </c>
      <c r="MY190" s="2"/>
      <c r="MZ190" s="6"/>
      <c r="NA190" s="4"/>
      <c r="NB190" s="8"/>
      <c r="NC190" s="5" t="str">
        <f t="shared" si="555"/>
        <v>NO APLICA</v>
      </c>
      <c r="ND190" s="2"/>
      <c r="NE190" s="6"/>
      <c r="NF190" s="4"/>
      <c r="NG190" s="8"/>
      <c r="NH190" s="5" t="str">
        <f t="shared" si="556"/>
        <v>NO APLICA</v>
      </c>
      <c r="NI190" s="2"/>
      <c r="NJ190" s="6"/>
      <c r="NK190" s="4"/>
      <c r="NL190" s="8"/>
      <c r="NM190" s="5" t="str">
        <f t="shared" si="557"/>
        <v>NO APLICA</v>
      </c>
      <c r="NN190" s="2"/>
      <c r="NO190" s="2"/>
      <c r="NP190" s="4"/>
      <c r="NQ190" s="2"/>
      <c r="NR190" s="5" t="str">
        <f t="shared" si="558"/>
        <v>NO APLICA</v>
      </c>
      <c r="NS190" s="2"/>
      <c r="NT190" s="2"/>
      <c r="NU190" s="2"/>
      <c r="NV190" s="2"/>
      <c r="NW190" s="5" t="str">
        <f t="shared" si="559"/>
        <v>NO APLICA</v>
      </c>
      <c r="NX190" s="6"/>
      <c r="NY190" s="6"/>
      <c r="NZ190" s="4"/>
      <c r="OA190" s="8"/>
      <c r="OB190" s="5" t="str">
        <f t="shared" si="560"/>
        <v>NO APLICA</v>
      </c>
      <c r="OC190" s="6"/>
      <c r="OD190" s="6"/>
      <c r="OE190" s="6"/>
      <c r="OF190" s="6"/>
      <c r="OG190" s="5" t="str">
        <f t="shared" si="561"/>
        <v>NO APLICA</v>
      </c>
      <c r="OH190" s="6"/>
      <c r="OI190" s="6"/>
      <c r="OJ190" s="4"/>
      <c r="OK190" s="8"/>
      <c r="OL190" s="5" t="str">
        <f t="shared" si="562"/>
        <v>NO APLICA</v>
      </c>
      <c r="OM190" s="6"/>
      <c r="ON190" s="6"/>
      <c r="OO190" s="6"/>
      <c r="OP190" s="6"/>
      <c r="OQ190" s="5" t="str">
        <f t="shared" si="563"/>
        <v>NO APLICA</v>
      </c>
      <c r="OR190" s="6"/>
      <c r="OS190" s="6"/>
      <c r="OT190" s="6"/>
      <c r="OU190" s="6"/>
      <c r="OV190" s="5" t="str">
        <f t="shared" si="564"/>
        <v>NO APLICA</v>
      </c>
      <c r="OW190" s="6"/>
      <c r="OX190" s="6"/>
      <c r="OY190" s="6"/>
      <c r="OZ190" s="6"/>
      <c r="PA190" s="5" t="str">
        <f t="shared" si="565"/>
        <v>NO APLICA</v>
      </c>
      <c r="PB190" s="6"/>
      <c r="PC190" s="6"/>
      <c r="PD190" s="6"/>
      <c r="PE190" s="6"/>
      <c r="PF190" s="5" t="str">
        <f t="shared" si="566"/>
        <v>NO APLICA</v>
      </c>
      <c r="PG190" s="6"/>
      <c r="PH190" s="6"/>
      <c r="PI190" s="6"/>
      <c r="PJ190" s="6"/>
      <c r="PK190" s="5" t="str">
        <f t="shared" si="567"/>
        <v>NO APLICA</v>
      </c>
      <c r="PL190" s="5"/>
      <c r="PM190" s="6"/>
      <c r="PN190" s="4"/>
      <c r="PO190" s="8"/>
      <c r="PP190" s="5" t="str">
        <f t="shared" si="568"/>
        <v>NO APLICA</v>
      </c>
      <c r="PQ190" s="6"/>
      <c r="PR190" s="6"/>
      <c r="PS190" s="6"/>
      <c r="PT190" s="6"/>
      <c r="PU190" s="5" t="str">
        <f t="shared" si="569"/>
        <v>NO APLICA</v>
      </c>
      <c r="PV190" s="5"/>
      <c r="PW190" s="6"/>
      <c r="PX190" s="6"/>
      <c r="PY190" s="6"/>
      <c r="PZ190" s="5" t="str">
        <f t="shared" si="570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605</v>
      </c>
      <c r="D191" s="30" t="s">
        <v>64</v>
      </c>
      <c r="E191" s="31" t="s">
        <v>83</v>
      </c>
      <c r="F191" s="6"/>
      <c r="G191" s="6"/>
      <c r="H191" s="6"/>
      <c r="I191" s="8"/>
      <c r="J191" s="5" t="str">
        <f t="shared" ref="J191:J240" si="710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606</v>
      </c>
      <c r="W191" s="4">
        <v>45142</v>
      </c>
      <c r="X191" s="4">
        <f t="shared" si="601"/>
        <v>46969</v>
      </c>
      <c r="Y191" s="8">
        <f t="shared" ca="1" si="602"/>
        <v>834</v>
      </c>
      <c r="Z191" s="5" t="str">
        <f t="shared" ca="1" si="619"/>
        <v>VIGENTE</v>
      </c>
      <c r="AA191" s="5"/>
      <c r="AB191" s="2" t="s">
        <v>607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66"/>
        <v>VIGENTE</v>
      </c>
      <c r="AG191" s="6"/>
      <c r="AH191" s="4">
        <v>45936</v>
      </c>
      <c r="AI191" s="4">
        <f t="shared" si="704"/>
        <v>46666</v>
      </c>
      <c r="AJ191" s="8">
        <f t="shared" ca="1" si="467"/>
        <v>531</v>
      </c>
      <c r="AK191" s="5" t="str">
        <f t="shared" ca="1" si="616"/>
        <v>VIGENTE</v>
      </c>
      <c r="AL191" s="6"/>
      <c r="AM191" s="4">
        <v>45937</v>
      </c>
      <c r="AN191" s="4">
        <f t="shared" si="687"/>
        <v>46667</v>
      </c>
      <c r="AO191" s="8">
        <f t="shared" ca="1" si="468"/>
        <v>532</v>
      </c>
      <c r="AP191" s="5" t="str">
        <f t="shared" ca="1" si="469"/>
        <v>VIGENTE</v>
      </c>
      <c r="AQ191" s="6"/>
      <c r="AR191" s="4">
        <v>45904</v>
      </c>
      <c r="AS191" s="4">
        <f t="shared" si="688"/>
        <v>46634</v>
      </c>
      <c r="AT191" s="8">
        <f t="shared" ca="1" si="470"/>
        <v>499</v>
      </c>
      <c r="AU191" s="5" t="str">
        <f t="shared" ca="1" si="47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2"/>
        <v>567</v>
      </c>
      <c r="AZ191" s="5" t="str">
        <f t="shared" ca="1" si="47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4"/>
        <v>636</v>
      </c>
      <c r="BE191" s="5" t="str">
        <f t="shared" ca="1" si="47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6"/>
        <v>592</v>
      </c>
      <c r="BJ191" s="5" t="str">
        <f t="shared" ca="1" si="477"/>
        <v>VIGENTE</v>
      </c>
      <c r="BK191" s="4"/>
      <c r="BL191" s="4">
        <v>46017</v>
      </c>
      <c r="BM191" s="4">
        <f t="shared" si="690"/>
        <v>46747</v>
      </c>
      <c r="BN191" s="8">
        <f t="shared" ca="1" si="478"/>
        <v>612</v>
      </c>
      <c r="BO191" s="5" t="str">
        <f t="shared" ca="1" si="47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0"/>
        <v>583</v>
      </c>
      <c r="BT191" s="5" t="str">
        <f t="shared" ca="1" si="48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2"/>
        <v>626</v>
      </c>
      <c r="BY191" s="5" t="str">
        <f t="shared" ca="1" si="483"/>
        <v>VIGENTE</v>
      </c>
      <c r="BZ191" s="6"/>
      <c r="CA191" s="4">
        <v>45986</v>
      </c>
      <c r="CB191" s="4">
        <f t="shared" si="691"/>
        <v>46716</v>
      </c>
      <c r="CC191" s="8">
        <f t="shared" ca="1" si="484"/>
        <v>581</v>
      </c>
      <c r="CD191" s="5" t="str">
        <f t="shared" ca="1" si="485"/>
        <v>VIGENTE</v>
      </c>
      <c r="CE191" s="6" t="s">
        <v>68</v>
      </c>
      <c r="CF191" s="4">
        <v>45828</v>
      </c>
      <c r="CG191" s="4">
        <f t="shared" si="604"/>
        <v>47289</v>
      </c>
      <c r="CH191" s="8">
        <f t="shared" ca="1" si="605"/>
        <v>1154</v>
      </c>
      <c r="CI191" s="5" t="str">
        <f t="shared" ca="1" si="587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6"/>
        <v>613</v>
      </c>
      <c r="CN191" s="5" t="str">
        <f t="shared" ca="1" si="48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88"/>
        <v>574</v>
      </c>
      <c r="CS191" s="5" t="str">
        <f t="shared" ca="1" si="489"/>
        <v>VIGENTE</v>
      </c>
      <c r="CT191" s="6"/>
      <c r="CU191" s="4">
        <v>45905</v>
      </c>
      <c r="CV191" s="4">
        <f t="shared" si="705"/>
        <v>46635</v>
      </c>
      <c r="CW191" s="8">
        <f t="shared" ca="1" si="490"/>
        <v>500</v>
      </c>
      <c r="CX191" s="5" t="str">
        <f t="shared" ca="1" si="491"/>
        <v>VIGENTE</v>
      </c>
      <c r="CY191" s="4"/>
      <c r="CZ191" s="4">
        <v>46000</v>
      </c>
      <c r="DA191" s="4">
        <f t="shared" si="706"/>
        <v>46730</v>
      </c>
      <c r="DB191" s="8">
        <f t="shared" ca="1" si="492"/>
        <v>595</v>
      </c>
      <c r="DC191" s="5" t="str">
        <f t="shared" ca="1" si="49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4"/>
        <v>591</v>
      </c>
      <c r="DH191" s="5" t="str">
        <f t="shared" ca="1" si="495"/>
        <v>VIGENTE</v>
      </c>
      <c r="DI191" s="4"/>
      <c r="DJ191" s="4">
        <v>45975</v>
      </c>
      <c r="DK191" s="4">
        <f t="shared" si="693"/>
        <v>46705</v>
      </c>
      <c r="DL191" s="8">
        <f t="shared" ca="1" si="496"/>
        <v>570</v>
      </c>
      <c r="DM191" s="5" t="str">
        <f t="shared" ca="1" si="497"/>
        <v>VIGENTE</v>
      </c>
      <c r="DN191" s="4"/>
      <c r="DO191" s="4">
        <v>45982</v>
      </c>
      <c r="DP191" s="4">
        <f t="shared" si="694"/>
        <v>46712</v>
      </c>
      <c r="DQ191" s="8">
        <f t="shared" ca="1" si="498"/>
        <v>577</v>
      </c>
      <c r="DR191" s="5" t="str">
        <f t="shared" ca="1" si="49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0"/>
        <v>604</v>
      </c>
      <c r="DW191" s="5" t="str">
        <f t="shared" ca="1" si="50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2"/>
        <v>627</v>
      </c>
      <c r="EB191" s="5" t="str">
        <f t="shared" ca="1" si="50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4"/>
        <v>589</v>
      </c>
      <c r="EG191" s="5" t="str">
        <f t="shared" ca="1" si="505"/>
        <v>VIGENTE</v>
      </c>
      <c r="EH191" s="3"/>
      <c r="EI191" s="3">
        <v>46015</v>
      </c>
      <c r="EJ191" s="4">
        <f t="shared" si="572"/>
        <v>46380</v>
      </c>
      <c r="EK191" s="8">
        <f t="shared" ca="1" si="506"/>
        <v>245</v>
      </c>
      <c r="EL191" s="5" t="str">
        <f t="shared" ca="1" si="50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08"/>
        <v>578</v>
      </c>
      <c r="EQ191" s="5" t="str">
        <f t="shared" ca="1" si="50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0"/>
        <v>594</v>
      </c>
      <c r="EV191" s="5" t="str">
        <f t="shared" ca="1" si="511"/>
        <v>VIGENTE</v>
      </c>
      <c r="EW191" s="4"/>
      <c r="EX191" s="4">
        <v>46037</v>
      </c>
      <c r="EY191" s="4">
        <f t="shared" si="698"/>
        <v>46767</v>
      </c>
      <c r="EZ191" s="8">
        <f t="shared" ca="1" si="512"/>
        <v>632</v>
      </c>
      <c r="FA191" s="5" t="str">
        <f t="shared" ca="1" si="51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4"/>
        <v>605</v>
      </c>
      <c r="FF191" s="5" t="str">
        <f t="shared" ca="1" si="515"/>
        <v>VIGENTE</v>
      </c>
      <c r="FG191" s="4"/>
      <c r="FH191" s="4">
        <v>45962</v>
      </c>
      <c r="FI191" s="4">
        <f t="shared" si="700"/>
        <v>46692</v>
      </c>
      <c r="FJ191" s="8">
        <f t="shared" ca="1" si="516"/>
        <v>557</v>
      </c>
      <c r="FK191" s="5" t="str">
        <f t="shared" ca="1" si="51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18"/>
        <v>634</v>
      </c>
      <c r="FP191" s="5" t="str">
        <f t="shared" ca="1" si="51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0"/>
        <v>629</v>
      </c>
      <c r="FU191" s="5" t="str">
        <f t="shared" ca="1" si="521"/>
        <v>VIGENTE</v>
      </c>
      <c r="FV191" s="4"/>
      <c r="FW191" s="4">
        <v>46004</v>
      </c>
      <c r="FX191" s="4">
        <f t="shared" si="707"/>
        <v>46734</v>
      </c>
      <c r="FY191" s="8">
        <f t="shared" ca="1" si="522"/>
        <v>599</v>
      </c>
      <c r="FZ191" s="5" t="str">
        <f t="shared" ca="1" si="52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4"/>
        <v>520</v>
      </c>
      <c r="GE191" s="5" t="str">
        <f t="shared" ca="1" si="525"/>
        <v>VIGENTE</v>
      </c>
      <c r="GF191" s="4"/>
      <c r="GG191" s="4">
        <v>45960</v>
      </c>
      <c r="GH191" s="4">
        <f t="shared" si="703"/>
        <v>46690</v>
      </c>
      <c r="GI191" s="8">
        <f t="shared" ca="1" si="526"/>
        <v>555</v>
      </c>
      <c r="GJ191" s="5" t="str">
        <f t="shared" ca="1" si="527"/>
        <v>VIGENTE</v>
      </c>
      <c r="GK191" s="3"/>
      <c r="GL191" s="4">
        <v>46044</v>
      </c>
      <c r="GM191" s="4">
        <f t="shared" si="709"/>
        <v>46774</v>
      </c>
      <c r="GN191" s="8">
        <f t="shared" ca="1" si="528"/>
        <v>639</v>
      </c>
      <c r="GO191" s="5" t="str">
        <f t="shared" ca="1" si="529"/>
        <v>VIGENTE</v>
      </c>
      <c r="GP191" s="4"/>
      <c r="GQ191" s="4">
        <v>45299</v>
      </c>
      <c r="GR191" s="4">
        <f t="shared" si="530"/>
        <v>47126</v>
      </c>
      <c r="GS191" s="8">
        <f t="shared" ca="1" si="615"/>
        <v>991</v>
      </c>
      <c r="GT191" s="5" t="str">
        <f t="shared" ca="1" si="624"/>
        <v>VIGENTE</v>
      </c>
      <c r="GU191" s="4"/>
      <c r="GV191" s="4">
        <v>45329</v>
      </c>
      <c r="GW191" s="4">
        <f t="shared" si="531"/>
        <v>47156</v>
      </c>
      <c r="GX191" s="8">
        <f t="shared" ca="1" si="532"/>
        <v>1021</v>
      </c>
      <c r="GY191" s="5" t="str">
        <f t="shared" ca="1" si="625"/>
        <v>VIGENTE</v>
      </c>
      <c r="GZ191" s="6"/>
      <c r="HA191" s="4">
        <v>45343</v>
      </c>
      <c r="HB191" s="4">
        <f t="shared" si="533"/>
        <v>47170</v>
      </c>
      <c r="HC191" s="8">
        <f t="shared" ca="1" si="534"/>
        <v>1035</v>
      </c>
      <c r="HD191" s="5" t="str">
        <f t="shared" ca="1" si="626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08"/>
        <v>NO APLICA</v>
      </c>
      <c r="HO191" s="2"/>
      <c r="HP191" s="2"/>
      <c r="HQ191" s="4"/>
      <c r="HR191" s="2"/>
      <c r="HS191" s="5" t="str">
        <f t="shared" si="535"/>
        <v>NO APLICA</v>
      </c>
      <c r="HT191" s="6"/>
      <c r="HU191" s="6"/>
      <c r="HV191" s="4"/>
      <c r="HW191" s="8"/>
      <c r="HX191" s="5" t="str">
        <f t="shared" si="536"/>
        <v>NO APLICA</v>
      </c>
      <c r="HY191" s="6"/>
      <c r="HZ191" s="6"/>
      <c r="IA191" s="4"/>
      <c r="IB191" s="8"/>
      <c r="IC191" s="5" t="str">
        <f t="shared" si="537"/>
        <v>NO APLICA</v>
      </c>
      <c r="ID191" s="6"/>
      <c r="IE191" s="6"/>
      <c r="IF191" s="4"/>
      <c r="IG191" s="8"/>
      <c r="IH191" s="5" t="str">
        <f t="shared" si="538"/>
        <v>NO APLICA</v>
      </c>
      <c r="II191" s="6"/>
      <c r="IJ191" s="6"/>
      <c r="IK191" s="4"/>
      <c r="IL191" s="8"/>
      <c r="IM191" s="5" t="str">
        <f t="shared" si="539"/>
        <v>NO APLICA</v>
      </c>
      <c r="IN191" s="6"/>
      <c r="IO191" s="6"/>
      <c r="IP191" s="4"/>
      <c r="IQ191" s="8"/>
      <c r="IR191" s="5" t="str">
        <f t="shared" si="540"/>
        <v>NO APLICA</v>
      </c>
      <c r="IS191" s="6"/>
      <c r="IT191" s="6"/>
      <c r="IU191" s="4"/>
      <c r="IV191" s="8"/>
      <c r="IW191" s="5" t="str">
        <f t="shared" si="541"/>
        <v>NO APLICA</v>
      </c>
      <c r="IX191" s="6"/>
      <c r="IY191" s="6"/>
      <c r="IZ191" s="4"/>
      <c r="JA191" s="8"/>
      <c r="JB191" s="5" t="str">
        <f t="shared" si="542"/>
        <v>NO APLICA</v>
      </c>
      <c r="JC191" s="3"/>
      <c r="JD191" s="3"/>
      <c r="JE191" s="4"/>
      <c r="JF191" s="8"/>
      <c r="JG191" s="5" t="str">
        <f t="shared" si="543"/>
        <v>NO APLICA</v>
      </c>
      <c r="JH191" s="6"/>
      <c r="JI191" s="6"/>
      <c r="JJ191" s="6"/>
      <c r="JK191" s="6"/>
      <c r="JL191" s="5" t="str">
        <f t="shared" si="544"/>
        <v>NO APLICA</v>
      </c>
      <c r="JM191" s="6"/>
      <c r="JN191" s="6"/>
      <c r="JO191" s="6"/>
      <c r="JP191" s="6"/>
      <c r="JQ191" s="5" t="str">
        <f t="shared" si="545"/>
        <v>NO APLICA</v>
      </c>
      <c r="JR191" s="6"/>
      <c r="JS191" s="6"/>
      <c r="JT191" s="6"/>
      <c r="JU191" s="6"/>
      <c r="JV191" s="5" t="str">
        <f t="shared" si="546"/>
        <v>NO APLICA</v>
      </c>
      <c r="JW191" s="5"/>
      <c r="JX191" s="5"/>
      <c r="JY191" s="5"/>
      <c r="JZ191" s="5"/>
      <c r="KA191" s="5" t="str">
        <f t="shared" si="547"/>
        <v>NO APLICA</v>
      </c>
      <c r="KB191" s="5"/>
      <c r="KC191" s="2"/>
      <c r="KD191" s="4"/>
      <c r="KE191" s="8"/>
      <c r="KF191" s="5" t="str">
        <f t="shared" si="548"/>
        <v>NO APLICA</v>
      </c>
      <c r="KG191" s="5"/>
      <c r="KH191" s="2"/>
      <c r="KI191" s="4"/>
      <c r="KJ191" s="8"/>
      <c r="KK191" s="5" t="str">
        <f t="shared" si="573"/>
        <v>NO APLICA</v>
      </c>
      <c r="KL191" s="5"/>
      <c r="KM191" s="2"/>
      <c r="KN191" s="4"/>
      <c r="KO191" s="8"/>
      <c r="KP191" s="5" t="str">
        <f t="shared" si="549"/>
        <v>NO APLICA</v>
      </c>
      <c r="KQ191" s="5"/>
      <c r="KR191" s="2"/>
      <c r="KS191" s="4"/>
      <c r="KT191" s="8"/>
      <c r="KU191" s="5" t="str">
        <f t="shared" si="574"/>
        <v>NO APLICA</v>
      </c>
      <c r="KV191" s="6"/>
      <c r="KW191" s="6"/>
      <c r="KX191" s="4"/>
      <c r="KY191" s="8"/>
      <c r="KZ191" s="5" t="str">
        <f t="shared" si="579"/>
        <v>NO APLICA</v>
      </c>
      <c r="LA191" s="5"/>
      <c r="LB191" s="6"/>
      <c r="LC191" s="4"/>
      <c r="LD191" s="8"/>
      <c r="LE191" s="5" t="str">
        <f t="shared" si="575"/>
        <v>NO APLICA</v>
      </c>
      <c r="LF191" s="6"/>
      <c r="LG191" s="6"/>
      <c r="LH191" s="4"/>
      <c r="LI191" s="8"/>
      <c r="LJ191" s="5" t="str">
        <f t="shared" si="614"/>
        <v>NO APLICA</v>
      </c>
      <c r="LK191" s="5"/>
      <c r="LL191" s="5"/>
      <c r="LM191" s="5"/>
      <c r="LN191" s="5"/>
      <c r="LO191" s="5" t="str">
        <f t="shared" si="580"/>
        <v>NO APLICA</v>
      </c>
      <c r="LP191" s="6"/>
      <c r="LQ191" s="6"/>
      <c r="LR191" s="4"/>
      <c r="LS191" s="8"/>
      <c r="LT191" s="5" t="str">
        <f t="shared" si="576"/>
        <v>NO APLICA</v>
      </c>
      <c r="LU191" s="6"/>
      <c r="LV191" s="6"/>
      <c r="LW191" s="4"/>
      <c r="LX191" s="8"/>
      <c r="LY191" s="5" t="str">
        <f t="shared" si="577"/>
        <v>NO APLICA</v>
      </c>
      <c r="LZ191" s="6"/>
      <c r="MA191" s="6"/>
      <c r="MB191" s="4"/>
      <c r="MC191" s="8"/>
      <c r="MD191" s="5" t="str">
        <f t="shared" si="578"/>
        <v>NO APLICA</v>
      </c>
      <c r="ME191" s="2"/>
      <c r="MF191" s="2"/>
      <c r="MG191" s="4"/>
      <c r="MH191" s="8"/>
      <c r="MI191" s="5" t="str">
        <f t="shared" si="551"/>
        <v>NO APLICA</v>
      </c>
      <c r="MJ191" s="2"/>
      <c r="MK191" s="2"/>
      <c r="ML191" s="4"/>
      <c r="MM191" s="8"/>
      <c r="MN191" s="5" t="str">
        <f t="shared" si="552"/>
        <v>NO APLICA</v>
      </c>
      <c r="MO191" s="5"/>
      <c r="MP191" s="2"/>
      <c r="MQ191" s="4"/>
      <c r="MR191" s="8"/>
      <c r="MS191" s="5" t="str">
        <f t="shared" si="553"/>
        <v>NO APLICA</v>
      </c>
      <c r="MT191" s="5"/>
      <c r="MU191" s="2"/>
      <c r="MV191" s="4"/>
      <c r="MW191" s="2"/>
      <c r="MX191" s="5" t="str">
        <f t="shared" si="554"/>
        <v>NO APLICA</v>
      </c>
      <c r="MY191" s="6"/>
      <c r="MZ191" s="6"/>
      <c r="NA191" s="4"/>
      <c r="NB191" s="8"/>
      <c r="NC191" s="5" t="str">
        <f t="shared" si="555"/>
        <v>NO APLICA</v>
      </c>
      <c r="ND191" s="6"/>
      <c r="NE191" s="6"/>
      <c r="NF191" s="4"/>
      <c r="NG191" s="8"/>
      <c r="NH191" s="5" t="str">
        <f t="shared" si="556"/>
        <v>NO APLICA</v>
      </c>
      <c r="NI191" s="6"/>
      <c r="NJ191" s="6"/>
      <c r="NK191" s="4"/>
      <c r="NL191" s="8"/>
      <c r="NM191" s="5" t="str">
        <f t="shared" si="557"/>
        <v>NO APLICA</v>
      </c>
      <c r="NN191" s="2"/>
      <c r="NO191" s="2"/>
      <c r="NP191" s="4"/>
      <c r="NQ191" s="2"/>
      <c r="NR191" s="5" t="str">
        <f t="shared" si="558"/>
        <v>NO APLICA</v>
      </c>
      <c r="NS191" s="2"/>
      <c r="NT191" s="2"/>
      <c r="NU191" s="4"/>
      <c r="NV191" s="2"/>
      <c r="NW191" s="5" t="str">
        <f t="shared" si="559"/>
        <v>NO APLICA</v>
      </c>
      <c r="NX191" s="6"/>
      <c r="NY191" s="6"/>
      <c r="NZ191" s="4"/>
      <c r="OA191" s="8"/>
      <c r="OB191" s="5" t="str">
        <f t="shared" si="560"/>
        <v>NO APLICA</v>
      </c>
      <c r="OC191" s="6"/>
      <c r="OD191" s="6"/>
      <c r="OE191" s="6"/>
      <c r="OF191" s="6"/>
      <c r="OG191" s="5" t="str">
        <f t="shared" si="561"/>
        <v>NO APLICA</v>
      </c>
      <c r="OH191" s="6"/>
      <c r="OI191" s="6"/>
      <c r="OJ191" s="4"/>
      <c r="OK191" s="8"/>
      <c r="OL191" s="5" t="str">
        <f t="shared" si="562"/>
        <v>NO APLICA</v>
      </c>
      <c r="OM191" s="6"/>
      <c r="ON191" s="6"/>
      <c r="OO191" s="6"/>
      <c r="OP191" s="6"/>
      <c r="OQ191" s="5" t="str">
        <f t="shared" si="563"/>
        <v>NO APLICA</v>
      </c>
      <c r="OR191" s="6"/>
      <c r="OS191" s="6"/>
      <c r="OT191" s="6"/>
      <c r="OU191" s="6"/>
      <c r="OV191" s="5" t="str">
        <f t="shared" si="564"/>
        <v>NO APLICA</v>
      </c>
      <c r="OW191" s="6"/>
      <c r="OX191" s="6"/>
      <c r="OY191" s="6"/>
      <c r="OZ191" s="6"/>
      <c r="PA191" s="5" t="str">
        <f t="shared" si="565"/>
        <v>NO APLICA</v>
      </c>
      <c r="PB191" s="6"/>
      <c r="PC191" s="6"/>
      <c r="PD191" s="6"/>
      <c r="PE191" s="6"/>
      <c r="PF191" s="5" t="str">
        <f t="shared" si="566"/>
        <v>NO APLICA</v>
      </c>
      <c r="PG191" s="6"/>
      <c r="PH191" s="6"/>
      <c r="PI191" s="6"/>
      <c r="PJ191" s="6"/>
      <c r="PK191" s="5" t="str">
        <f t="shared" si="567"/>
        <v>NO APLICA</v>
      </c>
      <c r="PL191" s="5"/>
      <c r="PM191" s="6"/>
      <c r="PN191" s="4"/>
      <c r="PO191" s="8"/>
      <c r="PP191" s="5" t="str">
        <f t="shared" si="568"/>
        <v>NO APLICA</v>
      </c>
      <c r="PQ191" s="6"/>
      <c r="PR191" s="6"/>
      <c r="PS191" s="6"/>
      <c r="PT191" s="6"/>
      <c r="PU191" s="5" t="str">
        <f t="shared" si="569"/>
        <v>NO APLICA</v>
      </c>
      <c r="PV191" s="5"/>
      <c r="PW191" s="6"/>
      <c r="PX191" s="6"/>
      <c r="PY191" s="6"/>
      <c r="PZ191" s="5" t="str">
        <f t="shared" si="570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608</v>
      </c>
      <c r="D192" s="30" t="s">
        <v>115</v>
      </c>
      <c r="E192" s="31" t="s">
        <v>609</v>
      </c>
      <c r="F192" s="6"/>
      <c r="G192" s="6"/>
      <c r="H192" s="6"/>
      <c r="I192" s="6"/>
      <c r="J192" s="5" t="str">
        <f t="shared" si="710"/>
        <v>NO APLICA</v>
      </c>
      <c r="K192" s="6"/>
      <c r="L192" s="6"/>
      <c r="M192" s="6"/>
      <c r="N192" s="6"/>
      <c r="O192" s="5" t="str">
        <f t="shared" si="465"/>
        <v>NO APLICA</v>
      </c>
      <c r="P192" s="6"/>
      <c r="Q192" s="6"/>
      <c r="R192" s="6"/>
      <c r="S192" s="6"/>
      <c r="T192" s="5" t="str">
        <f t="shared" ref="T192:T240" si="711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19"/>
        <v>NO APLICA</v>
      </c>
      <c r="AA192" s="5"/>
      <c r="AB192" s="6"/>
      <c r="AC192" s="6"/>
      <c r="AD192" s="6"/>
      <c r="AE192" s="6"/>
      <c r="AF192" s="5" t="str">
        <f t="shared" si="466"/>
        <v>NO APLICA</v>
      </c>
      <c r="AG192" s="4"/>
      <c r="AH192" s="4"/>
      <c r="AI192" s="4"/>
      <c r="AJ192" s="6"/>
      <c r="AK192" s="5" t="str">
        <f t="shared" si="616"/>
        <v>NO APLICA</v>
      </c>
      <c r="AL192" s="4"/>
      <c r="AM192" s="4"/>
      <c r="AN192" s="4"/>
      <c r="AO192" s="6"/>
      <c r="AP192" s="5" t="str">
        <f t="shared" si="469"/>
        <v>NO APLICA</v>
      </c>
      <c r="AQ192" s="4"/>
      <c r="AR192" s="4"/>
      <c r="AS192" s="4"/>
      <c r="AT192" s="6"/>
      <c r="AU192" s="5" t="str">
        <f t="shared" si="471"/>
        <v>NO APLICA</v>
      </c>
      <c r="AV192" s="4"/>
      <c r="AW192" s="4"/>
      <c r="AX192" s="4"/>
      <c r="AY192" s="6"/>
      <c r="AZ192" s="5" t="str">
        <f t="shared" si="473"/>
        <v>NO APLICA</v>
      </c>
      <c r="BA192" s="4"/>
      <c r="BB192" s="4"/>
      <c r="BC192" s="4"/>
      <c r="BD192" s="6"/>
      <c r="BE192" s="5" t="str">
        <f t="shared" si="475"/>
        <v>NO APLICA</v>
      </c>
      <c r="BF192" s="4"/>
      <c r="BG192" s="4"/>
      <c r="BH192" s="4"/>
      <c r="BI192" s="6"/>
      <c r="BJ192" s="5" t="str">
        <f t="shared" si="477"/>
        <v>NO APLICA</v>
      </c>
      <c r="BK192" s="4"/>
      <c r="BL192" s="4"/>
      <c r="BM192" s="4"/>
      <c r="BN192" s="6"/>
      <c r="BO192" s="5" t="str">
        <f t="shared" si="479"/>
        <v>NO APLICA</v>
      </c>
      <c r="BP192" s="4"/>
      <c r="BQ192" s="4"/>
      <c r="BR192" s="4"/>
      <c r="BS192" s="6"/>
      <c r="BT192" s="5" t="str">
        <f t="shared" si="481"/>
        <v>NO APLICA</v>
      </c>
      <c r="BU192" s="4"/>
      <c r="BV192" s="4"/>
      <c r="BW192" s="4"/>
      <c r="BX192" s="6"/>
      <c r="BY192" s="5" t="str">
        <f t="shared" si="483"/>
        <v>NO APLICA</v>
      </c>
      <c r="BZ192" s="4"/>
      <c r="CA192" s="4"/>
      <c r="CB192" s="4"/>
      <c r="CC192" s="6"/>
      <c r="CD192" s="5" t="str">
        <f t="shared" si="485"/>
        <v>NO APLICA</v>
      </c>
      <c r="CE192" s="6"/>
      <c r="CF192" s="6"/>
      <c r="CG192" s="6"/>
      <c r="CH192" s="6"/>
      <c r="CI192" s="5" t="str">
        <f t="shared" si="587"/>
        <v>NO APLICA</v>
      </c>
      <c r="CJ192" s="4"/>
      <c r="CK192" s="4"/>
      <c r="CL192" s="4"/>
      <c r="CM192" s="6"/>
      <c r="CN192" s="5" t="str">
        <f t="shared" si="487"/>
        <v>NO APLICA</v>
      </c>
      <c r="CO192" s="4"/>
      <c r="CP192" s="4"/>
      <c r="CQ192" s="4"/>
      <c r="CR192" s="6"/>
      <c r="CS192" s="5" t="str">
        <f t="shared" si="489"/>
        <v>NO APLICA</v>
      </c>
      <c r="CT192" s="4"/>
      <c r="CU192" s="4"/>
      <c r="CV192" s="4"/>
      <c r="CW192" s="6"/>
      <c r="CX192" s="5" t="str">
        <f t="shared" si="491"/>
        <v>NO APLICA</v>
      </c>
      <c r="CY192" s="4"/>
      <c r="CZ192" s="4"/>
      <c r="DA192" s="4"/>
      <c r="DB192" s="6"/>
      <c r="DC192" s="5" t="str">
        <f t="shared" si="493"/>
        <v>NO APLICA</v>
      </c>
      <c r="DD192" s="4"/>
      <c r="DE192" s="4"/>
      <c r="DF192" s="4"/>
      <c r="DG192" s="6"/>
      <c r="DH192" s="5" t="str">
        <f t="shared" si="495"/>
        <v>NO APLICA</v>
      </c>
      <c r="DI192" s="4"/>
      <c r="DJ192" s="4"/>
      <c r="DK192" s="4"/>
      <c r="DL192" s="6"/>
      <c r="DM192" s="5" t="str">
        <f t="shared" si="497"/>
        <v>NO APLICA</v>
      </c>
      <c r="DN192" s="4"/>
      <c r="DO192" s="4"/>
      <c r="DP192" s="4"/>
      <c r="DQ192" s="6"/>
      <c r="DR192" s="5" t="str">
        <f t="shared" si="499"/>
        <v>NO APLICA</v>
      </c>
      <c r="DS192" s="4"/>
      <c r="DT192" s="4"/>
      <c r="DU192" s="4"/>
      <c r="DV192" s="6"/>
      <c r="DW192" s="5" t="str">
        <f t="shared" si="501"/>
        <v>NO APLICA</v>
      </c>
      <c r="DX192" s="4"/>
      <c r="DY192" s="4"/>
      <c r="DZ192" s="4"/>
      <c r="EA192" s="6"/>
      <c r="EB192" s="5" t="str">
        <f t="shared" si="503"/>
        <v>NO APLICA</v>
      </c>
      <c r="EC192" s="4"/>
      <c r="ED192" s="4"/>
      <c r="EE192" s="4"/>
      <c r="EF192" s="6"/>
      <c r="EG192" s="5" t="str">
        <f t="shared" si="505"/>
        <v>NO APLICA</v>
      </c>
      <c r="EH192" s="4"/>
      <c r="EI192" s="4"/>
      <c r="EJ192" s="4"/>
      <c r="EK192" s="8"/>
      <c r="EL192" s="5" t="str">
        <f t="shared" si="507"/>
        <v>NO APLICA</v>
      </c>
      <c r="EM192" s="4"/>
      <c r="EN192" s="4"/>
      <c r="EO192" s="4"/>
      <c r="EP192" s="8"/>
      <c r="EQ192" s="5" t="str">
        <f t="shared" si="509"/>
        <v>NO APLICA</v>
      </c>
      <c r="ER192" s="4"/>
      <c r="ES192" s="4"/>
      <c r="ET192" s="4"/>
      <c r="EU192" s="8"/>
      <c r="EV192" s="5" t="str">
        <f t="shared" si="511"/>
        <v>NO APLICA</v>
      </c>
      <c r="EW192" s="4"/>
      <c r="EX192" s="4"/>
      <c r="EY192" s="4"/>
      <c r="EZ192" s="6"/>
      <c r="FA192" s="5" t="str">
        <f t="shared" si="513"/>
        <v>NO APLICA</v>
      </c>
      <c r="FB192" s="4"/>
      <c r="FC192" s="4"/>
      <c r="FD192" s="4"/>
      <c r="FE192" s="6"/>
      <c r="FF192" s="5" t="str">
        <f t="shared" si="515"/>
        <v>NO APLICA</v>
      </c>
      <c r="FG192" s="4"/>
      <c r="FH192" s="4"/>
      <c r="FI192" s="4"/>
      <c r="FJ192" s="6"/>
      <c r="FK192" s="5" t="str">
        <f t="shared" si="517"/>
        <v>NO APLICA</v>
      </c>
      <c r="FL192" s="4"/>
      <c r="FM192" s="4"/>
      <c r="FN192" s="4"/>
      <c r="FO192" s="6"/>
      <c r="FP192" s="5" t="str">
        <f t="shared" si="519"/>
        <v>NO APLICA</v>
      </c>
      <c r="FQ192" s="4"/>
      <c r="FR192" s="4"/>
      <c r="FS192" s="4"/>
      <c r="FT192" s="6"/>
      <c r="FU192" s="5" t="str">
        <f t="shared" si="521"/>
        <v>NO APLICA</v>
      </c>
      <c r="FV192" s="4"/>
      <c r="FW192" s="4"/>
      <c r="FX192" s="4"/>
      <c r="FY192" s="6"/>
      <c r="FZ192" s="5" t="str">
        <f t="shared" si="523"/>
        <v>NO APLICA</v>
      </c>
      <c r="GA192" s="4"/>
      <c r="GB192" s="4"/>
      <c r="GC192" s="4"/>
      <c r="GD192" s="6"/>
      <c r="GE192" s="5" t="str">
        <f t="shared" si="525"/>
        <v>NO APLICA</v>
      </c>
      <c r="GF192" s="4"/>
      <c r="GG192" s="4"/>
      <c r="GH192" s="4"/>
      <c r="GI192" s="8"/>
      <c r="GJ192" s="5" t="str">
        <f t="shared" si="527"/>
        <v>NO APLICA</v>
      </c>
      <c r="GK192" s="4"/>
      <c r="GL192" s="6"/>
      <c r="GM192" s="6"/>
      <c r="GN192" s="6"/>
      <c r="GO192" s="5" t="str">
        <f t="shared" si="529"/>
        <v>NO APLICA</v>
      </c>
      <c r="GP192" s="4"/>
      <c r="GQ192" s="6"/>
      <c r="GR192" s="6"/>
      <c r="GS192" s="6"/>
      <c r="GT192" s="5" t="str">
        <f t="shared" si="624"/>
        <v>NO APLICA</v>
      </c>
      <c r="GU192" s="4"/>
      <c r="GV192" s="6"/>
      <c r="GW192" s="6"/>
      <c r="GX192" s="6"/>
      <c r="GY192" s="5" t="str">
        <f t="shared" si="625"/>
        <v>NO APLICA</v>
      </c>
      <c r="GZ192" s="6"/>
      <c r="HA192" s="6"/>
      <c r="HB192" s="6"/>
      <c r="HC192" s="6"/>
      <c r="HD192" s="5" t="str">
        <f t="shared" si="626"/>
        <v>NO APLICA</v>
      </c>
      <c r="HE192" s="6"/>
      <c r="HF192" s="6"/>
      <c r="HG192" s="4"/>
      <c r="HH192" s="8"/>
      <c r="HI192" s="5" t="str">
        <f t="shared" ref="HI192:HI240" si="712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08"/>
        <v>NO APLICA</v>
      </c>
      <c r="HO192" s="6"/>
      <c r="HP192" s="6"/>
      <c r="HQ192" s="6"/>
      <c r="HR192" s="6"/>
      <c r="HS192" s="5" t="str">
        <f t="shared" si="535"/>
        <v>NO APLICA</v>
      </c>
      <c r="HT192" s="6"/>
      <c r="HU192" s="6"/>
      <c r="HV192" s="6"/>
      <c r="HW192" s="6"/>
      <c r="HX192" s="5" t="str">
        <f t="shared" si="536"/>
        <v>NO APLICA</v>
      </c>
      <c r="HY192" s="6"/>
      <c r="HZ192" s="6"/>
      <c r="IA192" s="6"/>
      <c r="IB192" s="6"/>
      <c r="IC192" s="5" t="str">
        <f t="shared" si="537"/>
        <v>NO APLICA</v>
      </c>
      <c r="ID192" s="6"/>
      <c r="IE192" s="6"/>
      <c r="IF192" s="6"/>
      <c r="IG192" s="6"/>
      <c r="IH192" s="5" t="str">
        <f t="shared" si="538"/>
        <v>NO APLICA</v>
      </c>
      <c r="II192" s="6"/>
      <c r="IJ192" s="6"/>
      <c r="IK192" s="6"/>
      <c r="IL192" s="6"/>
      <c r="IM192" s="5" t="str">
        <f t="shared" si="539"/>
        <v>NO APLICA</v>
      </c>
      <c r="IN192" s="6"/>
      <c r="IO192" s="6"/>
      <c r="IP192" s="6"/>
      <c r="IQ192" s="6"/>
      <c r="IR192" s="5" t="str">
        <f t="shared" si="540"/>
        <v>NO APLICA</v>
      </c>
      <c r="IS192" s="6"/>
      <c r="IT192" s="6"/>
      <c r="IU192" s="6"/>
      <c r="IV192" s="6"/>
      <c r="IW192" s="5" t="str">
        <f t="shared" si="541"/>
        <v>NO APLICA</v>
      </c>
      <c r="IX192" s="6"/>
      <c r="IY192" s="6"/>
      <c r="IZ192" s="6"/>
      <c r="JA192" s="6"/>
      <c r="JB192" s="5" t="str">
        <f t="shared" si="542"/>
        <v>NO APLICA</v>
      </c>
      <c r="JC192" s="6"/>
      <c r="JD192" s="6"/>
      <c r="JE192" s="6"/>
      <c r="JF192" s="6"/>
      <c r="JG192" s="5" t="str">
        <f t="shared" si="543"/>
        <v>NO APLICA</v>
      </c>
      <c r="JH192" s="6"/>
      <c r="JI192" s="6"/>
      <c r="JJ192" s="6"/>
      <c r="JK192" s="6"/>
      <c r="JL192" s="5" t="str">
        <f t="shared" si="544"/>
        <v>NO APLICA</v>
      </c>
      <c r="JM192" s="6"/>
      <c r="JN192" s="6"/>
      <c r="JO192" s="6"/>
      <c r="JP192" s="6"/>
      <c r="JQ192" s="5" t="str">
        <f t="shared" si="545"/>
        <v>NO APLICA</v>
      </c>
      <c r="JR192" s="6"/>
      <c r="JS192" s="6"/>
      <c r="JT192" s="6"/>
      <c r="JU192" s="6"/>
      <c r="JV192" s="5" t="str">
        <f t="shared" si="546"/>
        <v>NO APLICA</v>
      </c>
      <c r="JW192" s="5"/>
      <c r="JX192" s="5"/>
      <c r="JY192" s="5"/>
      <c r="JZ192" s="5"/>
      <c r="KA192" s="5" t="str">
        <f t="shared" si="547"/>
        <v>NO APLICA</v>
      </c>
      <c r="KB192" s="5"/>
      <c r="KC192" s="6"/>
      <c r="KD192" s="6"/>
      <c r="KE192" s="6"/>
      <c r="KF192" s="5" t="str">
        <f t="shared" si="548"/>
        <v>NO APLICA</v>
      </c>
      <c r="KG192" s="5"/>
      <c r="KH192" s="6"/>
      <c r="KI192" s="6"/>
      <c r="KJ192" s="6"/>
      <c r="KK192" s="5" t="str">
        <f t="shared" si="573"/>
        <v>NO APLICA</v>
      </c>
      <c r="KL192" s="5"/>
      <c r="KM192" s="6"/>
      <c r="KN192" s="6"/>
      <c r="KO192" s="6"/>
      <c r="KP192" s="5" t="str">
        <f t="shared" si="549"/>
        <v>NO APLICA</v>
      </c>
      <c r="KQ192" s="5"/>
      <c r="KR192" s="6"/>
      <c r="KS192" s="6"/>
      <c r="KT192" s="6"/>
      <c r="KU192" s="5" t="str">
        <f t="shared" si="574"/>
        <v>NO APLICA</v>
      </c>
      <c r="KV192" s="6"/>
      <c r="KW192" s="6"/>
      <c r="KX192" s="6"/>
      <c r="KY192" s="6"/>
      <c r="KZ192" s="5" t="str">
        <f t="shared" si="579"/>
        <v>NO APLICA</v>
      </c>
      <c r="LA192" s="5"/>
      <c r="LB192" s="6"/>
      <c r="LC192" s="6"/>
      <c r="LD192" s="6"/>
      <c r="LE192" s="5" t="str">
        <f t="shared" si="575"/>
        <v>NO APLICA</v>
      </c>
      <c r="LF192" s="6"/>
      <c r="LG192" s="6"/>
      <c r="LH192" s="6"/>
      <c r="LI192" s="6"/>
      <c r="LJ192" s="5" t="str">
        <f t="shared" si="614"/>
        <v>NO APLICA</v>
      </c>
      <c r="LK192" s="5"/>
      <c r="LL192" s="5"/>
      <c r="LM192" s="4"/>
      <c r="LN192" s="8"/>
      <c r="LO192" s="5" t="str">
        <f t="shared" si="580"/>
        <v>NO APLICA</v>
      </c>
      <c r="LP192" s="6"/>
      <c r="LQ192" s="6"/>
      <c r="LR192" s="6"/>
      <c r="LS192" s="6"/>
      <c r="LT192" s="5" t="str">
        <f t="shared" si="576"/>
        <v>NO APLICA</v>
      </c>
      <c r="LU192" s="6"/>
      <c r="LV192" s="6"/>
      <c r="LW192" s="6"/>
      <c r="LX192" s="6"/>
      <c r="LY192" s="5" t="str">
        <f t="shared" si="577"/>
        <v>NO APLICA</v>
      </c>
      <c r="LZ192" s="6"/>
      <c r="MA192" s="6"/>
      <c r="MB192" s="6"/>
      <c r="MC192" s="6"/>
      <c r="MD192" s="5" t="str">
        <f t="shared" si="578"/>
        <v>NO APLICA</v>
      </c>
      <c r="ME192" s="6"/>
      <c r="MF192" s="6"/>
      <c r="MG192" s="6"/>
      <c r="MH192" s="6"/>
      <c r="MI192" s="5" t="str">
        <f t="shared" si="551"/>
        <v>NO APLICA</v>
      </c>
      <c r="MJ192" s="6"/>
      <c r="MK192" s="6"/>
      <c r="ML192" s="6"/>
      <c r="MM192" s="6"/>
      <c r="MN192" s="5" t="str">
        <f t="shared" si="552"/>
        <v>NO APLICA</v>
      </c>
      <c r="MO192" s="5"/>
      <c r="MP192" s="6"/>
      <c r="MQ192" s="6"/>
      <c r="MR192" s="6"/>
      <c r="MS192" s="5" t="str">
        <f t="shared" si="553"/>
        <v>NO APLICA</v>
      </c>
      <c r="MT192" s="5"/>
      <c r="MU192" s="6"/>
      <c r="MV192" s="6"/>
      <c r="MW192" s="6"/>
      <c r="MX192" s="5" t="str">
        <f t="shared" si="554"/>
        <v>NO APLICA</v>
      </c>
      <c r="MY192" s="6"/>
      <c r="MZ192" s="6"/>
      <c r="NA192" s="6"/>
      <c r="NB192" s="6"/>
      <c r="NC192" s="5" t="str">
        <f t="shared" si="555"/>
        <v>NO APLICA</v>
      </c>
      <c r="ND192" s="6"/>
      <c r="NE192" s="6"/>
      <c r="NF192" s="6"/>
      <c r="NG192" s="6"/>
      <c r="NH192" s="5" t="str">
        <f t="shared" si="556"/>
        <v>NO APLICA</v>
      </c>
      <c r="NI192" s="6"/>
      <c r="NJ192" s="6"/>
      <c r="NK192" s="6"/>
      <c r="NL192" s="6"/>
      <c r="NM192" s="5" t="str">
        <f t="shared" si="557"/>
        <v>NO APLICA</v>
      </c>
      <c r="NN192" s="6"/>
      <c r="NO192" s="6"/>
      <c r="NP192" s="6"/>
      <c r="NQ192" s="6"/>
      <c r="NR192" s="5" t="str">
        <f t="shared" si="558"/>
        <v>NO APLICA</v>
      </c>
      <c r="NS192" s="6"/>
      <c r="NT192" s="6"/>
      <c r="NU192" s="6"/>
      <c r="NV192" s="6"/>
      <c r="NW192" s="5" t="str">
        <f t="shared" si="559"/>
        <v>NO APLICA</v>
      </c>
      <c r="NX192" s="6"/>
      <c r="NY192" s="6"/>
      <c r="NZ192" s="6"/>
      <c r="OA192" s="6"/>
      <c r="OB192" s="5" t="str">
        <f t="shared" si="560"/>
        <v>NO APLICA</v>
      </c>
      <c r="OC192" s="6"/>
      <c r="OD192" s="6"/>
      <c r="OE192" s="6"/>
      <c r="OF192" s="6"/>
      <c r="OG192" s="5" t="str">
        <f t="shared" si="561"/>
        <v>NO APLICA</v>
      </c>
      <c r="OH192" s="6"/>
      <c r="OI192" s="6"/>
      <c r="OJ192" s="6"/>
      <c r="OK192" s="6"/>
      <c r="OL192" s="5" t="str">
        <f t="shared" si="562"/>
        <v>NO APLICA</v>
      </c>
      <c r="OM192" s="6"/>
      <c r="ON192" s="6"/>
      <c r="OO192" s="6"/>
      <c r="OP192" s="6"/>
      <c r="OQ192" s="5" t="str">
        <f t="shared" si="563"/>
        <v>NO APLICA</v>
      </c>
      <c r="OR192" s="6"/>
      <c r="OS192" s="6"/>
      <c r="OT192" s="6"/>
      <c r="OU192" s="6"/>
      <c r="OV192" s="5" t="str">
        <f t="shared" si="564"/>
        <v>NO APLICA</v>
      </c>
      <c r="OW192" s="6"/>
      <c r="OX192" s="6"/>
      <c r="OY192" s="6"/>
      <c r="OZ192" s="6"/>
      <c r="PA192" s="5" t="str">
        <f t="shared" si="565"/>
        <v>NO APLICA</v>
      </c>
      <c r="PB192" s="6"/>
      <c r="PC192" s="6"/>
      <c r="PD192" s="6"/>
      <c r="PE192" s="6"/>
      <c r="PF192" s="5" t="str">
        <f t="shared" si="566"/>
        <v>NO APLICA</v>
      </c>
      <c r="PG192" s="6"/>
      <c r="PH192" s="6"/>
      <c r="PI192" s="6"/>
      <c r="PJ192" s="6"/>
      <c r="PK192" s="5" t="str">
        <f t="shared" si="567"/>
        <v>NO APLICA</v>
      </c>
      <c r="PL192" s="5"/>
      <c r="PM192" s="6"/>
      <c r="PN192" s="6"/>
      <c r="PO192" s="6"/>
      <c r="PP192" s="5" t="str">
        <f t="shared" si="568"/>
        <v>NO APLICA</v>
      </c>
      <c r="PQ192" s="6"/>
      <c r="PR192" s="6"/>
      <c r="PS192" s="6"/>
      <c r="PT192" s="6"/>
      <c r="PU192" s="5" t="str">
        <f t="shared" si="569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70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610</v>
      </c>
      <c r="D193" s="30" t="s">
        <v>611</v>
      </c>
      <c r="E193" s="31" t="s">
        <v>612</v>
      </c>
      <c r="F193" s="3"/>
      <c r="G193" s="4"/>
      <c r="H193" s="4"/>
      <c r="I193" s="8"/>
      <c r="J193" s="5" t="str">
        <f t="shared" si="710"/>
        <v>NO APLICA</v>
      </c>
      <c r="K193" s="2"/>
      <c r="L193" s="2"/>
      <c r="M193" s="2"/>
      <c r="N193" s="2"/>
      <c r="O193" s="5" t="str">
        <f t="shared" si="465"/>
        <v>NO APLICA</v>
      </c>
      <c r="P193" s="6"/>
      <c r="Q193" s="6"/>
      <c r="R193" s="4"/>
      <c r="S193" s="8"/>
      <c r="T193" s="5" t="str">
        <f t="shared" si="711"/>
        <v>NO APLICA</v>
      </c>
      <c r="U193" s="5"/>
      <c r="V193" s="2"/>
      <c r="W193" s="4"/>
      <c r="X193" s="4"/>
      <c r="Y193" s="8"/>
      <c r="Z193" s="5" t="str">
        <f t="shared" si="619"/>
        <v>NO APLICA</v>
      </c>
      <c r="AA193" s="5"/>
      <c r="AB193" s="2"/>
      <c r="AC193" s="6"/>
      <c r="AD193" s="4"/>
      <c r="AE193" s="8"/>
      <c r="AF193" s="5" t="str">
        <f t="shared" si="466"/>
        <v>NO APLICA</v>
      </c>
      <c r="AG193" s="2"/>
      <c r="AH193" s="4"/>
      <c r="AI193" s="4"/>
      <c r="AJ193" s="8"/>
      <c r="AK193" s="5" t="str">
        <f t="shared" si="616"/>
        <v>NO APLICA</v>
      </c>
      <c r="AL193" s="2"/>
      <c r="AM193" s="4"/>
      <c r="AN193" s="4"/>
      <c r="AO193" s="8"/>
      <c r="AP193" s="5" t="str">
        <f t="shared" si="469"/>
        <v>NO APLICA</v>
      </c>
      <c r="AQ193" s="2"/>
      <c r="AR193" s="4"/>
      <c r="AS193" s="4"/>
      <c r="AT193" s="8"/>
      <c r="AU193" s="5" t="str">
        <f t="shared" si="471"/>
        <v>NO APLICA</v>
      </c>
      <c r="AV193" s="2"/>
      <c r="AW193" s="4"/>
      <c r="AX193" s="4"/>
      <c r="AY193" s="8"/>
      <c r="AZ193" s="5" t="str">
        <f t="shared" si="473"/>
        <v>NO APLICA</v>
      </c>
      <c r="BA193" s="3"/>
      <c r="BB193" s="4"/>
      <c r="BC193" s="4"/>
      <c r="BD193" s="8"/>
      <c r="BE193" s="5" t="str">
        <f t="shared" si="475"/>
        <v>NO APLICA</v>
      </c>
      <c r="BF193" s="2"/>
      <c r="BG193" s="4"/>
      <c r="BH193" s="4"/>
      <c r="BI193" s="8"/>
      <c r="BJ193" s="5" t="str">
        <f t="shared" si="477"/>
        <v>NO APLICA</v>
      </c>
      <c r="BK193" s="3"/>
      <c r="BL193" s="4"/>
      <c r="BM193" s="4"/>
      <c r="BN193" s="8"/>
      <c r="BO193" s="5" t="str">
        <f t="shared" si="479"/>
        <v>NO APLICA</v>
      </c>
      <c r="BP193" s="3"/>
      <c r="BQ193" s="4"/>
      <c r="BR193" s="4"/>
      <c r="BS193" s="8"/>
      <c r="BT193" s="5" t="str">
        <f t="shared" si="481"/>
        <v>NO APLICA</v>
      </c>
      <c r="BU193" s="2"/>
      <c r="BV193" s="4"/>
      <c r="BW193" s="4"/>
      <c r="BX193" s="8"/>
      <c r="BY193" s="5" t="str">
        <f t="shared" si="483"/>
        <v>NO APLICA</v>
      </c>
      <c r="BZ193" s="2"/>
      <c r="CA193" s="4"/>
      <c r="CB193" s="4"/>
      <c r="CC193" s="8"/>
      <c r="CD193" s="5" t="str">
        <f t="shared" si="485"/>
        <v>NO APLICA</v>
      </c>
      <c r="CE193" s="6"/>
      <c r="CF193" s="4"/>
      <c r="CG193" s="4"/>
      <c r="CH193" s="8"/>
      <c r="CI193" s="5" t="str">
        <f t="shared" si="587"/>
        <v>NO APLICA</v>
      </c>
      <c r="CJ193" s="6"/>
      <c r="CK193" s="4"/>
      <c r="CL193" s="4"/>
      <c r="CM193" s="8"/>
      <c r="CN193" s="5" t="str">
        <f t="shared" si="487"/>
        <v>NO APLICA</v>
      </c>
      <c r="CO193" s="2"/>
      <c r="CP193" s="4"/>
      <c r="CQ193" s="4"/>
      <c r="CR193" s="8"/>
      <c r="CS193" s="5" t="str">
        <f t="shared" si="489"/>
        <v>NO APLICA</v>
      </c>
      <c r="CT193" s="2"/>
      <c r="CU193" s="4"/>
      <c r="CV193" s="4"/>
      <c r="CW193" s="8"/>
      <c r="CX193" s="5" t="str">
        <f t="shared" si="491"/>
        <v>NO APLICA</v>
      </c>
      <c r="CY193" s="3"/>
      <c r="CZ193" s="4"/>
      <c r="DA193" s="4"/>
      <c r="DB193" s="8"/>
      <c r="DC193" s="5" t="str">
        <f t="shared" si="493"/>
        <v>NO APLICA</v>
      </c>
      <c r="DD193" s="3"/>
      <c r="DE193" s="4"/>
      <c r="DF193" s="4"/>
      <c r="DG193" s="8"/>
      <c r="DH193" s="5" t="str">
        <f t="shared" si="495"/>
        <v>NO APLICA</v>
      </c>
      <c r="DI193" s="2"/>
      <c r="DJ193" s="4"/>
      <c r="DK193" s="4"/>
      <c r="DL193" s="8"/>
      <c r="DM193" s="5" t="str">
        <f t="shared" si="497"/>
        <v>NO APLICA</v>
      </c>
      <c r="DN193" s="3"/>
      <c r="DO193" s="4"/>
      <c r="DP193" s="4"/>
      <c r="DQ193" s="8"/>
      <c r="DR193" s="5" t="str">
        <f t="shared" si="499"/>
        <v>NO APLICA</v>
      </c>
      <c r="DS193" s="2"/>
      <c r="DT193" s="4"/>
      <c r="DU193" s="4"/>
      <c r="DV193" s="8"/>
      <c r="DW193" s="5" t="str">
        <f t="shared" si="501"/>
        <v>NO APLICA</v>
      </c>
      <c r="DX193" s="3"/>
      <c r="DY193" s="4"/>
      <c r="DZ193" s="4"/>
      <c r="EA193" s="8"/>
      <c r="EB193" s="5" t="str">
        <f t="shared" si="503"/>
        <v>NO APLICA</v>
      </c>
      <c r="EC193" s="3"/>
      <c r="ED193" s="4"/>
      <c r="EE193" s="4"/>
      <c r="EF193" s="8"/>
      <c r="EG193" s="5" t="str">
        <f t="shared" si="505"/>
        <v>NO APLICA</v>
      </c>
      <c r="EH193" s="2"/>
      <c r="EI193" s="4"/>
      <c r="EJ193" s="4"/>
      <c r="EK193" s="8"/>
      <c r="EL193" s="5" t="str">
        <f t="shared" si="507"/>
        <v>NO APLICA</v>
      </c>
      <c r="EM193" s="3"/>
      <c r="EN193" s="4"/>
      <c r="EO193" s="4"/>
      <c r="EP193" s="8"/>
      <c r="EQ193" s="5" t="str">
        <f t="shared" si="509"/>
        <v>NO APLICA</v>
      </c>
      <c r="ER193" s="2"/>
      <c r="ES193" s="4"/>
      <c r="ET193" s="4"/>
      <c r="EU193" s="8"/>
      <c r="EV193" s="5" t="str">
        <f t="shared" si="511"/>
        <v>NO APLICA</v>
      </c>
      <c r="EW193" s="2"/>
      <c r="EX193" s="4"/>
      <c r="EY193" s="4"/>
      <c r="EZ193" s="8"/>
      <c r="FA193" s="5" t="str">
        <f t="shared" si="513"/>
        <v>NO APLICA</v>
      </c>
      <c r="FB193" s="2"/>
      <c r="FC193" s="4"/>
      <c r="FD193" s="4"/>
      <c r="FE193" s="8"/>
      <c r="FF193" s="5" t="str">
        <f t="shared" si="515"/>
        <v>NO APLICA</v>
      </c>
      <c r="FG193" s="2"/>
      <c r="FH193" s="4"/>
      <c r="FI193" s="4"/>
      <c r="FJ193" s="8"/>
      <c r="FK193" s="5" t="str">
        <f t="shared" si="517"/>
        <v>NO APLICA</v>
      </c>
      <c r="FL193" s="3"/>
      <c r="FM193" s="4"/>
      <c r="FN193" s="4"/>
      <c r="FO193" s="8"/>
      <c r="FP193" s="5" t="str">
        <f t="shared" si="519"/>
        <v>NO APLICA</v>
      </c>
      <c r="FQ193" s="3"/>
      <c r="FR193" s="4"/>
      <c r="FS193" s="4"/>
      <c r="FT193" s="8"/>
      <c r="FU193" s="5" t="str">
        <f t="shared" si="521"/>
        <v>NO APLICA</v>
      </c>
      <c r="FV193" s="3"/>
      <c r="FW193" s="4"/>
      <c r="FX193" s="4"/>
      <c r="FY193" s="8"/>
      <c r="FZ193" s="5" t="str">
        <f t="shared" si="523"/>
        <v>NO APLICA</v>
      </c>
      <c r="GA193" s="3"/>
      <c r="GB193" s="4"/>
      <c r="GC193" s="4"/>
      <c r="GD193" s="8"/>
      <c r="GE193" s="5" t="str">
        <f t="shared" si="525"/>
        <v>NO APLICA</v>
      </c>
      <c r="GF193" s="3"/>
      <c r="GG193" s="4"/>
      <c r="GH193" s="4"/>
      <c r="GI193" s="8"/>
      <c r="GJ193" s="5" t="str">
        <f t="shared" si="527"/>
        <v>NO APLICA</v>
      </c>
      <c r="GK193" s="3"/>
      <c r="GL193" s="4"/>
      <c r="GM193" s="4"/>
      <c r="GN193" s="8"/>
      <c r="GO193" s="5" t="str">
        <f t="shared" si="529"/>
        <v>NO APLICA</v>
      </c>
      <c r="GP193" s="4"/>
      <c r="GQ193" s="4"/>
      <c r="GR193" s="4"/>
      <c r="GS193" s="8"/>
      <c r="GT193" s="5" t="str">
        <f t="shared" si="624"/>
        <v>NO APLICA</v>
      </c>
      <c r="GU193" s="3"/>
      <c r="GV193" s="4"/>
      <c r="GW193" s="4"/>
      <c r="GX193" s="8"/>
      <c r="GY193" s="5" t="str">
        <f t="shared" si="625"/>
        <v>NO APLICA</v>
      </c>
      <c r="GZ193" s="2"/>
      <c r="HA193" s="4"/>
      <c r="HB193" s="4"/>
      <c r="HC193" s="8"/>
      <c r="HD193" s="5" t="str">
        <f t="shared" si="626"/>
        <v>NO APLICA</v>
      </c>
      <c r="HE193" s="6"/>
      <c r="HF193" s="6"/>
      <c r="HG193" s="4"/>
      <c r="HH193" s="8"/>
      <c r="HI193" s="5" t="str">
        <f t="shared" si="712"/>
        <v>NO APLICA</v>
      </c>
      <c r="HJ193" s="2"/>
      <c r="HK193" s="6"/>
      <c r="HL193" s="4"/>
      <c r="HM193" s="8"/>
      <c r="HN193" s="5" t="str">
        <f t="shared" si="708"/>
        <v>NO APLICA</v>
      </c>
      <c r="HO193" s="2"/>
      <c r="HP193" s="2"/>
      <c r="HQ193" s="4"/>
      <c r="HR193" s="2"/>
      <c r="HS193" s="5" t="str">
        <f t="shared" si="535"/>
        <v>NO APLICA</v>
      </c>
      <c r="HT193" s="2"/>
      <c r="HU193" s="6"/>
      <c r="HV193" s="4"/>
      <c r="HW193" s="8"/>
      <c r="HX193" s="5" t="str">
        <f t="shared" si="536"/>
        <v>NO APLICA</v>
      </c>
      <c r="HY193" s="2"/>
      <c r="HZ193" s="6"/>
      <c r="IA193" s="4"/>
      <c r="IB193" s="8"/>
      <c r="IC193" s="5" t="str">
        <f t="shared" si="537"/>
        <v>NO APLICA</v>
      </c>
      <c r="ID193" s="2"/>
      <c r="IE193" s="6"/>
      <c r="IF193" s="4"/>
      <c r="IG193" s="8"/>
      <c r="IH193" s="5" t="str">
        <f t="shared" si="538"/>
        <v>NO APLICA</v>
      </c>
      <c r="II193" s="6"/>
      <c r="IJ193" s="6"/>
      <c r="IK193" s="4"/>
      <c r="IL193" s="8"/>
      <c r="IM193" s="5" t="str">
        <f t="shared" si="539"/>
        <v>NO APLICA</v>
      </c>
      <c r="IN193" s="2"/>
      <c r="IO193" s="6"/>
      <c r="IP193" s="4"/>
      <c r="IQ193" s="8"/>
      <c r="IR193" s="5" t="str">
        <f t="shared" si="540"/>
        <v>NO APLICA</v>
      </c>
      <c r="IS193" s="2"/>
      <c r="IT193" s="6"/>
      <c r="IU193" s="4"/>
      <c r="IV193" s="8"/>
      <c r="IW193" s="5" t="str">
        <f t="shared" si="541"/>
        <v>NO APLICA</v>
      </c>
      <c r="IX193" s="2"/>
      <c r="IY193" s="6"/>
      <c r="IZ193" s="4"/>
      <c r="JA193" s="8"/>
      <c r="JB193" s="5" t="str">
        <f t="shared" si="542"/>
        <v>NO APLICA</v>
      </c>
      <c r="JC193" s="3"/>
      <c r="JD193" s="3"/>
      <c r="JE193" s="4"/>
      <c r="JF193" s="8"/>
      <c r="JG193" s="5" t="str">
        <f t="shared" si="543"/>
        <v>NO APLICA</v>
      </c>
      <c r="JH193" s="6"/>
      <c r="JI193" s="6"/>
      <c r="JJ193" s="6"/>
      <c r="JK193" s="6"/>
      <c r="JL193" s="5" t="str">
        <f t="shared" si="544"/>
        <v>NO APLICA</v>
      </c>
      <c r="JM193" s="6"/>
      <c r="JN193" s="6"/>
      <c r="JO193" s="6"/>
      <c r="JP193" s="6"/>
      <c r="JQ193" s="5" t="str">
        <f t="shared" si="545"/>
        <v>NO APLICA</v>
      </c>
      <c r="JR193" s="6"/>
      <c r="JS193" s="6"/>
      <c r="JT193" s="6"/>
      <c r="JU193" s="6"/>
      <c r="JV193" s="5" t="str">
        <f t="shared" si="546"/>
        <v>NO APLICA</v>
      </c>
      <c r="JW193" s="5"/>
      <c r="JX193" s="5"/>
      <c r="JY193" s="5"/>
      <c r="JZ193" s="5"/>
      <c r="KA193" s="5" t="str">
        <f t="shared" si="547"/>
        <v>NO APLICA</v>
      </c>
      <c r="KB193" s="5"/>
      <c r="KC193" s="2"/>
      <c r="KD193" s="4"/>
      <c r="KE193" s="8"/>
      <c r="KF193" s="5" t="str">
        <f t="shared" si="548"/>
        <v>NO APLICA</v>
      </c>
      <c r="KG193" s="5"/>
      <c r="KH193" s="2"/>
      <c r="KI193" s="4"/>
      <c r="KJ193" s="8"/>
      <c r="KK193" s="5" t="str">
        <f t="shared" si="573"/>
        <v>NO APLICA</v>
      </c>
      <c r="KL193" s="5"/>
      <c r="KM193" s="2"/>
      <c r="KN193" s="4"/>
      <c r="KO193" s="8"/>
      <c r="KP193" s="5" t="str">
        <f t="shared" si="549"/>
        <v>NO APLICA</v>
      </c>
      <c r="KQ193" s="5"/>
      <c r="KR193" s="2"/>
      <c r="KS193" s="4"/>
      <c r="KT193" s="8"/>
      <c r="KU193" s="5" t="str">
        <f t="shared" si="574"/>
        <v>NO APLICA</v>
      </c>
      <c r="KV193" s="2"/>
      <c r="KW193" s="6"/>
      <c r="KX193" s="4"/>
      <c r="KY193" s="8"/>
      <c r="KZ193" s="5" t="str">
        <f t="shared" si="579"/>
        <v>NO APLICA</v>
      </c>
      <c r="LA193" s="5"/>
      <c r="LB193" s="6"/>
      <c r="LC193" s="4"/>
      <c r="LD193" s="8"/>
      <c r="LE193" s="5" t="str">
        <f t="shared" si="575"/>
        <v>NO APLICA</v>
      </c>
      <c r="LF193" s="6"/>
      <c r="LG193" s="6"/>
      <c r="LH193" s="4"/>
      <c r="LI193" s="8"/>
      <c r="LJ193" s="5" t="str">
        <f t="shared" si="614"/>
        <v>NO APLICA</v>
      </c>
      <c r="LK193" s="5"/>
      <c r="LL193" s="5"/>
      <c r="LM193" s="4"/>
      <c r="LN193" s="8"/>
      <c r="LO193" s="5" t="str">
        <f t="shared" si="580"/>
        <v>NO APLICA</v>
      </c>
      <c r="LP193" s="2"/>
      <c r="LQ193" s="6"/>
      <c r="LR193" s="4"/>
      <c r="LS193" s="8"/>
      <c r="LT193" s="5" t="str">
        <f t="shared" si="576"/>
        <v>NO APLICA</v>
      </c>
      <c r="LU193" s="6"/>
      <c r="LV193" s="6"/>
      <c r="LW193" s="4"/>
      <c r="LX193" s="8"/>
      <c r="LY193" s="5" t="str">
        <f t="shared" si="577"/>
        <v>NO APLICA</v>
      </c>
      <c r="LZ193" s="6"/>
      <c r="MA193" s="6"/>
      <c r="MB193" s="4"/>
      <c r="MC193" s="8"/>
      <c r="MD193" s="5" t="str">
        <f t="shared" si="578"/>
        <v>NO APLICA</v>
      </c>
      <c r="ME193" s="2"/>
      <c r="MF193" s="2"/>
      <c r="MG193" s="4"/>
      <c r="MH193" s="8"/>
      <c r="MI193" s="5" t="str">
        <f t="shared" si="551"/>
        <v>NO APLICA</v>
      </c>
      <c r="MJ193" s="2"/>
      <c r="MK193" s="2"/>
      <c r="ML193" s="4"/>
      <c r="MM193" s="8"/>
      <c r="MN193" s="5" t="str">
        <f t="shared" si="552"/>
        <v>NO APLICA</v>
      </c>
      <c r="MO193" s="5"/>
      <c r="MP193" s="2"/>
      <c r="MQ193" s="4"/>
      <c r="MR193" s="8"/>
      <c r="MS193" s="5" t="str">
        <f t="shared" si="553"/>
        <v>NO APLICA</v>
      </c>
      <c r="MT193" s="5"/>
      <c r="MU193" s="2"/>
      <c r="MV193" s="4"/>
      <c r="MW193" s="2"/>
      <c r="MX193" s="5" t="str">
        <f t="shared" si="554"/>
        <v>NO APLICA</v>
      </c>
      <c r="MY193" s="2"/>
      <c r="MZ193" s="6"/>
      <c r="NA193" s="4"/>
      <c r="NB193" s="8"/>
      <c r="NC193" s="5" t="str">
        <f t="shared" si="555"/>
        <v>NO APLICA</v>
      </c>
      <c r="ND193" s="2"/>
      <c r="NE193" s="6"/>
      <c r="NF193" s="4"/>
      <c r="NG193" s="8"/>
      <c r="NH193" s="5" t="str">
        <f t="shared" si="556"/>
        <v>NO APLICA</v>
      </c>
      <c r="NI193" s="2"/>
      <c r="NJ193" s="6"/>
      <c r="NK193" s="4"/>
      <c r="NL193" s="8"/>
      <c r="NM193" s="5" t="str">
        <f t="shared" si="557"/>
        <v>NO APLICA</v>
      </c>
      <c r="NN193" s="2"/>
      <c r="NO193" s="2"/>
      <c r="NP193" s="4"/>
      <c r="NQ193" s="8"/>
      <c r="NR193" s="5" t="str">
        <f t="shared" si="558"/>
        <v>NO APLICA</v>
      </c>
      <c r="NS193" s="2"/>
      <c r="NT193" s="2"/>
      <c r="NU193" s="4"/>
      <c r="NV193" s="2"/>
      <c r="NW193" s="5" t="str">
        <f t="shared" si="559"/>
        <v>NO APLICA</v>
      </c>
      <c r="NX193" s="6"/>
      <c r="NY193" s="6"/>
      <c r="NZ193" s="4"/>
      <c r="OA193" s="8"/>
      <c r="OB193" s="5" t="str">
        <f t="shared" si="560"/>
        <v>NO APLICA</v>
      </c>
      <c r="OC193" s="6"/>
      <c r="OD193" s="6"/>
      <c r="OE193" s="6"/>
      <c r="OF193" s="6"/>
      <c r="OG193" s="5" t="str">
        <f t="shared" si="561"/>
        <v>NO APLICA</v>
      </c>
      <c r="OH193" s="6"/>
      <c r="OI193" s="6"/>
      <c r="OJ193" s="4"/>
      <c r="OK193" s="8"/>
      <c r="OL193" s="5" t="str">
        <f t="shared" si="562"/>
        <v>NO APLICA</v>
      </c>
      <c r="OM193" s="6"/>
      <c r="ON193" s="6"/>
      <c r="OO193" s="6"/>
      <c r="OP193" s="6"/>
      <c r="OQ193" s="5" t="str">
        <f t="shared" si="563"/>
        <v>NO APLICA</v>
      </c>
      <c r="OR193" s="6"/>
      <c r="OS193" s="6"/>
      <c r="OT193" s="6"/>
      <c r="OU193" s="6"/>
      <c r="OV193" s="5" t="str">
        <f t="shared" si="564"/>
        <v>NO APLICA</v>
      </c>
      <c r="OW193" s="6"/>
      <c r="OX193" s="6"/>
      <c r="OY193" s="6"/>
      <c r="OZ193" s="6"/>
      <c r="PA193" s="5" t="str">
        <f t="shared" si="565"/>
        <v>NO APLICA</v>
      </c>
      <c r="PB193" s="6"/>
      <c r="PC193" s="6"/>
      <c r="PD193" s="6"/>
      <c r="PE193" s="6"/>
      <c r="PF193" s="5" t="str">
        <f t="shared" si="566"/>
        <v>NO APLICA</v>
      </c>
      <c r="PG193" s="6"/>
      <c r="PH193" s="6"/>
      <c r="PI193" s="6"/>
      <c r="PJ193" s="6"/>
      <c r="PK193" s="5" t="str">
        <f t="shared" si="567"/>
        <v>NO APLICA</v>
      </c>
      <c r="PL193" s="5"/>
      <c r="PM193" s="6"/>
      <c r="PN193" s="4"/>
      <c r="PO193" s="8"/>
      <c r="PP193" s="5" t="str">
        <f t="shared" si="568"/>
        <v>NO APLICA</v>
      </c>
      <c r="PQ193" s="6"/>
      <c r="PR193" s="6"/>
      <c r="PS193" s="6"/>
      <c r="PT193" s="6"/>
      <c r="PU193" s="5" t="str">
        <f t="shared" si="569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70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613</v>
      </c>
      <c r="D194" s="30" t="s">
        <v>115</v>
      </c>
      <c r="E194" s="31" t="s">
        <v>609</v>
      </c>
      <c r="F194" s="3"/>
      <c r="G194" s="4"/>
      <c r="H194" s="4"/>
      <c r="I194" s="8"/>
      <c r="J194" s="5" t="str">
        <f t="shared" si="710"/>
        <v>NO APLICA</v>
      </c>
      <c r="K194" s="2"/>
      <c r="L194" s="2"/>
      <c r="M194" s="2"/>
      <c r="N194" s="2"/>
      <c r="O194" s="5" t="str">
        <f t="shared" si="465"/>
        <v>NO APLICA</v>
      </c>
      <c r="P194" s="6"/>
      <c r="Q194" s="6"/>
      <c r="R194" s="4"/>
      <c r="S194" s="8"/>
      <c r="T194" s="5" t="str">
        <f t="shared" si="711"/>
        <v>NO APLICA</v>
      </c>
      <c r="U194" s="5"/>
      <c r="V194" s="2"/>
      <c r="W194" s="4"/>
      <c r="X194" s="4"/>
      <c r="Y194" s="8"/>
      <c r="Z194" s="5" t="str">
        <f t="shared" si="619"/>
        <v>NO APLICA</v>
      </c>
      <c r="AA194" s="5"/>
      <c r="AB194" s="2"/>
      <c r="AC194" s="6"/>
      <c r="AD194" s="4"/>
      <c r="AE194" s="8"/>
      <c r="AF194" s="5" t="str">
        <f t="shared" si="466"/>
        <v>NO APLICA</v>
      </c>
      <c r="AG194" s="2"/>
      <c r="AH194" s="4"/>
      <c r="AI194" s="4"/>
      <c r="AJ194" s="8"/>
      <c r="AK194" s="5" t="str">
        <f t="shared" si="616"/>
        <v>NO APLICA</v>
      </c>
      <c r="AL194" s="2"/>
      <c r="AM194" s="4"/>
      <c r="AN194" s="4"/>
      <c r="AO194" s="8"/>
      <c r="AP194" s="5" t="str">
        <f t="shared" si="469"/>
        <v>NO APLICA</v>
      </c>
      <c r="AQ194" s="2"/>
      <c r="AR194" s="4"/>
      <c r="AS194" s="4"/>
      <c r="AT194" s="8"/>
      <c r="AU194" s="5" t="str">
        <f t="shared" si="471"/>
        <v>NO APLICA</v>
      </c>
      <c r="AV194" s="2"/>
      <c r="AW194" s="4"/>
      <c r="AX194" s="4"/>
      <c r="AY194" s="8"/>
      <c r="AZ194" s="5" t="str">
        <f t="shared" si="473"/>
        <v>NO APLICA</v>
      </c>
      <c r="BA194" s="3"/>
      <c r="BB194" s="4"/>
      <c r="BC194" s="4"/>
      <c r="BD194" s="8"/>
      <c r="BE194" s="5" t="str">
        <f t="shared" si="475"/>
        <v>NO APLICA</v>
      </c>
      <c r="BF194" s="2"/>
      <c r="BG194" s="4"/>
      <c r="BH194" s="4"/>
      <c r="BI194" s="8"/>
      <c r="BJ194" s="5" t="str">
        <f t="shared" si="477"/>
        <v>NO APLICA</v>
      </c>
      <c r="BK194" s="3"/>
      <c r="BL194" s="4"/>
      <c r="BM194" s="4"/>
      <c r="BN194" s="8"/>
      <c r="BO194" s="5" t="str">
        <f t="shared" si="479"/>
        <v>NO APLICA</v>
      </c>
      <c r="BP194" s="3"/>
      <c r="BQ194" s="4"/>
      <c r="BR194" s="4"/>
      <c r="BS194" s="8"/>
      <c r="BT194" s="5" t="str">
        <f t="shared" si="481"/>
        <v>NO APLICA</v>
      </c>
      <c r="BU194" s="2"/>
      <c r="BV194" s="4"/>
      <c r="BW194" s="4"/>
      <c r="BX194" s="8"/>
      <c r="BY194" s="5" t="str">
        <f t="shared" si="483"/>
        <v>NO APLICA</v>
      </c>
      <c r="BZ194" s="2"/>
      <c r="CA194" s="4"/>
      <c r="CB194" s="4"/>
      <c r="CC194" s="8"/>
      <c r="CD194" s="5" t="str">
        <f t="shared" si="485"/>
        <v>NO APLICA</v>
      </c>
      <c r="CE194" s="6"/>
      <c r="CF194" s="4"/>
      <c r="CG194" s="4"/>
      <c r="CH194" s="8"/>
      <c r="CI194" s="5" t="str">
        <f t="shared" si="587"/>
        <v>NO APLICA</v>
      </c>
      <c r="CJ194" s="6"/>
      <c r="CK194" s="4"/>
      <c r="CL194" s="4"/>
      <c r="CM194" s="8"/>
      <c r="CN194" s="5" t="str">
        <f t="shared" si="487"/>
        <v>NO APLICA</v>
      </c>
      <c r="CO194" s="2"/>
      <c r="CP194" s="4"/>
      <c r="CQ194" s="4"/>
      <c r="CR194" s="8"/>
      <c r="CS194" s="5" t="str">
        <f t="shared" si="489"/>
        <v>NO APLICA</v>
      </c>
      <c r="CT194" s="2"/>
      <c r="CU194" s="4"/>
      <c r="CV194" s="4"/>
      <c r="CW194" s="8"/>
      <c r="CX194" s="5" t="str">
        <f t="shared" si="491"/>
        <v>NO APLICA</v>
      </c>
      <c r="CY194" s="3"/>
      <c r="CZ194" s="4"/>
      <c r="DA194" s="4"/>
      <c r="DB194" s="8"/>
      <c r="DC194" s="5" t="str">
        <f t="shared" si="493"/>
        <v>NO APLICA</v>
      </c>
      <c r="DD194" s="3"/>
      <c r="DE194" s="4"/>
      <c r="DF194" s="4"/>
      <c r="DG194" s="8"/>
      <c r="DH194" s="5" t="str">
        <f t="shared" si="495"/>
        <v>NO APLICA</v>
      </c>
      <c r="DI194" s="2"/>
      <c r="DJ194" s="4"/>
      <c r="DK194" s="4"/>
      <c r="DL194" s="8"/>
      <c r="DM194" s="5" t="str">
        <f t="shared" si="497"/>
        <v>NO APLICA</v>
      </c>
      <c r="DN194" s="3"/>
      <c r="DO194" s="4"/>
      <c r="DP194" s="4"/>
      <c r="DQ194" s="8"/>
      <c r="DR194" s="5" t="str">
        <f t="shared" si="499"/>
        <v>NO APLICA</v>
      </c>
      <c r="DS194" s="2"/>
      <c r="DT194" s="4"/>
      <c r="DU194" s="4"/>
      <c r="DV194" s="8"/>
      <c r="DW194" s="5" t="str">
        <f t="shared" si="501"/>
        <v>NO APLICA</v>
      </c>
      <c r="DX194" s="3"/>
      <c r="DY194" s="4"/>
      <c r="DZ194" s="4"/>
      <c r="EA194" s="8"/>
      <c r="EB194" s="5" t="str">
        <f t="shared" si="503"/>
        <v>NO APLICA</v>
      </c>
      <c r="EC194" s="3"/>
      <c r="ED194" s="4"/>
      <c r="EE194" s="4"/>
      <c r="EF194" s="8"/>
      <c r="EG194" s="5" t="str">
        <f t="shared" si="505"/>
        <v>NO APLICA</v>
      </c>
      <c r="EH194" s="2"/>
      <c r="EI194" s="4"/>
      <c r="EJ194" s="4"/>
      <c r="EK194" s="8"/>
      <c r="EL194" s="5" t="str">
        <f t="shared" si="507"/>
        <v>NO APLICA</v>
      </c>
      <c r="EM194" s="3"/>
      <c r="EN194" s="4"/>
      <c r="EO194" s="4"/>
      <c r="EP194" s="8"/>
      <c r="EQ194" s="5" t="str">
        <f t="shared" si="509"/>
        <v>NO APLICA</v>
      </c>
      <c r="ER194" s="2"/>
      <c r="ES194" s="4"/>
      <c r="ET194" s="4"/>
      <c r="EU194" s="8"/>
      <c r="EV194" s="5" t="str">
        <f t="shared" si="511"/>
        <v>NO APLICA</v>
      </c>
      <c r="EW194" s="2"/>
      <c r="EX194" s="4"/>
      <c r="EY194" s="4"/>
      <c r="EZ194" s="8"/>
      <c r="FA194" s="5" t="str">
        <f t="shared" si="513"/>
        <v>NO APLICA</v>
      </c>
      <c r="FB194" s="2"/>
      <c r="FC194" s="4"/>
      <c r="FD194" s="4"/>
      <c r="FE194" s="8"/>
      <c r="FF194" s="5" t="str">
        <f t="shared" si="515"/>
        <v>NO APLICA</v>
      </c>
      <c r="FG194" s="2"/>
      <c r="FH194" s="4"/>
      <c r="FI194" s="4"/>
      <c r="FJ194" s="8"/>
      <c r="FK194" s="5" t="str">
        <f t="shared" si="517"/>
        <v>NO APLICA</v>
      </c>
      <c r="FL194" s="3"/>
      <c r="FM194" s="4"/>
      <c r="FN194" s="4"/>
      <c r="FO194" s="8"/>
      <c r="FP194" s="5" t="str">
        <f t="shared" si="519"/>
        <v>NO APLICA</v>
      </c>
      <c r="FQ194" s="3"/>
      <c r="FR194" s="4"/>
      <c r="FS194" s="4"/>
      <c r="FT194" s="8"/>
      <c r="FU194" s="5" t="str">
        <f t="shared" si="521"/>
        <v>NO APLICA</v>
      </c>
      <c r="FV194" s="3"/>
      <c r="FW194" s="4"/>
      <c r="FX194" s="4"/>
      <c r="FY194" s="8"/>
      <c r="FZ194" s="5" t="str">
        <f t="shared" si="523"/>
        <v>NO APLICA</v>
      </c>
      <c r="GA194" s="3"/>
      <c r="GB194" s="4"/>
      <c r="GC194" s="4"/>
      <c r="GD194" s="8"/>
      <c r="GE194" s="5" t="str">
        <f t="shared" si="525"/>
        <v>NO APLICA</v>
      </c>
      <c r="GF194" s="3"/>
      <c r="GG194" s="4"/>
      <c r="GH194" s="4"/>
      <c r="GI194" s="8"/>
      <c r="GJ194" s="5" t="str">
        <f t="shared" si="527"/>
        <v>NO APLICA</v>
      </c>
      <c r="GK194" s="3"/>
      <c r="GL194" s="4"/>
      <c r="GM194" s="4"/>
      <c r="GN194" s="8"/>
      <c r="GO194" s="5" t="str">
        <f t="shared" si="529"/>
        <v>NO APLICA</v>
      </c>
      <c r="GP194" s="4"/>
      <c r="GQ194" s="4"/>
      <c r="GR194" s="4"/>
      <c r="GS194" s="8"/>
      <c r="GT194" s="5" t="str">
        <f t="shared" si="624"/>
        <v>NO APLICA</v>
      </c>
      <c r="GU194" s="3"/>
      <c r="GV194" s="4"/>
      <c r="GW194" s="4"/>
      <c r="GX194" s="8"/>
      <c r="GY194" s="5" t="str">
        <f t="shared" si="625"/>
        <v>NO APLICA</v>
      </c>
      <c r="GZ194" s="2"/>
      <c r="HA194" s="4"/>
      <c r="HB194" s="4"/>
      <c r="HC194" s="8"/>
      <c r="HD194" s="5" t="str">
        <f t="shared" si="626"/>
        <v>NO APLICA</v>
      </c>
      <c r="HE194" s="6"/>
      <c r="HF194" s="6"/>
      <c r="HG194" s="4"/>
      <c r="HH194" s="8"/>
      <c r="HI194" s="5" t="str">
        <f t="shared" si="712"/>
        <v>NO APLICA</v>
      </c>
      <c r="HJ194" s="2"/>
      <c r="HK194" s="6"/>
      <c r="HL194" s="4"/>
      <c r="HM194" s="8"/>
      <c r="HN194" s="5" t="str">
        <f t="shared" si="708"/>
        <v>NO APLICA</v>
      </c>
      <c r="HO194" s="2"/>
      <c r="HP194" s="2"/>
      <c r="HQ194" s="4"/>
      <c r="HR194" s="2"/>
      <c r="HS194" s="5" t="str">
        <f t="shared" si="535"/>
        <v>NO APLICA</v>
      </c>
      <c r="HT194" s="2"/>
      <c r="HU194" s="6"/>
      <c r="HV194" s="4"/>
      <c r="HW194" s="8"/>
      <c r="HX194" s="5" t="str">
        <f t="shared" si="536"/>
        <v>NO APLICA</v>
      </c>
      <c r="HY194" s="2"/>
      <c r="HZ194" s="6"/>
      <c r="IA194" s="4"/>
      <c r="IB194" s="8"/>
      <c r="IC194" s="5" t="str">
        <f t="shared" si="537"/>
        <v>NO APLICA</v>
      </c>
      <c r="ID194" s="2"/>
      <c r="IE194" s="6"/>
      <c r="IF194" s="4"/>
      <c r="IG194" s="8"/>
      <c r="IH194" s="5" t="str">
        <f t="shared" si="538"/>
        <v>NO APLICA</v>
      </c>
      <c r="II194" s="6"/>
      <c r="IJ194" s="6"/>
      <c r="IK194" s="4"/>
      <c r="IL194" s="8"/>
      <c r="IM194" s="5" t="str">
        <f t="shared" si="539"/>
        <v>NO APLICA</v>
      </c>
      <c r="IN194" s="2"/>
      <c r="IO194" s="6"/>
      <c r="IP194" s="4"/>
      <c r="IQ194" s="8"/>
      <c r="IR194" s="5" t="str">
        <f t="shared" si="540"/>
        <v>NO APLICA</v>
      </c>
      <c r="IS194" s="2"/>
      <c r="IT194" s="6"/>
      <c r="IU194" s="4"/>
      <c r="IV194" s="8"/>
      <c r="IW194" s="5" t="str">
        <f t="shared" si="541"/>
        <v>NO APLICA</v>
      </c>
      <c r="IX194" s="2"/>
      <c r="IY194" s="6"/>
      <c r="IZ194" s="4"/>
      <c r="JA194" s="8"/>
      <c r="JB194" s="5" t="str">
        <f t="shared" si="542"/>
        <v>NO APLICA</v>
      </c>
      <c r="JC194" s="3"/>
      <c r="JD194" s="3"/>
      <c r="JE194" s="4"/>
      <c r="JF194" s="8"/>
      <c r="JG194" s="5" t="str">
        <f t="shared" si="543"/>
        <v>NO APLICA</v>
      </c>
      <c r="JH194" s="6"/>
      <c r="JI194" s="6"/>
      <c r="JJ194" s="6"/>
      <c r="JK194" s="6"/>
      <c r="JL194" s="5" t="str">
        <f t="shared" si="544"/>
        <v>NO APLICA</v>
      </c>
      <c r="JM194" s="6"/>
      <c r="JN194" s="6"/>
      <c r="JO194" s="6"/>
      <c r="JP194" s="6"/>
      <c r="JQ194" s="5" t="str">
        <f t="shared" si="545"/>
        <v>NO APLICA</v>
      </c>
      <c r="JR194" s="6"/>
      <c r="JS194" s="6"/>
      <c r="JT194" s="6"/>
      <c r="JU194" s="6"/>
      <c r="JV194" s="5" t="str">
        <f t="shared" si="546"/>
        <v>NO APLICA</v>
      </c>
      <c r="JW194" s="5"/>
      <c r="JX194" s="5"/>
      <c r="JY194" s="5"/>
      <c r="JZ194" s="5"/>
      <c r="KA194" s="5" t="str">
        <f t="shared" si="547"/>
        <v>NO APLICA</v>
      </c>
      <c r="KB194" s="5"/>
      <c r="KC194" s="2"/>
      <c r="KD194" s="4"/>
      <c r="KE194" s="8"/>
      <c r="KF194" s="5" t="str">
        <f t="shared" si="548"/>
        <v>NO APLICA</v>
      </c>
      <c r="KG194" s="5"/>
      <c r="KH194" s="2"/>
      <c r="KI194" s="4"/>
      <c r="KJ194" s="8"/>
      <c r="KK194" s="5" t="str">
        <f t="shared" si="573"/>
        <v>NO APLICA</v>
      </c>
      <c r="KL194" s="5"/>
      <c r="KM194" s="2"/>
      <c r="KN194" s="4"/>
      <c r="KO194" s="8"/>
      <c r="KP194" s="5" t="str">
        <f t="shared" si="549"/>
        <v>NO APLICA</v>
      </c>
      <c r="KQ194" s="5"/>
      <c r="KR194" s="2"/>
      <c r="KS194" s="4"/>
      <c r="KT194" s="8"/>
      <c r="KU194" s="5" t="str">
        <f t="shared" si="574"/>
        <v>NO APLICA</v>
      </c>
      <c r="KV194" s="2"/>
      <c r="KW194" s="6"/>
      <c r="KX194" s="4"/>
      <c r="KY194" s="8"/>
      <c r="KZ194" s="5" t="str">
        <f t="shared" si="579"/>
        <v>NO APLICA</v>
      </c>
      <c r="LA194" s="5"/>
      <c r="LB194" s="6"/>
      <c r="LC194" s="4"/>
      <c r="LD194" s="8"/>
      <c r="LE194" s="5" t="str">
        <f t="shared" si="575"/>
        <v>NO APLICA</v>
      </c>
      <c r="LF194" s="6"/>
      <c r="LG194" s="6"/>
      <c r="LH194" s="4"/>
      <c r="LI194" s="8"/>
      <c r="LJ194" s="5" t="str">
        <f t="shared" si="614"/>
        <v>NO APLICA</v>
      </c>
      <c r="LK194" s="5"/>
      <c r="LL194" s="5"/>
      <c r="LM194" s="4"/>
      <c r="LN194" s="8"/>
      <c r="LO194" s="5" t="str">
        <f t="shared" si="580"/>
        <v>NO APLICA</v>
      </c>
      <c r="LP194" s="2"/>
      <c r="LQ194" s="6"/>
      <c r="LR194" s="4"/>
      <c r="LS194" s="8"/>
      <c r="LT194" s="5" t="str">
        <f t="shared" si="576"/>
        <v>NO APLICA</v>
      </c>
      <c r="LU194" s="6"/>
      <c r="LV194" s="6"/>
      <c r="LW194" s="4"/>
      <c r="LX194" s="8"/>
      <c r="LY194" s="5" t="str">
        <f t="shared" si="577"/>
        <v>NO APLICA</v>
      </c>
      <c r="LZ194" s="6"/>
      <c r="MA194" s="6"/>
      <c r="MB194" s="4"/>
      <c r="MC194" s="8"/>
      <c r="MD194" s="5" t="str">
        <f t="shared" si="578"/>
        <v>NO APLICA</v>
      </c>
      <c r="ME194" s="2"/>
      <c r="MF194" s="2"/>
      <c r="MG194" s="4"/>
      <c r="MH194" s="8"/>
      <c r="MI194" s="5" t="str">
        <f t="shared" si="551"/>
        <v>NO APLICA</v>
      </c>
      <c r="MJ194" s="2"/>
      <c r="MK194" s="2"/>
      <c r="ML194" s="4"/>
      <c r="MM194" s="8"/>
      <c r="MN194" s="5" t="str">
        <f t="shared" si="552"/>
        <v>NO APLICA</v>
      </c>
      <c r="MO194" s="5"/>
      <c r="MP194" s="2"/>
      <c r="MQ194" s="4"/>
      <c r="MR194" s="8"/>
      <c r="MS194" s="5" t="str">
        <f t="shared" si="553"/>
        <v>NO APLICA</v>
      </c>
      <c r="MT194" s="5"/>
      <c r="MU194" s="2"/>
      <c r="MV194" s="4"/>
      <c r="MW194" s="2"/>
      <c r="MX194" s="5" t="str">
        <f t="shared" si="554"/>
        <v>NO APLICA</v>
      </c>
      <c r="MY194" s="2"/>
      <c r="MZ194" s="6"/>
      <c r="NA194" s="4"/>
      <c r="NB194" s="8"/>
      <c r="NC194" s="5" t="str">
        <f t="shared" si="555"/>
        <v>NO APLICA</v>
      </c>
      <c r="ND194" s="2"/>
      <c r="NE194" s="6"/>
      <c r="NF194" s="4"/>
      <c r="NG194" s="8"/>
      <c r="NH194" s="5" t="str">
        <f t="shared" si="556"/>
        <v>NO APLICA</v>
      </c>
      <c r="NI194" s="2"/>
      <c r="NJ194" s="6"/>
      <c r="NK194" s="4"/>
      <c r="NL194" s="8"/>
      <c r="NM194" s="5" t="str">
        <f t="shared" si="557"/>
        <v>NO APLICA</v>
      </c>
      <c r="NN194" s="2"/>
      <c r="NO194" s="2"/>
      <c r="NP194" s="4"/>
      <c r="NQ194" s="8"/>
      <c r="NR194" s="5" t="str">
        <f t="shared" si="558"/>
        <v>NO APLICA</v>
      </c>
      <c r="NS194" s="2"/>
      <c r="NT194" s="2"/>
      <c r="NU194" s="4"/>
      <c r="NV194" s="2"/>
      <c r="NW194" s="5" t="str">
        <f t="shared" si="559"/>
        <v>NO APLICA</v>
      </c>
      <c r="NX194" s="6"/>
      <c r="NY194" s="6"/>
      <c r="NZ194" s="4"/>
      <c r="OA194" s="8"/>
      <c r="OB194" s="5" t="str">
        <f t="shared" si="560"/>
        <v>NO APLICA</v>
      </c>
      <c r="OC194" s="6"/>
      <c r="OD194" s="6"/>
      <c r="OE194" s="6"/>
      <c r="OF194" s="6"/>
      <c r="OG194" s="5" t="str">
        <f t="shared" si="561"/>
        <v>NO APLICA</v>
      </c>
      <c r="OH194" s="6"/>
      <c r="OI194" s="6"/>
      <c r="OJ194" s="4"/>
      <c r="OK194" s="8"/>
      <c r="OL194" s="5" t="str">
        <f t="shared" si="562"/>
        <v>NO APLICA</v>
      </c>
      <c r="OM194" s="6"/>
      <c r="ON194" s="6"/>
      <c r="OO194" s="6"/>
      <c r="OP194" s="6"/>
      <c r="OQ194" s="5" t="str">
        <f t="shared" si="563"/>
        <v>NO APLICA</v>
      </c>
      <c r="OR194" s="6"/>
      <c r="OS194" s="6"/>
      <c r="OT194" s="6"/>
      <c r="OU194" s="6"/>
      <c r="OV194" s="5" t="str">
        <f t="shared" si="564"/>
        <v>NO APLICA</v>
      </c>
      <c r="OW194" s="6"/>
      <c r="OX194" s="6"/>
      <c r="OY194" s="6"/>
      <c r="OZ194" s="6"/>
      <c r="PA194" s="5" t="str">
        <f t="shared" si="565"/>
        <v>NO APLICA</v>
      </c>
      <c r="PB194" s="6"/>
      <c r="PC194" s="6"/>
      <c r="PD194" s="6"/>
      <c r="PE194" s="6"/>
      <c r="PF194" s="5" t="str">
        <f t="shared" si="566"/>
        <v>NO APLICA</v>
      </c>
      <c r="PG194" s="6"/>
      <c r="PH194" s="6"/>
      <c r="PI194" s="6"/>
      <c r="PJ194" s="6"/>
      <c r="PK194" s="5" t="str">
        <f t="shared" si="567"/>
        <v>NO APLICA</v>
      </c>
      <c r="PL194" s="5"/>
      <c r="PM194" s="6"/>
      <c r="PN194" s="4"/>
      <c r="PO194" s="8"/>
      <c r="PP194" s="5" t="str">
        <f t="shared" si="568"/>
        <v>NO APLICA</v>
      </c>
      <c r="PQ194" s="6"/>
      <c r="PR194" s="6"/>
      <c r="PS194" s="6"/>
      <c r="PT194" s="6"/>
      <c r="PU194" s="5" t="str">
        <f t="shared" si="569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70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614</v>
      </c>
      <c r="D195" s="30" t="s">
        <v>64</v>
      </c>
      <c r="E195" s="31" t="s">
        <v>135</v>
      </c>
      <c r="F195" s="6"/>
      <c r="G195" s="6"/>
      <c r="H195" s="6"/>
      <c r="I195" s="6"/>
      <c r="J195" s="5" t="str">
        <f t="shared" si="710"/>
        <v>NO APLICA</v>
      </c>
      <c r="K195" s="6"/>
      <c r="L195" s="6"/>
      <c r="M195" s="6"/>
      <c r="N195" s="6"/>
      <c r="O195" s="5" t="str">
        <f t="shared" si="465"/>
        <v>NO APLICA</v>
      </c>
      <c r="P195" s="6"/>
      <c r="Q195" s="6"/>
      <c r="R195" s="6"/>
      <c r="S195" s="6"/>
      <c r="T195" s="5" t="str">
        <f t="shared" si="711"/>
        <v>NO APLICA</v>
      </c>
      <c r="U195" s="5"/>
      <c r="V195" s="6"/>
      <c r="W195" s="4"/>
      <c r="X195" s="4"/>
      <c r="Y195" s="8"/>
      <c r="Z195" s="5" t="str">
        <f t="shared" si="619"/>
        <v>NO APLICA</v>
      </c>
      <c r="AA195" s="5"/>
      <c r="AB195" s="6"/>
      <c r="AC195" s="6"/>
      <c r="AD195" s="6"/>
      <c r="AE195" s="6"/>
      <c r="AF195" s="5" t="str">
        <f t="shared" si="466"/>
        <v>NO APLICA</v>
      </c>
      <c r="AG195" s="4"/>
      <c r="AH195" s="4"/>
      <c r="AI195" s="4"/>
      <c r="AJ195" s="6"/>
      <c r="AK195" s="5" t="str">
        <f t="shared" si="616"/>
        <v>NO APLICA</v>
      </c>
      <c r="AL195" s="4"/>
      <c r="AM195" s="4"/>
      <c r="AN195" s="4"/>
      <c r="AO195" s="6"/>
      <c r="AP195" s="5" t="str">
        <f t="shared" si="469"/>
        <v>NO APLICA</v>
      </c>
      <c r="AQ195" s="4"/>
      <c r="AR195" s="4"/>
      <c r="AS195" s="4"/>
      <c r="AT195" s="6"/>
      <c r="AU195" s="5" t="str">
        <f t="shared" si="471"/>
        <v>NO APLICA</v>
      </c>
      <c r="AV195" s="4"/>
      <c r="AW195" s="4"/>
      <c r="AX195" s="4"/>
      <c r="AY195" s="6"/>
      <c r="AZ195" s="5" t="str">
        <f t="shared" si="473"/>
        <v>NO APLICA</v>
      </c>
      <c r="BA195" s="4"/>
      <c r="BB195" s="4"/>
      <c r="BC195" s="4"/>
      <c r="BD195" s="6"/>
      <c r="BE195" s="5" t="str">
        <f t="shared" si="475"/>
        <v>NO APLICA</v>
      </c>
      <c r="BF195" s="4"/>
      <c r="BG195" s="4"/>
      <c r="BH195" s="4"/>
      <c r="BI195" s="6"/>
      <c r="BJ195" s="5" t="str">
        <f t="shared" si="477"/>
        <v>NO APLICA</v>
      </c>
      <c r="BK195" s="4"/>
      <c r="BL195" s="4"/>
      <c r="BM195" s="4"/>
      <c r="BN195" s="6"/>
      <c r="BO195" s="5" t="str">
        <f t="shared" si="479"/>
        <v>NO APLICA</v>
      </c>
      <c r="BP195" s="4"/>
      <c r="BQ195" s="4"/>
      <c r="BR195" s="4"/>
      <c r="BS195" s="6"/>
      <c r="BT195" s="5" t="str">
        <f t="shared" si="481"/>
        <v>NO APLICA</v>
      </c>
      <c r="BU195" s="4"/>
      <c r="BV195" s="4"/>
      <c r="BW195" s="4"/>
      <c r="BX195" s="6"/>
      <c r="BY195" s="5" t="str">
        <f t="shared" si="483"/>
        <v>NO APLICA</v>
      </c>
      <c r="BZ195" s="4"/>
      <c r="CA195" s="4"/>
      <c r="CB195" s="4"/>
      <c r="CC195" s="6"/>
      <c r="CD195" s="5" t="str">
        <f t="shared" si="485"/>
        <v>NO APLICA</v>
      </c>
      <c r="CE195" s="6"/>
      <c r="CF195" s="6"/>
      <c r="CG195" s="6"/>
      <c r="CH195" s="6"/>
      <c r="CI195" s="5" t="str">
        <f t="shared" si="587"/>
        <v>NO APLICA</v>
      </c>
      <c r="CJ195" s="4"/>
      <c r="CK195" s="4"/>
      <c r="CL195" s="4"/>
      <c r="CM195" s="6"/>
      <c r="CN195" s="5" t="str">
        <f t="shared" si="487"/>
        <v>NO APLICA</v>
      </c>
      <c r="CO195" s="4"/>
      <c r="CP195" s="4"/>
      <c r="CQ195" s="4"/>
      <c r="CR195" s="6"/>
      <c r="CS195" s="5" t="str">
        <f t="shared" si="489"/>
        <v>NO APLICA</v>
      </c>
      <c r="CT195" s="4"/>
      <c r="CU195" s="4"/>
      <c r="CV195" s="4"/>
      <c r="CW195" s="6"/>
      <c r="CX195" s="5" t="str">
        <f t="shared" si="491"/>
        <v>NO APLICA</v>
      </c>
      <c r="CY195" s="4"/>
      <c r="CZ195" s="4"/>
      <c r="DA195" s="4"/>
      <c r="DB195" s="6"/>
      <c r="DC195" s="5" t="str">
        <f t="shared" si="493"/>
        <v>NO APLICA</v>
      </c>
      <c r="DD195" s="4"/>
      <c r="DE195" s="4"/>
      <c r="DF195" s="4"/>
      <c r="DG195" s="6"/>
      <c r="DH195" s="5" t="str">
        <f t="shared" si="495"/>
        <v>NO APLICA</v>
      </c>
      <c r="DI195" s="4"/>
      <c r="DJ195" s="4"/>
      <c r="DK195" s="4"/>
      <c r="DL195" s="6"/>
      <c r="DM195" s="5" t="str">
        <f t="shared" si="497"/>
        <v>NO APLICA</v>
      </c>
      <c r="DN195" s="4"/>
      <c r="DO195" s="4"/>
      <c r="DP195" s="4"/>
      <c r="DQ195" s="6"/>
      <c r="DR195" s="5" t="str">
        <f t="shared" si="499"/>
        <v>NO APLICA</v>
      </c>
      <c r="DS195" s="4"/>
      <c r="DT195" s="4"/>
      <c r="DU195" s="4"/>
      <c r="DV195" s="6"/>
      <c r="DW195" s="5" t="str">
        <f t="shared" si="501"/>
        <v>NO APLICA</v>
      </c>
      <c r="DX195" s="4"/>
      <c r="DY195" s="4"/>
      <c r="DZ195" s="4"/>
      <c r="EA195" s="6"/>
      <c r="EB195" s="5" t="str">
        <f t="shared" si="503"/>
        <v>NO APLICA</v>
      </c>
      <c r="EC195" s="4"/>
      <c r="ED195" s="4"/>
      <c r="EE195" s="4"/>
      <c r="EF195" s="6"/>
      <c r="EG195" s="5" t="str">
        <f t="shared" si="505"/>
        <v>NO APLICA</v>
      </c>
      <c r="EH195" s="4"/>
      <c r="EI195" s="4"/>
      <c r="EJ195" s="4"/>
      <c r="EK195" s="8"/>
      <c r="EL195" s="5" t="str">
        <f t="shared" si="507"/>
        <v>NO APLICA</v>
      </c>
      <c r="EM195" s="4"/>
      <c r="EN195" s="4"/>
      <c r="EO195" s="4"/>
      <c r="EP195" s="8"/>
      <c r="EQ195" s="5" t="str">
        <f t="shared" si="509"/>
        <v>NO APLICA</v>
      </c>
      <c r="ER195" s="4"/>
      <c r="ES195" s="4"/>
      <c r="ET195" s="4"/>
      <c r="EU195" s="8"/>
      <c r="EV195" s="5" t="str">
        <f t="shared" si="511"/>
        <v>NO APLICA</v>
      </c>
      <c r="EW195" s="4"/>
      <c r="EX195" s="4"/>
      <c r="EY195" s="4"/>
      <c r="EZ195" s="6"/>
      <c r="FA195" s="5" t="str">
        <f t="shared" si="513"/>
        <v>NO APLICA</v>
      </c>
      <c r="FB195" s="4"/>
      <c r="FC195" s="4"/>
      <c r="FD195" s="4"/>
      <c r="FE195" s="6"/>
      <c r="FF195" s="5" t="str">
        <f t="shared" si="515"/>
        <v>NO APLICA</v>
      </c>
      <c r="FG195" s="4"/>
      <c r="FH195" s="4"/>
      <c r="FI195" s="4"/>
      <c r="FJ195" s="6"/>
      <c r="FK195" s="5" t="str">
        <f t="shared" si="517"/>
        <v>NO APLICA</v>
      </c>
      <c r="FL195" s="4"/>
      <c r="FM195" s="4"/>
      <c r="FN195" s="4"/>
      <c r="FO195" s="6"/>
      <c r="FP195" s="5" t="str">
        <f t="shared" si="519"/>
        <v>NO APLICA</v>
      </c>
      <c r="FQ195" s="4"/>
      <c r="FR195" s="4"/>
      <c r="FS195" s="4"/>
      <c r="FT195" s="6"/>
      <c r="FU195" s="5" t="str">
        <f t="shared" si="521"/>
        <v>NO APLICA</v>
      </c>
      <c r="FV195" s="4"/>
      <c r="FW195" s="4"/>
      <c r="FX195" s="4"/>
      <c r="FY195" s="6"/>
      <c r="FZ195" s="5" t="str">
        <f t="shared" si="523"/>
        <v>NO APLICA</v>
      </c>
      <c r="GA195" s="4"/>
      <c r="GB195" s="4"/>
      <c r="GC195" s="4"/>
      <c r="GD195" s="6"/>
      <c r="GE195" s="5" t="str">
        <f t="shared" si="525"/>
        <v>NO APLICA</v>
      </c>
      <c r="GF195" s="4"/>
      <c r="GG195" s="4"/>
      <c r="GH195" s="4"/>
      <c r="GI195" s="8"/>
      <c r="GJ195" s="5" t="str">
        <f t="shared" si="527"/>
        <v>NO APLICA</v>
      </c>
      <c r="GK195" s="4"/>
      <c r="GL195" s="6"/>
      <c r="GM195" s="6"/>
      <c r="GN195" s="6"/>
      <c r="GO195" s="5" t="str">
        <f t="shared" si="529"/>
        <v>NO APLICA</v>
      </c>
      <c r="GP195" s="4"/>
      <c r="GQ195" s="6"/>
      <c r="GR195" s="6"/>
      <c r="GS195" s="6"/>
      <c r="GT195" s="5" t="str">
        <f t="shared" si="624"/>
        <v>NO APLICA</v>
      </c>
      <c r="GU195" s="4"/>
      <c r="GV195" s="6"/>
      <c r="GW195" s="6"/>
      <c r="GX195" s="6"/>
      <c r="GY195" s="5" t="str">
        <f t="shared" si="625"/>
        <v>NO APLICA</v>
      </c>
      <c r="GZ195" s="6"/>
      <c r="HA195" s="6"/>
      <c r="HB195" s="6"/>
      <c r="HC195" s="6"/>
      <c r="HD195" s="5" t="str">
        <f t="shared" si="626"/>
        <v>NO APLICA</v>
      </c>
      <c r="HE195" s="6"/>
      <c r="HF195" s="6"/>
      <c r="HG195" s="4"/>
      <c r="HH195" s="8"/>
      <c r="HI195" s="5" t="str">
        <f t="shared" si="712"/>
        <v>NO APLICA</v>
      </c>
      <c r="HJ195" s="6"/>
      <c r="HK195" s="6"/>
      <c r="HL195" s="6"/>
      <c r="HM195" s="6"/>
      <c r="HN195" s="5" t="str">
        <f t="shared" si="708"/>
        <v>NO APLICA</v>
      </c>
      <c r="HO195" s="6"/>
      <c r="HP195" s="6"/>
      <c r="HQ195" s="6"/>
      <c r="HR195" s="6"/>
      <c r="HS195" s="5" t="str">
        <f t="shared" si="535"/>
        <v>NO APLICA</v>
      </c>
      <c r="HT195" s="6"/>
      <c r="HU195" s="6"/>
      <c r="HV195" s="6"/>
      <c r="HW195" s="6"/>
      <c r="HX195" s="5" t="str">
        <f t="shared" si="536"/>
        <v>NO APLICA</v>
      </c>
      <c r="HY195" s="6"/>
      <c r="HZ195" s="6"/>
      <c r="IA195" s="6"/>
      <c r="IB195" s="6"/>
      <c r="IC195" s="5" t="str">
        <f t="shared" si="537"/>
        <v>NO APLICA</v>
      </c>
      <c r="ID195" s="6"/>
      <c r="IE195" s="6"/>
      <c r="IF195" s="6"/>
      <c r="IG195" s="6"/>
      <c r="IH195" s="5" t="str">
        <f t="shared" si="538"/>
        <v>NO APLICA</v>
      </c>
      <c r="II195" s="6"/>
      <c r="IJ195" s="6"/>
      <c r="IK195" s="6"/>
      <c r="IL195" s="6"/>
      <c r="IM195" s="5" t="str">
        <f t="shared" si="539"/>
        <v>NO APLICA</v>
      </c>
      <c r="IN195" s="6"/>
      <c r="IO195" s="6"/>
      <c r="IP195" s="6"/>
      <c r="IQ195" s="6"/>
      <c r="IR195" s="5" t="str">
        <f t="shared" si="540"/>
        <v>NO APLICA</v>
      </c>
      <c r="IS195" s="6"/>
      <c r="IT195" s="6"/>
      <c r="IU195" s="6"/>
      <c r="IV195" s="6"/>
      <c r="IW195" s="5" t="str">
        <f t="shared" si="541"/>
        <v>NO APLICA</v>
      </c>
      <c r="IX195" s="6"/>
      <c r="IY195" s="6"/>
      <c r="IZ195" s="6"/>
      <c r="JA195" s="6"/>
      <c r="JB195" s="5" t="str">
        <f t="shared" si="542"/>
        <v>NO APLICA</v>
      </c>
      <c r="JC195" s="6"/>
      <c r="JD195" s="6"/>
      <c r="JE195" s="6"/>
      <c r="JF195" s="6"/>
      <c r="JG195" s="5" t="str">
        <f t="shared" si="543"/>
        <v>NO APLICA</v>
      </c>
      <c r="JH195" s="6"/>
      <c r="JI195" s="6"/>
      <c r="JJ195" s="6"/>
      <c r="JK195" s="6"/>
      <c r="JL195" s="5" t="str">
        <f t="shared" si="544"/>
        <v>NO APLICA</v>
      </c>
      <c r="JM195" s="6"/>
      <c r="JN195" s="6"/>
      <c r="JO195" s="6"/>
      <c r="JP195" s="6"/>
      <c r="JQ195" s="5" t="str">
        <f t="shared" si="545"/>
        <v>NO APLICA</v>
      </c>
      <c r="JR195" s="6"/>
      <c r="JS195" s="6"/>
      <c r="JT195" s="6"/>
      <c r="JU195" s="6"/>
      <c r="JV195" s="5" t="str">
        <f t="shared" si="546"/>
        <v>NO APLICA</v>
      </c>
      <c r="JW195" s="5"/>
      <c r="JX195" s="5"/>
      <c r="JY195" s="5"/>
      <c r="JZ195" s="5"/>
      <c r="KA195" s="5" t="str">
        <f t="shared" si="547"/>
        <v>NO APLICA</v>
      </c>
      <c r="KB195" s="5"/>
      <c r="KC195" s="6"/>
      <c r="KD195" s="6"/>
      <c r="KE195" s="6"/>
      <c r="KF195" s="5" t="str">
        <f t="shared" si="548"/>
        <v>NO APLICA</v>
      </c>
      <c r="KG195" s="5"/>
      <c r="KH195" s="6"/>
      <c r="KI195" s="6"/>
      <c r="KJ195" s="6"/>
      <c r="KK195" s="5" t="str">
        <f t="shared" si="573"/>
        <v>NO APLICA</v>
      </c>
      <c r="KL195" s="5"/>
      <c r="KM195" s="6"/>
      <c r="KN195" s="6"/>
      <c r="KO195" s="6"/>
      <c r="KP195" s="5" t="str">
        <f t="shared" si="549"/>
        <v>NO APLICA</v>
      </c>
      <c r="KQ195" s="5"/>
      <c r="KR195" s="6"/>
      <c r="KS195" s="6"/>
      <c r="KT195" s="6"/>
      <c r="KU195" s="5" t="str">
        <f t="shared" si="574"/>
        <v>NO APLICA</v>
      </c>
      <c r="KV195" s="6"/>
      <c r="KW195" s="6"/>
      <c r="KX195" s="6"/>
      <c r="KY195" s="6"/>
      <c r="KZ195" s="5" t="str">
        <f t="shared" si="579"/>
        <v>NO APLICA</v>
      </c>
      <c r="LA195" s="5"/>
      <c r="LB195" s="6"/>
      <c r="LC195" s="6"/>
      <c r="LD195" s="6"/>
      <c r="LE195" s="5" t="str">
        <f t="shared" si="575"/>
        <v>NO APLICA</v>
      </c>
      <c r="LF195" s="6"/>
      <c r="LG195" s="6"/>
      <c r="LH195" s="6"/>
      <c r="LI195" s="6"/>
      <c r="LJ195" s="5" t="str">
        <f t="shared" si="614"/>
        <v>NO APLICA</v>
      </c>
      <c r="LK195" s="5"/>
      <c r="LL195" s="5"/>
      <c r="LM195" s="4"/>
      <c r="LN195" s="8"/>
      <c r="LO195" s="5" t="str">
        <f t="shared" si="580"/>
        <v>NO APLICA</v>
      </c>
      <c r="LP195" s="6"/>
      <c r="LQ195" s="6"/>
      <c r="LR195" s="6"/>
      <c r="LS195" s="6"/>
      <c r="LT195" s="5" t="str">
        <f t="shared" si="576"/>
        <v>NO APLICA</v>
      </c>
      <c r="LU195" s="6"/>
      <c r="LV195" s="6"/>
      <c r="LW195" s="6"/>
      <c r="LX195" s="6"/>
      <c r="LY195" s="5" t="str">
        <f t="shared" si="577"/>
        <v>NO APLICA</v>
      </c>
      <c r="LZ195" s="6"/>
      <c r="MA195" s="6"/>
      <c r="MB195" s="6"/>
      <c r="MC195" s="6"/>
      <c r="MD195" s="5" t="str">
        <f t="shared" si="578"/>
        <v>NO APLICA</v>
      </c>
      <c r="ME195" s="6"/>
      <c r="MF195" s="6"/>
      <c r="MG195" s="6"/>
      <c r="MH195" s="6"/>
      <c r="MI195" s="5" t="str">
        <f t="shared" si="551"/>
        <v>NO APLICA</v>
      </c>
      <c r="MJ195" s="6"/>
      <c r="MK195" s="6"/>
      <c r="ML195" s="6"/>
      <c r="MM195" s="6"/>
      <c r="MN195" s="5" t="str">
        <f t="shared" si="552"/>
        <v>NO APLICA</v>
      </c>
      <c r="MO195" s="5"/>
      <c r="MP195" s="6"/>
      <c r="MQ195" s="6"/>
      <c r="MR195" s="6"/>
      <c r="MS195" s="5" t="str">
        <f t="shared" si="553"/>
        <v>NO APLICA</v>
      </c>
      <c r="MT195" s="5"/>
      <c r="MU195" s="6"/>
      <c r="MV195" s="6"/>
      <c r="MW195" s="6"/>
      <c r="MX195" s="5" t="str">
        <f t="shared" si="554"/>
        <v>NO APLICA</v>
      </c>
      <c r="MY195" s="6"/>
      <c r="MZ195" s="6"/>
      <c r="NA195" s="6"/>
      <c r="NB195" s="6"/>
      <c r="NC195" s="5" t="str">
        <f t="shared" si="555"/>
        <v>NO APLICA</v>
      </c>
      <c r="ND195" s="6"/>
      <c r="NE195" s="6"/>
      <c r="NF195" s="6"/>
      <c r="NG195" s="6"/>
      <c r="NH195" s="5" t="str">
        <f t="shared" si="556"/>
        <v>NO APLICA</v>
      </c>
      <c r="NI195" s="6"/>
      <c r="NJ195" s="6"/>
      <c r="NK195" s="6"/>
      <c r="NL195" s="6"/>
      <c r="NM195" s="5" t="str">
        <f t="shared" si="557"/>
        <v>NO APLICA</v>
      </c>
      <c r="NN195" s="6"/>
      <c r="NO195" s="6"/>
      <c r="NP195" s="6"/>
      <c r="NQ195" s="6"/>
      <c r="NR195" s="5" t="str">
        <f t="shared" si="558"/>
        <v>NO APLICA</v>
      </c>
      <c r="NS195" s="6"/>
      <c r="NT195" s="6"/>
      <c r="NU195" s="6"/>
      <c r="NV195" s="6"/>
      <c r="NW195" s="5" t="str">
        <f t="shared" si="559"/>
        <v>NO APLICA</v>
      </c>
      <c r="NX195" s="6"/>
      <c r="NY195" s="6"/>
      <c r="NZ195" s="6"/>
      <c r="OA195" s="6"/>
      <c r="OB195" s="5" t="str">
        <f t="shared" si="560"/>
        <v>NO APLICA</v>
      </c>
      <c r="OC195" s="6"/>
      <c r="OD195" s="6"/>
      <c r="OE195" s="6"/>
      <c r="OF195" s="6"/>
      <c r="OG195" s="5" t="str">
        <f t="shared" si="561"/>
        <v>NO APLICA</v>
      </c>
      <c r="OH195" s="6"/>
      <c r="OI195" s="6"/>
      <c r="OJ195" s="6"/>
      <c r="OK195" s="6"/>
      <c r="OL195" s="5" t="str">
        <f t="shared" si="562"/>
        <v>NO APLICA</v>
      </c>
      <c r="OM195" s="6"/>
      <c r="ON195" s="6"/>
      <c r="OO195" s="6"/>
      <c r="OP195" s="6"/>
      <c r="OQ195" s="5" t="str">
        <f t="shared" si="563"/>
        <v>NO APLICA</v>
      </c>
      <c r="OR195" s="6"/>
      <c r="OS195" s="6"/>
      <c r="OT195" s="6"/>
      <c r="OU195" s="6"/>
      <c r="OV195" s="5" t="str">
        <f t="shared" si="564"/>
        <v>NO APLICA</v>
      </c>
      <c r="OW195" s="6"/>
      <c r="OX195" s="6"/>
      <c r="OY195" s="6"/>
      <c r="OZ195" s="6"/>
      <c r="PA195" s="5" t="str">
        <f t="shared" si="565"/>
        <v>NO APLICA</v>
      </c>
      <c r="PB195" s="6"/>
      <c r="PC195" s="6"/>
      <c r="PD195" s="6"/>
      <c r="PE195" s="6"/>
      <c r="PF195" s="5" t="str">
        <f t="shared" si="566"/>
        <v>NO APLICA</v>
      </c>
      <c r="PG195" s="6"/>
      <c r="PH195" s="6"/>
      <c r="PI195" s="6"/>
      <c r="PJ195" s="6"/>
      <c r="PK195" s="5" t="str">
        <f t="shared" si="567"/>
        <v>NO APLICA</v>
      </c>
      <c r="PL195" s="5"/>
      <c r="PM195" s="6"/>
      <c r="PN195" s="6"/>
      <c r="PO195" s="6"/>
      <c r="PP195" s="5" t="str">
        <f t="shared" si="568"/>
        <v>NO APLICA</v>
      </c>
      <c r="PQ195" s="6"/>
      <c r="PR195" s="6"/>
      <c r="PS195" s="6"/>
      <c r="PT195" s="6"/>
      <c r="PU195" s="5" t="str">
        <f t="shared" si="569"/>
        <v>NO APLICA</v>
      </c>
      <c r="PV195" s="5"/>
      <c r="PW195" s="6"/>
      <c r="PX195" s="6"/>
      <c r="PY195" s="6"/>
      <c r="PZ195" s="5" t="str">
        <f t="shared" si="570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615</v>
      </c>
      <c r="D196" s="30" t="s">
        <v>785</v>
      </c>
      <c r="E196" s="31" t="s">
        <v>617</v>
      </c>
      <c r="F196" s="6"/>
      <c r="G196" s="6"/>
      <c r="H196" s="6"/>
      <c r="I196" s="6"/>
      <c r="J196" s="5" t="str">
        <f t="shared" si="710"/>
        <v>NO APLICA</v>
      </c>
      <c r="K196" s="6"/>
      <c r="L196" s="6"/>
      <c r="M196" s="6"/>
      <c r="N196" s="6"/>
      <c r="O196" s="5" t="str">
        <f t="shared" ref="O196:O240" si="713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1"/>
        <v>NO APLICA</v>
      </c>
      <c r="U196" s="5"/>
      <c r="V196" s="6" t="s">
        <v>618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14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15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16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17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18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19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0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1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2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3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87"/>
        <v>NO APLICA</v>
      </c>
      <c r="CJ196" s="4"/>
      <c r="CK196" s="4"/>
      <c r="CL196" s="4"/>
      <c r="CM196" s="6"/>
      <c r="CN196" s="5" t="str">
        <f t="shared" ref="CN196:CN237" si="724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25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26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27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28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29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0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1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2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3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4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35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36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37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38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39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0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1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2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3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4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45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24"/>
        <v>NO APLICA</v>
      </c>
      <c r="GU196" s="4"/>
      <c r="GV196" s="6"/>
      <c r="GW196" s="6"/>
      <c r="GX196" s="6"/>
      <c r="GY196" s="5" t="str">
        <f t="shared" si="625"/>
        <v>NO APLICA</v>
      </c>
      <c r="GZ196" s="6"/>
      <c r="HA196" s="6"/>
      <c r="HB196" s="6"/>
      <c r="HC196" s="6"/>
      <c r="HD196" s="5" t="str">
        <f t="shared" si="626"/>
        <v>NO APLICA</v>
      </c>
      <c r="HE196" s="6"/>
      <c r="HF196" s="6"/>
      <c r="HG196" s="4"/>
      <c r="HH196" s="8"/>
      <c r="HI196" s="5" t="str">
        <f t="shared" si="712"/>
        <v>NO APLICA</v>
      </c>
      <c r="HJ196" s="6"/>
      <c r="HK196" s="6"/>
      <c r="HL196" s="6"/>
      <c r="HM196" s="6"/>
      <c r="HN196" s="5" t="str">
        <f t="shared" si="708"/>
        <v>NO APLICA</v>
      </c>
      <c r="HO196" s="6"/>
      <c r="HP196" s="6"/>
      <c r="HQ196" s="6"/>
      <c r="HR196" s="6"/>
      <c r="HS196" s="5" t="str">
        <f t="shared" ref="HS196:HS240" si="746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47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48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49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0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1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2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3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4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55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56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57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58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5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3"/>
        <v>NO APLICA</v>
      </c>
      <c r="KL196" s="5"/>
      <c r="KM196" s="6"/>
      <c r="KN196" s="6"/>
      <c r="KO196" s="6"/>
      <c r="KP196" s="5" t="str">
        <f t="shared" ref="KP196:KP240" si="76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4"/>
        <v>NO APLICA</v>
      </c>
      <c r="KV196" s="6"/>
      <c r="KW196" s="6"/>
      <c r="KX196" s="6"/>
      <c r="KY196" s="6"/>
      <c r="KZ196" s="5" t="str">
        <f t="shared" si="579"/>
        <v>NO APLICA</v>
      </c>
      <c r="LA196" s="5"/>
      <c r="LB196" s="6"/>
      <c r="LC196" s="6"/>
      <c r="LD196" s="6"/>
      <c r="LE196" s="5" t="str">
        <f t="shared" si="575"/>
        <v>NO APLICA</v>
      </c>
      <c r="LF196" s="6"/>
      <c r="LG196" s="6"/>
      <c r="LH196" s="6"/>
      <c r="LI196" s="8"/>
      <c r="LJ196" s="5" t="str">
        <f t="shared" si="614"/>
        <v>NO APLICA</v>
      </c>
      <c r="LK196" s="5"/>
      <c r="LL196" s="5"/>
      <c r="LM196" s="4"/>
      <c r="LN196" s="8"/>
      <c r="LO196" s="5" t="str">
        <f t="shared" si="580"/>
        <v>NO APLICA</v>
      </c>
      <c r="LP196" s="6"/>
      <c r="LQ196" s="6"/>
      <c r="LR196" s="6"/>
      <c r="LS196" s="6"/>
      <c r="LT196" s="5" t="str">
        <f t="shared" si="576"/>
        <v>NO APLICA</v>
      </c>
      <c r="LU196" s="6"/>
      <c r="LV196" s="6"/>
      <c r="LW196" s="6"/>
      <c r="LX196" s="6"/>
      <c r="LY196" s="5" t="str">
        <f t="shared" si="577"/>
        <v>NO APLICA</v>
      </c>
      <c r="LZ196" s="6"/>
      <c r="MA196" s="6"/>
      <c r="MB196" s="6"/>
      <c r="MC196" s="6"/>
      <c r="MD196" s="5" t="str">
        <f t="shared" si="578"/>
        <v>NO APLICA</v>
      </c>
      <c r="ME196" s="6"/>
      <c r="MF196" s="6"/>
      <c r="MG196" s="6"/>
      <c r="MH196" s="6"/>
      <c r="MI196" s="5" t="str">
        <f t="shared" ref="MI196:MI240" si="76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6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6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6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6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6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7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7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7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7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619</v>
      </c>
      <c r="D197" s="30" t="s">
        <v>69</v>
      </c>
      <c r="E197" s="31" t="s">
        <v>156</v>
      </c>
      <c r="F197" s="6"/>
      <c r="G197" s="6"/>
      <c r="H197" s="6"/>
      <c r="I197" s="6"/>
      <c r="J197" s="5" t="str">
        <f t="shared" si="710"/>
        <v>NO APLICA</v>
      </c>
      <c r="K197" s="6"/>
      <c r="L197" s="6"/>
      <c r="M197" s="6"/>
      <c r="N197" s="6"/>
      <c r="O197" s="5" t="str">
        <f t="shared" si="713"/>
        <v>NO APLICA</v>
      </c>
      <c r="P197" s="6"/>
      <c r="Q197" s="6"/>
      <c r="R197" s="6"/>
      <c r="S197" s="6"/>
      <c r="T197" s="5" t="str">
        <f t="shared" si="711"/>
        <v>NO APLICA</v>
      </c>
      <c r="U197" s="5"/>
      <c r="V197" s="6" t="s">
        <v>620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14"/>
        <v>NO APLICA</v>
      </c>
      <c r="AG197" s="4"/>
      <c r="AH197" s="4"/>
      <c r="AI197" s="4"/>
      <c r="AJ197" s="6"/>
      <c r="AK197" s="5" t="str">
        <f t="shared" si="616"/>
        <v>NO APLICA</v>
      </c>
      <c r="AL197" s="4"/>
      <c r="AM197" s="4"/>
      <c r="AN197" s="4"/>
      <c r="AO197" s="6"/>
      <c r="AP197" s="5" t="str">
        <f t="shared" si="715"/>
        <v>NO APLICA</v>
      </c>
      <c r="AQ197" s="4"/>
      <c r="AR197" s="4"/>
      <c r="AS197" s="4"/>
      <c r="AT197" s="6"/>
      <c r="AU197" s="5" t="str">
        <f t="shared" si="716"/>
        <v>NO APLICA</v>
      </c>
      <c r="AV197" s="4"/>
      <c r="AW197" s="4"/>
      <c r="AX197" s="4"/>
      <c r="AY197" s="6"/>
      <c r="AZ197" s="5" t="str">
        <f t="shared" si="717"/>
        <v>NO APLICA</v>
      </c>
      <c r="BA197" s="4"/>
      <c r="BB197" s="4"/>
      <c r="BC197" s="4"/>
      <c r="BD197" s="6"/>
      <c r="BE197" s="5" t="str">
        <f t="shared" si="718"/>
        <v>NO APLICA</v>
      </c>
      <c r="BF197" s="4"/>
      <c r="BG197" s="4"/>
      <c r="BH197" s="4"/>
      <c r="BI197" s="6"/>
      <c r="BJ197" s="5" t="str">
        <f t="shared" si="719"/>
        <v>NO APLICA</v>
      </c>
      <c r="BK197" s="4"/>
      <c r="BL197" s="4"/>
      <c r="BM197" s="4"/>
      <c r="BN197" s="6"/>
      <c r="BO197" s="5" t="str">
        <f t="shared" si="720"/>
        <v>NO APLICA</v>
      </c>
      <c r="BP197" s="4"/>
      <c r="BQ197" s="4"/>
      <c r="BR197" s="4"/>
      <c r="BS197" s="6"/>
      <c r="BT197" s="5" t="str">
        <f t="shared" si="721"/>
        <v>NO APLICA</v>
      </c>
      <c r="BU197" s="4"/>
      <c r="BV197" s="4"/>
      <c r="BW197" s="4"/>
      <c r="BX197" s="6"/>
      <c r="BY197" s="5" t="str">
        <f t="shared" si="722"/>
        <v>NO APLICA</v>
      </c>
      <c r="BZ197" s="4"/>
      <c r="CA197" s="4"/>
      <c r="CB197" s="4"/>
      <c r="CC197" s="6"/>
      <c r="CD197" s="5" t="str">
        <f t="shared" si="723"/>
        <v>NO APLICA</v>
      </c>
      <c r="CE197" s="6"/>
      <c r="CF197" s="6"/>
      <c r="CG197" s="6"/>
      <c r="CH197" s="6"/>
      <c r="CI197" s="5" t="str">
        <f t="shared" si="587"/>
        <v>NO APLICA</v>
      </c>
      <c r="CJ197" s="4"/>
      <c r="CK197" s="4"/>
      <c r="CL197" s="4"/>
      <c r="CM197" s="6"/>
      <c r="CN197" s="5" t="str">
        <f t="shared" si="724"/>
        <v>NO APLICA</v>
      </c>
      <c r="CO197" s="4"/>
      <c r="CP197" s="4"/>
      <c r="CQ197" s="4"/>
      <c r="CR197" s="6"/>
      <c r="CS197" s="5" t="str">
        <f t="shared" si="725"/>
        <v>NO APLICA</v>
      </c>
      <c r="CT197" s="4"/>
      <c r="CU197" s="4"/>
      <c r="CV197" s="4"/>
      <c r="CW197" s="6"/>
      <c r="CX197" s="5" t="str">
        <f t="shared" si="726"/>
        <v>NO APLICA</v>
      </c>
      <c r="CY197" s="4"/>
      <c r="CZ197" s="4"/>
      <c r="DA197" s="4"/>
      <c r="DB197" s="6"/>
      <c r="DC197" s="5" t="str">
        <f t="shared" si="727"/>
        <v>NO APLICA</v>
      </c>
      <c r="DD197" s="4"/>
      <c r="DE197" s="4"/>
      <c r="DF197" s="4"/>
      <c r="DG197" s="6"/>
      <c r="DH197" s="5" t="str">
        <f t="shared" si="728"/>
        <v>NO APLICA</v>
      </c>
      <c r="DI197" s="4"/>
      <c r="DJ197" s="4"/>
      <c r="DK197" s="4"/>
      <c r="DL197" s="6"/>
      <c r="DM197" s="5" t="str">
        <f t="shared" si="729"/>
        <v>NO APLICA</v>
      </c>
      <c r="DN197" s="4"/>
      <c r="DO197" s="4"/>
      <c r="DP197" s="4"/>
      <c r="DQ197" s="6"/>
      <c r="DR197" s="5" t="str">
        <f t="shared" si="730"/>
        <v>NO APLICA</v>
      </c>
      <c r="DS197" s="4"/>
      <c r="DT197" s="4"/>
      <c r="DU197" s="4"/>
      <c r="DV197" s="6"/>
      <c r="DW197" s="5" t="str">
        <f t="shared" si="731"/>
        <v>NO APLICA</v>
      </c>
      <c r="DX197" s="4"/>
      <c r="DY197" s="4"/>
      <c r="DZ197" s="4"/>
      <c r="EA197" s="6"/>
      <c r="EB197" s="5" t="str">
        <f t="shared" si="732"/>
        <v>NO APLICA</v>
      </c>
      <c r="EC197" s="4"/>
      <c r="ED197" s="4"/>
      <c r="EE197" s="4"/>
      <c r="EF197" s="6"/>
      <c r="EG197" s="5" t="str">
        <f t="shared" si="733"/>
        <v>NO APLICA</v>
      </c>
      <c r="EH197" s="4"/>
      <c r="EI197" s="4"/>
      <c r="EJ197" s="4"/>
      <c r="EK197" s="8"/>
      <c r="EL197" s="5" t="str">
        <f t="shared" si="734"/>
        <v>NO APLICA</v>
      </c>
      <c r="EM197" s="4"/>
      <c r="EN197" s="4"/>
      <c r="EO197" s="4"/>
      <c r="EP197" s="8"/>
      <c r="EQ197" s="5" t="str">
        <f t="shared" si="735"/>
        <v>NO APLICA</v>
      </c>
      <c r="ER197" s="4"/>
      <c r="ES197" s="4"/>
      <c r="ET197" s="4"/>
      <c r="EU197" s="8"/>
      <c r="EV197" s="5" t="str">
        <f t="shared" si="736"/>
        <v>NO APLICA</v>
      </c>
      <c r="EW197" s="4"/>
      <c r="EX197" s="4"/>
      <c r="EY197" s="4"/>
      <c r="EZ197" s="6"/>
      <c r="FA197" s="5" t="str">
        <f t="shared" si="737"/>
        <v>NO APLICA</v>
      </c>
      <c r="FB197" s="4"/>
      <c r="FC197" s="4"/>
      <c r="FD197" s="4"/>
      <c r="FE197" s="6"/>
      <c r="FF197" s="5" t="str">
        <f t="shared" si="738"/>
        <v>NO APLICA</v>
      </c>
      <c r="FG197" s="4"/>
      <c r="FH197" s="4"/>
      <c r="FI197" s="4"/>
      <c r="FJ197" s="6"/>
      <c r="FK197" s="5" t="str">
        <f t="shared" si="739"/>
        <v>NO APLICA</v>
      </c>
      <c r="FL197" s="4"/>
      <c r="FM197" s="4"/>
      <c r="FN197" s="4"/>
      <c r="FO197" s="6"/>
      <c r="FP197" s="5" t="str">
        <f t="shared" si="740"/>
        <v>NO APLICA</v>
      </c>
      <c r="FQ197" s="4"/>
      <c r="FR197" s="4"/>
      <c r="FS197" s="4"/>
      <c r="FT197" s="6"/>
      <c r="FU197" s="5" t="str">
        <f t="shared" si="741"/>
        <v>NO APLICA</v>
      </c>
      <c r="FV197" s="4"/>
      <c r="FW197" s="4"/>
      <c r="FX197" s="4"/>
      <c r="FY197" s="6"/>
      <c r="FZ197" s="5" t="str">
        <f t="shared" si="742"/>
        <v>NO APLICA</v>
      </c>
      <c r="GA197" s="4"/>
      <c r="GB197" s="4"/>
      <c r="GC197" s="4"/>
      <c r="GD197" s="6"/>
      <c r="GE197" s="5" t="str">
        <f t="shared" si="743"/>
        <v>NO APLICA</v>
      </c>
      <c r="GF197" s="4"/>
      <c r="GG197" s="4"/>
      <c r="GH197" s="4"/>
      <c r="GI197" s="8"/>
      <c r="GJ197" s="5" t="str">
        <f t="shared" si="744"/>
        <v>NO APLICA</v>
      </c>
      <c r="GK197" s="4"/>
      <c r="GL197" s="6"/>
      <c r="GM197" s="6"/>
      <c r="GN197" s="6"/>
      <c r="GO197" s="5" t="str">
        <f t="shared" si="745"/>
        <v>NO APLICA</v>
      </c>
      <c r="GP197" s="4"/>
      <c r="GQ197" s="6"/>
      <c r="GR197" s="6"/>
      <c r="GS197" s="6"/>
      <c r="GT197" s="5" t="str">
        <f t="shared" si="624"/>
        <v>NO APLICA</v>
      </c>
      <c r="GU197" s="4"/>
      <c r="GV197" s="6"/>
      <c r="GW197" s="6"/>
      <c r="GX197" s="6"/>
      <c r="GY197" s="5" t="str">
        <f t="shared" si="625"/>
        <v>NO APLICA</v>
      </c>
      <c r="GZ197" s="6"/>
      <c r="HA197" s="6"/>
      <c r="HB197" s="6"/>
      <c r="HC197" s="6"/>
      <c r="HD197" s="5" t="str">
        <f t="shared" si="626"/>
        <v>NO APLICA</v>
      </c>
      <c r="HE197" s="6"/>
      <c r="HF197" s="6"/>
      <c r="HG197" s="4"/>
      <c r="HH197" s="8"/>
      <c r="HI197" s="5" t="str">
        <f t="shared" si="712"/>
        <v>NO APLICA</v>
      </c>
      <c r="HJ197" s="6"/>
      <c r="HK197" s="6"/>
      <c r="HL197" s="6"/>
      <c r="HM197" s="6"/>
      <c r="HN197" s="5" t="str">
        <f t="shared" si="708"/>
        <v>NO APLICA</v>
      </c>
      <c r="HO197" s="6"/>
      <c r="HP197" s="6"/>
      <c r="HQ197" s="6"/>
      <c r="HR197" s="6"/>
      <c r="HS197" s="5" t="str">
        <f t="shared" si="746"/>
        <v>NO APLICA</v>
      </c>
      <c r="HT197" s="6"/>
      <c r="HU197" s="6"/>
      <c r="HV197" s="6"/>
      <c r="HW197" s="6"/>
      <c r="HX197" s="5" t="str">
        <f t="shared" si="747"/>
        <v>NO APLICA</v>
      </c>
      <c r="HY197" s="6"/>
      <c r="HZ197" s="6"/>
      <c r="IA197" s="6"/>
      <c r="IB197" s="6"/>
      <c r="IC197" s="5" t="str">
        <f t="shared" si="748"/>
        <v>NO APLICA</v>
      </c>
      <c r="ID197" s="6"/>
      <c r="IE197" s="6"/>
      <c r="IF197" s="6"/>
      <c r="IG197" s="6"/>
      <c r="IH197" s="5" t="str">
        <f t="shared" si="749"/>
        <v>NO APLICA</v>
      </c>
      <c r="II197" s="6"/>
      <c r="IJ197" s="6"/>
      <c r="IK197" s="6"/>
      <c r="IL197" s="6"/>
      <c r="IM197" s="5" t="str">
        <f t="shared" si="750"/>
        <v>NO APLICA</v>
      </c>
      <c r="IN197" s="6"/>
      <c r="IO197" s="6"/>
      <c r="IP197" s="6"/>
      <c r="IQ197" s="6"/>
      <c r="IR197" s="5" t="str">
        <f t="shared" si="751"/>
        <v>NO APLICA</v>
      </c>
      <c r="IS197" s="6"/>
      <c r="IT197" s="6"/>
      <c r="IU197" s="6"/>
      <c r="IV197" s="6"/>
      <c r="IW197" s="5" t="str">
        <f t="shared" si="752"/>
        <v>NO APLICA</v>
      </c>
      <c r="IX197" s="6"/>
      <c r="IY197" s="6"/>
      <c r="IZ197" s="6"/>
      <c r="JA197" s="6"/>
      <c r="JB197" s="5" t="str">
        <f t="shared" si="753"/>
        <v>NO APLICA</v>
      </c>
      <c r="JC197" s="6"/>
      <c r="JD197" s="6"/>
      <c r="JE197" s="6"/>
      <c r="JF197" s="6"/>
      <c r="JG197" s="5" t="str">
        <f t="shared" si="754"/>
        <v>NO APLICA</v>
      </c>
      <c r="JH197" s="6"/>
      <c r="JI197" s="6"/>
      <c r="JJ197" s="6"/>
      <c r="JK197" s="6"/>
      <c r="JL197" s="5" t="str">
        <f t="shared" si="755"/>
        <v>NO APLICA</v>
      </c>
      <c r="JM197" s="6"/>
      <c r="JN197" s="6"/>
      <c r="JO197" s="6"/>
      <c r="JP197" s="6"/>
      <c r="JQ197" s="5" t="str">
        <f t="shared" si="756"/>
        <v>NO APLICA</v>
      </c>
      <c r="JR197" s="6"/>
      <c r="JS197" s="6"/>
      <c r="JT197" s="6"/>
      <c r="JU197" s="6"/>
      <c r="JV197" s="5" t="str">
        <f t="shared" si="757"/>
        <v>NO APLICA</v>
      </c>
      <c r="JW197" s="5"/>
      <c r="JX197" s="5"/>
      <c r="JY197" s="5"/>
      <c r="JZ197" s="5"/>
      <c r="KA197" s="5" t="str">
        <f t="shared" si="758"/>
        <v>NO APLICA</v>
      </c>
      <c r="KB197" s="5"/>
      <c r="KC197" s="6"/>
      <c r="KD197" s="6"/>
      <c r="KE197" s="6"/>
      <c r="KF197" s="5" t="str">
        <f t="shared" si="759"/>
        <v>NO APLICA</v>
      </c>
      <c r="KG197" s="5"/>
      <c r="KH197" s="6"/>
      <c r="KI197" s="6"/>
      <c r="KJ197" s="6"/>
      <c r="KK197" s="5" t="str">
        <f t="shared" ref="KK197:KK240" si="77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0"/>
        <v>NO APLICA</v>
      </c>
      <c r="KQ197" s="5"/>
      <c r="KR197" s="6"/>
      <c r="KS197" s="6"/>
      <c r="KT197" s="6"/>
      <c r="KU197" s="5" t="str">
        <f t="shared" ref="KU197:KU240" si="78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79"/>
        <v>NO APLICA</v>
      </c>
      <c r="LA197" s="5"/>
      <c r="LB197" s="6"/>
      <c r="LC197" s="6"/>
      <c r="LD197" s="6"/>
      <c r="LE197" s="5" t="str">
        <f t="shared" ref="LE197:LE240" si="78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4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1"/>
        <v>NO APLICA</v>
      </c>
      <c r="MJ197" s="6"/>
      <c r="MK197" s="6"/>
      <c r="ML197" s="6"/>
      <c r="MM197" s="6"/>
      <c r="MN197" s="5" t="str">
        <f t="shared" si="762"/>
        <v>NO APLICA</v>
      </c>
      <c r="MO197" s="5"/>
      <c r="MP197" s="6"/>
      <c r="MQ197" s="6"/>
      <c r="MR197" s="6"/>
      <c r="MS197" s="5" t="str">
        <f t="shared" si="763"/>
        <v>NO APLICA</v>
      </c>
      <c r="MT197" s="5"/>
      <c r="MU197" s="6"/>
      <c r="MV197" s="6"/>
      <c r="MW197" s="6"/>
      <c r="MX197" s="5" t="str">
        <f t="shared" si="764"/>
        <v>NO APLICA</v>
      </c>
      <c r="MY197" s="6"/>
      <c r="MZ197" s="6"/>
      <c r="NA197" s="6"/>
      <c r="NB197" s="6"/>
      <c r="NC197" s="5" t="str">
        <f t="shared" si="765"/>
        <v>NO APLICA</v>
      </c>
      <c r="ND197" s="6"/>
      <c r="NE197" s="6"/>
      <c r="NF197" s="6"/>
      <c r="NG197" s="6"/>
      <c r="NH197" s="5" t="str">
        <f t="shared" si="76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69"/>
        <v>NO APLICA</v>
      </c>
      <c r="NX197" s="6"/>
      <c r="NY197" s="6"/>
      <c r="NZ197" s="6"/>
      <c r="OA197" s="6"/>
      <c r="OB197" s="5" t="str">
        <f t="shared" si="770"/>
        <v>NO APLICA</v>
      </c>
      <c r="OC197" s="6"/>
      <c r="OD197" s="6"/>
      <c r="OE197" s="6"/>
      <c r="OF197" s="6"/>
      <c r="OG197" s="5" t="str">
        <f t="shared" si="771"/>
        <v>NO APLICA</v>
      </c>
      <c r="OH197" s="6"/>
      <c r="OI197" s="6"/>
      <c r="OJ197" s="6"/>
      <c r="OK197" s="6"/>
      <c r="OL197" s="5" t="str">
        <f t="shared" si="772"/>
        <v>NO APLICA</v>
      </c>
      <c r="OM197" s="6"/>
      <c r="ON197" s="6"/>
      <c r="OO197" s="6"/>
      <c r="OP197" s="6"/>
      <c r="OQ197" s="5" t="str">
        <f t="shared" si="773"/>
        <v>NO APLICA</v>
      </c>
      <c r="OR197" s="4"/>
      <c r="OS197" s="4"/>
      <c r="OT197" s="4"/>
      <c r="OU197" s="8"/>
      <c r="OV197" s="5" t="str">
        <f t="shared" si="77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75"/>
        <v>NO APLICA</v>
      </c>
      <c r="PG197" s="6"/>
      <c r="PH197" s="6"/>
      <c r="PI197" s="6"/>
      <c r="PJ197" s="6"/>
      <c r="PK197" s="5" t="str">
        <f t="shared" si="776"/>
        <v>NO APLICA</v>
      </c>
      <c r="PL197" s="5"/>
      <c r="PM197" s="6"/>
      <c r="PN197" s="6"/>
      <c r="PO197" s="6"/>
      <c r="PP197" s="5" t="str">
        <f t="shared" ref="PP197:PP240" si="78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77"/>
        <v>NO APLICA</v>
      </c>
      <c r="PV197" s="5"/>
      <c r="PW197" s="6"/>
      <c r="PX197" s="6"/>
      <c r="PY197" s="6"/>
      <c r="PZ197" s="5" t="str">
        <f t="shared" si="77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621</v>
      </c>
      <c r="D198" s="30" t="s">
        <v>69</v>
      </c>
      <c r="E198" s="31" t="s">
        <v>622</v>
      </c>
      <c r="F198" s="6"/>
      <c r="G198" s="6"/>
      <c r="H198" s="6"/>
      <c r="I198" s="6"/>
      <c r="J198" s="5" t="str">
        <f t="shared" si="710"/>
        <v>NO APLICA</v>
      </c>
      <c r="K198" s="6"/>
      <c r="L198" s="6"/>
      <c r="M198" s="6"/>
      <c r="N198" s="6"/>
      <c r="O198" s="5" t="str">
        <f t="shared" si="713"/>
        <v>NO APLICA</v>
      </c>
      <c r="P198" s="6"/>
      <c r="Q198" s="6"/>
      <c r="R198" s="6"/>
      <c r="S198" s="6"/>
      <c r="T198" s="5" t="str">
        <f t="shared" si="711"/>
        <v>NO APLICA</v>
      </c>
      <c r="U198" s="5"/>
      <c r="V198" s="6"/>
      <c r="W198" s="4"/>
      <c r="X198" s="4"/>
      <c r="Y198" s="8"/>
      <c r="Z198" s="5" t="str">
        <f t="shared" si="619"/>
        <v>NO APLICA</v>
      </c>
      <c r="AA198" s="5"/>
      <c r="AB198" s="6"/>
      <c r="AC198" s="6"/>
      <c r="AD198" s="6"/>
      <c r="AE198" s="6"/>
      <c r="AF198" s="5" t="str">
        <f t="shared" si="714"/>
        <v>NO APLICA</v>
      </c>
      <c r="AG198" s="4"/>
      <c r="AH198" s="4"/>
      <c r="AI198" s="4"/>
      <c r="AJ198" s="6"/>
      <c r="AK198" s="5" t="str">
        <f t="shared" si="616"/>
        <v>NO APLICA</v>
      </c>
      <c r="AL198" s="4"/>
      <c r="AM198" s="4"/>
      <c r="AN198" s="4"/>
      <c r="AO198" s="6"/>
      <c r="AP198" s="5" t="str">
        <f t="shared" si="715"/>
        <v>NO APLICA</v>
      </c>
      <c r="AQ198" s="4"/>
      <c r="AR198" s="4"/>
      <c r="AS198" s="4"/>
      <c r="AT198" s="6"/>
      <c r="AU198" s="5" t="str">
        <f t="shared" si="716"/>
        <v>NO APLICA</v>
      </c>
      <c r="AV198" s="4"/>
      <c r="AW198" s="4"/>
      <c r="AX198" s="4"/>
      <c r="AY198" s="6"/>
      <c r="AZ198" s="5" t="str">
        <f t="shared" si="717"/>
        <v>NO APLICA</v>
      </c>
      <c r="BA198" s="4"/>
      <c r="BB198" s="4"/>
      <c r="BC198" s="4"/>
      <c r="BD198" s="6"/>
      <c r="BE198" s="5" t="str">
        <f t="shared" si="718"/>
        <v>NO APLICA</v>
      </c>
      <c r="BF198" s="4"/>
      <c r="BG198" s="4"/>
      <c r="BH198" s="4"/>
      <c r="BI198" s="6"/>
      <c r="BJ198" s="5" t="str">
        <f t="shared" si="719"/>
        <v>NO APLICA</v>
      </c>
      <c r="BK198" s="4"/>
      <c r="BL198" s="4"/>
      <c r="BM198" s="4"/>
      <c r="BN198" s="6"/>
      <c r="BO198" s="5" t="str">
        <f t="shared" si="720"/>
        <v>NO APLICA</v>
      </c>
      <c r="BP198" s="4"/>
      <c r="BQ198" s="4"/>
      <c r="BR198" s="4"/>
      <c r="BS198" s="6"/>
      <c r="BT198" s="5" t="str">
        <f t="shared" si="721"/>
        <v>NO APLICA</v>
      </c>
      <c r="BU198" s="4"/>
      <c r="BV198" s="4"/>
      <c r="BW198" s="4"/>
      <c r="BX198" s="6"/>
      <c r="BY198" s="5" t="str">
        <f t="shared" si="722"/>
        <v>NO APLICA</v>
      </c>
      <c r="BZ198" s="4"/>
      <c r="CA198" s="4"/>
      <c r="CB198" s="4"/>
      <c r="CC198" s="6"/>
      <c r="CD198" s="5" t="str">
        <f t="shared" si="723"/>
        <v>NO APLICA</v>
      </c>
      <c r="CE198" s="6"/>
      <c r="CF198" s="6"/>
      <c r="CG198" s="6"/>
      <c r="CH198" s="6"/>
      <c r="CI198" s="5" t="str">
        <f t="shared" si="587"/>
        <v>NO APLICA</v>
      </c>
      <c r="CJ198" s="4"/>
      <c r="CK198" s="4"/>
      <c r="CL198" s="4"/>
      <c r="CM198" s="6"/>
      <c r="CN198" s="5" t="str">
        <f t="shared" si="724"/>
        <v>NO APLICA</v>
      </c>
      <c r="CO198" s="4"/>
      <c r="CP198" s="4"/>
      <c r="CQ198" s="4"/>
      <c r="CR198" s="6"/>
      <c r="CS198" s="5" t="str">
        <f t="shared" si="725"/>
        <v>NO APLICA</v>
      </c>
      <c r="CT198" s="4"/>
      <c r="CU198" s="4"/>
      <c r="CV198" s="4"/>
      <c r="CW198" s="6"/>
      <c r="CX198" s="5" t="str">
        <f t="shared" si="726"/>
        <v>NO APLICA</v>
      </c>
      <c r="CY198" s="4"/>
      <c r="CZ198" s="4"/>
      <c r="DA198" s="4"/>
      <c r="DB198" s="6"/>
      <c r="DC198" s="5" t="str">
        <f t="shared" si="727"/>
        <v>NO APLICA</v>
      </c>
      <c r="DD198" s="4"/>
      <c r="DE198" s="4"/>
      <c r="DF198" s="4"/>
      <c r="DG198" s="6"/>
      <c r="DH198" s="5" t="str">
        <f t="shared" si="728"/>
        <v>NO APLICA</v>
      </c>
      <c r="DI198" s="4"/>
      <c r="DJ198" s="4"/>
      <c r="DK198" s="4"/>
      <c r="DL198" s="6"/>
      <c r="DM198" s="5" t="str">
        <f t="shared" si="729"/>
        <v>NO APLICA</v>
      </c>
      <c r="DN198" s="4"/>
      <c r="DO198" s="4"/>
      <c r="DP198" s="4"/>
      <c r="DQ198" s="6"/>
      <c r="DR198" s="5" t="str">
        <f t="shared" si="730"/>
        <v>NO APLICA</v>
      </c>
      <c r="DS198" s="4"/>
      <c r="DT198" s="4"/>
      <c r="DU198" s="4"/>
      <c r="DV198" s="6"/>
      <c r="DW198" s="5" t="str">
        <f t="shared" si="731"/>
        <v>NO APLICA</v>
      </c>
      <c r="DX198" s="4"/>
      <c r="DY198" s="4"/>
      <c r="DZ198" s="4"/>
      <c r="EA198" s="6"/>
      <c r="EB198" s="5" t="str">
        <f t="shared" si="732"/>
        <v>NO APLICA</v>
      </c>
      <c r="EC198" s="4"/>
      <c r="ED198" s="4"/>
      <c r="EE198" s="4"/>
      <c r="EF198" s="6"/>
      <c r="EG198" s="5" t="str">
        <f t="shared" si="733"/>
        <v>NO APLICA</v>
      </c>
      <c r="EH198" s="4"/>
      <c r="EI198" s="4"/>
      <c r="EJ198" s="4"/>
      <c r="EK198" s="8"/>
      <c r="EL198" s="5" t="str">
        <f t="shared" si="734"/>
        <v>NO APLICA</v>
      </c>
      <c r="EM198" s="4"/>
      <c r="EN198" s="4"/>
      <c r="EO198" s="4"/>
      <c r="EP198" s="8"/>
      <c r="EQ198" s="5" t="str">
        <f t="shared" si="735"/>
        <v>NO APLICA</v>
      </c>
      <c r="ER198" s="4"/>
      <c r="ES198" s="4"/>
      <c r="ET198" s="4"/>
      <c r="EU198" s="8"/>
      <c r="EV198" s="5" t="str">
        <f t="shared" si="736"/>
        <v>NO APLICA</v>
      </c>
      <c r="EW198" s="4"/>
      <c r="EX198" s="4"/>
      <c r="EY198" s="4"/>
      <c r="EZ198" s="6"/>
      <c r="FA198" s="5" t="str">
        <f t="shared" si="737"/>
        <v>NO APLICA</v>
      </c>
      <c r="FB198" s="4"/>
      <c r="FC198" s="4"/>
      <c r="FD198" s="4"/>
      <c r="FE198" s="6"/>
      <c r="FF198" s="5" t="str">
        <f t="shared" si="738"/>
        <v>NO APLICA</v>
      </c>
      <c r="FG198" s="4"/>
      <c r="FH198" s="4"/>
      <c r="FI198" s="4"/>
      <c r="FJ198" s="6"/>
      <c r="FK198" s="5" t="str">
        <f t="shared" si="739"/>
        <v>NO APLICA</v>
      </c>
      <c r="FL198" s="4"/>
      <c r="FM198" s="4"/>
      <c r="FN198" s="4"/>
      <c r="FO198" s="6"/>
      <c r="FP198" s="5" t="str">
        <f t="shared" si="740"/>
        <v>NO APLICA</v>
      </c>
      <c r="FQ198" s="4"/>
      <c r="FR198" s="4"/>
      <c r="FS198" s="4"/>
      <c r="FT198" s="6"/>
      <c r="FU198" s="5" t="str">
        <f t="shared" si="741"/>
        <v>NO APLICA</v>
      </c>
      <c r="FV198" s="4"/>
      <c r="FW198" s="4"/>
      <c r="FX198" s="4"/>
      <c r="FY198" s="6"/>
      <c r="FZ198" s="5" t="str">
        <f t="shared" si="742"/>
        <v>NO APLICA</v>
      </c>
      <c r="GA198" s="4"/>
      <c r="GB198" s="4"/>
      <c r="GC198" s="4"/>
      <c r="GD198" s="6"/>
      <c r="GE198" s="5" t="str">
        <f t="shared" si="743"/>
        <v>NO APLICA</v>
      </c>
      <c r="GF198" s="4"/>
      <c r="GG198" s="4"/>
      <c r="GH198" s="4"/>
      <c r="GI198" s="8"/>
      <c r="GJ198" s="5" t="str">
        <f t="shared" si="744"/>
        <v>NO APLICA</v>
      </c>
      <c r="GK198" s="4"/>
      <c r="GL198" s="6"/>
      <c r="GM198" s="6"/>
      <c r="GN198" s="6"/>
      <c r="GO198" s="5" t="str">
        <f t="shared" si="745"/>
        <v>NO APLICA</v>
      </c>
      <c r="GP198" s="4"/>
      <c r="GQ198" s="6"/>
      <c r="GR198" s="6"/>
      <c r="GS198" s="6"/>
      <c r="GT198" s="5" t="str">
        <f t="shared" si="624"/>
        <v>NO APLICA</v>
      </c>
      <c r="GU198" s="4"/>
      <c r="GV198" s="6"/>
      <c r="GW198" s="6"/>
      <c r="GX198" s="6"/>
      <c r="GY198" s="5" t="str">
        <f t="shared" si="625"/>
        <v>NO APLICA</v>
      </c>
      <c r="GZ198" s="6"/>
      <c r="HA198" s="6"/>
      <c r="HB198" s="6"/>
      <c r="HC198" s="6"/>
      <c r="HD198" s="5" t="str">
        <f t="shared" si="626"/>
        <v>NO APLICA</v>
      </c>
      <c r="HE198" s="6"/>
      <c r="HF198" s="6"/>
      <c r="HG198" s="4"/>
      <c r="HH198" s="8"/>
      <c r="HI198" s="5" t="str">
        <f t="shared" si="712"/>
        <v>NO APLICA</v>
      </c>
      <c r="HJ198" s="6"/>
      <c r="HK198" s="6"/>
      <c r="HL198" s="6"/>
      <c r="HM198" s="6"/>
      <c r="HN198" s="5" t="str">
        <f t="shared" si="708"/>
        <v>NO APLICA</v>
      </c>
      <c r="HO198" s="6"/>
      <c r="HP198" s="6"/>
      <c r="HQ198" s="6"/>
      <c r="HR198" s="6"/>
      <c r="HS198" s="5" t="str">
        <f t="shared" si="746"/>
        <v>NO APLICA</v>
      </c>
      <c r="HT198" s="6"/>
      <c r="HU198" s="6"/>
      <c r="HV198" s="6"/>
      <c r="HW198" s="6"/>
      <c r="HX198" s="5" t="str">
        <f t="shared" si="747"/>
        <v>NO APLICA</v>
      </c>
      <c r="HY198" s="6"/>
      <c r="HZ198" s="6"/>
      <c r="IA198" s="6"/>
      <c r="IB198" s="6"/>
      <c r="IC198" s="5" t="str">
        <f t="shared" si="748"/>
        <v>NO APLICA</v>
      </c>
      <c r="ID198" s="6"/>
      <c r="IE198" s="6"/>
      <c r="IF198" s="6"/>
      <c r="IG198" s="6"/>
      <c r="IH198" s="5" t="str">
        <f t="shared" si="749"/>
        <v>NO APLICA</v>
      </c>
      <c r="II198" s="6"/>
      <c r="IJ198" s="6"/>
      <c r="IK198" s="6"/>
      <c r="IL198" s="6"/>
      <c r="IM198" s="5" t="str">
        <f t="shared" si="750"/>
        <v>NO APLICA</v>
      </c>
      <c r="IN198" s="6"/>
      <c r="IO198" s="6"/>
      <c r="IP198" s="6"/>
      <c r="IQ198" s="6"/>
      <c r="IR198" s="5" t="str">
        <f t="shared" si="751"/>
        <v>NO APLICA</v>
      </c>
      <c r="IS198" s="6"/>
      <c r="IT198" s="6"/>
      <c r="IU198" s="6"/>
      <c r="IV198" s="6"/>
      <c r="IW198" s="5" t="str">
        <f t="shared" si="752"/>
        <v>NO APLICA</v>
      </c>
      <c r="IX198" s="6"/>
      <c r="IY198" s="6"/>
      <c r="IZ198" s="6"/>
      <c r="JA198" s="6"/>
      <c r="JB198" s="5" t="str">
        <f t="shared" si="753"/>
        <v>NO APLICA</v>
      </c>
      <c r="JC198" s="6"/>
      <c r="JD198" s="6"/>
      <c r="JE198" s="6"/>
      <c r="JF198" s="6"/>
      <c r="JG198" s="5" t="str">
        <f t="shared" si="754"/>
        <v>NO APLICA</v>
      </c>
      <c r="JH198" s="6"/>
      <c r="JI198" s="6"/>
      <c r="JJ198" s="6"/>
      <c r="JK198" s="6"/>
      <c r="JL198" s="5" t="str">
        <f t="shared" si="755"/>
        <v>NO APLICA</v>
      </c>
      <c r="JM198" s="6"/>
      <c r="JN198" s="6"/>
      <c r="JO198" s="6"/>
      <c r="JP198" s="6"/>
      <c r="JQ198" s="5" t="str">
        <f t="shared" si="756"/>
        <v>NO APLICA</v>
      </c>
      <c r="JR198" s="6"/>
      <c r="JS198" s="6"/>
      <c r="JT198" s="6"/>
      <c r="JU198" s="6"/>
      <c r="JV198" s="5" t="str">
        <f t="shared" si="757"/>
        <v>NO APLICA</v>
      </c>
      <c r="JW198" s="5"/>
      <c r="JX198" s="5"/>
      <c r="JY198" s="5"/>
      <c r="JZ198" s="5"/>
      <c r="KA198" s="5" t="str">
        <f t="shared" si="758"/>
        <v>NO APLICA</v>
      </c>
      <c r="KB198" s="5"/>
      <c r="KC198" s="6"/>
      <c r="KD198" s="6"/>
      <c r="KE198" s="6"/>
      <c r="KF198" s="5" t="str">
        <f t="shared" si="759"/>
        <v>NO APLICA</v>
      </c>
      <c r="KG198" s="5"/>
      <c r="KH198" s="6"/>
      <c r="KI198" s="6"/>
      <c r="KJ198" s="6"/>
      <c r="KK198" s="5" t="str">
        <f t="shared" si="779"/>
        <v>NO APLICA</v>
      </c>
      <c r="KL198" s="5"/>
      <c r="KM198" s="6"/>
      <c r="KN198" s="6"/>
      <c r="KO198" s="6"/>
      <c r="KP198" s="5" t="str">
        <f t="shared" si="76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8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1"/>
        <v>NO APLICA</v>
      </c>
      <c r="LF198" s="6"/>
      <c r="LG198" s="6"/>
      <c r="LH198" s="6"/>
      <c r="LI198" s="6"/>
      <c r="LJ198" s="5" t="str">
        <f t="shared" si="614"/>
        <v>NO APLICA</v>
      </c>
      <c r="LK198" s="5"/>
      <c r="LL198" s="5"/>
      <c r="LM198" s="4"/>
      <c r="LN198" s="8"/>
      <c r="LO198" s="5" t="str">
        <f t="shared" ref="LO198:LO240" si="78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2"/>
        <v>NO APLICA</v>
      </c>
      <c r="LU198" s="6"/>
      <c r="LV198" s="6"/>
      <c r="LW198" s="6"/>
      <c r="LX198" s="6"/>
      <c r="LY198" s="5" t="str">
        <f t="shared" si="783"/>
        <v>NO APLICA</v>
      </c>
      <c r="LZ198" s="6"/>
      <c r="MA198" s="6"/>
      <c r="MB198" s="6"/>
      <c r="MC198" s="6"/>
      <c r="MD198" s="5" t="str">
        <f t="shared" si="784"/>
        <v>NO APLICA</v>
      </c>
      <c r="ME198" s="6"/>
      <c r="MF198" s="6"/>
      <c r="MG198" s="6"/>
      <c r="MH198" s="6"/>
      <c r="MI198" s="5" t="str">
        <f t="shared" si="761"/>
        <v>NO APLICA</v>
      </c>
      <c r="MJ198" s="6"/>
      <c r="MK198" s="6"/>
      <c r="ML198" s="6"/>
      <c r="MM198" s="6"/>
      <c r="MN198" s="5" t="str">
        <f t="shared" si="762"/>
        <v>NO APLICA</v>
      </c>
      <c r="MO198" s="5"/>
      <c r="MP198" s="6"/>
      <c r="MQ198" s="6"/>
      <c r="MR198" s="6"/>
      <c r="MS198" s="5" t="str">
        <f t="shared" si="763"/>
        <v>NO APLICA</v>
      </c>
      <c r="MT198" s="5"/>
      <c r="MU198" s="6"/>
      <c r="MV198" s="6"/>
      <c r="MW198" s="6"/>
      <c r="MX198" s="5" t="str">
        <f t="shared" si="764"/>
        <v>NO APLICA</v>
      </c>
      <c r="MY198" s="6"/>
      <c r="MZ198" s="6"/>
      <c r="NA198" s="6"/>
      <c r="NB198" s="6"/>
      <c r="NC198" s="5" t="str">
        <f t="shared" si="765"/>
        <v>NO APLICA</v>
      </c>
      <c r="ND198" s="6"/>
      <c r="NE198" s="6"/>
      <c r="NF198" s="6"/>
      <c r="NG198" s="6"/>
      <c r="NH198" s="5" t="str">
        <f t="shared" si="766"/>
        <v>NO APLICA</v>
      </c>
      <c r="NI198" s="6"/>
      <c r="NJ198" s="6"/>
      <c r="NK198" s="6"/>
      <c r="NL198" s="6"/>
      <c r="NM198" s="5" t="str">
        <f t="shared" si="767"/>
        <v>NO APLICA</v>
      </c>
      <c r="NN198" s="6"/>
      <c r="NO198" s="6"/>
      <c r="NP198" s="6"/>
      <c r="NQ198" s="6"/>
      <c r="NR198" s="5" t="str">
        <f t="shared" si="768"/>
        <v>NO APLICA</v>
      </c>
      <c r="NS198" s="6"/>
      <c r="NT198" s="6"/>
      <c r="NU198" s="6"/>
      <c r="NV198" s="6"/>
      <c r="NW198" s="5" t="str">
        <f t="shared" si="769"/>
        <v>NO APLICA</v>
      </c>
      <c r="NX198" s="6"/>
      <c r="NY198" s="6"/>
      <c r="NZ198" s="6"/>
      <c r="OA198" s="6"/>
      <c r="OB198" s="5" t="str">
        <f t="shared" si="770"/>
        <v>NO APLICA</v>
      </c>
      <c r="OC198" s="6"/>
      <c r="OD198" s="6"/>
      <c r="OE198" s="6"/>
      <c r="OF198" s="6"/>
      <c r="OG198" s="5" t="str">
        <f t="shared" si="771"/>
        <v>NO APLICA</v>
      </c>
      <c r="OH198" s="6"/>
      <c r="OI198" s="6"/>
      <c r="OJ198" s="6"/>
      <c r="OK198" s="6"/>
      <c r="OL198" s="5" t="str">
        <f t="shared" si="772"/>
        <v>NO APLICA</v>
      </c>
      <c r="OM198" s="6"/>
      <c r="ON198" s="6"/>
      <c r="OO198" s="6"/>
      <c r="OP198" s="6"/>
      <c r="OQ198" s="5" t="str">
        <f t="shared" si="773"/>
        <v>NO APLICA</v>
      </c>
      <c r="OR198" s="6"/>
      <c r="OS198" s="6"/>
      <c r="OT198" s="6"/>
      <c r="OU198" s="6"/>
      <c r="OV198" s="5" t="str">
        <f t="shared" si="774"/>
        <v>NO APLICA</v>
      </c>
      <c r="OW198" s="6"/>
      <c r="OX198" s="6"/>
      <c r="OY198" s="6"/>
      <c r="OZ198" s="6"/>
      <c r="PA198" s="5" t="str">
        <f t="shared" ref="PA198:PA240" si="78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75"/>
        <v>NO APLICA</v>
      </c>
      <c r="PG198" s="6"/>
      <c r="PH198" s="6"/>
      <c r="PI198" s="6"/>
      <c r="PJ198" s="6"/>
      <c r="PK198" s="5" t="str">
        <f t="shared" si="776"/>
        <v>NO APLICA</v>
      </c>
      <c r="PL198" s="5"/>
      <c r="PM198" s="6"/>
      <c r="PN198" s="6"/>
      <c r="PO198" s="6"/>
      <c r="PP198" s="5" t="str">
        <f t="shared" si="785"/>
        <v>NO APLICA</v>
      </c>
      <c r="PQ198" s="6"/>
      <c r="PR198" s="6"/>
      <c r="PS198" s="6"/>
      <c r="PT198" s="6"/>
      <c r="PU198" s="5" t="str">
        <f t="shared" si="777"/>
        <v>NO APLICA</v>
      </c>
      <c r="PV198" s="5"/>
      <c r="PW198" s="6"/>
      <c r="PX198" s="6"/>
      <c r="PY198" s="6"/>
      <c r="PZ198" s="5" t="str">
        <f t="shared" si="77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623</v>
      </c>
      <c r="D199" s="30" t="s">
        <v>115</v>
      </c>
      <c r="E199" s="31" t="s">
        <v>624</v>
      </c>
      <c r="F199" s="6"/>
      <c r="G199" s="6"/>
      <c r="H199" s="6"/>
      <c r="I199" s="6"/>
      <c r="J199" s="5" t="str">
        <f t="shared" si="710"/>
        <v>NO APLICA</v>
      </c>
      <c r="K199" s="6"/>
      <c r="L199" s="6"/>
      <c r="M199" s="6"/>
      <c r="N199" s="6"/>
      <c r="O199" s="5" t="str">
        <f t="shared" si="713"/>
        <v>NO APLICA</v>
      </c>
      <c r="P199" s="6"/>
      <c r="Q199" s="6"/>
      <c r="R199" s="6"/>
      <c r="S199" s="6"/>
      <c r="T199" s="5" t="str">
        <f t="shared" si="711"/>
        <v>NO APLICA</v>
      </c>
      <c r="U199" s="5"/>
      <c r="V199" s="6"/>
      <c r="W199" s="4"/>
      <c r="X199" s="4"/>
      <c r="Y199" s="8"/>
      <c r="Z199" s="5" t="str">
        <f t="shared" si="619"/>
        <v>NO APLICA</v>
      </c>
      <c r="AA199" s="5"/>
      <c r="AB199" s="6"/>
      <c r="AC199" s="6"/>
      <c r="AD199" s="6"/>
      <c r="AE199" s="6"/>
      <c r="AF199" s="5" t="str">
        <f t="shared" si="714"/>
        <v>NO APLICA</v>
      </c>
      <c r="AG199" s="4"/>
      <c r="AH199" s="4"/>
      <c r="AI199" s="4"/>
      <c r="AJ199" s="6"/>
      <c r="AK199" s="5" t="str">
        <f t="shared" si="616"/>
        <v>NO APLICA</v>
      </c>
      <c r="AL199" s="4"/>
      <c r="AM199" s="4"/>
      <c r="AN199" s="4"/>
      <c r="AO199" s="6"/>
      <c r="AP199" s="5" t="str">
        <f t="shared" si="715"/>
        <v>NO APLICA</v>
      </c>
      <c r="AQ199" s="4"/>
      <c r="AR199" s="4"/>
      <c r="AS199" s="4"/>
      <c r="AT199" s="6"/>
      <c r="AU199" s="5" t="str">
        <f t="shared" si="716"/>
        <v>NO APLICA</v>
      </c>
      <c r="AV199" s="4"/>
      <c r="AW199" s="4"/>
      <c r="AX199" s="4"/>
      <c r="AY199" s="6"/>
      <c r="AZ199" s="5" t="str">
        <f t="shared" si="717"/>
        <v>NO APLICA</v>
      </c>
      <c r="BA199" s="4"/>
      <c r="BB199" s="4"/>
      <c r="BC199" s="4"/>
      <c r="BD199" s="6"/>
      <c r="BE199" s="5" t="str">
        <f t="shared" si="718"/>
        <v>NO APLICA</v>
      </c>
      <c r="BF199" s="4"/>
      <c r="BG199" s="4"/>
      <c r="BH199" s="4"/>
      <c r="BI199" s="6"/>
      <c r="BJ199" s="5" t="str">
        <f t="shared" si="719"/>
        <v>NO APLICA</v>
      </c>
      <c r="BK199" s="4"/>
      <c r="BL199" s="4"/>
      <c r="BM199" s="4"/>
      <c r="BN199" s="6"/>
      <c r="BO199" s="5" t="str">
        <f t="shared" si="720"/>
        <v>NO APLICA</v>
      </c>
      <c r="BP199" s="4"/>
      <c r="BQ199" s="4"/>
      <c r="BR199" s="4"/>
      <c r="BS199" s="6"/>
      <c r="BT199" s="5" t="str">
        <f t="shared" si="721"/>
        <v>NO APLICA</v>
      </c>
      <c r="BU199" s="4"/>
      <c r="BV199" s="4"/>
      <c r="BW199" s="4"/>
      <c r="BX199" s="6"/>
      <c r="BY199" s="5" t="str">
        <f t="shared" si="722"/>
        <v>NO APLICA</v>
      </c>
      <c r="BZ199" s="4"/>
      <c r="CA199" s="4"/>
      <c r="CB199" s="4"/>
      <c r="CC199" s="6"/>
      <c r="CD199" s="5" t="str">
        <f t="shared" si="723"/>
        <v>NO APLICA</v>
      </c>
      <c r="CE199" s="6"/>
      <c r="CF199" s="6"/>
      <c r="CG199" s="6"/>
      <c r="CH199" s="6"/>
      <c r="CI199" s="5" t="str">
        <f t="shared" si="587"/>
        <v>NO APLICA</v>
      </c>
      <c r="CJ199" s="4"/>
      <c r="CK199" s="4"/>
      <c r="CL199" s="4"/>
      <c r="CM199" s="6"/>
      <c r="CN199" s="5" t="str">
        <f t="shared" si="724"/>
        <v>NO APLICA</v>
      </c>
      <c r="CO199" s="4"/>
      <c r="CP199" s="4"/>
      <c r="CQ199" s="4"/>
      <c r="CR199" s="6"/>
      <c r="CS199" s="5" t="str">
        <f t="shared" si="725"/>
        <v>NO APLICA</v>
      </c>
      <c r="CT199" s="4"/>
      <c r="CU199" s="4"/>
      <c r="CV199" s="4"/>
      <c r="CW199" s="6"/>
      <c r="CX199" s="5" t="str">
        <f t="shared" si="726"/>
        <v>NO APLICA</v>
      </c>
      <c r="CY199" s="4"/>
      <c r="CZ199" s="4"/>
      <c r="DA199" s="4"/>
      <c r="DB199" s="6"/>
      <c r="DC199" s="5" t="str">
        <f t="shared" si="727"/>
        <v>NO APLICA</v>
      </c>
      <c r="DD199" s="4"/>
      <c r="DE199" s="4"/>
      <c r="DF199" s="4"/>
      <c r="DG199" s="6"/>
      <c r="DH199" s="5" t="str">
        <f t="shared" si="728"/>
        <v>NO APLICA</v>
      </c>
      <c r="DI199" s="4"/>
      <c r="DJ199" s="4"/>
      <c r="DK199" s="4"/>
      <c r="DL199" s="6"/>
      <c r="DM199" s="5" t="str">
        <f t="shared" si="729"/>
        <v>NO APLICA</v>
      </c>
      <c r="DN199" s="4"/>
      <c r="DO199" s="4"/>
      <c r="DP199" s="4"/>
      <c r="DQ199" s="6"/>
      <c r="DR199" s="5" t="str">
        <f t="shared" si="730"/>
        <v>NO APLICA</v>
      </c>
      <c r="DS199" s="4"/>
      <c r="DT199" s="4"/>
      <c r="DU199" s="4"/>
      <c r="DV199" s="6"/>
      <c r="DW199" s="5" t="str">
        <f t="shared" si="731"/>
        <v>NO APLICA</v>
      </c>
      <c r="DX199" s="4"/>
      <c r="DY199" s="4"/>
      <c r="DZ199" s="4"/>
      <c r="EA199" s="6"/>
      <c r="EB199" s="5" t="str">
        <f t="shared" si="732"/>
        <v>NO APLICA</v>
      </c>
      <c r="EC199" s="4"/>
      <c r="ED199" s="4"/>
      <c r="EE199" s="4"/>
      <c r="EF199" s="6"/>
      <c r="EG199" s="5" t="str">
        <f t="shared" si="733"/>
        <v>NO APLICA</v>
      </c>
      <c r="EH199" s="4"/>
      <c r="EI199" s="4"/>
      <c r="EJ199" s="4"/>
      <c r="EK199" s="8"/>
      <c r="EL199" s="5" t="str">
        <f t="shared" si="734"/>
        <v>NO APLICA</v>
      </c>
      <c r="EM199" s="4"/>
      <c r="EN199" s="4"/>
      <c r="EO199" s="4"/>
      <c r="EP199" s="8"/>
      <c r="EQ199" s="5" t="str">
        <f t="shared" si="735"/>
        <v>NO APLICA</v>
      </c>
      <c r="ER199" s="4"/>
      <c r="ES199" s="4"/>
      <c r="ET199" s="4"/>
      <c r="EU199" s="8"/>
      <c r="EV199" s="5" t="str">
        <f t="shared" si="736"/>
        <v>NO APLICA</v>
      </c>
      <c r="EW199" s="4"/>
      <c r="EX199" s="4"/>
      <c r="EY199" s="4"/>
      <c r="EZ199" s="6"/>
      <c r="FA199" s="5" t="str">
        <f t="shared" si="737"/>
        <v>NO APLICA</v>
      </c>
      <c r="FB199" s="4"/>
      <c r="FC199" s="4"/>
      <c r="FD199" s="4"/>
      <c r="FE199" s="6"/>
      <c r="FF199" s="5" t="str">
        <f t="shared" si="738"/>
        <v>NO APLICA</v>
      </c>
      <c r="FG199" s="4"/>
      <c r="FH199" s="4"/>
      <c r="FI199" s="4"/>
      <c r="FJ199" s="6"/>
      <c r="FK199" s="5" t="str">
        <f t="shared" si="739"/>
        <v>NO APLICA</v>
      </c>
      <c r="FL199" s="4"/>
      <c r="FM199" s="4"/>
      <c r="FN199" s="4"/>
      <c r="FO199" s="6"/>
      <c r="FP199" s="5" t="str">
        <f t="shared" si="740"/>
        <v>NO APLICA</v>
      </c>
      <c r="FQ199" s="4"/>
      <c r="FR199" s="4"/>
      <c r="FS199" s="4"/>
      <c r="FT199" s="6"/>
      <c r="FU199" s="5" t="str">
        <f t="shared" si="741"/>
        <v>NO APLICA</v>
      </c>
      <c r="FV199" s="4"/>
      <c r="FW199" s="4"/>
      <c r="FX199" s="4"/>
      <c r="FY199" s="6"/>
      <c r="FZ199" s="5" t="str">
        <f t="shared" si="742"/>
        <v>NO APLICA</v>
      </c>
      <c r="GA199" s="4"/>
      <c r="GB199" s="4"/>
      <c r="GC199" s="4"/>
      <c r="GD199" s="6"/>
      <c r="GE199" s="5" t="str">
        <f t="shared" si="743"/>
        <v>NO APLICA</v>
      </c>
      <c r="GF199" s="4"/>
      <c r="GG199" s="4"/>
      <c r="GH199" s="4"/>
      <c r="GI199" s="8"/>
      <c r="GJ199" s="5" t="str">
        <f t="shared" si="744"/>
        <v>NO APLICA</v>
      </c>
      <c r="GK199" s="4"/>
      <c r="GL199" s="6"/>
      <c r="GM199" s="6"/>
      <c r="GN199" s="6"/>
      <c r="GO199" s="5" t="str">
        <f t="shared" si="745"/>
        <v>NO APLICA</v>
      </c>
      <c r="GP199" s="4"/>
      <c r="GQ199" s="6"/>
      <c r="GR199" s="6"/>
      <c r="GS199" s="6"/>
      <c r="GT199" s="5" t="str">
        <f t="shared" si="624"/>
        <v>NO APLICA</v>
      </c>
      <c r="GU199" s="4"/>
      <c r="GV199" s="6"/>
      <c r="GW199" s="6"/>
      <c r="GX199" s="6"/>
      <c r="GY199" s="5" t="str">
        <f t="shared" si="625"/>
        <v>NO APLICA</v>
      </c>
      <c r="GZ199" s="6"/>
      <c r="HA199" s="6"/>
      <c r="HB199" s="6"/>
      <c r="HC199" s="6"/>
      <c r="HD199" s="5" t="str">
        <f t="shared" si="626"/>
        <v>NO APLICA</v>
      </c>
      <c r="HE199" s="6"/>
      <c r="HF199" s="6"/>
      <c r="HG199" s="4"/>
      <c r="HH199" s="8"/>
      <c r="HI199" s="5" t="str">
        <f t="shared" si="712"/>
        <v>NO APLICA</v>
      </c>
      <c r="HJ199" s="6"/>
      <c r="HK199" s="6"/>
      <c r="HL199" s="6"/>
      <c r="HM199" s="6"/>
      <c r="HN199" s="5" t="str">
        <f t="shared" si="708"/>
        <v>NO APLICA</v>
      </c>
      <c r="HO199" s="6"/>
      <c r="HP199" s="6"/>
      <c r="HQ199" s="6"/>
      <c r="HR199" s="6"/>
      <c r="HS199" s="5" t="str">
        <f t="shared" si="746"/>
        <v>NO APLICA</v>
      </c>
      <c r="HT199" s="6"/>
      <c r="HU199" s="6"/>
      <c r="HV199" s="6"/>
      <c r="HW199" s="6"/>
      <c r="HX199" s="5" t="str">
        <f t="shared" si="747"/>
        <v>NO APLICA</v>
      </c>
      <c r="HY199" s="6"/>
      <c r="HZ199" s="6"/>
      <c r="IA199" s="6"/>
      <c r="IB199" s="6"/>
      <c r="IC199" s="5" t="str">
        <f t="shared" si="748"/>
        <v>NO APLICA</v>
      </c>
      <c r="ID199" s="6"/>
      <c r="IE199" s="6"/>
      <c r="IF199" s="6"/>
      <c r="IG199" s="6"/>
      <c r="IH199" s="5" t="str">
        <f t="shared" si="749"/>
        <v>NO APLICA</v>
      </c>
      <c r="II199" s="6"/>
      <c r="IJ199" s="6"/>
      <c r="IK199" s="6"/>
      <c r="IL199" s="6"/>
      <c r="IM199" s="5" t="str">
        <f t="shared" si="750"/>
        <v>NO APLICA</v>
      </c>
      <c r="IN199" s="6"/>
      <c r="IO199" s="6"/>
      <c r="IP199" s="6"/>
      <c r="IQ199" s="6"/>
      <c r="IR199" s="5" t="str">
        <f t="shared" si="751"/>
        <v>NO APLICA</v>
      </c>
      <c r="IS199" s="6"/>
      <c r="IT199" s="6"/>
      <c r="IU199" s="6"/>
      <c r="IV199" s="6"/>
      <c r="IW199" s="5" t="str">
        <f t="shared" si="752"/>
        <v>NO APLICA</v>
      </c>
      <c r="IX199" s="6"/>
      <c r="IY199" s="6"/>
      <c r="IZ199" s="6"/>
      <c r="JA199" s="6"/>
      <c r="JB199" s="5" t="str">
        <f t="shared" si="753"/>
        <v>NO APLICA</v>
      </c>
      <c r="JC199" s="6" t="s">
        <v>788</v>
      </c>
      <c r="JD199" s="6"/>
      <c r="JE199" s="6"/>
      <c r="JF199" s="6"/>
      <c r="JG199" s="5" t="str">
        <f>IF(JF199&gt;=61,"VIGENTE",IF(JF199&gt;=1,"POR VENCER",IF(JF199&lt;=-1,"VENCIDA",IF(JD199=0,"NO APLICA"))))</f>
        <v>NO APLICA</v>
      </c>
      <c r="JH199" s="6" t="s">
        <v>788</v>
      </c>
      <c r="JI199" s="6"/>
      <c r="JJ199" s="6"/>
      <c r="JK199" s="6"/>
      <c r="JL199" s="5" t="str">
        <f>IF(JK199&gt;=61,"VIGENTE",IF(JK199&gt;=1,"POR VENCER",IF(JK199&lt;=-1,"VENCIDA",IF(JI199=0,"NO APLICA"))))</f>
        <v>NO APLICA</v>
      </c>
      <c r="JM199" s="6" t="s">
        <v>788</v>
      </c>
      <c r="JN199" s="6"/>
      <c r="JO199" s="6"/>
      <c r="JP199" s="6"/>
      <c r="JQ199" s="5" t="str">
        <f>IF(JP199&gt;=61,"VIGENTE",IF(JP199&gt;=1,"POR VENCER",IF(JP199&lt;=-1,"VENCIDA",IF(JN199=0,"NO APLICA"))))</f>
        <v>NO APLICA</v>
      </c>
      <c r="JR199" s="6" t="s">
        <v>788</v>
      </c>
      <c r="JS199" s="6"/>
      <c r="JT199" s="6"/>
      <c r="JU199" s="6"/>
      <c r="JV199" s="5" t="str">
        <f t="shared" si="757"/>
        <v>NO APLICA</v>
      </c>
      <c r="JW199" s="6" t="s">
        <v>788</v>
      </c>
      <c r="JX199" s="6"/>
      <c r="JY199" s="6"/>
      <c r="JZ199" s="6"/>
      <c r="KA199" s="5" t="str">
        <f>IF(JZ199&gt;=61,"VIGENTE",IF(JZ199&gt;=1,"POR VENCER",IF(JZ199&lt;=-1,"VENCIDA",IF(JX199=0,"NO APLICA"))))</f>
        <v>NO APLICA</v>
      </c>
      <c r="KB199" s="5"/>
      <c r="KC199" s="6"/>
      <c r="KD199" s="6"/>
      <c r="KE199" s="6"/>
      <c r="KF199" s="5" t="str">
        <f t="shared" si="759"/>
        <v>NO APLICA</v>
      </c>
      <c r="KG199" s="5"/>
      <c r="KH199" s="6"/>
      <c r="KI199" s="6"/>
      <c r="KJ199" s="6"/>
      <c r="KK199" s="5" t="str">
        <f t="shared" si="779"/>
        <v>NO APLICA</v>
      </c>
      <c r="KL199" s="5"/>
      <c r="KM199" s="6"/>
      <c r="KN199" s="6"/>
      <c r="KO199" s="6"/>
      <c r="KP199" s="5" t="str">
        <f t="shared" si="760"/>
        <v>NO APLICA</v>
      </c>
      <c r="KQ199" s="5"/>
      <c r="KR199" s="6"/>
      <c r="KS199" s="6"/>
      <c r="KT199" s="6"/>
      <c r="KU199" s="5" t="str">
        <f t="shared" si="780"/>
        <v>NO APLICA</v>
      </c>
      <c r="KV199" s="6"/>
      <c r="KW199" s="6"/>
      <c r="KX199" s="6"/>
      <c r="KY199" s="6"/>
      <c r="KZ199" s="5" t="str">
        <f t="shared" si="786"/>
        <v>NO APLICA</v>
      </c>
      <c r="LA199" s="5"/>
      <c r="LB199" s="6"/>
      <c r="LC199" s="6"/>
      <c r="LD199" s="6"/>
      <c r="LE199" s="5" t="str">
        <f t="shared" si="781"/>
        <v>NO APLICA</v>
      </c>
      <c r="LF199" s="6"/>
      <c r="LG199" s="6"/>
      <c r="LH199" s="6"/>
      <c r="LI199" s="6"/>
      <c r="LJ199" s="5" t="str">
        <f t="shared" si="614"/>
        <v>NO APLICA</v>
      </c>
      <c r="LK199" s="5"/>
      <c r="LL199" s="5"/>
      <c r="LM199" s="4"/>
      <c r="LN199" s="8"/>
      <c r="LO199" s="5" t="str">
        <f t="shared" si="787"/>
        <v>NO APLICA</v>
      </c>
      <c r="LP199" s="6"/>
      <c r="LQ199" s="6"/>
      <c r="LR199" s="6"/>
      <c r="LS199" s="6"/>
      <c r="LT199" s="5" t="str">
        <f t="shared" si="782"/>
        <v>NO APLICA</v>
      </c>
      <c r="LU199" s="6"/>
      <c r="LV199" s="6"/>
      <c r="LW199" s="6"/>
      <c r="LX199" s="6"/>
      <c r="LY199" s="5" t="str">
        <f t="shared" si="783"/>
        <v>NO APLICA</v>
      </c>
      <c r="LZ199" s="6"/>
      <c r="MA199" s="6"/>
      <c r="MB199" s="6"/>
      <c r="MC199" s="6"/>
      <c r="MD199" s="5" t="str">
        <f t="shared" si="784"/>
        <v>NO APLICA</v>
      </c>
      <c r="ME199" s="6"/>
      <c r="MF199" s="6"/>
      <c r="MG199" s="6"/>
      <c r="MH199" s="6"/>
      <c r="MI199" s="5" t="str">
        <f t="shared" si="761"/>
        <v>NO APLICA</v>
      </c>
      <c r="MJ199" s="6"/>
      <c r="MK199" s="6"/>
      <c r="ML199" s="6"/>
      <c r="MM199" s="6"/>
      <c r="MN199" s="5" t="str">
        <f t="shared" si="762"/>
        <v>NO APLICA</v>
      </c>
      <c r="MO199" s="5"/>
      <c r="MP199" s="6"/>
      <c r="MQ199" s="6"/>
      <c r="MR199" s="6"/>
      <c r="MS199" s="5" t="str">
        <f t="shared" si="763"/>
        <v>NO APLICA</v>
      </c>
      <c r="MT199" s="5"/>
      <c r="MU199" s="6"/>
      <c r="MV199" s="6"/>
      <c r="MW199" s="6"/>
      <c r="MX199" s="5" t="str">
        <f t="shared" si="764"/>
        <v>NO APLICA</v>
      </c>
      <c r="MY199" s="6"/>
      <c r="MZ199" s="6"/>
      <c r="NA199" s="6"/>
      <c r="NB199" s="6"/>
      <c r="NC199" s="5" t="str">
        <f t="shared" si="765"/>
        <v>NO APLICA</v>
      </c>
      <c r="ND199" s="6"/>
      <c r="NE199" s="6"/>
      <c r="NF199" s="6"/>
      <c r="NG199" s="6"/>
      <c r="NH199" s="5" t="str">
        <f t="shared" si="766"/>
        <v>NO APLICA</v>
      </c>
      <c r="NI199" s="6"/>
      <c r="NJ199" s="6"/>
      <c r="NK199" s="6"/>
      <c r="NL199" s="6"/>
      <c r="NM199" s="5" t="str">
        <f t="shared" si="767"/>
        <v>NO APLICA</v>
      </c>
      <c r="NN199" s="6"/>
      <c r="NO199" s="6"/>
      <c r="NP199" s="6"/>
      <c r="NQ199" s="6"/>
      <c r="NR199" s="5" t="str">
        <f t="shared" si="768"/>
        <v>NO APLICA</v>
      </c>
      <c r="NS199" s="6"/>
      <c r="NT199" s="6"/>
      <c r="NU199" s="6"/>
      <c r="NV199" s="6"/>
      <c r="NW199" s="5" t="str">
        <f t="shared" si="769"/>
        <v>NO APLICA</v>
      </c>
      <c r="NX199" s="6"/>
      <c r="NY199" s="6"/>
      <c r="NZ199" s="6"/>
      <c r="OA199" s="6"/>
      <c r="OB199" s="5" t="str">
        <f t="shared" si="770"/>
        <v>NO APLICA</v>
      </c>
      <c r="OC199" s="6"/>
      <c r="OD199" s="6"/>
      <c r="OE199" s="6"/>
      <c r="OF199" s="6"/>
      <c r="OG199" s="5" t="str">
        <f t="shared" si="771"/>
        <v>NO APLICA</v>
      </c>
      <c r="OH199" s="6"/>
      <c r="OI199" s="6"/>
      <c r="OJ199" s="6"/>
      <c r="OK199" s="6"/>
      <c r="OL199" s="5" t="str">
        <f t="shared" si="772"/>
        <v>NO APLICA</v>
      </c>
      <c r="OM199" s="6"/>
      <c r="ON199" s="6"/>
      <c r="OO199" s="6"/>
      <c r="OP199" s="6"/>
      <c r="OQ199" s="5" t="str">
        <f t="shared" si="773"/>
        <v>NO APLICA</v>
      </c>
      <c r="OR199" s="6"/>
      <c r="OS199" s="6"/>
      <c r="OT199" s="6"/>
      <c r="OU199" s="6"/>
      <c r="OV199" s="5" t="str">
        <f t="shared" si="774"/>
        <v>NO APLICA</v>
      </c>
      <c r="OW199" s="6"/>
      <c r="OX199" s="6"/>
      <c r="OY199" s="6"/>
      <c r="OZ199" s="6"/>
      <c r="PA199" s="5" t="str">
        <f t="shared" si="788"/>
        <v>NO APLICA</v>
      </c>
      <c r="PB199" s="6"/>
      <c r="PC199" s="6"/>
      <c r="PD199" s="6"/>
      <c r="PE199" s="6"/>
      <c r="PF199" s="5" t="str">
        <f t="shared" si="775"/>
        <v>NO APLICA</v>
      </c>
      <c r="PG199" s="6"/>
      <c r="PH199" s="6"/>
      <c r="PI199" s="6"/>
      <c r="PJ199" s="6"/>
      <c r="PK199" s="5" t="str">
        <f t="shared" si="776"/>
        <v>NO APLICA</v>
      </c>
      <c r="PL199" s="5"/>
      <c r="PM199" s="6"/>
      <c r="PN199" s="6"/>
      <c r="PO199" s="6"/>
      <c r="PP199" s="5" t="str">
        <f t="shared" si="785"/>
        <v>NO APLICA</v>
      </c>
      <c r="PQ199" s="6"/>
      <c r="PR199" s="6"/>
      <c r="PS199" s="6"/>
      <c r="PT199" s="6"/>
      <c r="PU199" s="5" t="str">
        <f t="shared" si="777"/>
        <v>NO APLICA</v>
      </c>
      <c r="PV199" s="5"/>
      <c r="PW199" s="6"/>
      <c r="PX199" s="6"/>
      <c r="PY199" s="6"/>
      <c r="PZ199" s="5" t="str">
        <f t="shared" si="77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625</v>
      </c>
      <c r="D200" s="30" t="s">
        <v>64</v>
      </c>
      <c r="E200" s="31" t="s">
        <v>626</v>
      </c>
      <c r="F200" s="6"/>
      <c r="G200" s="6"/>
      <c r="H200" s="6"/>
      <c r="I200" s="6"/>
      <c r="J200" s="5" t="str">
        <f t="shared" si="710"/>
        <v>NO APLICA</v>
      </c>
      <c r="K200" s="6"/>
      <c r="L200" s="6"/>
      <c r="M200" s="6"/>
      <c r="N200" s="6"/>
      <c r="O200" s="5" t="str">
        <f t="shared" si="713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19"/>
        <v>NO APLICA</v>
      </c>
      <c r="AA200" s="5"/>
      <c r="AB200" s="6"/>
      <c r="AC200" s="6"/>
      <c r="AD200" s="6"/>
      <c r="AE200" s="6"/>
      <c r="AF200" s="5" t="str">
        <f t="shared" si="714"/>
        <v>NO APLICA</v>
      </c>
      <c r="AG200" s="4"/>
      <c r="AH200" s="4"/>
      <c r="AI200" s="4"/>
      <c r="AJ200" s="6"/>
      <c r="AK200" s="5" t="str">
        <f t="shared" si="616"/>
        <v>NO APLICA</v>
      </c>
      <c r="AL200" s="4"/>
      <c r="AM200" s="4"/>
      <c r="AN200" s="4"/>
      <c r="AO200" s="6"/>
      <c r="AP200" s="5" t="str">
        <f t="shared" si="715"/>
        <v>NO APLICA</v>
      </c>
      <c r="AQ200" s="4"/>
      <c r="AR200" s="4"/>
      <c r="AS200" s="4"/>
      <c r="AT200" s="6"/>
      <c r="AU200" s="5" t="str">
        <f t="shared" si="716"/>
        <v>NO APLICA</v>
      </c>
      <c r="AV200" s="4"/>
      <c r="AW200" s="4"/>
      <c r="AX200" s="4"/>
      <c r="AY200" s="6"/>
      <c r="AZ200" s="5" t="str">
        <f t="shared" si="717"/>
        <v>NO APLICA</v>
      </c>
      <c r="BA200" s="4"/>
      <c r="BB200" s="4"/>
      <c r="BC200" s="4"/>
      <c r="BD200" s="6"/>
      <c r="BE200" s="5" t="str">
        <f t="shared" si="718"/>
        <v>NO APLICA</v>
      </c>
      <c r="BF200" s="4"/>
      <c r="BG200" s="4"/>
      <c r="BH200" s="4"/>
      <c r="BI200" s="6"/>
      <c r="BJ200" s="5" t="str">
        <f t="shared" si="719"/>
        <v>NO APLICA</v>
      </c>
      <c r="BK200" s="4"/>
      <c r="BL200" s="4"/>
      <c r="BM200" s="4"/>
      <c r="BN200" s="6"/>
      <c r="BO200" s="5" t="str">
        <f t="shared" si="720"/>
        <v>NO APLICA</v>
      </c>
      <c r="BP200" s="4"/>
      <c r="BQ200" s="4"/>
      <c r="BR200" s="4"/>
      <c r="BS200" s="6"/>
      <c r="BT200" s="5" t="str">
        <f t="shared" si="721"/>
        <v>NO APLICA</v>
      </c>
      <c r="BU200" s="4"/>
      <c r="BV200" s="4"/>
      <c r="BW200" s="4"/>
      <c r="BX200" s="6"/>
      <c r="BY200" s="5" t="str">
        <f t="shared" si="722"/>
        <v>NO APLICA</v>
      </c>
      <c r="BZ200" s="4"/>
      <c r="CA200" s="4"/>
      <c r="CB200" s="4"/>
      <c r="CC200" s="6"/>
      <c r="CD200" s="5" t="str">
        <f t="shared" si="723"/>
        <v>NO APLICA</v>
      </c>
      <c r="CE200" s="6"/>
      <c r="CF200" s="6"/>
      <c r="CG200" s="6"/>
      <c r="CH200" s="6"/>
      <c r="CI200" s="5" t="str">
        <f t="shared" si="587"/>
        <v>NO APLICA</v>
      </c>
      <c r="CJ200" s="4"/>
      <c r="CK200" s="4"/>
      <c r="CL200" s="4"/>
      <c r="CM200" s="6"/>
      <c r="CN200" s="5" t="str">
        <f t="shared" si="724"/>
        <v>NO APLICA</v>
      </c>
      <c r="CO200" s="4"/>
      <c r="CP200" s="4"/>
      <c r="CQ200" s="4"/>
      <c r="CR200" s="6"/>
      <c r="CS200" s="5" t="str">
        <f t="shared" si="725"/>
        <v>NO APLICA</v>
      </c>
      <c r="CT200" s="4"/>
      <c r="CU200" s="4"/>
      <c r="CV200" s="4"/>
      <c r="CW200" s="6"/>
      <c r="CX200" s="5" t="str">
        <f t="shared" si="726"/>
        <v>NO APLICA</v>
      </c>
      <c r="CY200" s="4"/>
      <c r="CZ200" s="4"/>
      <c r="DA200" s="4"/>
      <c r="DB200" s="6"/>
      <c r="DC200" s="5" t="str">
        <f t="shared" si="727"/>
        <v>NO APLICA</v>
      </c>
      <c r="DD200" s="4"/>
      <c r="DE200" s="4"/>
      <c r="DF200" s="4"/>
      <c r="DG200" s="6"/>
      <c r="DH200" s="5" t="str">
        <f t="shared" si="728"/>
        <v>NO APLICA</v>
      </c>
      <c r="DI200" s="4"/>
      <c r="DJ200" s="4"/>
      <c r="DK200" s="4"/>
      <c r="DL200" s="6"/>
      <c r="DM200" s="5" t="str">
        <f t="shared" si="729"/>
        <v>NO APLICA</v>
      </c>
      <c r="DN200" s="4"/>
      <c r="DO200" s="4"/>
      <c r="DP200" s="4"/>
      <c r="DQ200" s="6"/>
      <c r="DR200" s="5" t="str">
        <f t="shared" si="730"/>
        <v>NO APLICA</v>
      </c>
      <c r="DS200" s="4"/>
      <c r="DT200" s="4"/>
      <c r="DU200" s="4"/>
      <c r="DV200" s="6"/>
      <c r="DW200" s="5" t="str">
        <f t="shared" si="731"/>
        <v>NO APLICA</v>
      </c>
      <c r="DX200" s="4"/>
      <c r="DY200" s="4"/>
      <c r="DZ200" s="4"/>
      <c r="EA200" s="6"/>
      <c r="EB200" s="5" t="str">
        <f t="shared" si="732"/>
        <v>NO APLICA</v>
      </c>
      <c r="EC200" s="4"/>
      <c r="ED200" s="4"/>
      <c r="EE200" s="4"/>
      <c r="EF200" s="6"/>
      <c r="EG200" s="5" t="str">
        <f t="shared" si="733"/>
        <v>NO APLICA</v>
      </c>
      <c r="EH200" s="4"/>
      <c r="EI200" s="4"/>
      <c r="EJ200" s="4"/>
      <c r="EK200" s="8"/>
      <c r="EL200" s="5" t="str">
        <f t="shared" si="734"/>
        <v>NO APLICA</v>
      </c>
      <c r="EM200" s="4"/>
      <c r="EN200" s="4"/>
      <c r="EO200" s="4"/>
      <c r="EP200" s="8"/>
      <c r="EQ200" s="5" t="str">
        <f t="shared" si="735"/>
        <v>NO APLICA</v>
      </c>
      <c r="ER200" s="4"/>
      <c r="ES200" s="4"/>
      <c r="ET200" s="4"/>
      <c r="EU200" s="8"/>
      <c r="EV200" s="5" t="str">
        <f t="shared" si="736"/>
        <v>NO APLICA</v>
      </c>
      <c r="EW200" s="4"/>
      <c r="EX200" s="4"/>
      <c r="EY200" s="4"/>
      <c r="EZ200" s="6"/>
      <c r="FA200" s="5" t="str">
        <f t="shared" si="737"/>
        <v>NO APLICA</v>
      </c>
      <c r="FB200" s="4"/>
      <c r="FC200" s="4"/>
      <c r="FD200" s="4"/>
      <c r="FE200" s="6"/>
      <c r="FF200" s="5" t="str">
        <f t="shared" si="738"/>
        <v>NO APLICA</v>
      </c>
      <c r="FG200" s="4"/>
      <c r="FH200" s="4"/>
      <c r="FI200" s="4"/>
      <c r="FJ200" s="6"/>
      <c r="FK200" s="5" t="str">
        <f t="shared" si="739"/>
        <v>NO APLICA</v>
      </c>
      <c r="FL200" s="4"/>
      <c r="FM200" s="4"/>
      <c r="FN200" s="4"/>
      <c r="FO200" s="6"/>
      <c r="FP200" s="5" t="str">
        <f t="shared" si="740"/>
        <v>NO APLICA</v>
      </c>
      <c r="FQ200" s="4"/>
      <c r="FR200" s="4"/>
      <c r="FS200" s="4"/>
      <c r="FT200" s="6"/>
      <c r="FU200" s="5" t="str">
        <f t="shared" si="741"/>
        <v>NO APLICA</v>
      </c>
      <c r="FV200" s="4"/>
      <c r="FW200" s="4"/>
      <c r="FX200" s="4"/>
      <c r="FY200" s="6"/>
      <c r="FZ200" s="5" t="str">
        <f t="shared" si="742"/>
        <v>NO APLICA</v>
      </c>
      <c r="GA200" s="4"/>
      <c r="GB200" s="4"/>
      <c r="GC200" s="4"/>
      <c r="GD200" s="6"/>
      <c r="GE200" s="5" t="str">
        <f t="shared" si="743"/>
        <v>NO APLICA</v>
      </c>
      <c r="GF200" s="4"/>
      <c r="GG200" s="4"/>
      <c r="GH200" s="4"/>
      <c r="GI200" s="8"/>
      <c r="GJ200" s="5" t="str">
        <f t="shared" si="744"/>
        <v>NO APLICA</v>
      </c>
      <c r="GK200" s="4"/>
      <c r="GL200" s="6"/>
      <c r="GM200" s="6"/>
      <c r="GN200" s="6"/>
      <c r="GO200" s="5" t="str">
        <f t="shared" si="745"/>
        <v>NO APLICA</v>
      </c>
      <c r="GP200" s="4"/>
      <c r="GQ200" s="6"/>
      <c r="GR200" s="6"/>
      <c r="GS200" s="6"/>
      <c r="GT200" s="5" t="str">
        <f t="shared" si="624"/>
        <v>NO APLICA</v>
      </c>
      <c r="GU200" s="4"/>
      <c r="GV200" s="6"/>
      <c r="GW200" s="6"/>
      <c r="GX200" s="6"/>
      <c r="GY200" s="5" t="str">
        <f t="shared" si="625"/>
        <v>NO APLICA</v>
      </c>
      <c r="GZ200" s="6"/>
      <c r="HA200" s="6"/>
      <c r="HB200" s="6"/>
      <c r="HC200" s="6"/>
      <c r="HD200" s="5" t="str">
        <f t="shared" si="626"/>
        <v>NO APLICA</v>
      </c>
      <c r="HE200" s="6"/>
      <c r="HF200" s="6"/>
      <c r="HG200" s="4"/>
      <c r="HH200" s="8"/>
      <c r="HI200" s="5" t="str">
        <f t="shared" si="712"/>
        <v>NO APLICA</v>
      </c>
      <c r="HJ200" s="6"/>
      <c r="HK200" s="6"/>
      <c r="HL200" s="6"/>
      <c r="HM200" s="6"/>
      <c r="HN200" s="5" t="str">
        <f t="shared" si="708"/>
        <v>NO APLICA</v>
      </c>
      <c r="HO200" s="6"/>
      <c r="HP200" s="6"/>
      <c r="HQ200" s="6"/>
      <c r="HR200" s="6"/>
      <c r="HS200" s="5" t="str">
        <f t="shared" si="746"/>
        <v>NO APLICA</v>
      </c>
      <c r="HT200" s="6"/>
      <c r="HU200" s="6"/>
      <c r="HV200" s="6"/>
      <c r="HW200" s="6"/>
      <c r="HX200" s="5" t="str">
        <f t="shared" si="747"/>
        <v>NO APLICA</v>
      </c>
      <c r="HY200" s="6"/>
      <c r="HZ200" s="6"/>
      <c r="IA200" s="6"/>
      <c r="IB200" s="6"/>
      <c r="IC200" s="5" t="str">
        <f t="shared" si="748"/>
        <v>NO APLICA</v>
      </c>
      <c r="ID200" s="6"/>
      <c r="IE200" s="6"/>
      <c r="IF200" s="6"/>
      <c r="IG200" s="6"/>
      <c r="IH200" s="5" t="str">
        <f t="shared" si="749"/>
        <v>NO APLICA</v>
      </c>
      <c r="II200" s="6"/>
      <c r="IJ200" s="6"/>
      <c r="IK200" s="6"/>
      <c r="IL200" s="6"/>
      <c r="IM200" s="5" t="str">
        <f t="shared" si="750"/>
        <v>NO APLICA</v>
      </c>
      <c r="IN200" s="6"/>
      <c r="IO200" s="6"/>
      <c r="IP200" s="6"/>
      <c r="IQ200" s="6"/>
      <c r="IR200" s="5" t="str">
        <f t="shared" si="751"/>
        <v>NO APLICA</v>
      </c>
      <c r="IS200" s="6"/>
      <c r="IT200" s="6"/>
      <c r="IU200" s="6"/>
      <c r="IV200" s="6"/>
      <c r="IW200" s="5" t="str">
        <f t="shared" si="752"/>
        <v>NO APLICA</v>
      </c>
      <c r="IX200" s="6"/>
      <c r="IY200" s="6"/>
      <c r="IZ200" s="6"/>
      <c r="JA200" s="6"/>
      <c r="JB200" s="5" t="str">
        <f t="shared" si="753"/>
        <v>NO APLICA</v>
      </c>
      <c r="JC200" s="6"/>
      <c r="JD200" s="6"/>
      <c r="JE200" s="6"/>
      <c r="JF200" s="6"/>
      <c r="JG200" s="5" t="str">
        <f t="shared" si="754"/>
        <v>NO APLICA</v>
      </c>
      <c r="JH200" s="6"/>
      <c r="JI200" s="6"/>
      <c r="JJ200" s="6"/>
      <c r="JK200" s="6"/>
      <c r="JL200" s="5" t="str">
        <f t="shared" si="755"/>
        <v>NO APLICA</v>
      </c>
      <c r="JM200" s="6"/>
      <c r="JN200" s="6"/>
      <c r="JO200" s="6"/>
      <c r="JP200" s="6"/>
      <c r="JQ200" s="5" t="str">
        <f t="shared" si="756"/>
        <v>NO APLICA</v>
      </c>
      <c r="JR200" s="6"/>
      <c r="JS200" s="6"/>
      <c r="JT200" s="6"/>
      <c r="JU200" s="6"/>
      <c r="JV200" s="5" t="str">
        <f t="shared" si="757"/>
        <v>NO APLICA</v>
      </c>
      <c r="JW200" s="5"/>
      <c r="JX200" s="5"/>
      <c r="JY200" s="5"/>
      <c r="JZ200" s="5"/>
      <c r="KA200" s="5" t="str">
        <f t="shared" si="758"/>
        <v>NO APLICA</v>
      </c>
      <c r="KB200" s="5"/>
      <c r="KC200" s="6"/>
      <c r="KD200" s="6"/>
      <c r="KE200" s="6"/>
      <c r="KF200" s="5" t="str">
        <f t="shared" si="759"/>
        <v>NO APLICA</v>
      </c>
      <c r="KG200" s="5"/>
      <c r="KH200" s="6"/>
      <c r="KI200" s="6"/>
      <c r="KJ200" s="6"/>
      <c r="KK200" s="5" t="str">
        <f t="shared" si="77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86"/>
        <v>NO APLICA</v>
      </c>
      <c r="LA200" s="5"/>
      <c r="LB200" s="6"/>
      <c r="LC200" s="6"/>
      <c r="LD200" s="6"/>
      <c r="LE200" s="5" t="str">
        <f t="shared" si="781"/>
        <v>NO APLICA</v>
      </c>
      <c r="LF200" s="6"/>
      <c r="LG200" s="6"/>
      <c r="LH200" s="6"/>
      <c r="LI200" s="6"/>
      <c r="LJ200" s="5" t="str">
        <f t="shared" si="614"/>
        <v>NO APLICA</v>
      </c>
      <c r="LK200" s="5"/>
      <c r="LL200" s="5"/>
      <c r="LM200" s="4"/>
      <c r="LN200" s="8"/>
      <c r="LO200" s="5" t="str">
        <f t="shared" si="787"/>
        <v>NO APLICA</v>
      </c>
      <c r="LP200" s="6"/>
      <c r="LQ200" s="6"/>
      <c r="LR200" s="6"/>
      <c r="LS200" s="6"/>
      <c r="LT200" s="5" t="str">
        <f t="shared" si="782"/>
        <v>NO APLICA</v>
      </c>
      <c r="LU200" s="6"/>
      <c r="LV200" s="6"/>
      <c r="LW200" s="6"/>
      <c r="LX200" s="6"/>
      <c r="LY200" s="5" t="str">
        <f t="shared" si="783"/>
        <v>NO APLICA</v>
      </c>
      <c r="LZ200" s="6"/>
      <c r="MA200" s="6"/>
      <c r="MB200" s="6"/>
      <c r="MC200" s="6"/>
      <c r="MD200" s="5" t="str">
        <f t="shared" si="784"/>
        <v>NO APLICA</v>
      </c>
      <c r="ME200" s="6"/>
      <c r="MF200" s="6"/>
      <c r="MG200" s="6"/>
      <c r="MH200" s="6"/>
      <c r="MI200" s="5" t="str">
        <f t="shared" si="761"/>
        <v>NO APLICA</v>
      </c>
      <c r="MJ200" s="6"/>
      <c r="MK200" s="6"/>
      <c r="ML200" s="6"/>
      <c r="MM200" s="6"/>
      <c r="MN200" s="5" t="str">
        <f t="shared" si="762"/>
        <v>NO APLICA</v>
      </c>
      <c r="MO200" s="5"/>
      <c r="MP200" s="6"/>
      <c r="MQ200" s="6"/>
      <c r="MR200" s="6"/>
      <c r="MS200" s="5" t="str">
        <f t="shared" si="763"/>
        <v>NO APLICA</v>
      </c>
      <c r="MT200" s="5"/>
      <c r="MU200" s="6"/>
      <c r="MV200" s="6"/>
      <c r="MW200" s="6"/>
      <c r="MX200" s="5" t="str">
        <f t="shared" si="764"/>
        <v>NO APLICA</v>
      </c>
      <c r="MY200" s="6"/>
      <c r="MZ200" s="6"/>
      <c r="NA200" s="6"/>
      <c r="NB200" s="6"/>
      <c r="NC200" s="5" t="str">
        <f t="shared" si="765"/>
        <v>NO APLICA</v>
      </c>
      <c r="ND200" s="6"/>
      <c r="NE200" s="6"/>
      <c r="NF200" s="6"/>
      <c r="NG200" s="6"/>
      <c r="NH200" s="5" t="str">
        <f t="shared" si="766"/>
        <v>NO APLICA</v>
      </c>
      <c r="NI200" s="6"/>
      <c r="NJ200" s="6"/>
      <c r="NK200" s="6"/>
      <c r="NL200" s="6"/>
      <c r="NM200" s="5" t="str">
        <f t="shared" si="767"/>
        <v>NO APLICA</v>
      </c>
      <c r="NN200" s="6"/>
      <c r="NO200" s="6"/>
      <c r="NP200" s="6"/>
      <c r="NQ200" s="6"/>
      <c r="NR200" s="5" t="str">
        <f t="shared" si="768"/>
        <v>NO APLICA</v>
      </c>
      <c r="NS200" s="6"/>
      <c r="NT200" s="6"/>
      <c r="NU200" s="6"/>
      <c r="NV200" s="6"/>
      <c r="NW200" s="5" t="str">
        <f t="shared" si="769"/>
        <v>NO APLICA</v>
      </c>
      <c r="NX200" s="6"/>
      <c r="NY200" s="6"/>
      <c r="NZ200" s="6"/>
      <c r="OA200" s="6"/>
      <c r="OB200" s="5" t="str">
        <f t="shared" si="770"/>
        <v>NO APLICA</v>
      </c>
      <c r="OC200" s="6"/>
      <c r="OD200" s="6"/>
      <c r="OE200" s="6"/>
      <c r="OF200" s="6"/>
      <c r="OG200" s="5" t="str">
        <f t="shared" si="771"/>
        <v>NO APLICA</v>
      </c>
      <c r="OH200" s="6"/>
      <c r="OI200" s="6"/>
      <c r="OJ200" s="6"/>
      <c r="OK200" s="6"/>
      <c r="OL200" s="5" t="str">
        <f t="shared" si="772"/>
        <v>NO APLICA</v>
      </c>
      <c r="OM200" s="6"/>
      <c r="ON200" s="6"/>
      <c r="OO200" s="6"/>
      <c r="OP200" s="6"/>
      <c r="OQ200" s="5" t="str">
        <f t="shared" si="773"/>
        <v>NO APLICA</v>
      </c>
      <c r="OR200" s="6"/>
      <c r="OS200" s="6"/>
      <c r="OT200" s="6"/>
      <c r="OU200" s="6"/>
      <c r="OV200" s="5" t="str">
        <f t="shared" si="774"/>
        <v>NO APLICA</v>
      </c>
      <c r="OW200" s="6"/>
      <c r="OX200" s="6"/>
      <c r="OY200" s="6"/>
      <c r="OZ200" s="6"/>
      <c r="PA200" s="5" t="str">
        <f t="shared" si="788"/>
        <v>NO APLICA</v>
      </c>
      <c r="PB200" s="6"/>
      <c r="PC200" s="6"/>
      <c r="PD200" s="6"/>
      <c r="PE200" s="6"/>
      <c r="PF200" s="5" t="str">
        <f t="shared" si="775"/>
        <v>NO APLICA</v>
      </c>
      <c r="PG200" s="6"/>
      <c r="PH200" s="6"/>
      <c r="PI200" s="6"/>
      <c r="PJ200" s="6"/>
      <c r="PK200" s="5" t="str">
        <f t="shared" si="776"/>
        <v>NO APLICA</v>
      </c>
      <c r="PL200" s="5"/>
      <c r="PM200" s="6"/>
      <c r="PN200" s="6"/>
      <c r="PO200" s="6"/>
      <c r="PP200" s="5" t="str">
        <f t="shared" si="785"/>
        <v>NO APLICA</v>
      </c>
      <c r="PQ200" s="6"/>
      <c r="PR200" s="6"/>
      <c r="PS200" s="6"/>
      <c r="PT200" s="6"/>
      <c r="PU200" s="5" t="str">
        <f t="shared" si="777"/>
        <v>NO APLICA</v>
      </c>
      <c r="PV200" s="5"/>
      <c r="PW200" s="6"/>
      <c r="PX200" s="6"/>
      <c r="PY200" s="6"/>
      <c r="PZ200" s="5" t="str">
        <f t="shared" si="77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627</v>
      </c>
      <c r="D201" s="30" t="s">
        <v>628</v>
      </c>
      <c r="E201" s="31" t="s">
        <v>629</v>
      </c>
      <c r="F201" s="3"/>
      <c r="G201" s="4"/>
      <c r="H201" s="4"/>
      <c r="I201" s="8"/>
      <c r="J201" s="5" t="str">
        <f t="shared" si="710"/>
        <v>NO APLICA</v>
      </c>
      <c r="K201" s="2"/>
      <c r="L201" s="2"/>
      <c r="M201" s="2"/>
      <c r="N201" s="2"/>
      <c r="O201" s="5" t="str">
        <f t="shared" si="713"/>
        <v>NO APLICA</v>
      </c>
      <c r="P201" s="6"/>
      <c r="Q201" s="6"/>
      <c r="R201" s="4"/>
      <c r="S201" s="8"/>
      <c r="T201" s="5" t="str">
        <f t="shared" si="711"/>
        <v>NO APLICA</v>
      </c>
      <c r="U201" s="5"/>
      <c r="V201" s="2"/>
      <c r="W201" s="4"/>
      <c r="X201" s="4"/>
      <c r="Y201" s="8"/>
      <c r="Z201" s="5" t="str">
        <f t="shared" si="619"/>
        <v>NO APLICA</v>
      </c>
      <c r="AA201" s="5"/>
      <c r="AB201" s="2"/>
      <c r="AC201" s="6"/>
      <c r="AD201" s="4"/>
      <c r="AE201" s="8"/>
      <c r="AF201" s="5" t="str">
        <f t="shared" si="714"/>
        <v>NO APLICA</v>
      </c>
      <c r="AG201" s="2"/>
      <c r="AH201" s="4"/>
      <c r="AI201" s="4"/>
      <c r="AJ201" s="8"/>
      <c r="AK201" s="5" t="str">
        <f t="shared" si="616"/>
        <v>NO APLICA</v>
      </c>
      <c r="AL201" s="2"/>
      <c r="AM201" s="4"/>
      <c r="AN201" s="4"/>
      <c r="AO201" s="8"/>
      <c r="AP201" s="5" t="str">
        <f t="shared" si="715"/>
        <v>NO APLICA</v>
      </c>
      <c r="AQ201" s="2"/>
      <c r="AR201" s="4"/>
      <c r="AS201" s="4"/>
      <c r="AT201" s="8"/>
      <c r="AU201" s="5" t="str">
        <f t="shared" si="716"/>
        <v>NO APLICA</v>
      </c>
      <c r="AV201" s="2"/>
      <c r="AW201" s="4"/>
      <c r="AX201" s="4"/>
      <c r="AY201" s="8"/>
      <c r="AZ201" s="5" t="str">
        <f t="shared" si="717"/>
        <v>NO APLICA</v>
      </c>
      <c r="BA201" s="3"/>
      <c r="BB201" s="4"/>
      <c r="BC201" s="4"/>
      <c r="BD201" s="8"/>
      <c r="BE201" s="5" t="str">
        <f t="shared" si="718"/>
        <v>NO APLICA</v>
      </c>
      <c r="BF201" s="2"/>
      <c r="BG201" s="4"/>
      <c r="BH201" s="4"/>
      <c r="BI201" s="8"/>
      <c r="BJ201" s="5" t="str">
        <f t="shared" si="719"/>
        <v>NO APLICA</v>
      </c>
      <c r="BK201" s="3"/>
      <c r="BL201" s="4"/>
      <c r="BM201" s="4"/>
      <c r="BN201" s="8"/>
      <c r="BO201" s="5" t="str">
        <f t="shared" si="720"/>
        <v>NO APLICA</v>
      </c>
      <c r="BP201" s="3"/>
      <c r="BQ201" s="4"/>
      <c r="BR201" s="4"/>
      <c r="BS201" s="8"/>
      <c r="BT201" s="5" t="str">
        <f t="shared" si="721"/>
        <v>NO APLICA</v>
      </c>
      <c r="BU201" s="2"/>
      <c r="BV201" s="4"/>
      <c r="BW201" s="4"/>
      <c r="BX201" s="8"/>
      <c r="BY201" s="5" t="str">
        <f t="shared" si="722"/>
        <v>NO APLICA</v>
      </c>
      <c r="BZ201" s="2"/>
      <c r="CA201" s="4"/>
      <c r="CB201" s="4"/>
      <c r="CC201" s="8"/>
      <c r="CD201" s="5" t="str">
        <f t="shared" si="723"/>
        <v>NO APLICA</v>
      </c>
      <c r="CE201" s="6"/>
      <c r="CF201" s="4"/>
      <c r="CG201" s="4"/>
      <c r="CH201" s="8"/>
      <c r="CI201" s="5" t="str">
        <f t="shared" si="587"/>
        <v>NO APLICA</v>
      </c>
      <c r="CJ201" s="6"/>
      <c r="CK201" s="4"/>
      <c r="CL201" s="4"/>
      <c r="CM201" s="8"/>
      <c r="CN201" s="5" t="str">
        <f t="shared" si="724"/>
        <v>NO APLICA</v>
      </c>
      <c r="CO201" s="2"/>
      <c r="CP201" s="4"/>
      <c r="CQ201" s="4"/>
      <c r="CR201" s="8"/>
      <c r="CS201" s="5" t="str">
        <f t="shared" si="725"/>
        <v>NO APLICA</v>
      </c>
      <c r="CT201" s="2"/>
      <c r="CU201" s="4"/>
      <c r="CV201" s="4"/>
      <c r="CW201" s="8"/>
      <c r="CX201" s="5" t="str">
        <f t="shared" si="726"/>
        <v>NO APLICA</v>
      </c>
      <c r="CY201" s="3"/>
      <c r="CZ201" s="4"/>
      <c r="DA201" s="4"/>
      <c r="DB201" s="8"/>
      <c r="DC201" s="5" t="str">
        <f t="shared" si="727"/>
        <v>NO APLICA</v>
      </c>
      <c r="DD201" s="3"/>
      <c r="DE201" s="4"/>
      <c r="DF201" s="4"/>
      <c r="DG201" s="8"/>
      <c r="DH201" s="5" t="str">
        <f t="shared" si="728"/>
        <v>NO APLICA</v>
      </c>
      <c r="DI201" s="2"/>
      <c r="DJ201" s="4"/>
      <c r="DK201" s="4"/>
      <c r="DL201" s="8"/>
      <c r="DM201" s="5" t="str">
        <f t="shared" si="729"/>
        <v>NO APLICA</v>
      </c>
      <c r="DN201" s="3"/>
      <c r="DO201" s="4"/>
      <c r="DP201" s="4"/>
      <c r="DQ201" s="8"/>
      <c r="DR201" s="5" t="str">
        <f t="shared" si="730"/>
        <v>NO APLICA</v>
      </c>
      <c r="DS201" s="2"/>
      <c r="DT201" s="4"/>
      <c r="DU201" s="4"/>
      <c r="DV201" s="8"/>
      <c r="DW201" s="5" t="str">
        <f t="shared" si="731"/>
        <v>NO APLICA</v>
      </c>
      <c r="DX201" s="3"/>
      <c r="DY201" s="4"/>
      <c r="DZ201" s="4"/>
      <c r="EA201" s="8"/>
      <c r="EB201" s="5" t="str">
        <f t="shared" si="732"/>
        <v>NO APLICA</v>
      </c>
      <c r="EC201" s="3"/>
      <c r="ED201" s="4"/>
      <c r="EE201" s="4"/>
      <c r="EF201" s="8"/>
      <c r="EG201" s="5" t="str">
        <f t="shared" si="733"/>
        <v>NO APLICA</v>
      </c>
      <c r="EH201" s="2"/>
      <c r="EI201" s="4"/>
      <c r="EJ201" s="4"/>
      <c r="EK201" s="8"/>
      <c r="EL201" s="5" t="str">
        <f t="shared" si="734"/>
        <v>NO APLICA</v>
      </c>
      <c r="EM201" s="3"/>
      <c r="EN201" s="4"/>
      <c r="EO201" s="4"/>
      <c r="EP201" s="8"/>
      <c r="EQ201" s="5" t="str">
        <f t="shared" si="735"/>
        <v>NO APLICA</v>
      </c>
      <c r="ER201" s="2"/>
      <c r="ES201" s="4"/>
      <c r="ET201" s="4"/>
      <c r="EU201" s="8"/>
      <c r="EV201" s="5" t="str">
        <f t="shared" si="736"/>
        <v>NO APLICA</v>
      </c>
      <c r="EW201" s="2"/>
      <c r="EX201" s="4"/>
      <c r="EY201" s="4"/>
      <c r="EZ201" s="8"/>
      <c r="FA201" s="5" t="str">
        <f t="shared" si="737"/>
        <v>NO APLICA</v>
      </c>
      <c r="FB201" s="2"/>
      <c r="FC201" s="4"/>
      <c r="FD201" s="4"/>
      <c r="FE201" s="8"/>
      <c r="FF201" s="5" t="str">
        <f t="shared" si="738"/>
        <v>NO APLICA</v>
      </c>
      <c r="FG201" s="2"/>
      <c r="FH201" s="4"/>
      <c r="FI201" s="4"/>
      <c r="FJ201" s="8"/>
      <c r="FK201" s="5" t="str">
        <f t="shared" si="739"/>
        <v>NO APLICA</v>
      </c>
      <c r="FL201" s="3"/>
      <c r="FM201" s="4"/>
      <c r="FN201" s="4"/>
      <c r="FO201" s="8"/>
      <c r="FP201" s="5" t="str">
        <f t="shared" si="740"/>
        <v>NO APLICA</v>
      </c>
      <c r="FQ201" s="3"/>
      <c r="FR201" s="4"/>
      <c r="FS201" s="4"/>
      <c r="FT201" s="8"/>
      <c r="FU201" s="5" t="str">
        <f t="shared" si="741"/>
        <v>NO APLICA</v>
      </c>
      <c r="FV201" s="3"/>
      <c r="FW201" s="4"/>
      <c r="FX201" s="4"/>
      <c r="FY201" s="8"/>
      <c r="FZ201" s="5" t="str">
        <f t="shared" si="742"/>
        <v>NO APLICA</v>
      </c>
      <c r="GA201" s="3"/>
      <c r="GB201" s="4"/>
      <c r="GC201" s="4"/>
      <c r="GD201" s="8"/>
      <c r="GE201" s="5" t="str">
        <f t="shared" si="743"/>
        <v>NO APLICA</v>
      </c>
      <c r="GF201" s="3"/>
      <c r="GG201" s="4"/>
      <c r="GH201" s="4"/>
      <c r="GI201" s="8"/>
      <c r="GJ201" s="5" t="str">
        <f t="shared" si="744"/>
        <v>NO APLICA</v>
      </c>
      <c r="GK201" s="3"/>
      <c r="GL201" s="4"/>
      <c r="GM201" s="4"/>
      <c r="GN201" s="8"/>
      <c r="GO201" s="5" t="str">
        <f t="shared" si="745"/>
        <v>NO APLICA</v>
      </c>
      <c r="GP201" s="4"/>
      <c r="GQ201" s="4"/>
      <c r="GR201" s="4"/>
      <c r="GS201" s="8"/>
      <c r="GT201" s="5" t="str">
        <f t="shared" si="624"/>
        <v>NO APLICA</v>
      </c>
      <c r="GU201" s="3"/>
      <c r="GV201" s="4"/>
      <c r="GW201" s="4"/>
      <c r="GX201" s="8"/>
      <c r="GY201" s="5" t="str">
        <f t="shared" si="625"/>
        <v>NO APLICA</v>
      </c>
      <c r="GZ201" s="2"/>
      <c r="HA201" s="4"/>
      <c r="HB201" s="4"/>
      <c r="HC201" s="8"/>
      <c r="HD201" s="5" t="str">
        <f t="shared" si="626"/>
        <v>NO APLICA</v>
      </c>
      <c r="HE201" s="6"/>
      <c r="HF201" s="6"/>
      <c r="HG201" s="4"/>
      <c r="HH201" s="8"/>
      <c r="HI201" s="5" t="str">
        <f t="shared" si="712"/>
        <v>NO APLICA</v>
      </c>
      <c r="HJ201" s="2"/>
      <c r="HK201" s="6"/>
      <c r="HL201" s="4"/>
      <c r="HM201" s="8"/>
      <c r="HN201" s="5" t="str">
        <f t="shared" si="708"/>
        <v>NO APLICA</v>
      </c>
      <c r="HO201" s="2"/>
      <c r="HP201" s="2"/>
      <c r="HQ201" s="4"/>
      <c r="HR201" s="2"/>
      <c r="HS201" s="5" t="str">
        <f t="shared" si="746"/>
        <v>NO APLICA</v>
      </c>
      <c r="HT201" s="2"/>
      <c r="HU201" s="6"/>
      <c r="HV201" s="4"/>
      <c r="HW201" s="8"/>
      <c r="HX201" s="5" t="str">
        <f t="shared" si="747"/>
        <v>NO APLICA</v>
      </c>
      <c r="HY201" s="2"/>
      <c r="HZ201" s="6"/>
      <c r="IA201" s="4"/>
      <c r="IB201" s="8"/>
      <c r="IC201" s="5" t="str">
        <f t="shared" si="748"/>
        <v>NO APLICA</v>
      </c>
      <c r="ID201" s="2"/>
      <c r="IE201" s="6"/>
      <c r="IF201" s="4"/>
      <c r="IG201" s="8"/>
      <c r="IH201" s="5" t="str">
        <f t="shared" si="749"/>
        <v>NO APLICA</v>
      </c>
      <c r="II201" s="6"/>
      <c r="IJ201" s="6"/>
      <c r="IK201" s="4"/>
      <c r="IL201" s="8"/>
      <c r="IM201" s="5" t="str">
        <f t="shared" si="750"/>
        <v>NO APLICA</v>
      </c>
      <c r="IN201" s="2"/>
      <c r="IO201" s="6"/>
      <c r="IP201" s="4"/>
      <c r="IQ201" s="8"/>
      <c r="IR201" s="5" t="str">
        <f t="shared" si="751"/>
        <v>NO APLICA</v>
      </c>
      <c r="IS201" s="2"/>
      <c r="IT201" s="6"/>
      <c r="IU201" s="4"/>
      <c r="IV201" s="8"/>
      <c r="IW201" s="5" t="str">
        <f t="shared" si="752"/>
        <v>NO APLICA</v>
      </c>
      <c r="IX201" s="2"/>
      <c r="IY201" s="6"/>
      <c r="IZ201" s="4"/>
      <c r="JA201" s="8"/>
      <c r="JB201" s="5" t="str">
        <f t="shared" si="753"/>
        <v>NO APLICA</v>
      </c>
      <c r="JC201" s="3"/>
      <c r="JD201" s="3"/>
      <c r="JE201" s="4"/>
      <c r="JF201" s="8"/>
      <c r="JG201" s="5" t="str">
        <f t="shared" si="754"/>
        <v>NO APLICA</v>
      </c>
      <c r="JH201" s="6"/>
      <c r="JI201" s="6"/>
      <c r="JJ201" s="6"/>
      <c r="JK201" s="6"/>
      <c r="JL201" s="5" t="str">
        <f t="shared" si="755"/>
        <v>NO APLICA</v>
      </c>
      <c r="JM201" s="6"/>
      <c r="JN201" s="6"/>
      <c r="JO201" s="6"/>
      <c r="JP201" s="6"/>
      <c r="JQ201" s="5" t="str">
        <f t="shared" si="756"/>
        <v>NO APLICA</v>
      </c>
      <c r="JR201" s="6"/>
      <c r="JS201" s="6"/>
      <c r="JT201" s="6"/>
      <c r="JU201" s="6"/>
      <c r="JV201" s="5" t="str">
        <f t="shared" si="757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59"/>
        <v>NO APLICA</v>
      </c>
      <c r="KG201" s="5"/>
      <c r="KH201" s="2"/>
      <c r="KI201" s="4"/>
      <c r="KJ201" s="8"/>
      <c r="KK201" s="5" t="str">
        <f t="shared" si="779"/>
        <v>NO APLICA</v>
      </c>
      <c r="KL201" s="5"/>
      <c r="KM201" s="2"/>
      <c r="KN201" s="4"/>
      <c r="KO201" s="8"/>
      <c r="KP201" s="5" t="str">
        <f t="shared" si="760"/>
        <v>NO APLICA</v>
      </c>
      <c r="KQ201" s="5"/>
      <c r="KR201" s="2"/>
      <c r="KS201" s="4"/>
      <c r="KT201" s="8"/>
      <c r="KU201" s="5" t="str">
        <f t="shared" si="780"/>
        <v>NO APLICA</v>
      </c>
      <c r="KV201" s="2"/>
      <c r="KW201" s="6"/>
      <c r="KX201" s="4"/>
      <c r="KY201" s="8"/>
      <c r="KZ201" s="5" t="str">
        <f t="shared" si="786"/>
        <v>NO APLICA</v>
      </c>
      <c r="LA201" s="5"/>
      <c r="LB201" s="6"/>
      <c r="LC201" s="4"/>
      <c r="LD201" s="8"/>
      <c r="LE201" s="5" t="str">
        <f t="shared" si="781"/>
        <v>NO APLICA</v>
      </c>
      <c r="LF201" s="6"/>
      <c r="LG201" s="6"/>
      <c r="LH201" s="4"/>
      <c r="LI201" s="8"/>
      <c r="LJ201" s="5" t="str">
        <f t="shared" si="614"/>
        <v>NO APLICA</v>
      </c>
      <c r="LK201" s="5"/>
      <c r="LL201" s="5"/>
      <c r="LM201" s="4"/>
      <c r="LN201" s="8"/>
      <c r="LO201" s="5" t="str">
        <f t="shared" si="787"/>
        <v>NO APLICA</v>
      </c>
      <c r="LP201" s="2"/>
      <c r="LQ201" s="6"/>
      <c r="LR201" s="4"/>
      <c r="LS201" s="8"/>
      <c r="LT201" s="5" t="str">
        <f t="shared" si="782"/>
        <v>NO APLICA</v>
      </c>
      <c r="LU201" s="6"/>
      <c r="LV201" s="6"/>
      <c r="LW201" s="4"/>
      <c r="LX201" s="8"/>
      <c r="LY201" s="5" t="str">
        <f t="shared" si="783"/>
        <v>NO APLICA</v>
      </c>
      <c r="LZ201" s="6"/>
      <c r="MA201" s="6"/>
      <c r="MB201" s="4"/>
      <c r="MC201" s="8"/>
      <c r="MD201" s="5" t="str">
        <f t="shared" si="784"/>
        <v>NO APLICA</v>
      </c>
      <c r="ME201" s="2"/>
      <c r="MF201" s="2"/>
      <c r="MG201" s="4"/>
      <c r="MH201" s="8"/>
      <c r="MI201" s="5" t="str">
        <f t="shared" si="761"/>
        <v>NO APLICA</v>
      </c>
      <c r="MJ201" s="2"/>
      <c r="MK201" s="2"/>
      <c r="ML201" s="4"/>
      <c r="MM201" s="8"/>
      <c r="MN201" s="5" t="str">
        <f t="shared" si="762"/>
        <v>NO APLICA</v>
      </c>
      <c r="MO201" s="5"/>
      <c r="MP201" s="2"/>
      <c r="MQ201" s="4"/>
      <c r="MR201" s="8"/>
      <c r="MS201" s="5" t="str">
        <f t="shared" si="763"/>
        <v>NO APLICA</v>
      </c>
      <c r="MT201" s="5"/>
      <c r="MU201" s="2"/>
      <c r="MV201" s="4"/>
      <c r="MW201" s="2"/>
      <c r="MX201" s="5" t="str">
        <f t="shared" si="764"/>
        <v>NO APLICA</v>
      </c>
      <c r="MY201" s="2"/>
      <c r="MZ201" s="6"/>
      <c r="NA201" s="4"/>
      <c r="NB201" s="8"/>
      <c r="NC201" s="5" t="str">
        <f t="shared" si="765"/>
        <v>NO APLICA</v>
      </c>
      <c r="ND201" s="2"/>
      <c r="NE201" s="6"/>
      <c r="NF201" s="4"/>
      <c r="NG201" s="8"/>
      <c r="NH201" s="5" t="str">
        <f t="shared" si="766"/>
        <v>NO APLICA</v>
      </c>
      <c r="NI201" s="2"/>
      <c r="NJ201" s="6"/>
      <c r="NK201" s="4"/>
      <c r="NL201" s="8"/>
      <c r="NM201" s="5" t="str">
        <f t="shared" si="767"/>
        <v>NO APLICA</v>
      </c>
      <c r="NN201" s="2"/>
      <c r="NO201" s="2"/>
      <c r="NP201" s="4"/>
      <c r="NQ201" s="8"/>
      <c r="NR201" s="5" t="str">
        <f t="shared" si="768"/>
        <v>NO APLICA</v>
      </c>
      <c r="NS201" s="2"/>
      <c r="NT201" s="2"/>
      <c r="NU201" s="4"/>
      <c r="NV201" s="2"/>
      <c r="NW201" s="5" t="str">
        <f t="shared" si="769"/>
        <v>NO APLICA</v>
      </c>
      <c r="NX201" s="6"/>
      <c r="NY201" s="6"/>
      <c r="NZ201" s="4"/>
      <c r="OA201" s="8"/>
      <c r="OB201" s="5" t="str">
        <f t="shared" si="770"/>
        <v>NO APLICA</v>
      </c>
      <c r="OC201" s="6"/>
      <c r="OD201" s="6"/>
      <c r="OE201" s="6"/>
      <c r="OF201" s="6"/>
      <c r="OG201" s="5" t="str">
        <f t="shared" si="771"/>
        <v>NO APLICA</v>
      </c>
      <c r="OH201" s="6"/>
      <c r="OI201" s="6"/>
      <c r="OJ201" s="4"/>
      <c r="OK201" s="8"/>
      <c r="OL201" s="5" t="str">
        <f t="shared" si="772"/>
        <v>NO APLICA</v>
      </c>
      <c r="OM201" s="6"/>
      <c r="ON201" s="6"/>
      <c r="OO201" s="6"/>
      <c r="OP201" s="6"/>
      <c r="OQ201" s="5" t="str">
        <f t="shared" si="773"/>
        <v>NO APLICA</v>
      </c>
      <c r="OR201" s="6"/>
      <c r="OS201" s="6"/>
      <c r="OT201" s="6"/>
      <c r="OU201" s="6"/>
      <c r="OV201" s="5" t="str">
        <f t="shared" si="774"/>
        <v>NO APLICA</v>
      </c>
      <c r="OW201" s="6"/>
      <c r="OX201" s="6"/>
      <c r="OY201" s="6"/>
      <c r="OZ201" s="6"/>
      <c r="PA201" s="5" t="str">
        <f t="shared" si="788"/>
        <v>NO APLICA</v>
      </c>
      <c r="PB201" s="6"/>
      <c r="PC201" s="6"/>
      <c r="PD201" s="6"/>
      <c r="PE201" s="6"/>
      <c r="PF201" s="5" t="str">
        <f t="shared" si="775"/>
        <v>NO APLICA</v>
      </c>
      <c r="PG201" s="6"/>
      <c r="PH201" s="6"/>
      <c r="PI201" s="6"/>
      <c r="PJ201" s="6"/>
      <c r="PK201" s="5" t="str">
        <f t="shared" si="776"/>
        <v>NO APLICA</v>
      </c>
      <c r="PL201" s="5"/>
      <c r="PM201" s="6"/>
      <c r="PN201" s="4"/>
      <c r="PO201" s="8"/>
      <c r="PP201" s="5" t="str">
        <f t="shared" si="785"/>
        <v>NO APLICA</v>
      </c>
      <c r="PQ201" s="6"/>
      <c r="PR201" s="6"/>
      <c r="PS201" s="6"/>
      <c r="PT201" s="6"/>
      <c r="PU201" s="5" t="str">
        <f t="shared" si="777"/>
        <v>NO APLICA</v>
      </c>
      <c r="PV201" s="5"/>
      <c r="PW201" s="6"/>
      <c r="PX201" s="6"/>
      <c r="PY201" s="6"/>
      <c r="PZ201" s="5" t="str">
        <f t="shared" si="77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630</v>
      </c>
      <c r="D202" s="30" t="s">
        <v>69</v>
      </c>
      <c r="E202" s="31" t="s">
        <v>631</v>
      </c>
      <c r="F202" s="6"/>
      <c r="G202" s="6"/>
      <c r="H202" s="6"/>
      <c r="I202" s="6"/>
      <c r="J202" s="5" t="str">
        <f t="shared" si="710"/>
        <v>NO APLICA</v>
      </c>
      <c r="K202" s="6"/>
      <c r="L202" s="6"/>
      <c r="M202" s="6"/>
      <c r="N202" s="6"/>
      <c r="O202" s="5" t="str">
        <f t="shared" si="713"/>
        <v>NO APLICA</v>
      </c>
      <c r="P202" s="6"/>
      <c r="Q202" s="6"/>
      <c r="R202" s="6"/>
      <c r="S202" s="6"/>
      <c r="T202" s="5" t="str">
        <f t="shared" si="711"/>
        <v>NO APLICA</v>
      </c>
      <c r="U202" s="5"/>
      <c r="V202" s="6" t="s">
        <v>632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14"/>
        <v>NO APLICA</v>
      </c>
      <c r="AG202" s="4"/>
      <c r="AH202" s="4"/>
      <c r="AI202" s="4"/>
      <c r="AJ202" s="6"/>
      <c r="AK202" s="5" t="str">
        <f t="shared" si="616"/>
        <v>NO APLICA</v>
      </c>
      <c r="AL202" s="4"/>
      <c r="AM202" s="4"/>
      <c r="AN202" s="4"/>
      <c r="AO202" s="6"/>
      <c r="AP202" s="5" t="str">
        <f t="shared" si="715"/>
        <v>NO APLICA</v>
      </c>
      <c r="AQ202" s="4"/>
      <c r="AR202" s="4"/>
      <c r="AS202" s="4"/>
      <c r="AT202" s="6"/>
      <c r="AU202" s="5" t="str">
        <f t="shared" si="716"/>
        <v>NO APLICA</v>
      </c>
      <c r="AV202" s="4"/>
      <c r="AW202" s="4"/>
      <c r="AX202" s="4"/>
      <c r="AY202" s="6"/>
      <c r="AZ202" s="5" t="str">
        <f t="shared" si="717"/>
        <v>NO APLICA</v>
      </c>
      <c r="BA202" s="4"/>
      <c r="BB202" s="4"/>
      <c r="BC202" s="4"/>
      <c r="BD202" s="6"/>
      <c r="BE202" s="5" t="str">
        <f t="shared" si="718"/>
        <v>NO APLICA</v>
      </c>
      <c r="BF202" s="4"/>
      <c r="BG202" s="4"/>
      <c r="BH202" s="4"/>
      <c r="BI202" s="6"/>
      <c r="BJ202" s="5" t="str">
        <f t="shared" si="719"/>
        <v>NO APLICA</v>
      </c>
      <c r="BK202" s="4"/>
      <c r="BL202" s="4"/>
      <c r="BM202" s="4"/>
      <c r="BN202" s="6"/>
      <c r="BO202" s="5" t="str">
        <f t="shared" si="720"/>
        <v>NO APLICA</v>
      </c>
      <c r="BP202" s="4"/>
      <c r="BQ202" s="4"/>
      <c r="BR202" s="4"/>
      <c r="BS202" s="6"/>
      <c r="BT202" s="5" t="str">
        <f t="shared" si="721"/>
        <v>NO APLICA</v>
      </c>
      <c r="BU202" s="4"/>
      <c r="BV202" s="4"/>
      <c r="BW202" s="4"/>
      <c r="BX202" s="6"/>
      <c r="BY202" s="5" t="str">
        <f t="shared" si="722"/>
        <v>NO APLICA</v>
      </c>
      <c r="BZ202" s="4"/>
      <c r="CA202" s="4"/>
      <c r="CB202" s="4"/>
      <c r="CC202" s="6"/>
      <c r="CD202" s="5" t="str">
        <f t="shared" si="723"/>
        <v>NO APLICA</v>
      </c>
      <c r="CE202" s="6"/>
      <c r="CF202" s="6"/>
      <c r="CG202" s="6"/>
      <c r="CH202" s="6"/>
      <c r="CI202" s="5" t="str">
        <f t="shared" si="587"/>
        <v>NO APLICA</v>
      </c>
      <c r="CJ202" s="4"/>
      <c r="CK202" s="4"/>
      <c r="CL202" s="4"/>
      <c r="CM202" s="6"/>
      <c r="CN202" s="5" t="str">
        <f t="shared" si="724"/>
        <v>NO APLICA</v>
      </c>
      <c r="CO202" s="4"/>
      <c r="CP202" s="4"/>
      <c r="CQ202" s="4"/>
      <c r="CR202" s="6"/>
      <c r="CS202" s="5" t="str">
        <f t="shared" si="725"/>
        <v>NO APLICA</v>
      </c>
      <c r="CT202" s="4"/>
      <c r="CU202" s="4"/>
      <c r="CV202" s="4"/>
      <c r="CW202" s="6"/>
      <c r="CX202" s="5" t="str">
        <f t="shared" si="726"/>
        <v>NO APLICA</v>
      </c>
      <c r="CY202" s="4"/>
      <c r="CZ202" s="4"/>
      <c r="DA202" s="4"/>
      <c r="DB202" s="6"/>
      <c r="DC202" s="5" t="str">
        <f t="shared" si="727"/>
        <v>NO APLICA</v>
      </c>
      <c r="DD202" s="4"/>
      <c r="DE202" s="4"/>
      <c r="DF202" s="4"/>
      <c r="DG202" s="6"/>
      <c r="DH202" s="5" t="str">
        <f t="shared" si="728"/>
        <v>NO APLICA</v>
      </c>
      <c r="DI202" s="4"/>
      <c r="DJ202" s="4"/>
      <c r="DK202" s="4"/>
      <c r="DL202" s="6"/>
      <c r="DM202" s="5" t="str">
        <f t="shared" si="729"/>
        <v>NO APLICA</v>
      </c>
      <c r="DN202" s="4"/>
      <c r="DO202" s="4"/>
      <c r="DP202" s="4"/>
      <c r="DQ202" s="6"/>
      <c r="DR202" s="5" t="str">
        <f t="shared" si="730"/>
        <v>NO APLICA</v>
      </c>
      <c r="DS202" s="4"/>
      <c r="DT202" s="4"/>
      <c r="DU202" s="4"/>
      <c r="DV202" s="6"/>
      <c r="DW202" s="5" t="str">
        <f t="shared" si="731"/>
        <v>NO APLICA</v>
      </c>
      <c r="DX202" s="4"/>
      <c r="DY202" s="4"/>
      <c r="DZ202" s="4"/>
      <c r="EA202" s="6"/>
      <c r="EB202" s="5" t="str">
        <f t="shared" si="732"/>
        <v>NO APLICA</v>
      </c>
      <c r="EC202" s="4"/>
      <c r="ED202" s="4"/>
      <c r="EE202" s="4"/>
      <c r="EF202" s="6"/>
      <c r="EG202" s="5" t="str">
        <f t="shared" si="733"/>
        <v>NO APLICA</v>
      </c>
      <c r="EH202" s="4"/>
      <c r="EI202" s="4"/>
      <c r="EJ202" s="4"/>
      <c r="EK202" s="8"/>
      <c r="EL202" s="5" t="str">
        <f t="shared" si="734"/>
        <v>NO APLICA</v>
      </c>
      <c r="EM202" s="4"/>
      <c r="EN202" s="4"/>
      <c r="EO202" s="4"/>
      <c r="EP202" s="8"/>
      <c r="EQ202" s="5" t="str">
        <f t="shared" si="735"/>
        <v>NO APLICA</v>
      </c>
      <c r="ER202" s="4"/>
      <c r="ES202" s="4"/>
      <c r="ET202" s="4"/>
      <c r="EU202" s="8"/>
      <c r="EV202" s="5" t="str">
        <f t="shared" si="736"/>
        <v>NO APLICA</v>
      </c>
      <c r="EW202" s="4"/>
      <c r="EX202" s="4"/>
      <c r="EY202" s="4"/>
      <c r="EZ202" s="6"/>
      <c r="FA202" s="5" t="str">
        <f t="shared" si="737"/>
        <v>NO APLICA</v>
      </c>
      <c r="FB202" s="4"/>
      <c r="FC202" s="4"/>
      <c r="FD202" s="4"/>
      <c r="FE202" s="6"/>
      <c r="FF202" s="5" t="str">
        <f t="shared" si="738"/>
        <v>NO APLICA</v>
      </c>
      <c r="FG202" s="4"/>
      <c r="FH202" s="4"/>
      <c r="FI202" s="4"/>
      <c r="FJ202" s="6"/>
      <c r="FK202" s="5" t="str">
        <f t="shared" si="739"/>
        <v>NO APLICA</v>
      </c>
      <c r="FL202" s="4"/>
      <c r="FM202" s="4"/>
      <c r="FN202" s="4"/>
      <c r="FO202" s="6"/>
      <c r="FP202" s="5" t="str">
        <f t="shared" si="740"/>
        <v>NO APLICA</v>
      </c>
      <c r="FQ202" s="4"/>
      <c r="FR202" s="4"/>
      <c r="FS202" s="4"/>
      <c r="FT202" s="6"/>
      <c r="FU202" s="5" t="str">
        <f t="shared" si="741"/>
        <v>NO APLICA</v>
      </c>
      <c r="FV202" s="4"/>
      <c r="FW202" s="4"/>
      <c r="FX202" s="4"/>
      <c r="FY202" s="6"/>
      <c r="FZ202" s="5" t="str">
        <f t="shared" si="742"/>
        <v>NO APLICA</v>
      </c>
      <c r="GA202" s="4"/>
      <c r="GB202" s="4"/>
      <c r="GC202" s="4"/>
      <c r="GD202" s="6"/>
      <c r="GE202" s="5" t="str">
        <f t="shared" si="743"/>
        <v>NO APLICA</v>
      </c>
      <c r="GF202" s="4"/>
      <c r="GG202" s="4"/>
      <c r="GH202" s="4"/>
      <c r="GI202" s="8"/>
      <c r="GJ202" s="5" t="str">
        <f t="shared" si="744"/>
        <v>NO APLICA</v>
      </c>
      <c r="GK202" s="4"/>
      <c r="GL202" s="6"/>
      <c r="GM202" s="6"/>
      <c r="GN202" s="6"/>
      <c r="GO202" s="5" t="str">
        <f t="shared" si="745"/>
        <v>NO APLICA</v>
      </c>
      <c r="GP202" s="4"/>
      <c r="GQ202" s="6"/>
      <c r="GR202" s="6"/>
      <c r="GS202" s="6"/>
      <c r="GT202" s="5" t="str">
        <f t="shared" si="624"/>
        <v>NO APLICA</v>
      </c>
      <c r="GU202" s="4"/>
      <c r="GV202" s="6"/>
      <c r="GW202" s="6"/>
      <c r="GX202" s="6"/>
      <c r="GY202" s="5" t="str">
        <f t="shared" si="625"/>
        <v>NO APLICA</v>
      </c>
      <c r="GZ202" s="6"/>
      <c r="HA202" s="6"/>
      <c r="HB202" s="6"/>
      <c r="HC202" s="6"/>
      <c r="HD202" s="5" t="str">
        <f t="shared" si="626"/>
        <v>NO APLICA</v>
      </c>
      <c r="HE202" s="6"/>
      <c r="HF202" s="6"/>
      <c r="HG202" s="4"/>
      <c r="HH202" s="8"/>
      <c r="HI202" s="5" t="str">
        <f t="shared" si="712"/>
        <v>NO APLICA</v>
      </c>
      <c r="HJ202" s="6"/>
      <c r="HK202" s="6"/>
      <c r="HL202" s="6"/>
      <c r="HM202" s="6"/>
      <c r="HN202" s="5" t="str">
        <f t="shared" si="708"/>
        <v>NO APLICA</v>
      </c>
      <c r="HO202" s="6"/>
      <c r="HP202" s="6"/>
      <c r="HQ202" s="6"/>
      <c r="HR202" s="6"/>
      <c r="HS202" s="5" t="str">
        <f t="shared" si="746"/>
        <v>NO APLICA</v>
      </c>
      <c r="HT202" s="6"/>
      <c r="HU202" s="6"/>
      <c r="HV202" s="6"/>
      <c r="HW202" s="6"/>
      <c r="HX202" s="5" t="str">
        <f t="shared" si="747"/>
        <v>NO APLICA</v>
      </c>
      <c r="HY202" s="6"/>
      <c r="HZ202" s="6"/>
      <c r="IA202" s="6"/>
      <c r="IB202" s="6"/>
      <c r="IC202" s="5" t="str">
        <f t="shared" si="748"/>
        <v>NO APLICA</v>
      </c>
      <c r="ID202" s="6"/>
      <c r="IE202" s="6"/>
      <c r="IF202" s="6"/>
      <c r="IG202" s="6"/>
      <c r="IH202" s="5" t="str">
        <f t="shared" si="749"/>
        <v>NO APLICA</v>
      </c>
      <c r="II202" s="6"/>
      <c r="IJ202" s="6"/>
      <c r="IK202" s="6"/>
      <c r="IL202" s="6"/>
      <c r="IM202" s="5" t="str">
        <f t="shared" si="750"/>
        <v>NO APLICA</v>
      </c>
      <c r="IN202" s="6"/>
      <c r="IO202" s="6"/>
      <c r="IP202" s="6"/>
      <c r="IQ202" s="6"/>
      <c r="IR202" s="5" t="str">
        <f t="shared" si="751"/>
        <v>NO APLICA</v>
      </c>
      <c r="IS202" s="6"/>
      <c r="IT202" s="6"/>
      <c r="IU202" s="6"/>
      <c r="IV202" s="6"/>
      <c r="IW202" s="5" t="str">
        <f t="shared" si="752"/>
        <v>NO APLICA</v>
      </c>
      <c r="IX202" s="6"/>
      <c r="IY202" s="6"/>
      <c r="IZ202" s="6"/>
      <c r="JA202" s="6"/>
      <c r="JB202" s="5" t="str">
        <f t="shared" si="753"/>
        <v>NO APLICA</v>
      </c>
      <c r="JC202" s="6" t="s">
        <v>788</v>
      </c>
      <c r="JD202" s="6"/>
      <c r="JE202" s="6"/>
      <c r="JF202" s="6"/>
      <c r="JG202" s="5" t="str">
        <f t="shared" si="754"/>
        <v>NO APLICA</v>
      </c>
      <c r="JH202" s="6" t="s">
        <v>788</v>
      </c>
      <c r="JI202" s="6"/>
      <c r="JJ202" s="6"/>
      <c r="JK202" s="6"/>
      <c r="JL202" s="5" t="str">
        <f>IF(JK202&gt;=61,"VIGENTE",IF(JK202&gt;=1,"POR VENCER",IF(JK202&lt;=-1,"VENCIDA",IF(JI202=0,"NO APLICA"))))</f>
        <v>NO APLICA</v>
      </c>
      <c r="JM202" s="6" t="s">
        <v>788</v>
      </c>
      <c r="JN202" s="6"/>
      <c r="JO202" s="6"/>
      <c r="JP202" s="6"/>
      <c r="JQ202" s="5" t="str">
        <f>IF(JP202&gt;=61,"VIGENTE",IF(JP202&gt;=1,"POR VENCER",IF(JP202&lt;=-1,"VENCIDA",IF(JN202=0,"NO APLICA"))))</f>
        <v>NO APLICA</v>
      </c>
      <c r="JR202" s="6" t="s">
        <v>788</v>
      </c>
      <c r="JS202" s="6"/>
      <c r="JT202" s="6"/>
      <c r="JU202" s="6"/>
      <c r="JV202" s="5" t="str">
        <f t="shared" si="757"/>
        <v>NO APLICA</v>
      </c>
      <c r="JW202" s="6" t="s">
        <v>788</v>
      </c>
      <c r="JX202" s="5"/>
      <c r="JY202" s="5"/>
      <c r="JZ202" s="5"/>
      <c r="KA202" s="5" t="str">
        <f t="shared" si="758"/>
        <v>NO APLICA</v>
      </c>
      <c r="KB202" s="5"/>
      <c r="KC202" s="6"/>
      <c r="KD202" s="6"/>
      <c r="KE202" s="6"/>
      <c r="KF202" s="5" t="str">
        <f t="shared" si="759"/>
        <v>NO APLICA</v>
      </c>
      <c r="KG202" s="5"/>
      <c r="KH202" s="6"/>
      <c r="KI202" s="6"/>
      <c r="KJ202" s="6"/>
      <c r="KK202" s="5" t="str">
        <f t="shared" si="779"/>
        <v>NO APLICA</v>
      </c>
      <c r="KL202" s="5"/>
      <c r="KM202" s="6"/>
      <c r="KN202" s="6"/>
      <c r="KO202" s="6"/>
      <c r="KP202" s="5" t="str">
        <f t="shared" si="760"/>
        <v>NO APLICA</v>
      </c>
      <c r="KQ202" s="5"/>
      <c r="KR202" s="6"/>
      <c r="KS202" s="6"/>
      <c r="KT202" s="6"/>
      <c r="KU202" s="5" t="str">
        <f t="shared" si="780"/>
        <v>NO APLICA</v>
      </c>
      <c r="KV202" s="6"/>
      <c r="KW202" s="6"/>
      <c r="KX202" s="6"/>
      <c r="KY202" s="6"/>
      <c r="KZ202" s="5" t="str">
        <f t="shared" si="786"/>
        <v>NO APLICA</v>
      </c>
      <c r="LA202" s="5"/>
      <c r="LB202" s="6"/>
      <c r="LC202" s="6"/>
      <c r="LD202" s="6"/>
      <c r="LE202" s="5" t="str">
        <f t="shared" si="781"/>
        <v>NO APLICA</v>
      </c>
      <c r="LF202" s="6"/>
      <c r="LG202" s="6"/>
      <c r="LH202" s="6"/>
      <c r="LI202" s="6"/>
      <c r="LJ202" s="5" t="str">
        <f t="shared" si="614"/>
        <v>NO APLICA</v>
      </c>
      <c r="LK202" s="5"/>
      <c r="LL202" s="5"/>
      <c r="LM202" s="4"/>
      <c r="LN202" s="8"/>
      <c r="LO202" s="5" t="str">
        <f t="shared" si="787"/>
        <v>NO APLICA</v>
      </c>
      <c r="LP202" s="6"/>
      <c r="LQ202" s="6"/>
      <c r="LR202" s="6"/>
      <c r="LS202" s="6"/>
      <c r="LT202" s="5" t="str">
        <f t="shared" si="782"/>
        <v>NO APLICA</v>
      </c>
      <c r="LU202" s="6"/>
      <c r="LV202" s="6"/>
      <c r="LW202" s="6"/>
      <c r="LX202" s="6"/>
      <c r="LY202" s="5" t="str">
        <f t="shared" si="783"/>
        <v>NO APLICA</v>
      </c>
      <c r="LZ202" s="6"/>
      <c r="MA202" s="6"/>
      <c r="MB202" s="6"/>
      <c r="MC202" s="6"/>
      <c r="MD202" s="5" t="str">
        <f t="shared" si="784"/>
        <v>NO APLICA</v>
      </c>
      <c r="ME202" s="6"/>
      <c r="MF202" s="6"/>
      <c r="MG202" s="6"/>
      <c r="MH202" s="6"/>
      <c r="MI202" s="5" t="str">
        <f t="shared" si="761"/>
        <v>NO APLICA</v>
      </c>
      <c r="MJ202" s="6"/>
      <c r="MK202" s="6"/>
      <c r="ML202" s="6"/>
      <c r="MM202" s="6"/>
      <c r="MN202" s="5" t="str">
        <f t="shared" si="762"/>
        <v>NO APLICA</v>
      </c>
      <c r="MO202" s="5"/>
      <c r="MP202" s="6"/>
      <c r="MQ202" s="6"/>
      <c r="MR202" s="6"/>
      <c r="MS202" s="5" t="str">
        <f t="shared" si="763"/>
        <v>NO APLICA</v>
      </c>
      <c r="MT202" s="5"/>
      <c r="MU202" s="6"/>
      <c r="MV202" s="6"/>
      <c r="MW202" s="6"/>
      <c r="MX202" s="5" t="str">
        <f t="shared" si="764"/>
        <v>NO APLICA</v>
      </c>
      <c r="MY202" s="6"/>
      <c r="MZ202" s="6"/>
      <c r="NA202" s="6"/>
      <c r="NB202" s="6"/>
      <c r="NC202" s="5" t="str">
        <f t="shared" si="765"/>
        <v>NO APLICA</v>
      </c>
      <c r="ND202" s="6"/>
      <c r="NE202" s="6"/>
      <c r="NF202" s="6"/>
      <c r="NG202" s="6"/>
      <c r="NH202" s="5" t="str">
        <f t="shared" si="766"/>
        <v>NO APLICA</v>
      </c>
      <c r="NI202" s="6"/>
      <c r="NJ202" s="6"/>
      <c r="NK202" s="6"/>
      <c r="NL202" s="6"/>
      <c r="NM202" s="5" t="str">
        <f t="shared" si="767"/>
        <v>NO APLICA</v>
      </c>
      <c r="NN202" s="6"/>
      <c r="NO202" s="6"/>
      <c r="NP202" s="6"/>
      <c r="NQ202" s="6"/>
      <c r="NR202" s="5" t="str">
        <f t="shared" si="768"/>
        <v>NO APLICA</v>
      </c>
      <c r="NS202" s="6"/>
      <c r="NT202" s="6"/>
      <c r="NU202" s="6"/>
      <c r="NV202" s="6"/>
      <c r="NW202" s="5" t="str">
        <f t="shared" si="769"/>
        <v>NO APLICA</v>
      </c>
      <c r="NX202" s="6"/>
      <c r="NY202" s="6"/>
      <c r="NZ202" s="6"/>
      <c r="OA202" s="6"/>
      <c r="OB202" s="5" t="str">
        <f t="shared" si="770"/>
        <v>NO APLICA</v>
      </c>
      <c r="OC202" s="6"/>
      <c r="OD202" s="6"/>
      <c r="OE202" s="6"/>
      <c r="OF202" s="6"/>
      <c r="OG202" s="5" t="str">
        <f t="shared" si="771"/>
        <v>NO APLICA</v>
      </c>
      <c r="OH202" s="6"/>
      <c r="OI202" s="6"/>
      <c r="OJ202" s="6"/>
      <c r="OK202" s="6"/>
      <c r="OL202" s="5" t="str">
        <f t="shared" si="772"/>
        <v>NO APLICA</v>
      </c>
      <c r="OM202" s="6"/>
      <c r="ON202" s="6"/>
      <c r="OO202" s="6"/>
      <c r="OP202" s="6"/>
      <c r="OQ202" s="5" t="str">
        <f t="shared" si="773"/>
        <v>NO APLICA</v>
      </c>
      <c r="OR202" s="6"/>
      <c r="OS202" s="6"/>
      <c r="OT202" s="6"/>
      <c r="OU202" s="6"/>
      <c r="OV202" s="5" t="str">
        <f t="shared" si="774"/>
        <v>NO APLICA</v>
      </c>
      <c r="OW202" s="6"/>
      <c r="OX202" s="6"/>
      <c r="OY202" s="6"/>
      <c r="OZ202" s="6"/>
      <c r="PA202" s="5" t="str">
        <f t="shared" si="788"/>
        <v>NO APLICA</v>
      </c>
      <c r="PB202" s="6"/>
      <c r="PC202" s="6"/>
      <c r="PD202" s="6"/>
      <c r="PE202" s="6"/>
      <c r="PF202" s="5" t="str">
        <f t="shared" si="775"/>
        <v>NO APLICA</v>
      </c>
      <c r="PG202" s="6"/>
      <c r="PH202" s="6"/>
      <c r="PI202" s="6"/>
      <c r="PJ202" s="6"/>
      <c r="PK202" s="5" t="str">
        <f t="shared" si="776"/>
        <v>NO APLICA</v>
      </c>
      <c r="PL202" s="5"/>
      <c r="PM202" s="6"/>
      <c r="PN202" s="6"/>
      <c r="PO202" s="6"/>
      <c r="PP202" s="5" t="str">
        <f t="shared" si="785"/>
        <v>NO APLICA</v>
      </c>
      <c r="PQ202" s="6"/>
      <c r="PR202" s="6"/>
      <c r="PS202" s="6"/>
      <c r="PT202" s="6"/>
      <c r="PU202" s="5" t="str">
        <f t="shared" si="777"/>
        <v>NO APLICA</v>
      </c>
      <c r="PV202" s="5"/>
      <c r="PW202" s="6"/>
      <c r="PX202" s="6"/>
      <c r="PY202" s="6"/>
      <c r="PZ202" s="5" t="str">
        <f t="shared" si="77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633</v>
      </c>
      <c r="D203" s="30" t="s">
        <v>634</v>
      </c>
      <c r="E203" s="31" t="s">
        <v>635</v>
      </c>
      <c r="F203" s="3"/>
      <c r="G203" s="4"/>
      <c r="H203" s="4"/>
      <c r="I203" s="8"/>
      <c r="J203" s="5" t="str">
        <f t="shared" si="710"/>
        <v>NO APLICA</v>
      </c>
      <c r="K203" s="2"/>
      <c r="L203" s="2"/>
      <c r="M203" s="2"/>
      <c r="N203" s="2"/>
      <c r="O203" s="5" t="str">
        <f t="shared" si="713"/>
        <v>NO APLICA</v>
      </c>
      <c r="P203" s="6"/>
      <c r="Q203" s="6"/>
      <c r="R203" s="4"/>
      <c r="S203" s="8"/>
      <c r="T203" s="5" t="str">
        <f t="shared" si="711"/>
        <v>NO APLICA</v>
      </c>
      <c r="U203" s="5"/>
      <c r="V203" s="2"/>
      <c r="W203" s="4"/>
      <c r="X203" s="4"/>
      <c r="Y203" s="8"/>
      <c r="Z203" s="5" t="str">
        <f t="shared" si="619"/>
        <v>NO APLICA</v>
      </c>
      <c r="AA203" s="5"/>
      <c r="AB203" s="2"/>
      <c r="AC203" s="6"/>
      <c r="AD203" s="4"/>
      <c r="AE203" s="8"/>
      <c r="AF203" s="5" t="str">
        <f t="shared" si="714"/>
        <v>NO APLICA</v>
      </c>
      <c r="AG203" s="2"/>
      <c r="AH203" s="4"/>
      <c r="AI203" s="4"/>
      <c r="AJ203" s="8"/>
      <c r="AK203" s="5" t="str">
        <f t="shared" si="616"/>
        <v>NO APLICA</v>
      </c>
      <c r="AL203" s="2"/>
      <c r="AM203" s="4"/>
      <c r="AN203" s="4"/>
      <c r="AO203" s="8"/>
      <c r="AP203" s="5" t="str">
        <f t="shared" si="715"/>
        <v>NO APLICA</v>
      </c>
      <c r="AQ203" s="2"/>
      <c r="AR203" s="4"/>
      <c r="AS203" s="4"/>
      <c r="AT203" s="8"/>
      <c r="AU203" s="5" t="str">
        <f t="shared" si="716"/>
        <v>NO APLICA</v>
      </c>
      <c r="AV203" s="2"/>
      <c r="AW203" s="4"/>
      <c r="AX203" s="4"/>
      <c r="AY203" s="8"/>
      <c r="AZ203" s="5" t="str">
        <f t="shared" si="717"/>
        <v>NO APLICA</v>
      </c>
      <c r="BA203" s="3"/>
      <c r="BB203" s="4"/>
      <c r="BC203" s="4"/>
      <c r="BD203" s="8"/>
      <c r="BE203" s="5" t="str">
        <f t="shared" si="718"/>
        <v>NO APLICA</v>
      </c>
      <c r="BF203" s="2"/>
      <c r="BG203" s="4"/>
      <c r="BH203" s="4"/>
      <c r="BI203" s="8"/>
      <c r="BJ203" s="5" t="str">
        <f t="shared" si="719"/>
        <v>NO APLICA</v>
      </c>
      <c r="BK203" s="3"/>
      <c r="BL203" s="4"/>
      <c r="BM203" s="4"/>
      <c r="BN203" s="8"/>
      <c r="BO203" s="5" t="str">
        <f t="shared" si="720"/>
        <v>NO APLICA</v>
      </c>
      <c r="BP203" s="3"/>
      <c r="BQ203" s="4"/>
      <c r="BR203" s="4"/>
      <c r="BS203" s="8"/>
      <c r="BT203" s="5" t="str">
        <f t="shared" si="721"/>
        <v>NO APLICA</v>
      </c>
      <c r="BU203" s="2"/>
      <c r="BV203" s="4"/>
      <c r="BW203" s="4"/>
      <c r="BX203" s="8"/>
      <c r="BY203" s="5" t="str">
        <f t="shared" si="722"/>
        <v>NO APLICA</v>
      </c>
      <c r="BZ203" s="2"/>
      <c r="CA203" s="4"/>
      <c r="CB203" s="4"/>
      <c r="CC203" s="8"/>
      <c r="CD203" s="5" t="str">
        <f t="shared" si="723"/>
        <v>NO APLICA</v>
      </c>
      <c r="CE203" s="6"/>
      <c r="CF203" s="4"/>
      <c r="CG203" s="4"/>
      <c r="CH203" s="8"/>
      <c r="CI203" s="5" t="str">
        <f t="shared" si="587"/>
        <v>NO APLICA</v>
      </c>
      <c r="CJ203" s="6"/>
      <c r="CK203" s="4"/>
      <c r="CL203" s="4"/>
      <c r="CM203" s="8"/>
      <c r="CN203" s="5" t="str">
        <f t="shared" si="724"/>
        <v>NO APLICA</v>
      </c>
      <c r="CO203" s="2"/>
      <c r="CP203" s="4"/>
      <c r="CQ203" s="4"/>
      <c r="CR203" s="8"/>
      <c r="CS203" s="5" t="str">
        <f t="shared" si="725"/>
        <v>NO APLICA</v>
      </c>
      <c r="CT203" s="2"/>
      <c r="CU203" s="4"/>
      <c r="CV203" s="4"/>
      <c r="CW203" s="8"/>
      <c r="CX203" s="5" t="str">
        <f t="shared" si="726"/>
        <v>NO APLICA</v>
      </c>
      <c r="CY203" s="3"/>
      <c r="CZ203" s="4"/>
      <c r="DA203" s="4"/>
      <c r="DB203" s="8"/>
      <c r="DC203" s="5" t="str">
        <f t="shared" si="727"/>
        <v>NO APLICA</v>
      </c>
      <c r="DD203" s="3"/>
      <c r="DE203" s="4"/>
      <c r="DF203" s="4"/>
      <c r="DG203" s="8"/>
      <c r="DH203" s="5" t="str">
        <f t="shared" si="728"/>
        <v>NO APLICA</v>
      </c>
      <c r="DI203" s="2"/>
      <c r="DJ203" s="4"/>
      <c r="DK203" s="4"/>
      <c r="DL203" s="8"/>
      <c r="DM203" s="5" t="str">
        <f t="shared" si="729"/>
        <v>NO APLICA</v>
      </c>
      <c r="DN203" s="3"/>
      <c r="DO203" s="4"/>
      <c r="DP203" s="4"/>
      <c r="DQ203" s="8"/>
      <c r="DR203" s="5" t="str">
        <f t="shared" si="730"/>
        <v>NO APLICA</v>
      </c>
      <c r="DS203" s="2"/>
      <c r="DT203" s="4"/>
      <c r="DU203" s="4"/>
      <c r="DV203" s="8"/>
      <c r="DW203" s="5" t="str">
        <f t="shared" si="731"/>
        <v>NO APLICA</v>
      </c>
      <c r="DX203" s="3"/>
      <c r="DY203" s="4"/>
      <c r="DZ203" s="4"/>
      <c r="EA203" s="8"/>
      <c r="EB203" s="5" t="str">
        <f t="shared" si="732"/>
        <v>NO APLICA</v>
      </c>
      <c r="EC203" s="3"/>
      <c r="ED203" s="4"/>
      <c r="EE203" s="4"/>
      <c r="EF203" s="8"/>
      <c r="EG203" s="5" t="str">
        <f t="shared" si="733"/>
        <v>NO APLICA</v>
      </c>
      <c r="EH203" s="2"/>
      <c r="EI203" s="4"/>
      <c r="EJ203" s="4"/>
      <c r="EK203" s="8"/>
      <c r="EL203" s="5" t="str">
        <f t="shared" si="734"/>
        <v>NO APLICA</v>
      </c>
      <c r="EM203" s="3"/>
      <c r="EN203" s="4"/>
      <c r="EO203" s="4"/>
      <c r="EP203" s="8"/>
      <c r="EQ203" s="5" t="str">
        <f t="shared" si="735"/>
        <v>NO APLICA</v>
      </c>
      <c r="ER203" s="2"/>
      <c r="ES203" s="4"/>
      <c r="ET203" s="4"/>
      <c r="EU203" s="8"/>
      <c r="EV203" s="5" t="str">
        <f t="shared" si="736"/>
        <v>NO APLICA</v>
      </c>
      <c r="EW203" s="2"/>
      <c r="EX203" s="4"/>
      <c r="EY203" s="4"/>
      <c r="EZ203" s="8"/>
      <c r="FA203" s="5" t="str">
        <f t="shared" si="737"/>
        <v>NO APLICA</v>
      </c>
      <c r="FB203" s="2"/>
      <c r="FC203" s="4"/>
      <c r="FD203" s="4"/>
      <c r="FE203" s="8"/>
      <c r="FF203" s="5" t="str">
        <f t="shared" si="738"/>
        <v>NO APLICA</v>
      </c>
      <c r="FG203" s="2"/>
      <c r="FH203" s="4"/>
      <c r="FI203" s="4"/>
      <c r="FJ203" s="8"/>
      <c r="FK203" s="5" t="str">
        <f t="shared" si="739"/>
        <v>NO APLICA</v>
      </c>
      <c r="FL203" s="3"/>
      <c r="FM203" s="4"/>
      <c r="FN203" s="4"/>
      <c r="FO203" s="8"/>
      <c r="FP203" s="5" t="str">
        <f t="shared" si="740"/>
        <v>NO APLICA</v>
      </c>
      <c r="FQ203" s="3"/>
      <c r="FR203" s="4"/>
      <c r="FS203" s="4"/>
      <c r="FT203" s="8"/>
      <c r="FU203" s="5" t="str">
        <f t="shared" si="741"/>
        <v>NO APLICA</v>
      </c>
      <c r="FV203" s="3"/>
      <c r="FW203" s="4"/>
      <c r="FX203" s="4"/>
      <c r="FY203" s="8"/>
      <c r="FZ203" s="5" t="str">
        <f t="shared" si="742"/>
        <v>NO APLICA</v>
      </c>
      <c r="GA203" s="3"/>
      <c r="GB203" s="4"/>
      <c r="GC203" s="4"/>
      <c r="GD203" s="8"/>
      <c r="GE203" s="5" t="str">
        <f t="shared" si="743"/>
        <v>NO APLICA</v>
      </c>
      <c r="GF203" s="3"/>
      <c r="GG203" s="4"/>
      <c r="GH203" s="4"/>
      <c r="GI203" s="8"/>
      <c r="GJ203" s="5" t="str">
        <f t="shared" si="744"/>
        <v>NO APLICA</v>
      </c>
      <c r="GK203" s="3"/>
      <c r="GL203" s="4"/>
      <c r="GM203" s="4"/>
      <c r="GN203" s="8"/>
      <c r="GO203" s="5" t="str">
        <f t="shared" si="745"/>
        <v>NO APLICA</v>
      </c>
      <c r="GP203" s="4"/>
      <c r="GQ203" s="4"/>
      <c r="GR203" s="4"/>
      <c r="GS203" s="8"/>
      <c r="GT203" s="5" t="str">
        <f t="shared" si="624"/>
        <v>NO APLICA</v>
      </c>
      <c r="GU203" s="3"/>
      <c r="GV203" s="4"/>
      <c r="GW203" s="4"/>
      <c r="GX203" s="8"/>
      <c r="GY203" s="5" t="str">
        <f t="shared" si="625"/>
        <v>NO APLICA</v>
      </c>
      <c r="GZ203" s="2"/>
      <c r="HA203" s="4"/>
      <c r="HB203" s="4"/>
      <c r="HC203" s="8"/>
      <c r="HD203" s="5" t="str">
        <f t="shared" si="626"/>
        <v>NO APLICA</v>
      </c>
      <c r="HE203" s="6"/>
      <c r="HF203" s="6"/>
      <c r="HG203" s="4"/>
      <c r="HH203" s="8"/>
      <c r="HI203" s="5" t="str">
        <f t="shared" si="712"/>
        <v>NO APLICA</v>
      </c>
      <c r="HJ203" s="2"/>
      <c r="HK203" s="6"/>
      <c r="HL203" s="4"/>
      <c r="HM203" s="8"/>
      <c r="HN203" s="5" t="str">
        <f t="shared" si="708"/>
        <v>NO APLICA</v>
      </c>
      <c r="HO203" s="2"/>
      <c r="HP203" s="2"/>
      <c r="HQ203" s="4"/>
      <c r="HR203" s="2"/>
      <c r="HS203" s="5" t="str">
        <f t="shared" si="746"/>
        <v>NO APLICA</v>
      </c>
      <c r="HT203" s="2"/>
      <c r="HU203" s="6"/>
      <c r="HV203" s="4"/>
      <c r="HW203" s="8"/>
      <c r="HX203" s="5" t="str">
        <f t="shared" si="747"/>
        <v>NO APLICA</v>
      </c>
      <c r="HY203" s="2"/>
      <c r="HZ203" s="6"/>
      <c r="IA203" s="4"/>
      <c r="IB203" s="8"/>
      <c r="IC203" s="5" t="str">
        <f t="shared" si="748"/>
        <v>NO APLICA</v>
      </c>
      <c r="ID203" s="2"/>
      <c r="IE203" s="6"/>
      <c r="IF203" s="4"/>
      <c r="IG203" s="8"/>
      <c r="IH203" s="5" t="str">
        <f t="shared" si="749"/>
        <v>NO APLICA</v>
      </c>
      <c r="II203" s="6"/>
      <c r="IJ203" s="6"/>
      <c r="IK203" s="4"/>
      <c r="IL203" s="8"/>
      <c r="IM203" s="5" t="str">
        <f t="shared" si="750"/>
        <v>NO APLICA</v>
      </c>
      <c r="IN203" s="2"/>
      <c r="IO203" s="6"/>
      <c r="IP203" s="4"/>
      <c r="IQ203" s="8"/>
      <c r="IR203" s="5" t="str">
        <f t="shared" si="751"/>
        <v>NO APLICA</v>
      </c>
      <c r="IS203" s="2"/>
      <c r="IT203" s="6"/>
      <c r="IU203" s="4"/>
      <c r="IV203" s="8"/>
      <c r="IW203" s="5" t="str">
        <f t="shared" si="752"/>
        <v>NO APLICA</v>
      </c>
      <c r="IX203" s="2"/>
      <c r="IY203" s="6"/>
      <c r="IZ203" s="4"/>
      <c r="JA203" s="8"/>
      <c r="JB203" s="5" t="str">
        <f t="shared" si="753"/>
        <v>NO APLICA</v>
      </c>
      <c r="JC203" s="3"/>
      <c r="JD203" s="3"/>
      <c r="JE203" s="4"/>
      <c r="JF203" s="8"/>
      <c r="JG203" s="5" t="str">
        <f t="shared" si="754"/>
        <v>NO APLICA</v>
      </c>
      <c r="JH203" s="6"/>
      <c r="JI203" s="6"/>
      <c r="JJ203" s="6"/>
      <c r="JK203" s="6"/>
      <c r="JL203" s="5" t="str">
        <f t="shared" si="755"/>
        <v>NO APLICA</v>
      </c>
      <c r="JM203" s="6"/>
      <c r="JN203" s="6"/>
      <c r="JO203" s="6"/>
      <c r="JP203" s="6"/>
      <c r="JQ203" s="5" t="str">
        <f t="shared" si="756"/>
        <v>NO APLICA</v>
      </c>
      <c r="JR203" s="6"/>
      <c r="JS203" s="6"/>
      <c r="JT203" s="6"/>
      <c r="JU203" s="6"/>
      <c r="JV203" s="5" t="str">
        <f t="shared" si="757"/>
        <v>NO APLICA</v>
      </c>
      <c r="JW203" s="5"/>
      <c r="JX203" s="5"/>
      <c r="JY203" s="5"/>
      <c r="JZ203" s="5"/>
      <c r="KA203" s="5" t="str">
        <f t="shared" si="758"/>
        <v>NO APLICA</v>
      </c>
      <c r="KB203" s="5"/>
      <c r="KC203" s="2"/>
      <c r="KD203" s="4"/>
      <c r="KE203" s="8"/>
      <c r="KF203" s="5" t="str">
        <f t="shared" si="759"/>
        <v>NO APLICA</v>
      </c>
      <c r="KG203" s="5"/>
      <c r="KH203" s="2"/>
      <c r="KI203" s="4"/>
      <c r="KJ203" s="8"/>
      <c r="KK203" s="5" t="str">
        <f t="shared" si="779"/>
        <v>NO APLICA</v>
      </c>
      <c r="KL203" s="5"/>
      <c r="KM203" s="2"/>
      <c r="KN203" s="4"/>
      <c r="KO203" s="8"/>
      <c r="KP203" s="5" t="str">
        <f t="shared" si="760"/>
        <v>NO APLICA</v>
      </c>
      <c r="KQ203" s="5"/>
      <c r="KR203" s="2"/>
      <c r="KS203" s="4"/>
      <c r="KT203" s="8"/>
      <c r="KU203" s="5" t="str">
        <f t="shared" si="780"/>
        <v>NO APLICA</v>
      </c>
      <c r="KV203" s="2"/>
      <c r="KW203" s="6"/>
      <c r="KX203" s="4"/>
      <c r="KY203" s="8"/>
      <c r="KZ203" s="5" t="str">
        <f t="shared" si="786"/>
        <v>NO APLICA</v>
      </c>
      <c r="LA203" s="5"/>
      <c r="LB203" s="6"/>
      <c r="LC203" s="4"/>
      <c r="LD203" s="8"/>
      <c r="LE203" s="5" t="str">
        <f t="shared" si="781"/>
        <v>NO APLICA</v>
      </c>
      <c r="LF203" s="6"/>
      <c r="LG203" s="6"/>
      <c r="LH203" s="4"/>
      <c r="LI203" s="8"/>
      <c r="LJ203" s="5" t="str">
        <f t="shared" si="614"/>
        <v>NO APLICA</v>
      </c>
      <c r="LK203" s="5"/>
      <c r="LL203" s="5"/>
      <c r="LM203" s="4"/>
      <c r="LN203" s="8"/>
      <c r="LO203" s="5" t="str">
        <f t="shared" si="787"/>
        <v>NO APLICA</v>
      </c>
      <c r="LP203" s="2"/>
      <c r="LQ203" s="6"/>
      <c r="LR203" s="4"/>
      <c r="LS203" s="8"/>
      <c r="LT203" s="5" t="str">
        <f t="shared" si="782"/>
        <v>NO APLICA</v>
      </c>
      <c r="LU203" s="6"/>
      <c r="LV203" s="6"/>
      <c r="LW203" s="4"/>
      <c r="LX203" s="8"/>
      <c r="LY203" s="5" t="str">
        <f t="shared" si="783"/>
        <v>NO APLICA</v>
      </c>
      <c r="LZ203" s="6"/>
      <c r="MA203" s="6"/>
      <c r="MB203" s="4"/>
      <c r="MC203" s="8"/>
      <c r="MD203" s="5" t="str">
        <f t="shared" si="784"/>
        <v>NO APLICA</v>
      </c>
      <c r="ME203" s="2"/>
      <c r="MF203" s="2"/>
      <c r="MG203" s="4"/>
      <c r="MH203" s="8"/>
      <c r="MI203" s="5" t="str">
        <f t="shared" si="761"/>
        <v>NO APLICA</v>
      </c>
      <c r="MJ203" s="2"/>
      <c r="MK203" s="2"/>
      <c r="ML203" s="4"/>
      <c r="MM203" s="8"/>
      <c r="MN203" s="5" t="str">
        <f t="shared" si="762"/>
        <v>NO APLICA</v>
      </c>
      <c r="MO203" s="5"/>
      <c r="MP203" s="2"/>
      <c r="MQ203" s="4"/>
      <c r="MR203" s="8"/>
      <c r="MS203" s="5" t="str">
        <f t="shared" si="763"/>
        <v>NO APLICA</v>
      </c>
      <c r="MT203" s="5"/>
      <c r="MU203" s="2"/>
      <c r="MV203" s="4"/>
      <c r="MW203" s="2"/>
      <c r="MX203" s="5" t="str">
        <f t="shared" si="764"/>
        <v>NO APLICA</v>
      </c>
      <c r="MY203" s="2"/>
      <c r="MZ203" s="6"/>
      <c r="NA203" s="4"/>
      <c r="NB203" s="8"/>
      <c r="NC203" s="5" t="str">
        <f t="shared" si="765"/>
        <v>NO APLICA</v>
      </c>
      <c r="ND203" s="2"/>
      <c r="NE203" s="6"/>
      <c r="NF203" s="4"/>
      <c r="NG203" s="8"/>
      <c r="NH203" s="5" t="str">
        <f t="shared" si="766"/>
        <v>NO APLICA</v>
      </c>
      <c r="NI203" s="2"/>
      <c r="NJ203" s="6"/>
      <c r="NK203" s="4"/>
      <c r="NL203" s="8"/>
      <c r="NM203" s="5" t="str">
        <f t="shared" si="767"/>
        <v>NO APLICA</v>
      </c>
      <c r="NN203" s="2"/>
      <c r="NO203" s="2"/>
      <c r="NP203" s="4"/>
      <c r="NQ203" s="8"/>
      <c r="NR203" s="5" t="str">
        <f t="shared" si="768"/>
        <v>NO APLICA</v>
      </c>
      <c r="NS203" s="2"/>
      <c r="NT203" s="2"/>
      <c r="NU203" s="4"/>
      <c r="NV203" s="2"/>
      <c r="NW203" s="5" t="str">
        <f t="shared" si="769"/>
        <v>NO APLICA</v>
      </c>
      <c r="NX203" s="6"/>
      <c r="NY203" s="6"/>
      <c r="NZ203" s="4"/>
      <c r="OA203" s="8"/>
      <c r="OB203" s="5" t="str">
        <f t="shared" si="770"/>
        <v>NO APLICA</v>
      </c>
      <c r="OC203" s="6"/>
      <c r="OD203" s="6"/>
      <c r="OE203" s="6"/>
      <c r="OF203" s="6"/>
      <c r="OG203" s="5" t="str">
        <f t="shared" si="771"/>
        <v>NO APLICA</v>
      </c>
      <c r="OH203" s="6"/>
      <c r="OI203" s="6"/>
      <c r="OJ203" s="4"/>
      <c r="OK203" s="8"/>
      <c r="OL203" s="5" t="str">
        <f t="shared" si="772"/>
        <v>NO APLICA</v>
      </c>
      <c r="OM203" s="6"/>
      <c r="ON203" s="6"/>
      <c r="OO203" s="6"/>
      <c r="OP203" s="6"/>
      <c r="OQ203" s="5" t="str">
        <f t="shared" si="773"/>
        <v>NO APLICA</v>
      </c>
      <c r="OR203" s="6"/>
      <c r="OS203" s="6"/>
      <c r="OT203" s="6"/>
      <c r="OU203" s="6"/>
      <c r="OV203" s="5" t="str">
        <f t="shared" si="774"/>
        <v>NO APLICA</v>
      </c>
      <c r="OW203" s="6"/>
      <c r="OX203" s="6"/>
      <c r="OY203" s="6"/>
      <c r="OZ203" s="6"/>
      <c r="PA203" s="5" t="str">
        <f t="shared" si="788"/>
        <v>NO APLICA</v>
      </c>
      <c r="PB203" s="6"/>
      <c r="PC203" s="6"/>
      <c r="PD203" s="6"/>
      <c r="PE203" s="6"/>
      <c r="PF203" s="5" t="str">
        <f t="shared" si="775"/>
        <v>NO APLICA</v>
      </c>
      <c r="PG203" s="6"/>
      <c r="PH203" s="6"/>
      <c r="PI203" s="6"/>
      <c r="PJ203" s="6"/>
      <c r="PK203" s="5" t="str">
        <f t="shared" si="776"/>
        <v>NO APLICA</v>
      </c>
      <c r="PL203" s="5"/>
      <c r="PM203" s="6"/>
      <c r="PN203" s="4"/>
      <c r="PO203" s="8"/>
      <c r="PP203" s="5" t="str">
        <f t="shared" si="785"/>
        <v>NO APLICA</v>
      </c>
      <c r="PQ203" s="6"/>
      <c r="PR203" s="6"/>
      <c r="PS203" s="6"/>
      <c r="PT203" s="6"/>
      <c r="PU203" s="5" t="str">
        <f t="shared" si="77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7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636</v>
      </c>
      <c r="D204" s="30" t="s">
        <v>637</v>
      </c>
      <c r="E204" s="31" t="s">
        <v>638</v>
      </c>
      <c r="F204" s="3"/>
      <c r="G204" s="4"/>
      <c r="H204" s="4"/>
      <c r="I204" s="8"/>
      <c r="J204" s="5" t="str">
        <f t="shared" si="710"/>
        <v>NO APLICA</v>
      </c>
      <c r="K204" s="2"/>
      <c r="L204" s="2"/>
      <c r="M204" s="2"/>
      <c r="N204" s="2"/>
      <c r="O204" s="5" t="str">
        <f t="shared" si="713"/>
        <v>NO APLICA</v>
      </c>
      <c r="P204" s="6"/>
      <c r="Q204" s="6"/>
      <c r="R204" s="4"/>
      <c r="S204" s="8"/>
      <c r="T204" s="5" t="str">
        <f t="shared" si="711"/>
        <v>NO APLICA</v>
      </c>
      <c r="U204" s="5"/>
      <c r="V204" s="2"/>
      <c r="W204" s="4"/>
      <c r="X204" s="4"/>
      <c r="Y204" s="8"/>
      <c r="Z204" s="5" t="str">
        <f t="shared" si="619"/>
        <v>NO APLICA</v>
      </c>
      <c r="AA204" s="5"/>
      <c r="AB204" s="2"/>
      <c r="AC204" s="6"/>
      <c r="AD204" s="4"/>
      <c r="AE204" s="8"/>
      <c r="AF204" s="5" t="str">
        <f t="shared" si="714"/>
        <v>NO APLICA</v>
      </c>
      <c r="AG204" s="2"/>
      <c r="AH204" s="4"/>
      <c r="AI204" s="4"/>
      <c r="AJ204" s="8"/>
      <c r="AK204" s="5" t="str">
        <f t="shared" si="616"/>
        <v>NO APLICA</v>
      </c>
      <c r="AL204" s="2"/>
      <c r="AM204" s="4"/>
      <c r="AN204" s="4"/>
      <c r="AO204" s="8"/>
      <c r="AP204" s="5" t="str">
        <f t="shared" si="715"/>
        <v>NO APLICA</v>
      </c>
      <c r="AQ204" s="2"/>
      <c r="AR204" s="4"/>
      <c r="AS204" s="4"/>
      <c r="AT204" s="8"/>
      <c r="AU204" s="5" t="str">
        <f t="shared" si="716"/>
        <v>NO APLICA</v>
      </c>
      <c r="AV204" s="2"/>
      <c r="AW204" s="4"/>
      <c r="AX204" s="4"/>
      <c r="AY204" s="8"/>
      <c r="AZ204" s="5" t="str">
        <f t="shared" si="717"/>
        <v>NO APLICA</v>
      </c>
      <c r="BA204" s="3"/>
      <c r="BB204" s="4"/>
      <c r="BC204" s="4"/>
      <c r="BD204" s="8"/>
      <c r="BE204" s="5" t="str">
        <f t="shared" si="718"/>
        <v>NO APLICA</v>
      </c>
      <c r="BF204" s="2"/>
      <c r="BG204" s="4"/>
      <c r="BH204" s="4"/>
      <c r="BI204" s="8"/>
      <c r="BJ204" s="5" t="str">
        <f t="shared" si="719"/>
        <v>NO APLICA</v>
      </c>
      <c r="BK204" s="3"/>
      <c r="BL204" s="4"/>
      <c r="BM204" s="4"/>
      <c r="BN204" s="8"/>
      <c r="BO204" s="5" t="str">
        <f t="shared" si="720"/>
        <v>NO APLICA</v>
      </c>
      <c r="BP204" s="3"/>
      <c r="BQ204" s="4"/>
      <c r="BR204" s="4"/>
      <c r="BS204" s="8"/>
      <c r="BT204" s="5" t="str">
        <f t="shared" si="721"/>
        <v>NO APLICA</v>
      </c>
      <c r="BU204" s="2"/>
      <c r="BV204" s="4"/>
      <c r="BW204" s="4"/>
      <c r="BX204" s="8"/>
      <c r="BY204" s="5" t="str">
        <f t="shared" si="722"/>
        <v>NO APLICA</v>
      </c>
      <c r="BZ204" s="2"/>
      <c r="CA204" s="4"/>
      <c r="CB204" s="4"/>
      <c r="CC204" s="8"/>
      <c r="CD204" s="5" t="str">
        <f t="shared" si="723"/>
        <v>NO APLICA</v>
      </c>
      <c r="CE204" s="6"/>
      <c r="CF204" s="4"/>
      <c r="CG204" s="4"/>
      <c r="CH204" s="8"/>
      <c r="CI204" s="5" t="str">
        <f t="shared" si="587"/>
        <v>NO APLICA</v>
      </c>
      <c r="CJ204" s="6"/>
      <c r="CK204" s="4"/>
      <c r="CL204" s="4"/>
      <c r="CM204" s="8"/>
      <c r="CN204" s="5" t="str">
        <f t="shared" si="724"/>
        <v>NO APLICA</v>
      </c>
      <c r="CO204" s="2"/>
      <c r="CP204" s="4"/>
      <c r="CQ204" s="4"/>
      <c r="CR204" s="8"/>
      <c r="CS204" s="5" t="str">
        <f t="shared" si="725"/>
        <v>NO APLICA</v>
      </c>
      <c r="CT204" s="2"/>
      <c r="CU204" s="4"/>
      <c r="CV204" s="4"/>
      <c r="CW204" s="8"/>
      <c r="CX204" s="5" t="str">
        <f t="shared" si="726"/>
        <v>NO APLICA</v>
      </c>
      <c r="CY204" s="3"/>
      <c r="CZ204" s="4"/>
      <c r="DA204" s="4"/>
      <c r="DB204" s="8"/>
      <c r="DC204" s="5" t="str">
        <f t="shared" si="727"/>
        <v>NO APLICA</v>
      </c>
      <c r="DD204" s="3"/>
      <c r="DE204" s="4"/>
      <c r="DF204" s="4"/>
      <c r="DG204" s="8"/>
      <c r="DH204" s="5" t="str">
        <f t="shared" si="728"/>
        <v>NO APLICA</v>
      </c>
      <c r="DI204" s="2"/>
      <c r="DJ204" s="4"/>
      <c r="DK204" s="4"/>
      <c r="DL204" s="8"/>
      <c r="DM204" s="5" t="str">
        <f t="shared" si="729"/>
        <v>NO APLICA</v>
      </c>
      <c r="DN204" s="3"/>
      <c r="DO204" s="4"/>
      <c r="DP204" s="4"/>
      <c r="DQ204" s="8"/>
      <c r="DR204" s="5" t="str">
        <f t="shared" si="730"/>
        <v>NO APLICA</v>
      </c>
      <c r="DS204" s="2"/>
      <c r="DT204" s="4"/>
      <c r="DU204" s="4"/>
      <c r="DV204" s="8"/>
      <c r="DW204" s="5" t="str">
        <f t="shared" si="731"/>
        <v>NO APLICA</v>
      </c>
      <c r="DX204" s="3"/>
      <c r="DY204" s="4"/>
      <c r="DZ204" s="4"/>
      <c r="EA204" s="8"/>
      <c r="EB204" s="5" t="str">
        <f t="shared" si="732"/>
        <v>NO APLICA</v>
      </c>
      <c r="EC204" s="3"/>
      <c r="ED204" s="4"/>
      <c r="EE204" s="4"/>
      <c r="EF204" s="8"/>
      <c r="EG204" s="5" t="str">
        <f t="shared" si="733"/>
        <v>NO APLICA</v>
      </c>
      <c r="EH204" s="2"/>
      <c r="EI204" s="4"/>
      <c r="EJ204" s="4"/>
      <c r="EK204" s="8"/>
      <c r="EL204" s="5" t="str">
        <f t="shared" si="734"/>
        <v>NO APLICA</v>
      </c>
      <c r="EM204" s="3"/>
      <c r="EN204" s="4"/>
      <c r="EO204" s="4"/>
      <c r="EP204" s="8"/>
      <c r="EQ204" s="5" t="str">
        <f t="shared" si="735"/>
        <v>NO APLICA</v>
      </c>
      <c r="ER204" s="2"/>
      <c r="ES204" s="4"/>
      <c r="ET204" s="4"/>
      <c r="EU204" s="8"/>
      <c r="EV204" s="5" t="str">
        <f t="shared" si="736"/>
        <v>NO APLICA</v>
      </c>
      <c r="EW204" s="2"/>
      <c r="EX204" s="4"/>
      <c r="EY204" s="4"/>
      <c r="EZ204" s="8"/>
      <c r="FA204" s="5" t="str">
        <f t="shared" si="737"/>
        <v>NO APLICA</v>
      </c>
      <c r="FB204" s="2"/>
      <c r="FC204" s="4"/>
      <c r="FD204" s="4"/>
      <c r="FE204" s="8"/>
      <c r="FF204" s="5" t="str">
        <f t="shared" si="738"/>
        <v>NO APLICA</v>
      </c>
      <c r="FG204" s="2"/>
      <c r="FH204" s="4"/>
      <c r="FI204" s="4"/>
      <c r="FJ204" s="8"/>
      <c r="FK204" s="5" t="str">
        <f t="shared" si="739"/>
        <v>NO APLICA</v>
      </c>
      <c r="FL204" s="3"/>
      <c r="FM204" s="4"/>
      <c r="FN204" s="4"/>
      <c r="FO204" s="8"/>
      <c r="FP204" s="5" t="str">
        <f t="shared" si="740"/>
        <v>NO APLICA</v>
      </c>
      <c r="FQ204" s="3"/>
      <c r="FR204" s="4"/>
      <c r="FS204" s="4"/>
      <c r="FT204" s="8"/>
      <c r="FU204" s="5" t="str">
        <f t="shared" si="741"/>
        <v>NO APLICA</v>
      </c>
      <c r="FV204" s="3"/>
      <c r="FW204" s="4"/>
      <c r="FX204" s="4"/>
      <c r="FY204" s="8"/>
      <c r="FZ204" s="5" t="str">
        <f t="shared" si="742"/>
        <v>NO APLICA</v>
      </c>
      <c r="GA204" s="3"/>
      <c r="GB204" s="4"/>
      <c r="GC204" s="4"/>
      <c r="GD204" s="8"/>
      <c r="GE204" s="5" t="str">
        <f t="shared" si="743"/>
        <v>NO APLICA</v>
      </c>
      <c r="GF204" s="3"/>
      <c r="GG204" s="4"/>
      <c r="GH204" s="4"/>
      <c r="GI204" s="8"/>
      <c r="GJ204" s="5" t="str">
        <f t="shared" si="744"/>
        <v>NO APLICA</v>
      </c>
      <c r="GK204" s="3"/>
      <c r="GL204" s="4"/>
      <c r="GM204" s="4"/>
      <c r="GN204" s="8"/>
      <c r="GO204" s="5" t="str">
        <f t="shared" si="745"/>
        <v>NO APLICA</v>
      </c>
      <c r="GP204" s="4"/>
      <c r="GQ204" s="4"/>
      <c r="GR204" s="4"/>
      <c r="GS204" s="8"/>
      <c r="GT204" s="5" t="str">
        <f t="shared" si="624"/>
        <v>NO APLICA</v>
      </c>
      <c r="GU204" s="3"/>
      <c r="GV204" s="4"/>
      <c r="GW204" s="4"/>
      <c r="GX204" s="8"/>
      <c r="GY204" s="5" t="str">
        <f t="shared" si="625"/>
        <v>NO APLICA</v>
      </c>
      <c r="GZ204" s="2"/>
      <c r="HA204" s="4"/>
      <c r="HB204" s="4"/>
      <c r="HC204" s="8"/>
      <c r="HD204" s="5" t="str">
        <f t="shared" si="626"/>
        <v>NO APLICA</v>
      </c>
      <c r="HE204" s="6"/>
      <c r="HF204" s="6"/>
      <c r="HG204" s="4"/>
      <c r="HH204" s="8"/>
      <c r="HI204" s="5" t="str">
        <f t="shared" si="712"/>
        <v>NO APLICA</v>
      </c>
      <c r="HJ204" s="2"/>
      <c r="HK204" s="6"/>
      <c r="HL204" s="4"/>
      <c r="HM204" s="8"/>
      <c r="HN204" s="5" t="str">
        <f t="shared" si="708"/>
        <v>NO APLICA</v>
      </c>
      <c r="HO204" s="2"/>
      <c r="HP204" s="2"/>
      <c r="HQ204" s="4"/>
      <c r="HR204" s="2"/>
      <c r="HS204" s="5" t="str">
        <f t="shared" si="746"/>
        <v>NO APLICA</v>
      </c>
      <c r="HT204" s="2"/>
      <c r="HU204" s="6"/>
      <c r="HV204" s="4"/>
      <c r="HW204" s="8"/>
      <c r="HX204" s="5" t="str">
        <f t="shared" si="747"/>
        <v>NO APLICA</v>
      </c>
      <c r="HY204" s="2"/>
      <c r="HZ204" s="6"/>
      <c r="IA204" s="4"/>
      <c r="IB204" s="8"/>
      <c r="IC204" s="5" t="str">
        <f t="shared" si="748"/>
        <v>NO APLICA</v>
      </c>
      <c r="ID204" s="2"/>
      <c r="IE204" s="6"/>
      <c r="IF204" s="4"/>
      <c r="IG204" s="8"/>
      <c r="IH204" s="5" t="str">
        <f t="shared" si="749"/>
        <v>NO APLICA</v>
      </c>
      <c r="II204" s="6"/>
      <c r="IJ204" s="6"/>
      <c r="IK204" s="4"/>
      <c r="IL204" s="8"/>
      <c r="IM204" s="5" t="str">
        <f t="shared" si="750"/>
        <v>NO APLICA</v>
      </c>
      <c r="IN204" s="2"/>
      <c r="IO204" s="6"/>
      <c r="IP204" s="4"/>
      <c r="IQ204" s="8"/>
      <c r="IR204" s="5" t="str">
        <f t="shared" si="751"/>
        <v>NO APLICA</v>
      </c>
      <c r="IS204" s="2"/>
      <c r="IT204" s="6"/>
      <c r="IU204" s="4"/>
      <c r="IV204" s="8"/>
      <c r="IW204" s="5" t="str">
        <f t="shared" si="752"/>
        <v>NO APLICA</v>
      </c>
      <c r="IX204" s="2"/>
      <c r="IY204" s="6"/>
      <c r="IZ204" s="4"/>
      <c r="JA204" s="8"/>
      <c r="JB204" s="5" t="str">
        <f t="shared" si="753"/>
        <v>NO APLICA</v>
      </c>
      <c r="JC204" s="6" t="s">
        <v>788</v>
      </c>
      <c r="JD204" s="3"/>
      <c r="JE204" s="4"/>
      <c r="JF204" s="8"/>
      <c r="JG204" s="5" t="str">
        <f t="shared" si="754"/>
        <v>NO APLICA</v>
      </c>
      <c r="JH204" s="6" t="s">
        <v>788</v>
      </c>
      <c r="JI204" s="6"/>
      <c r="JJ204" s="6"/>
      <c r="JK204" s="6"/>
      <c r="JL204" s="5" t="str">
        <f>IF(JK204&gt;=61,"VIGENTE",IF(JK204&gt;=1,"POR VENCER",IF(JK204&lt;=-1,"VENCIDA",IF(JI204=0,"NO APLICA"))))</f>
        <v>NO APLICA</v>
      </c>
      <c r="JM204" s="6" t="s">
        <v>788</v>
      </c>
      <c r="JN204" s="6"/>
      <c r="JO204" s="6"/>
      <c r="JP204" s="6"/>
      <c r="JQ204" s="5" t="str">
        <f>IF(JP204&gt;=61,"VIGENTE",IF(JP204&gt;=1,"POR VENCER",IF(JP204&lt;=-1,"VENCIDA",IF(JN204=0,"NO APLICA"))))</f>
        <v>NO APLICA</v>
      </c>
      <c r="JR204" s="6" t="s">
        <v>788</v>
      </c>
      <c r="JS204" s="6"/>
      <c r="JT204" s="6"/>
      <c r="JU204" s="6"/>
      <c r="JV204" s="5" t="str">
        <f t="shared" si="757"/>
        <v>NO APLICA</v>
      </c>
      <c r="JW204" s="6" t="s">
        <v>788</v>
      </c>
      <c r="JX204" s="5"/>
      <c r="JY204" s="5"/>
      <c r="JZ204" s="5"/>
      <c r="KA204" s="5" t="str">
        <f t="shared" si="758"/>
        <v>NO APLICA</v>
      </c>
      <c r="KB204" s="5"/>
      <c r="KC204" s="2"/>
      <c r="KD204" s="4"/>
      <c r="KE204" s="8"/>
      <c r="KF204" s="5" t="str">
        <f t="shared" si="759"/>
        <v>NO APLICA</v>
      </c>
      <c r="KG204" s="5"/>
      <c r="KH204" s="2"/>
      <c r="KI204" s="4"/>
      <c r="KJ204" s="8"/>
      <c r="KK204" s="5" t="str">
        <f t="shared" si="779"/>
        <v>NO APLICA</v>
      </c>
      <c r="KL204" s="5"/>
      <c r="KM204" s="2"/>
      <c r="KN204" s="4"/>
      <c r="KO204" s="8"/>
      <c r="KP204" s="5" t="str">
        <f t="shared" si="760"/>
        <v>NO APLICA</v>
      </c>
      <c r="KQ204" s="5"/>
      <c r="KR204" s="2"/>
      <c r="KS204" s="4"/>
      <c r="KT204" s="8"/>
      <c r="KU204" s="5" t="str">
        <f t="shared" si="780"/>
        <v>NO APLICA</v>
      </c>
      <c r="KV204" s="2"/>
      <c r="KW204" s="6"/>
      <c r="KX204" s="4"/>
      <c r="KY204" s="8"/>
      <c r="KZ204" s="5" t="str">
        <f t="shared" si="786"/>
        <v>NO APLICA</v>
      </c>
      <c r="LA204" s="5"/>
      <c r="LB204" s="6"/>
      <c r="LC204" s="4"/>
      <c r="LD204" s="8"/>
      <c r="LE204" s="5" t="str">
        <f t="shared" si="781"/>
        <v>NO APLICA</v>
      </c>
      <c r="LF204" s="6"/>
      <c r="LG204" s="6"/>
      <c r="LH204" s="4"/>
      <c r="LI204" s="8"/>
      <c r="LJ204" s="5" t="str">
        <f t="shared" si="614"/>
        <v>NO APLICA</v>
      </c>
      <c r="LK204" s="5"/>
      <c r="LL204" s="5"/>
      <c r="LM204" s="4"/>
      <c r="LN204" s="8"/>
      <c r="LO204" s="5" t="str">
        <f t="shared" si="787"/>
        <v>NO APLICA</v>
      </c>
      <c r="LP204" s="2"/>
      <c r="LQ204" s="6"/>
      <c r="LR204" s="4"/>
      <c r="LS204" s="8"/>
      <c r="LT204" s="5" t="str">
        <f t="shared" si="782"/>
        <v>NO APLICA</v>
      </c>
      <c r="LU204" s="6"/>
      <c r="LV204" s="6"/>
      <c r="LW204" s="4"/>
      <c r="LX204" s="8"/>
      <c r="LY204" s="5" t="str">
        <f t="shared" si="783"/>
        <v>NO APLICA</v>
      </c>
      <c r="LZ204" s="6"/>
      <c r="MA204" s="6"/>
      <c r="MB204" s="4"/>
      <c r="MC204" s="8"/>
      <c r="MD204" s="5" t="str">
        <f t="shared" si="784"/>
        <v>NO APLICA</v>
      </c>
      <c r="ME204" s="2"/>
      <c r="MF204" s="2"/>
      <c r="MG204" s="4"/>
      <c r="MH204" s="8"/>
      <c r="MI204" s="5" t="str">
        <f t="shared" si="761"/>
        <v>NO APLICA</v>
      </c>
      <c r="MJ204" s="2"/>
      <c r="MK204" s="2"/>
      <c r="ML204" s="4"/>
      <c r="MM204" s="8"/>
      <c r="MN204" s="5" t="str">
        <f t="shared" si="762"/>
        <v>NO APLICA</v>
      </c>
      <c r="MO204" s="5"/>
      <c r="MP204" s="2"/>
      <c r="MQ204" s="4"/>
      <c r="MR204" s="8"/>
      <c r="MS204" s="5" t="str">
        <f t="shared" si="763"/>
        <v>NO APLICA</v>
      </c>
      <c r="MT204" s="5"/>
      <c r="MU204" s="2"/>
      <c r="MV204" s="4"/>
      <c r="MW204" s="2"/>
      <c r="MX204" s="5" t="str">
        <f t="shared" si="764"/>
        <v>NO APLICA</v>
      </c>
      <c r="MY204" s="2"/>
      <c r="MZ204" s="6"/>
      <c r="NA204" s="4"/>
      <c r="NB204" s="8"/>
      <c r="NC204" s="5" t="str">
        <f t="shared" si="765"/>
        <v>NO APLICA</v>
      </c>
      <c r="ND204" s="2"/>
      <c r="NE204" s="6"/>
      <c r="NF204" s="4"/>
      <c r="NG204" s="8"/>
      <c r="NH204" s="5" t="str">
        <f t="shared" si="766"/>
        <v>NO APLICA</v>
      </c>
      <c r="NI204" s="2"/>
      <c r="NJ204" s="6"/>
      <c r="NK204" s="4"/>
      <c r="NL204" s="8"/>
      <c r="NM204" s="5" t="str">
        <f t="shared" si="767"/>
        <v>NO APLICA</v>
      </c>
      <c r="NN204" s="2"/>
      <c r="NO204" s="2"/>
      <c r="NP204" s="4"/>
      <c r="NQ204" s="8"/>
      <c r="NR204" s="5" t="str">
        <f t="shared" si="768"/>
        <v>NO APLICA</v>
      </c>
      <c r="NS204" s="2"/>
      <c r="NT204" s="2"/>
      <c r="NU204" s="4"/>
      <c r="NV204" s="2"/>
      <c r="NW204" s="5" t="str">
        <f t="shared" si="769"/>
        <v>NO APLICA</v>
      </c>
      <c r="NX204" s="6"/>
      <c r="NY204" s="6"/>
      <c r="NZ204" s="4"/>
      <c r="OA204" s="8"/>
      <c r="OB204" s="5" t="str">
        <f t="shared" si="770"/>
        <v>NO APLICA</v>
      </c>
      <c r="OC204" s="6"/>
      <c r="OD204" s="6"/>
      <c r="OE204" s="6"/>
      <c r="OF204" s="6"/>
      <c r="OG204" s="5" t="str">
        <f t="shared" si="771"/>
        <v>NO APLICA</v>
      </c>
      <c r="OH204" s="6"/>
      <c r="OI204" s="6"/>
      <c r="OJ204" s="4"/>
      <c r="OK204" s="8"/>
      <c r="OL204" s="5" t="str">
        <f t="shared" si="772"/>
        <v>NO APLICA</v>
      </c>
      <c r="OM204" s="6"/>
      <c r="ON204" s="6"/>
      <c r="OO204" s="6"/>
      <c r="OP204" s="6"/>
      <c r="OQ204" s="5" t="str">
        <f t="shared" si="773"/>
        <v>NO APLICA</v>
      </c>
      <c r="OR204" s="6"/>
      <c r="OS204" s="6"/>
      <c r="OT204" s="6"/>
      <c r="OU204" s="6"/>
      <c r="OV204" s="5" t="str">
        <f t="shared" si="77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75"/>
        <v>NO APLICA</v>
      </c>
      <c r="PG204" s="6"/>
      <c r="PH204" s="6"/>
      <c r="PI204" s="6"/>
      <c r="PJ204" s="6"/>
      <c r="PK204" s="5" t="str">
        <f t="shared" si="776"/>
        <v>NO APLICA</v>
      </c>
      <c r="PL204" s="5"/>
      <c r="PM204" s="6"/>
      <c r="PN204" s="4"/>
      <c r="PO204" s="8"/>
      <c r="PP204" s="5" t="str">
        <f t="shared" si="785"/>
        <v>NO APLICA</v>
      </c>
      <c r="PQ204" s="6"/>
      <c r="PR204" s="6"/>
      <c r="PS204" s="6"/>
      <c r="PT204" s="6"/>
      <c r="PU204" s="5" t="str">
        <f t="shared" si="777"/>
        <v>NO APLICA</v>
      </c>
      <c r="PV204" s="5"/>
      <c r="PW204" s="6"/>
      <c r="PX204" s="6"/>
      <c r="PY204" s="6"/>
      <c r="PZ204" s="5" t="str">
        <f t="shared" si="77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639</v>
      </c>
      <c r="D205" s="30" t="s">
        <v>640</v>
      </c>
      <c r="E205" s="31" t="s">
        <v>641</v>
      </c>
      <c r="F205" s="3"/>
      <c r="G205" s="4"/>
      <c r="H205" s="4"/>
      <c r="I205" s="8"/>
      <c r="J205" s="5" t="str">
        <f t="shared" si="710"/>
        <v>NO APLICA</v>
      </c>
      <c r="K205" s="2"/>
      <c r="L205" s="2"/>
      <c r="M205" s="2"/>
      <c r="N205" s="2"/>
      <c r="O205" s="5" t="str">
        <f t="shared" si="713"/>
        <v>NO APLICA</v>
      </c>
      <c r="P205" s="6"/>
      <c r="Q205" s="6"/>
      <c r="R205" s="4"/>
      <c r="S205" s="8"/>
      <c r="T205" s="5" t="str">
        <f t="shared" si="711"/>
        <v>NO APLICA</v>
      </c>
      <c r="U205" s="5"/>
      <c r="V205" s="2"/>
      <c r="W205" s="4"/>
      <c r="X205" s="4"/>
      <c r="Y205" s="8"/>
      <c r="Z205" s="5" t="str">
        <f t="shared" si="619"/>
        <v>NO APLICA</v>
      </c>
      <c r="AA205" s="5"/>
      <c r="AB205" s="2"/>
      <c r="AC205" s="6"/>
      <c r="AD205" s="4"/>
      <c r="AE205" s="8"/>
      <c r="AF205" s="5" t="str">
        <f t="shared" si="714"/>
        <v>NO APLICA</v>
      </c>
      <c r="AG205" s="2"/>
      <c r="AH205" s="4"/>
      <c r="AI205" s="4"/>
      <c r="AJ205" s="8"/>
      <c r="AK205" s="5" t="str">
        <f t="shared" si="616"/>
        <v>NO APLICA</v>
      </c>
      <c r="AL205" s="2"/>
      <c r="AM205" s="4"/>
      <c r="AN205" s="4"/>
      <c r="AO205" s="8"/>
      <c r="AP205" s="5" t="str">
        <f t="shared" si="715"/>
        <v>NO APLICA</v>
      </c>
      <c r="AQ205" s="2"/>
      <c r="AR205" s="4"/>
      <c r="AS205" s="4"/>
      <c r="AT205" s="8"/>
      <c r="AU205" s="5" t="str">
        <f t="shared" si="716"/>
        <v>NO APLICA</v>
      </c>
      <c r="AV205" s="2"/>
      <c r="AW205" s="4"/>
      <c r="AX205" s="4"/>
      <c r="AY205" s="8"/>
      <c r="AZ205" s="5" t="str">
        <f t="shared" si="717"/>
        <v>NO APLICA</v>
      </c>
      <c r="BA205" s="3"/>
      <c r="BB205" s="4"/>
      <c r="BC205" s="4"/>
      <c r="BD205" s="8"/>
      <c r="BE205" s="5" t="str">
        <f t="shared" si="718"/>
        <v>NO APLICA</v>
      </c>
      <c r="BF205" s="2"/>
      <c r="BG205" s="4"/>
      <c r="BH205" s="4"/>
      <c r="BI205" s="8"/>
      <c r="BJ205" s="5" t="str">
        <f t="shared" si="719"/>
        <v>NO APLICA</v>
      </c>
      <c r="BK205" s="3"/>
      <c r="BL205" s="4"/>
      <c r="BM205" s="4"/>
      <c r="BN205" s="8"/>
      <c r="BO205" s="5" t="str">
        <f t="shared" si="720"/>
        <v>NO APLICA</v>
      </c>
      <c r="BP205" s="3"/>
      <c r="BQ205" s="4"/>
      <c r="BR205" s="4"/>
      <c r="BS205" s="8"/>
      <c r="BT205" s="5" t="str">
        <f t="shared" si="721"/>
        <v>NO APLICA</v>
      </c>
      <c r="BU205" s="2"/>
      <c r="BV205" s="4"/>
      <c r="BW205" s="4"/>
      <c r="BX205" s="8"/>
      <c r="BY205" s="5" t="str">
        <f t="shared" si="722"/>
        <v>NO APLICA</v>
      </c>
      <c r="BZ205" s="2"/>
      <c r="CA205" s="4"/>
      <c r="CB205" s="4"/>
      <c r="CC205" s="8"/>
      <c r="CD205" s="5" t="str">
        <f t="shared" si="723"/>
        <v>NO APLICA</v>
      </c>
      <c r="CE205" s="6"/>
      <c r="CF205" s="4"/>
      <c r="CG205" s="4"/>
      <c r="CH205" s="8"/>
      <c r="CI205" s="5" t="str">
        <f t="shared" si="587"/>
        <v>NO APLICA</v>
      </c>
      <c r="CJ205" s="6"/>
      <c r="CK205" s="4"/>
      <c r="CL205" s="4"/>
      <c r="CM205" s="8"/>
      <c r="CN205" s="5" t="str">
        <f t="shared" si="724"/>
        <v>NO APLICA</v>
      </c>
      <c r="CO205" s="2"/>
      <c r="CP205" s="4"/>
      <c r="CQ205" s="4"/>
      <c r="CR205" s="8"/>
      <c r="CS205" s="5" t="str">
        <f t="shared" si="725"/>
        <v>NO APLICA</v>
      </c>
      <c r="CT205" s="2"/>
      <c r="CU205" s="4"/>
      <c r="CV205" s="4"/>
      <c r="CW205" s="8"/>
      <c r="CX205" s="5" t="str">
        <f t="shared" si="726"/>
        <v>NO APLICA</v>
      </c>
      <c r="CY205" s="3"/>
      <c r="CZ205" s="4"/>
      <c r="DA205" s="4"/>
      <c r="DB205" s="8"/>
      <c r="DC205" s="5" t="str">
        <f t="shared" si="727"/>
        <v>NO APLICA</v>
      </c>
      <c r="DD205" s="3"/>
      <c r="DE205" s="4"/>
      <c r="DF205" s="4"/>
      <c r="DG205" s="8"/>
      <c r="DH205" s="5" t="str">
        <f t="shared" si="728"/>
        <v>NO APLICA</v>
      </c>
      <c r="DI205" s="2"/>
      <c r="DJ205" s="4"/>
      <c r="DK205" s="4"/>
      <c r="DL205" s="8"/>
      <c r="DM205" s="5" t="str">
        <f t="shared" si="729"/>
        <v>NO APLICA</v>
      </c>
      <c r="DN205" s="3"/>
      <c r="DO205" s="4"/>
      <c r="DP205" s="4"/>
      <c r="DQ205" s="8"/>
      <c r="DR205" s="5" t="str">
        <f t="shared" si="730"/>
        <v>NO APLICA</v>
      </c>
      <c r="DS205" s="2"/>
      <c r="DT205" s="4"/>
      <c r="DU205" s="4"/>
      <c r="DV205" s="8"/>
      <c r="DW205" s="5" t="str">
        <f t="shared" si="731"/>
        <v>NO APLICA</v>
      </c>
      <c r="DX205" s="3"/>
      <c r="DY205" s="4"/>
      <c r="DZ205" s="4"/>
      <c r="EA205" s="8"/>
      <c r="EB205" s="5" t="str">
        <f t="shared" si="732"/>
        <v>NO APLICA</v>
      </c>
      <c r="EC205" s="3"/>
      <c r="ED205" s="4"/>
      <c r="EE205" s="4"/>
      <c r="EF205" s="8"/>
      <c r="EG205" s="5" t="str">
        <f t="shared" si="733"/>
        <v>NO APLICA</v>
      </c>
      <c r="EH205" s="2"/>
      <c r="EI205" s="4"/>
      <c r="EJ205" s="4"/>
      <c r="EK205" s="8"/>
      <c r="EL205" s="5" t="str">
        <f t="shared" si="734"/>
        <v>NO APLICA</v>
      </c>
      <c r="EM205" s="3"/>
      <c r="EN205" s="4"/>
      <c r="EO205" s="4"/>
      <c r="EP205" s="8"/>
      <c r="EQ205" s="5" t="str">
        <f t="shared" si="735"/>
        <v>NO APLICA</v>
      </c>
      <c r="ER205" s="2"/>
      <c r="ES205" s="4"/>
      <c r="ET205" s="4"/>
      <c r="EU205" s="8"/>
      <c r="EV205" s="5" t="str">
        <f t="shared" si="736"/>
        <v>NO APLICA</v>
      </c>
      <c r="EW205" s="2"/>
      <c r="EX205" s="4"/>
      <c r="EY205" s="4"/>
      <c r="EZ205" s="8"/>
      <c r="FA205" s="5" t="str">
        <f t="shared" si="737"/>
        <v>NO APLICA</v>
      </c>
      <c r="FB205" s="2"/>
      <c r="FC205" s="4"/>
      <c r="FD205" s="4"/>
      <c r="FE205" s="8"/>
      <c r="FF205" s="5" t="str">
        <f t="shared" si="738"/>
        <v>NO APLICA</v>
      </c>
      <c r="FG205" s="2"/>
      <c r="FH205" s="4"/>
      <c r="FI205" s="4"/>
      <c r="FJ205" s="8"/>
      <c r="FK205" s="5" t="str">
        <f t="shared" si="739"/>
        <v>NO APLICA</v>
      </c>
      <c r="FL205" s="3"/>
      <c r="FM205" s="4"/>
      <c r="FN205" s="4"/>
      <c r="FO205" s="8"/>
      <c r="FP205" s="5" t="str">
        <f t="shared" si="740"/>
        <v>NO APLICA</v>
      </c>
      <c r="FQ205" s="3"/>
      <c r="FR205" s="4"/>
      <c r="FS205" s="4"/>
      <c r="FT205" s="8"/>
      <c r="FU205" s="5" t="str">
        <f t="shared" si="741"/>
        <v>NO APLICA</v>
      </c>
      <c r="FV205" s="3"/>
      <c r="FW205" s="4"/>
      <c r="FX205" s="4"/>
      <c r="FY205" s="8"/>
      <c r="FZ205" s="5" t="str">
        <f t="shared" si="742"/>
        <v>NO APLICA</v>
      </c>
      <c r="GA205" s="3"/>
      <c r="GB205" s="4"/>
      <c r="GC205" s="4"/>
      <c r="GD205" s="8"/>
      <c r="GE205" s="5" t="str">
        <f t="shared" si="743"/>
        <v>NO APLICA</v>
      </c>
      <c r="GF205" s="3"/>
      <c r="GG205" s="4"/>
      <c r="GH205" s="4"/>
      <c r="GI205" s="8"/>
      <c r="GJ205" s="5" t="str">
        <f t="shared" si="744"/>
        <v>NO APLICA</v>
      </c>
      <c r="GK205" s="3"/>
      <c r="GL205" s="4"/>
      <c r="GM205" s="4"/>
      <c r="GN205" s="8"/>
      <c r="GO205" s="5" t="str">
        <f t="shared" si="745"/>
        <v>NO APLICA</v>
      </c>
      <c r="GP205" s="4"/>
      <c r="GQ205" s="4"/>
      <c r="GR205" s="4"/>
      <c r="GS205" s="8"/>
      <c r="GT205" s="5" t="str">
        <f t="shared" si="624"/>
        <v>NO APLICA</v>
      </c>
      <c r="GU205" s="3"/>
      <c r="GV205" s="4"/>
      <c r="GW205" s="4"/>
      <c r="GX205" s="8"/>
      <c r="GY205" s="5" t="str">
        <f t="shared" si="625"/>
        <v>NO APLICA</v>
      </c>
      <c r="GZ205" s="2"/>
      <c r="HA205" s="4"/>
      <c r="HB205" s="4"/>
      <c r="HC205" s="8"/>
      <c r="HD205" s="5" t="str">
        <f t="shared" si="626"/>
        <v>NO APLICA</v>
      </c>
      <c r="HE205" s="6"/>
      <c r="HF205" s="6"/>
      <c r="HG205" s="4"/>
      <c r="HH205" s="8"/>
      <c r="HI205" s="5" t="str">
        <f t="shared" si="712"/>
        <v>NO APLICA</v>
      </c>
      <c r="HJ205" s="2"/>
      <c r="HK205" s="6"/>
      <c r="HL205" s="4"/>
      <c r="HM205" s="8"/>
      <c r="HN205" s="5" t="str">
        <f t="shared" si="708"/>
        <v>NO APLICA</v>
      </c>
      <c r="HO205" s="2"/>
      <c r="HP205" s="2"/>
      <c r="HQ205" s="4"/>
      <c r="HR205" s="2"/>
      <c r="HS205" s="5" t="str">
        <f t="shared" si="746"/>
        <v>NO APLICA</v>
      </c>
      <c r="HT205" s="2"/>
      <c r="HU205" s="6"/>
      <c r="HV205" s="4"/>
      <c r="HW205" s="8"/>
      <c r="HX205" s="5" t="str">
        <f t="shared" si="747"/>
        <v>NO APLICA</v>
      </c>
      <c r="HY205" s="2"/>
      <c r="HZ205" s="6"/>
      <c r="IA205" s="4"/>
      <c r="IB205" s="8"/>
      <c r="IC205" s="5" t="str">
        <f t="shared" si="748"/>
        <v>NO APLICA</v>
      </c>
      <c r="ID205" s="2"/>
      <c r="IE205" s="6"/>
      <c r="IF205" s="4"/>
      <c r="IG205" s="8"/>
      <c r="IH205" s="5" t="str">
        <f t="shared" si="749"/>
        <v>NO APLICA</v>
      </c>
      <c r="II205" s="6"/>
      <c r="IJ205" s="6"/>
      <c r="IK205" s="4"/>
      <c r="IL205" s="8"/>
      <c r="IM205" s="5" t="str">
        <f t="shared" si="750"/>
        <v>NO APLICA</v>
      </c>
      <c r="IN205" s="2"/>
      <c r="IO205" s="6"/>
      <c r="IP205" s="4"/>
      <c r="IQ205" s="8"/>
      <c r="IR205" s="5" t="str">
        <f t="shared" si="751"/>
        <v>NO APLICA</v>
      </c>
      <c r="IS205" s="2"/>
      <c r="IT205" s="6"/>
      <c r="IU205" s="4"/>
      <c r="IV205" s="8"/>
      <c r="IW205" s="5" t="str">
        <f t="shared" si="752"/>
        <v>NO APLICA</v>
      </c>
      <c r="IX205" s="2"/>
      <c r="IY205" s="6"/>
      <c r="IZ205" s="4"/>
      <c r="JA205" s="8"/>
      <c r="JB205" s="5" t="str">
        <f t="shared" si="753"/>
        <v>NO APLICA</v>
      </c>
      <c r="JC205" s="3"/>
      <c r="JD205" s="3"/>
      <c r="JE205" s="4"/>
      <c r="JF205" s="8"/>
      <c r="JG205" s="5" t="str">
        <f t="shared" si="754"/>
        <v>NO APLICA</v>
      </c>
      <c r="JH205" s="4"/>
      <c r="JI205" s="4"/>
      <c r="JJ205" s="6"/>
      <c r="JK205" s="6"/>
      <c r="JL205" s="5" t="str">
        <f t="shared" si="755"/>
        <v>NO APLICA</v>
      </c>
      <c r="JM205" s="6"/>
      <c r="JN205" s="6"/>
      <c r="JO205" s="6"/>
      <c r="JP205" s="6"/>
      <c r="JQ205" s="5" t="str">
        <f t="shared" si="756"/>
        <v>NO APLICA</v>
      </c>
      <c r="JR205" s="4"/>
      <c r="JS205" s="4"/>
      <c r="JT205" s="6"/>
      <c r="JU205" s="6"/>
      <c r="JV205" s="5" t="str">
        <f t="shared" si="757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59"/>
        <v>NO APLICA</v>
      </c>
      <c r="KG205" s="5"/>
      <c r="KH205" s="2"/>
      <c r="KI205" s="4"/>
      <c r="KJ205" s="8"/>
      <c r="KK205" s="5" t="str">
        <f t="shared" si="779"/>
        <v>NO APLICA</v>
      </c>
      <c r="KL205" s="5"/>
      <c r="KM205" s="2"/>
      <c r="KN205" s="4"/>
      <c r="KO205" s="8"/>
      <c r="KP205" s="5" t="str">
        <f t="shared" si="760"/>
        <v>NO APLICA</v>
      </c>
      <c r="KQ205" s="5"/>
      <c r="KR205" s="2"/>
      <c r="KS205" s="4"/>
      <c r="KT205" s="8"/>
      <c r="KU205" s="5" t="str">
        <f t="shared" si="780"/>
        <v>NO APLICA</v>
      </c>
      <c r="KV205" s="2"/>
      <c r="KW205" s="6"/>
      <c r="KX205" s="4"/>
      <c r="KY205" s="8"/>
      <c r="KZ205" s="5" t="str">
        <f t="shared" si="786"/>
        <v>NO APLICA</v>
      </c>
      <c r="LA205" s="5"/>
      <c r="LB205" s="6"/>
      <c r="LC205" s="4"/>
      <c r="LD205" s="8"/>
      <c r="LE205" s="5" t="str">
        <f t="shared" si="781"/>
        <v>NO APLICA</v>
      </c>
      <c r="LF205" s="6"/>
      <c r="LG205" s="6"/>
      <c r="LH205" s="4"/>
      <c r="LI205" s="8"/>
      <c r="LJ205" s="5" t="str">
        <f t="shared" si="614"/>
        <v>NO APLICA</v>
      </c>
      <c r="LK205" s="5"/>
      <c r="LL205" s="5"/>
      <c r="LM205" s="4"/>
      <c r="LN205" s="8"/>
      <c r="LO205" s="5" t="str">
        <f t="shared" si="787"/>
        <v>NO APLICA</v>
      </c>
      <c r="LP205" s="2"/>
      <c r="LQ205" s="6"/>
      <c r="LR205" s="4"/>
      <c r="LS205" s="8"/>
      <c r="LT205" s="5" t="str">
        <f t="shared" si="782"/>
        <v>NO APLICA</v>
      </c>
      <c r="LU205" s="6"/>
      <c r="LV205" s="6"/>
      <c r="LW205" s="4"/>
      <c r="LX205" s="8"/>
      <c r="LY205" s="5" t="str">
        <f t="shared" si="783"/>
        <v>NO APLICA</v>
      </c>
      <c r="LZ205" s="6"/>
      <c r="MA205" s="6"/>
      <c r="MB205" s="4"/>
      <c r="MC205" s="8"/>
      <c r="MD205" s="5" t="str">
        <f t="shared" si="784"/>
        <v>NO APLICA</v>
      </c>
      <c r="ME205" s="2"/>
      <c r="MF205" s="2"/>
      <c r="MG205" s="4"/>
      <c r="MH205" s="8"/>
      <c r="MI205" s="5" t="str">
        <f t="shared" si="761"/>
        <v>NO APLICA</v>
      </c>
      <c r="MJ205" s="2"/>
      <c r="MK205" s="2"/>
      <c r="ML205" s="4"/>
      <c r="MM205" s="8"/>
      <c r="MN205" s="5" t="str">
        <f t="shared" si="762"/>
        <v>NO APLICA</v>
      </c>
      <c r="MO205" s="5"/>
      <c r="MP205" s="2"/>
      <c r="MQ205" s="4"/>
      <c r="MR205" s="8"/>
      <c r="MS205" s="5" t="str">
        <f t="shared" si="763"/>
        <v>NO APLICA</v>
      </c>
      <c r="MT205" s="5"/>
      <c r="MU205" s="2"/>
      <c r="MV205" s="4"/>
      <c r="MW205" s="2"/>
      <c r="MX205" s="5" t="str">
        <f t="shared" si="764"/>
        <v>NO APLICA</v>
      </c>
      <c r="MY205" s="2"/>
      <c r="MZ205" s="6"/>
      <c r="NA205" s="4"/>
      <c r="NB205" s="8"/>
      <c r="NC205" s="5" t="str">
        <f t="shared" si="765"/>
        <v>NO APLICA</v>
      </c>
      <c r="ND205" s="2"/>
      <c r="NE205" s="6"/>
      <c r="NF205" s="4"/>
      <c r="NG205" s="8"/>
      <c r="NH205" s="5" t="str">
        <f t="shared" si="766"/>
        <v>NO APLICA</v>
      </c>
      <c r="NI205" s="2"/>
      <c r="NJ205" s="6"/>
      <c r="NK205" s="4"/>
      <c r="NL205" s="8"/>
      <c r="NM205" s="5" t="str">
        <f t="shared" si="767"/>
        <v>NO APLICA</v>
      </c>
      <c r="NN205" s="2"/>
      <c r="NO205" s="2"/>
      <c r="NP205" s="4"/>
      <c r="NQ205" s="8"/>
      <c r="NR205" s="5" t="str">
        <f t="shared" si="768"/>
        <v>NO APLICA</v>
      </c>
      <c r="NS205" s="2"/>
      <c r="NT205" s="2"/>
      <c r="NU205" s="4"/>
      <c r="NV205" s="2"/>
      <c r="NW205" s="5" t="str">
        <f t="shared" si="769"/>
        <v>NO APLICA</v>
      </c>
      <c r="NX205" s="6"/>
      <c r="NY205" s="6"/>
      <c r="NZ205" s="4"/>
      <c r="OA205" s="8"/>
      <c r="OB205" s="5" t="str">
        <f t="shared" si="770"/>
        <v>NO APLICA</v>
      </c>
      <c r="OC205" s="6"/>
      <c r="OD205" s="6"/>
      <c r="OE205" s="6"/>
      <c r="OF205" s="6"/>
      <c r="OG205" s="5" t="str">
        <f t="shared" si="771"/>
        <v>NO APLICA</v>
      </c>
      <c r="OH205" s="6"/>
      <c r="OI205" s="6"/>
      <c r="OJ205" s="4"/>
      <c r="OK205" s="8"/>
      <c r="OL205" s="5" t="str">
        <f t="shared" si="772"/>
        <v>NO APLICA</v>
      </c>
      <c r="OM205" s="6"/>
      <c r="ON205" s="6"/>
      <c r="OO205" s="6"/>
      <c r="OP205" s="6"/>
      <c r="OQ205" s="5" t="str">
        <f t="shared" si="773"/>
        <v>NO APLICA</v>
      </c>
      <c r="OR205" s="6"/>
      <c r="OS205" s="6"/>
      <c r="OT205" s="6"/>
      <c r="OU205" s="6"/>
      <c r="OV205" s="5" t="str">
        <f t="shared" si="774"/>
        <v>NO APLICA</v>
      </c>
      <c r="OW205" s="6"/>
      <c r="OX205" s="6"/>
      <c r="OY205" s="6"/>
      <c r="OZ205" s="6"/>
      <c r="PA205" s="5" t="str">
        <f t="shared" si="788"/>
        <v>NO APLICA</v>
      </c>
      <c r="PB205" s="6"/>
      <c r="PC205" s="6"/>
      <c r="PD205" s="6"/>
      <c r="PE205" s="6"/>
      <c r="PF205" s="5" t="str">
        <f t="shared" si="775"/>
        <v>NO APLICA</v>
      </c>
      <c r="PG205" s="6"/>
      <c r="PH205" s="6"/>
      <c r="PI205" s="6"/>
      <c r="PJ205" s="6"/>
      <c r="PK205" s="5" t="str">
        <f t="shared" si="776"/>
        <v>NO APLICA</v>
      </c>
      <c r="PL205" s="5"/>
      <c r="PM205" s="6"/>
      <c r="PN205" s="4"/>
      <c r="PO205" s="8"/>
      <c r="PP205" s="5" t="str">
        <f t="shared" si="785"/>
        <v>NO APLICA</v>
      </c>
      <c r="PQ205" s="6"/>
      <c r="PR205" s="6"/>
      <c r="PS205" s="6"/>
      <c r="PT205" s="6"/>
      <c r="PU205" s="5" t="str">
        <f t="shared" si="77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7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642</v>
      </c>
      <c r="D206" s="30" t="s">
        <v>643</v>
      </c>
      <c r="E206" s="31" t="s">
        <v>644</v>
      </c>
      <c r="F206" s="6"/>
      <c r="G206" s="6"/>
      <c r="H206" s="6"/>
      <c r="I206" s="6"/>
      <c r="J206" s="5" t="str">
        <f t="shared" si="710"/>
        <v>NO APLICA</v>
      </c>
      <c r="K206" s="6"/>
      <c r="L206" s="6"/>
      <c r="M206" s="6"/>
      <c r="N206" s="6"/>
      <c r="O206" s="5" t="str">
        <f t="shared" si="713"/>
        <v>NO APLICA</v>
      </c>
      <c r="P206" s="6"/>
      <c r="Q206" s="6"/>
      <c r="R206" s="6"/>
      <c r="S206" s="6"/>
      <c r="T206" s="5" t="str">
        <f t="shared" si="711"/>
        <v>NO APLICA</v>
      </c>
      <c r="U206" s="5"/>
      <c r="V206" s="6"/>
      <c r="W206" s="4"/>
      <c r="X206" s="4"/>
      <c r="Y206" s="8"/>
      <c r="Z206" s="5" t="str">
        <f t="shared" si="619"/>
        <v>NO APLICA</v>
      </c>
      <c r="AA206" s="5"/>
      <c r="AB206" s="6"/>
      <c r="AC206" s="6"/>
      <c r="AD206" s="6"/>
      <c r="AE206" s="6"/>
      <c r="AF206" s="5" t="str">
        <f t="shared" si="714"/>
        <v>NO APLICA</v>
      </c>
      <c r="AG206" s="4"/>
      <c r="AH206" s="4"/>
      <c r="AI206" s="4"/>
      <c r="AJ206" s="6"/>
      <c r="AK206" s="5" t="str">
        <f t="shared" si="616"/>
        <v>NO APLICA</v>
      </c>
      <c r="AL206" s="4"/>
      <c r="AM206" s="4"/>
      <c r="AN206" s="4"/>
      <c r="AO206" s="6"/>
      <c r="AP206" s="5" t="str">
        <f t="shared" si="715"/>
        <v>NO APLICA</v>
      </c>
      <c r="AQ206" s="4"/>
      <c r="AR206" s="4"/>
      <c r="AS206" s="4"/>
      <c r="AT206" s="6"/>
      <c r="AU206" s="5" t="str">
        <f t="shared" si="716"/>
        <v>NO APLICA</v>
      </c>
      <c r="AV206" s="4"/>
      <c r="AW206" s="4"/>
      <c r="AX206" s="4"/>
      <c r="AY206" s="6"/>
      <c r="AZ206" s="5" t="str">
        <f t="shared" si="717"/>
        <v>NO APLICA</v>
      </c>
      <c r="BA206" s="4"/>
      <c r="BB206" s="4"/>
      <c r="BC206" s="4"/>
      <c r="BD206" s="6"/>
      <c r="BE206" s="5" t="str">
        <f t="shared" si="718"/>
        <v>NO APLICA</v>
      </c>
      <c r="BF206" s="4"/>
      <c r="BG206" s="4"/>
      <c r="BH206" s="4"/>
      <c r="BI206" s="6"/>
      <c r="BJ206" s="5" t="str">
        <f t="shared" si="719"/>
        <v>NO APLICA</v>
      </c>
      <c r="BK206" s="4"/>
      <c r="BL206" s="4"/>
      <c r="BM206" s="4"/>
      <c r="BN206" s="6"/>
      <c r="BO206" s="5" t="str">
        <f t="shared" si="720"/>
        <v>NO APLICA</v>
      </c>
      <c r="BP206" s="4"/>
      <c r="BQ206" s="4"/>
      <c r="BR206" s="4"/>
      <c r="BS206" s="6"/>
      <c r="BT206" s="5" t="str">
        <f t="shared" si="721"/>
        <v>NO APLICA</v>
      </c>
      <c r="BU206" s="4"/>
      <c r="BV206" s="4"/>
      <c r="BW206" s="4"/>
      <c r="BX206" s="6"/>
      <c r="BY206" s="5" t="str">
        <f t="shared" si="722"/>
        <v>NO APLICA</v>
      </c>
      <c r="BZ206" s="4"/>
      <c r="CA206" s="4"/>
      <c r="CB206" s="4"/>
      <c r="CC206" s="6"/>
      <c r="CD206" s="5" t="str">
        <f t="shared" si="723"/>
        <v>NO APLICA</v>
      </c>
      <c r="CE206" s="6" t="s">
        <v>146</v>
      </c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4"/>
        <v>NO APLICA</v>
      </c>
      <c r="CO206" s="4"/>
      <c r="CP206" s="4"/>
      <c r="CQ206" s="4"/>
      <c r="CR206" s="6"/>
      <c r="CS206" s="5" t="str">
        <f t="shared" si="725"/>
        <v>NO APLICA</v>
      </c>
      <c r="CT206" s="4"/>
      <c r="CU206" s="4"/>
      <c r="CV206" s="4"/>
      <c r="CW206" s="6"/>
      <c r="CX206" s="5" t="str">
        <f t="shared" si="726"/>
        <v>NO APLICA</v>
      </c>
      <c r="CY206" s="4"/>
      <c r="CZ206" s="4"/>
      <c r="DA206" s="4"/>
      <c r="DB206" s="6"/>
      <c r="DC206" s="5" t="str">
        <f t="shared" si="727"/>
        <v>NO APLICA</v>
      </c>
      <c r="DD206" s="4"/>
      <c r="DE206" s="4"/>
      <c r="DF206" s="4"/>
      <c r="DG206" s="6"/>
      <c r="DH206" s="5" t="str">
        <f t="shared" si="728"/>
        <v>NO APLICA</v>
      </c>
      <c r="DI206" s="4"/>
      <c r="DJ206" s="4"/>
      <c r="DK206" s="4"/>
      <c r="DL206" s="6"/>
      <c r="DM206" s="5" t="str">
        <f t="shared" si="729"/>
        <v>NO APLICA</v>
      </c>
      <c r="DN206" s="4"/>
      <c r="DO206" s="4"/>
      <c r="DP206" s="4"/>
      <c r="DQ206" s="6"/>
      <c r="DR206" s="5" t="str">
        <f t="shared" si="730"/>
        <v>NO APLICA</v>
      </c>
      <c r="DS206" s="4"/>
      <c r="DT206" s="4"/>
      <c r="DU206" s="4"/>
      <c r="DV206" s="6"/>
      <c r="DW206" s="5" t="str">
        <f t="shared" si="731"/>
        <v>NO APLICA</v>
      </c>
      <c r="DX206" s="4"/>
      <c r="DY206" s="4"/>
      <c r="DZ206" s="4"/>
      <c r="EA206" s="6"/>
      <c r="EB206" s="5" t="str">
        <f t="shared" si="732"/>
        <v>NO APLICA</v>
      </c>
      <c r="EC206" s="4"/>
      <c r="ED206" s="4"/>
      <c r="EE206" s="4"/>
      <c r="EF206" s="6"/>
      <c r="EG206" s="5" t="str">
        <f t="shared" si="733"/>
        <v>NO APLICA</v>
      </c>
      <c r="EH206" s="4"/>
      <c r="EI206" s="4"/>
      <c r="EJ206" s="4"/>
      <c r="EK206" s="8"/>
      <c r="EL206" s="5" t="str">
        <f t="shared" si="734"/>
        <v>NO APLICA</v>
      </c>
      <c r="EM206" s="4"/>
      <c r="EN206" s="4"/>
      <c r="EO206" s="4"/>
      <c r="EP206" s="8"/>
      <c r="EQ206" s="5" t="str">
        <f t="shared" si="735"/>
        <v>NO APLICA</v>
      </c>
      <c r="ER206" s="4"/>
      <c r="ES206" s="4"/>
      <c r="ET206" s="4"/>
      <c r="EU206" s="8"/>
      <c r="EV206" s="5" t="str">
        <f t="shared" si="736"/>
        <v>NO APLICA</v>
      </c>
      <c r="EW206" s="4"/>
      <c r="EX206" s="4"/>
      <c r="EY206" s="4"/>
      <c r="EZ206" s="6"/>
      <c r="FA206" s="5" t="str">
        <f t="shared" si="737"/>
        <v>NO APLICA</v>
      </c>
      <c r="FB206" s="4"/>
      <c r="FC206" s="4"/>
      <c r="FD206" s="4"/>
      <c r="FE206" s="6"/>
      <c r="FF206" s="5" t="str">
        <f t="shared" si="738"/>
        <v>NO APLICA</v>
      </c>
      <c r="FG206" s="4"/>
      <c r="FH206" s="4"/>
      <c r="FI206" s="4"/>
      <c r="FJ206" s="6"/>
      <c r="FK206" s="5" t="str">
        <f t="shared" si="739"/>
        <v>NO APLICA</v>
      </c>
      <c r="FL206" s="4"/>
      <c r="FM206" s="4"/>
      <c r="FN206" s="4"/>
      <c r="FO206" s="6"/>
      <c r="FP206" s="5" t="str">
        <f t="shared" si="740"/>
        <v>NO APLICA</v>
      </c>
      <c r="FQ206" s="4"/>
      <c r="FR206" s="4"/>
      <c r="FS206" s="4"/>
      <c r="FT206" s="6"/>
      <c r="FU206" s="5" t="str">
        <f t="shared" si="741"/>
        <v>NO APLICA</v>
      </c>
      <c r="FV206" s="4"/>
      <c r="FW206" s="4"/>
      <c r="FX206" s="4"/>
      <c r="FY206" s="6"/>
      <c r="FZ206" s="5" t="str">
        <f t="shared" si="742"/>
        <v>NO APLICA</v>
      </c>
      <c r="GA206" s="4"/>
      <c r="GB206" s="4"/>
      <c r="GC206" s="4"/>
      <c r="GD206" s="6"/>
      <c r="GE206" s="5" t="str">
        <f t="shared" si="743"/>
        <v>NO APLICA</v>
      </c>
      <c r="GF206" s="4"/>
      <c r="GG206" s="4"/>
      <c r="GH206" s="4"/>
      <c r="GI206" s="8"/>
      <c r="GJ206" s="5" t="str">
        <f t="shared" si="744"/>
        <v>NO APLICA</v>
      </c>
      <c r="GK206" s="4"/>
      <c r="GL206" s="6"/>
      <c r="GM206" s="6"/>
      <c r="GN206" s="6"/>
      <c r="GO206" s="5" t="str">
        <f t="shared" si="745"/>
        <v>NO APLICA</v>
      </c>
      <c r="GP206" s="4"/>
      <c r="GQ206" s="6"/>
      <c r="GR206" s="6"/>
      <c r="GS206" s="6"/>
      <c r="GT206" s="5" t="str">
        <f t="shared" si="624"/>
        <v>NO APLICA</v>
      </c>
      <c r="GU206" s="4"/>
      <c r="GV206" s="6"/>
      <c r="GW206" s="6"/>
      <c r="GX206" s="6"/>
      <c r="GY206" s="5" t="str">
        <f t="shared" si="625"/>
        <v>NO APLICA</v>
      </c>
      <c r="GZ206" s="6"/>
      <c r="HA206" s="6"/>
      <c r="HB206" s="6"/>
      <c r="HC206" s="6"/>
      <c r="HD206" s="5" t="str">
        <f t="shared" si="626"/>
        <v>NO APLICA</v>
      </c>
      <c r="HE206" s="6"/>
      <c r="HF206" s="6"/>
      <c r="HG206" s="4"/>
      <c r="HH206" s="8"/>
      <c r="HI206" s="5" t="str">
        <f t="shared" si="712"/>
        <v>NO APLICA</v>
      </c>
      <c r="HJ206" s="6"/>
      <c r="HK206" s="6"/>
      <c r="HL206" s="6"/>
      <c r="HM206" s="6"/>
      <c r="HN206" s="5" t="str">
        <f t="shared" si="708"/>
        <v>NO APLICA</v>
      </c>
      <c r="HO206" s="6"/>
      <c r="HP206" s="6"/>
      <c r="HQ206" s="6"/>
      <c r="HR206" s="6"/>
      <c r="HS206" s="5" t="str">
        <f t="shared" si="746"/>
        <v>NO APLICA</v>
      </c>
      <c r="HT206" s="6"/>
      <c r="HU206" s="6"/>
      <c r="HV206" s="6"/>
      <c r="HW206" s="6"/>
      <c r="HX206" s="5" t="str">
        <f t="shared" si="747"/>
        <v>NO APLICA</v>
      </c>
      <c r="HY206" s="6"/>
      <c r="HZ206" s="6"/>
      <c r="IA206" s="6"/>
      <c r="IB206" s="6"/>
      <c r="IC206" s="5" t="str">
        <f t="shared" si="748"/>
        <v>NO APLICA</v>
      </c>
      <c r="ID206" s="6"/>
      <c r="IE206" s="6"/>
      <c r="IF206" s="6"/>
      <c r="IG206" s="6"/>
      <c r="IH206" s="5" t="str">
        <f t="shared" si="749"/>
        <v>NO APLICA</v>
      </c>
      <c r="II206" s="6"/>
      <c r="IJ206" s="6"/>
      <c r="IK206" s="6"/>
      <c r="IL206" s="6"/>
      <c r="IM206" s="5" t="str">
        <f t="shared" si="750"/>
        <v>NO APLICA</v>
      </c>
      <c r="IN206" s="6"/>
      <c r="IO206" s="6"/>
      <c r="IP206" s="6"/>
      <c r="IQ206" s="6"/>
      <c r="IR206" s="5" t="str">
        <f t="shared" si="751"/>
        <v>NO APLICA</v>
      </c>
      <c r="IS206" s="6"/>
      <c r="IT206" s="6"/>
      <c r="IU206" s="6"/>
      <c r="IV206" s="6"/>
      <c r="IW206" s="5" t="str">
        <f t="shared" si="752"/>
        <v>NO APLICA</v>
      </c>
      <c r="IX206" s="6"/>
      <c r="IY206" s="6"/>
      <c r="IZ206" s="6"/>
      <c r="JA206" s="6"/>
      <c r="JB206" s="5" t="str">
        <f t="shared" si="753"/>
        <v>NO APLICA</v>
      </c>
      <c r="JC206" s="6"/>
      <c r="JD206" s="6"/>
      <c r="JE206" s="6"/>
      <c r="JF206" s="6"/>
      <c r="JG206" s="5" t="str">
        <f t="shared" si="754"/>
        <v>NO APLICA</v>
      </c>
      <c r="JH206" s="6"/>
      <c r="JI206" s="6"/>
      <c r="JJ206" s="6"/>
      <c r="JK206" s="6"/>
      <c r="JL206" s="5" t="str">
        <f t="shared" si="755"/>
        <v>NO APLICA</v>
      </c>
      <c r="JM206" s="6"/>
      <c r="JN206" s="6"/>
      <c r="JO206" s="6"/>
      <c r="JP206" s="6"/>
      <c r="JQ206" s="5" t="str">
        <f t="shared" si="756"/>
        <v>NO APLICA</v>
      </c>
      <c r="JR206" s="6"/>
      <c r="JS206" s="6"/>
      <c r="JT206" s="6"/>
      <c r="JU206" s="6"/>
      <c r="JV206" s="5" t="str">
        <f t="shared" si="757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59"/>
        <v>NO APLICA</v>
      </c>
      <c r="KG206" s="5"/>
      <c r="KH206" s="6"/>
      <c r="KI206" s="6"/>
      <c r="KJ206" s="6"/>
      <c r="KK206" s="5" t="str">
        <f t="shared" si="779"/>
        <v>NO APLICA</v>
      </c>
      <c r="KL206" s="5"/>
      <c r="KM206" s="6"/>
      <c r="KN206" s="6"/>
      <c r="KO206" s="6"/>
      <c r="KP206" s="5" t="str">
        <f t="shared" si="760"/>
        <v>NO APLICA</v>
      </c>
      <c r="KQ206" s="5"/>
      <c r="KR206" s="6"/>
      <c r="KS206" s="6"/>
      <c r="KT206" s="6"/>
      <c r="KU206" s="5" t="str">
        <f t="shared" si="780"/>
        <v>NO APLICA</v>
      </c>
      <c r="KV206" s="6"/>
      <c r="KW206" s="6"/>
      <c r="KX206" s="6"/>
      <c r="KY206" s="6"/>
      <c r="KZ206" s="5" t="str">
        <f t="shared" si="786"/>
        <v>NO APLICA</v>
      </c>
      <c r="LA206" s="5"/>
      <c r="LB206" s="6"/>
      <c r="LC206" s="6"/>
      <c r="LD206" s="6"/>
      <c r="LE206" s="5" t="str">
        <f t="shared" si="781"/>
        <v>NO APLICA</v>
      </c>
      <c r="LF206" s="6"/>
      <c r="LG206" s="6"/>
      <c r="LH206" s="6"/>
      <c r="LI206" s="6"/>
      <c r="LJ206" s="5" t="str">
        <f t="shared" si="614"/>
        <v>NO APLICA</v>
      </c>
      <c r="LK206" s="5"/>
      <c r="LL206" s="5"/>
      <c r="LM206" s="4"/>
      <c r="LN206" s="8"/>
      <c r="LO206" s="5" t="str">
        <f t="shared" si="787"/>
        <v>NO APLICA</v>
      </c>
      <c r="LP206" s="6"/>
      <c r="LQ206" s="6"/>
      <c r="LR206" s="6"/>
      <c r="LS206" s="6"/>
      <c r="LT206" s="5" t="str">
        <f t="shared" si="782"/>
        <v>NO APLICA</v>
      </c>
      <c r="LU206" s="6"/>
      <c r="LV206" s="6"/>
      <c r="LW206" s="6"/>
      <c r="LX206" s="6"/>
      <c r="LY206" s="5" t="str">
        <f t="shared" si="783"/>
        <v>NO APLICA</v>
      </c>
      <c r="LZ206" s="6"/>
      <c r="MA206" s="6"/>
      <c r="MB206" s="6"/>
      <c r="MC206" s="6"/>
      <c r="MD206" s="5" t="str">
        <f t="shared" si="784"/>
        <v>NO APLICA</v>
      </c>
      <c r="ME206" s="6"/>
      <c r="MF206" s="6"/>
      <c r="MG206" s="6"/>
      <c r="MH206" s="6"/>
      <c r="MI206" s="5" t="str">
        <f t="shared" si="761"/>
        <v>NO APLICA</v>
      </c>
      <c r="MJ206" s="6"/>
      <c r="MK206" s="6"/>
      <c r="ML206" s="6"/>
      <c r="MM206" s="6"/>
      <c r="MN206" s="5" t="str">
        <f t="shared" si="762"/>
        <v>NO APLICA</v>
      </c>
      <c r="MO206" s="5"/>
      <c r="MP206" s="6"/>
      <c r="MQ206" s="6"/>
      <c r="MR206" s="6"/>
      <c r="MS206" s="5" t="str">
        <f t="shared" si="763"/>
        <v>NO APLICA</v>
      </c>
      <c r="MT206" s="5"/>
      <c r="MU206" s="6"/>
      <c r="MV206" s="6"/>
      <c r="MW206" s="6"/>
      <c r="MX206" s="5" t="str">
        <f t="shared" si="764"/>
        <v>NO APLICA</v>
      </c>
      <c r="MY206" s="6"/>
      <c r="MZ206" s="6"/>
      <c r="NA206" s="6"/>
      <c r="NB206" s="6"/>
      <c r="NC206" s="5" t="str">
        <f t="shared" si="765"/>
        <v>NO APLICA</v>
      </c>
      <c r="ND206" s="6"/>
      <c r="NE206" s="6"/>
      <c r="NF206" s="6"/>
      <c r="NG206" s="6"/>
      <c r="NH206" s="5" t="str">
        <f t="shared" si="76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68"/>
        <v>NO APLICA</v>
      </c>
      <c r="NS206" s="6"/>
      <c r="NT206" s="6"/>
      <c r="NU206" s="6"/>
      <c r="NV206" s="6"/>
      <c r="NW206" s="5" t="str">
        <f t="shared" si="769"/>
        <v>NO APLICA</v>
      </c>
      <c r="NX206" s="6"/>
      <c r="NY206" s="6"/>
      <c r="NZ206" s="6"/>
      <c r="OA206" s="6"/>
      <c r="OB206" s="5" t="str">
        <f t="shared" si="770"/>
        <v>NO APLICA</v>
      </c>
      <c r="OC206" s="6"/>
      <c r="OD206" s="6"/>
      <c r="OE206" s="6"/>
      <c r="OF206" s="6"/>
      <c r="OG206" s="5" t="str">
        <f t="shared" si="771"/>
        <v>NO APLICA</v>
      </c>
      <c r="OH206" s="6"/>
      <c r="OI206" s="6"/>
      <c r="OJ206" s="6"/>
      <c r="OK206" s="6"/>
      <c r="OL206" s="5" t="str">
        <f t="shared" si="772"/>
        <v>NO APLICA</v>
      </c>
      <c r="OM206" s="6"/>
      <c r="ON206" s="6"/>
      <c r="OO206" s="6"/>
      <c r="OP206" s="6"/>
      <c r="OQ206" s="5" t="str">
        <f t="shared" si="773"/>
        <v>NO APLICA</v>
      </c>
      <c r="OR206" s="6"/>
      <c r="OS206" s="6"/>
      <c r="OT206" s="6"/>
      <c r="OU206" s="6"/>
      <c r="OV206" s="5" t="str">
        <f t="shared" si="774"/>
        <v>NO APLICA</v>
      </c>
      <c r="OW206" s="6"/>
      <c r="OX206" s="6"/>
      <c r="OY206" s="6"/>
      <c r="OZ206" s="6"/>
      <c r="PA206" s="5" t="str">
        <f t="shared" si="788"/>
        <v>NO APLICA</v>
      </c>
      <c r="PB206" s="6"/>
      <c r="PC206" s="6"/>
      <c r="PD206" s="6"/>
      <c r="PE206" s="6"/>
      <c r="PF206" s="5" t="str">
        <f t="shared" si="775"/>
        <v>NO APLICA</v>
      </c>
      <c r="PG206" s="6"/>
      <c r="PH206" s="6"/>
      <c r="PI206" s="6"/>
      <c r="PJ206" s="6"/>
      <c r="PK206" s="5" t="str">
        <f t="shared" si="776"/>
        <v>NO APLICA</v>
      </c>
      <c r="PL206" s="5"/>
      <c r="PM206" s="6"/>
      <c r="PN206" s="6"/>
      <c r="PO206" s="6"/>
      <c r="PP206" s="5" t="str">
        <f t="shared" si="785"/>
        <v>NO APLICA</v>
      </c>
      <c r="PQ206" s="6"/>
      <c r="PR206" s="6"/>
      <c r="PS206" s="6"/>
      <c r="PT206" s="6"/>
      <c r="PU206" s="5" t="str">
        <f t="shared" si="777"/>
        <v>NO APLICA</v>
      </c>
      <c r="PV206" s="5"/>
      <c r="PW206" s="6"/>
      <c r="PX206" s="6"/>
      <c r="PY206" s="6"/>
      <c r="PZ206" s="5" t="str">
        <f t="shared" si="77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645</v>
      </c>
      <c r="D207" s="30" t="s">
        <v>64</v>
      </c>
      <c r="E207" s="31" t="s">
        <v>646</v>
      </c>
      <c r="F207" s="6"/>
      <c r="G207" s="6"/>
      <c r="H207" s="6"/>
      <c r="I207" s="6"/>
      <c r="J207" s="5" t="str">
        <f t="shared" si="710"/>
        <v>NO APLICA</v>
      </c>
      <c r="K207" s="6"/>
      <c r="L207" s="6"/>
      <c r="M207" s="6"/>
      <c r="N207" s="6"/>
      <c r="O207" s="5" t="str">
        <f t="shared" si="713"/>
        <v>NO APLICA</v>
      </c>
      <c r="P207" s="6"/>
      <c r="Q207" s="6"/>
      <c r="R207" s="6"/>
      <c r="S207" s="6"/>
      <c r="T207" s="5" t="str">
        <f t="shared" si="711"/>
        <v>NO APLICA</v>
      </c>
      <c r="U207" s="5"/>
      <c r="V207" s="6"/>
      <c r="W207" s="4"/>
      <c r="X207" s="4"/>
      <c r="Y207" s="8"/>
      <c r="Z207" s="5" t="str">
        <f t="shared" si="619"/>
        <v>NO APLICA</v>
      </c>
      <c r="AA207" s="5"/>
      <c r="AB207" s="6"/>
      <c r="AC207" s="6"/>
      <c r="AD207" s="6"/>
      <c r="AE207" s="6"/>
      <c r="AF207" s="5" t="str">
        <f t="shared" si="714"/>
        <v>NO APLICA</v>
      </c>
      <c r="AG207" s="4"/>
      <c r="AH207" s="4"/>
      <c r="AI207" s="4"/>
      <c r="AJ207" s="6"/>
      <c r="AK207" s="5" t="str">
        <f t="shared" si="616"/>
        <v>NO APLICA</v>
      </c>
      <c r="AL207" s="4"/>
      <c r="AM207" s="4"/>
      <c r="AN207" s="4"/>
      <c r="AO207" s="6"/>
      <c r="AP207" s="5" t="str">
        <f t="shared" si="715"/>
        <v>NO APLICA</v>
      </c>
      <c r="AQ207" s="4"/>
      <c r="AR207" s="4"/>
      <c r="AS207" s="4"/>
      <c r="AT207" s="6"/>
      <c r="AU207" s="5" t="str">
        <f t="shared" si="716"/>
        <v>NO APLICA</v>
      </c>
      <c r="AV207" s="4"/>
      <c r="AW207" s="4"/>
      <c r="AX207" s="4"/>
      <c r="AY207" s="6"/>
      <c r="AZ207" s="5" t="str">
        <f t="shared" si="717"/>
        <v>NO APLICA</v>
      </c>
      <c r="BA207" s="4"/>
      <c r="BB207" s="4"/>
      <c r="BC207" s="4"/>
      <c r="BD207" s="6"/>
      <c r="BE207" s="5" t="str">
        <f t="shared" si="718"/>
        <v>NO APLICA</v>
      </c>
      <c r="BF207" s="4"/>
      <c r="BG207" s="4"/>
      <c r="BH207" s="4"/>
      <c r="BI207" s="6"/>
      <c r="BJ207" s="5" t="str">
        <f t="shared" si="719"/>
        <v>NO APLICA</v>
      </c>
      <c r="BK207" s="4"/>
      <c r="BL207" s="4"/>
      <c r="BM207" s="4"/>
      <c r="BN207" s="6"/>
      <c r="BO207" s="5" t="str">
        <f t="shared" si="720"/>
        <v>NO APLICA</v>
      </c>
      <c r="BP207" s="4"/>
      <c r="BQ207" s="4"/>
      <c r="BR207" s="4"/>
      <c r="BS207" s="6"/>
      <c r="BT207" s="5" t="str">
        <f t="shared" si="721"/>
        <v>NO APLICA</v>
      </c>
      <c r="BU207" s="4"/>
      <c r="BV207" s="4"/>
      <c r="BW207" s="4"/>
      <c r="BX207" s="6"/>
      <c r="BY207" s="5" t="str">
        <f t="shared" si="722"/>
        <v>NO APLICA</v>
      </c>
      <c r="BZ207" s="4"/>
      <c r="CA207" s="4"/>
      <c r="CB207" s="4"/>
      <c r="CC207" s="6"/>
      <c r="CD207" s="5" t="str">
        <f t="shared" si="723"/>
        <v>NO APLICA</v>
      </c>
      <c r="CE207" s="6"/>
      <c r="CF207" s="6"/>
      <c r="CG207" s="6"/>
      <c r="CH207" s="6"/>
      <c r="CI207" s="5" t="str">
        <f t="shared" si="587"/>
        <v>NO APLICA</v>
      </c>
      <c r="CJ207" s="4"/>
      <c r="CK207" s="4"/>
      <c r="CL207" s="4"/>
      <c r="CM207" s="6"/>
      <c r="CN207" s="5" t="str">
        <f t="shared" si="724"/>
        <v>NO APLICA</v>
      </c>
      <c r="CO207" s="4"/>
      <c r="CP207" s="4"/>
      <c r="CQ207" s="4"/>
      <c r="CR207" s="6"/>
      <c r="CS207" s="5" t="str">
        <f t="shared" si="725"/>
        <v>NO APLICA</v>
      </c>
      <c r="CT207" s="4"/>
      <c r="CU207" s="4"/>
      <c r="CV207" s="4"/>
      <c r="CW207" s="6"/>
      <c r="CX207" s="5" t="str">
        <f t="shared" si="726"/>
        <v>NO APLICA</v>
      </c>
      <c r="CY207" s="4"/>
      <c r="CZ207" s="4"/>
      <c r="DA207" s="4"/>
      <c r="DB207" s="6"/>
      <c r="DC207" s="5" t="str">
        <f t="shared" si="727"/>
        <v>NO APLICA</v>
      </c>
      <c r="DD207" s="4"/>
      <c r="DE207" s="4"/>
      <c r="DF207" s="4"/>
      <c r="DG207" s="6"/>
      <c r="DH207" s="5" t="str">
        <f t="shared" si="728"/>
        <v>NO APLICA</v>
      </c>
      <c r="DI207" s="4"/>
      <c r="DJ207" s="4"/>
      <c r="DK207" s="4"/>
      <c r="DL207" s="6"/>
      <c r="DM207" s="5" t="str">
        <f t="shared" si="729"/>
        <v>NO APLICA</v>
      </c>
      <c r="DN207" s="4"/>
      <c r="DO207" s="4"/>
      <c r="DP207" s="4"/>
      <c r="DQ207" s="6"/>
      <c r="DR207" s="5" t="str">
        <f t="shared" si="730"/>
        <v>NO APLICA</v>
      </c>
      <c r="DS207" s="4"/>
      <c r="DT207" s="4"/>
      <c r="DU207" s="4"/>
      <c r="DV207" s="6"/>
      <c r="DW207" s="5" t="str">
        <f t="shared" si="731"/>
        <v>NO APLICA</v>
      </c>
      <c r="DX207" s="4"/>
      <c r="DY207" s="4"/>
      <c r="DZ207" s="4"/>
      <c r="EA207" s="6"/>
      <c r="EB207" s="5" t="str">
        <f t="shared" si="732"/>
        <v>NO APLICA</v>
      </c>
      <c r="EC207" s="4"/>
      <c r="ED207" s="4"/>
      <c r="EE207" s="4"/>
      <c r="EF207" s="6"/>
      <c r="EG207" s="5" t="str">
        <f t="shared" si="733"/>
        <v>NO APLICA</v>
      </c>
      <c r="EH207" s="4"/>
      <c r="EI207" s="4"/>
      <c r="EJ207" s="4"/>
      <c r="EK207" s="8"/>
      <c r="EL207" s="5" t="str">
        <f t="shared" si="734"/>
        <v>NO APLICA</v>
      </c>
      <c r="EM207" s="4"/>
      <c r="EN207" s="4"/>
      <c r="EO207" s="4"/>
      <c r="EP207" s="8"/>
      <c r="EQ207" s="5" t="str">
        <f t="shared" si="735"/>
        <v>NO APLICA</v>
      </c>
      <c r="ER207" s="4"/>
      <c r="ES207" s="4"/>
      <c r="ET207" s="4"/>
      <c r="EU207" s="8"/>
      <c r="EV207" s="5" t="str">
        <f t="shared" si="736"/>
        <v>NO APLICA</v>
      </c>
      <c r="EW207" s="4"/>
      <c r="EX207" s="4"/>
      <c r="EY207" s="4"/>
      <c r="EZ207" s="6"/>
      <c r="FA207" s="5" t="str">
        <f t="shared" si="737"/>
        <v>NO APLICA</v>
      </c>
      <c r="FB207" s="4"/>
      <c r="FC207" s="4"/>
      <c r="FD207" s="4"/>
      <c r="FE207" s="6"/>
      <c r="FF207" s="5" t="str">
        <f t="shared" si="738"/>
        <v>NO APLICA</v>
      </c>
      <c r="FG207" s="4"/>
      <c r="FH207" s="4"/>
      <c r="FI207" s="4"/>
      <c r="FJ207" s="6"/>
      <c r="FK207" s="5" t="str">
        <f t="shared" si="739"/>
        <v>NO APLICA</v>
      </c>
      <c r="FL207" s="4"/>
      <c r="FM207" s="4"/>
      <c r="FN207" s="4"/>
      <c r="FO207" s="6"/>
      <c r="FP207" s="5" t="str">
        <f t="shared" si="740"/>
        <v>NO APLICA</v>
      </c>
      <c r="FQ207" s="4"/>
      <c r="FR207" s="4"/>
      <c r="FS207" s="4"/>
      <c r="FT207" s="6"/>
      <c r="FU207" s="5" t="str">
        <f t="shared" si="741"/>
        <v>NO APLICA</v>
      </c>
      <c r="FV207" s="4"/>
      <c r="FW207" s="4"/>
      <c r="FX207" s="4"/>
      <c r="FY207" s="6"/>
      <c r="FZ207" s="5" t="str">
        <f t="shared" si="742"/>
        <v>NO APLICA</v>
      </c>
      <c r="GA207" s="4"/>
      <c r="GB207" s="4"/>
      <c r="GC207" s="4"/>
      <c r="GD207" s="6"/>
      <c r="GE207" s="5" t="str">
        <f t="shared" si="743"/>
        <v>NO APLICA</v>
      </c>
      <c r="GF207" s="4"/>
      <c r="GG207" s="4"/>
      <c r="GH207" s="4"/>
      <c r="GI207" s="8"/>
      <c r="GJ207" s="5" t="str">
        <f t="shared" si="744"/>
        <v>NO APLICA</v>
      </c>
      <c r="GK207" s="4"/>
      <c r="GL207" s="6"/>
      <c r="GM207" s="6"/>
      <c r="GN207" s="6"/>
      <c r="GO207" s="5" t="str">
        <f t="shared" si="745"/>
        <v>NO APLICA</v>
      </c>
      <c r="GP207" s="4"/>
      <c r="GQ207" s="6"/>
      <c r="GR207" s="6"/>
      <c r="GS207" s="6"/>
      <c r="GT207" s="5" t="str">
        <f t="shared" si="624"/>
        <v>NO APLICA</v>
      </c>
      <c r="GU207" s="4"/>
      <c r="GV207" s="6"/>
      <c r="GW207" s="6"/>
      <c r="GX207" s="6"/>
      <c r="GY207" s="5" t="str">
        <f t="shared" si="625"/>
        <v>NO APLICA</v>
      </c>
      <c r="GZ207" s="6"/>
      <c r="HA207" s="6"/>
      <c r="HB207" s="6"/>
      <c r="HC207" s="6"/>
      <c r="HD207" s="5" t="str">
        <f t="shared" si="626"/>
        <v>NO APLICA</v>
      </c>
      <c r="HE207" s="6"/>
      <c r="HF207" s="6"/>
      <c r="HG207" s="4"/>
      <c r="HH207" s="8"/>
      <c r="HI207" s="5" t="str">
        <f t="shared" si="712"/>
        <v>NO APLICA</v>
      </c>
      <c r="HJ207" s="6"/>
      <c r="HK207" s="6"/>
      <c r="HL207" s="6"/>
      <c r="HM207" s="6"/>
      <c r="HN207" s="5" t="str">
        <f t="shared" si="708"/>
        <v>NO APLICA</v>
      </c>
      <c r="HO207" s="6"/>
      <c r="HP207" s="6"/>
      <c r="HQ207" s="6"/>
      <c r="HR207" s="6"/>
      <c r="HS207" s="5" t="str">
        <f t="shared" si="746"/>
        <v>NO APLICA</v>
      </c>
      <c r="HT207" s="6"/>
      <c r="HU207" s="6"/>
      <c r="HV207" s="6"/>
      <c r="HW207" s="6"/>
      <c r="HX207" s="5" t="str">
        <f t="shared" si="747"/>
        <v>NO APLICA</v>
      </c>
      <c r="HY207" s="6"/>
      <c r="HZ207" s="6"/>
      <c r="IA207" s="6"/>
      <c r="IB207" s="6"/>
      <c r="IC207" s="5" t="str">
        <f t="shared" si="748"/>
        <v>NO APLICA</v>
      </c>
      <c r="ID207" s="6"/>
      <c r="IE207" s="6"/>
      <c r="IF207" s="6"/>
      <c r="IG207" s="6"/>
      <c r="IH207" s="5" t="str">
        <f t="shared" si="749"/>
        <v>NO APLICA</v>
      </c>
      <c r="II207" s="6"/>
      <c r="IJ207" s="6"/>
      <c r="IK207" s="6"/>
      <c r="IL207" s="6"/>
      <c r="IM207" s="5" t="str">
        <f t="shared" si="750"/>
        <v>NO APLICA</v>
      </c>
      <c r="IN207" s="6"/>
      <c r="IO207" s="6"/>
      <c r="IP207" s="6"/>
      <c r="IQ207" s="6"/>
      <c r="IR207" s="5" t="str">
        <f t="shared" si="751"/>
        <v>NO APLICA</v>
      </c>
      <c r="IS207" s="6"/>
      <c r="IT207" s="6"/>
      <c r="IU207" s="6"/>
      <c r="IV207" s="6"/>
      <c r="IW207" s="5" t="str">
        <f t="shared" si="752"/>
        <v>NO APLICA</v>
      </c>
      <c r="IX207" s="6"/>
      <c r="IY207" s="6"/>
      <c r="IZ207" s="6"/>
      <c r="JA207" s="6"/>
      <c r="JB207" s="5" t="str">
        <f t="shared" si="753"/>
        <v>NO APLICA</v>
      </c>
      <c r="JC207" s="6" t="s">
        <v>788</v>
      </c>
      <c r="JD207" s="6"/>
      <c r="JE207" s="6"/>
      <c r="JF207" s="6"/>
      <c r="JG207" s="5" t="str">
        <f t="shared" si="754"/>
        <v>NO APLICA</v>
      </c>
      <c r="JH207" s="6" t="s">
        <v>788</v>
      </c>
      <c r="JI207" s="6"/>
      <c r="JJ207" s="6"/>
      <c r="JK207" s="6"/>
      <c r="JL207" s="5" t="str">
        <f>IF(JK207&gt;=61,"VIGENTE",IF(JK207&gt;=1,"POR VENCER",IF(JK207&lt;=-1,"VENCIDA",IF(JI207=0,"NO APLICA"))))</f>
        <v>NO APLICA</v>
      </c>
      <c r="JM207" s="6" t="s">
        <v>788</v>
      </c>
      <c r="JN207" s="6"/>
      <c r="JO207" s="6"/>
      <c r="JP207" s="6"/>
      <c r="JQ207" s="5" t="str">
        <f>IF(JP207&gt;=61,"VIGENTE",IF(JP207&gt;=1,"POR VENCER",IF(JP207&lt;=-1,"VENCIDA",IF(JN207=0,"NO APLICA"))))</f>
        <v>NO APLICA</v>
      </c>
      <c r="JR207" s="6" t="s">
        <v>788</v>
      </c>
      <c r="JS207" s="6"/>
      <c r="JT207" s="6"/>
      <c r="JU207" s="6"/>
      <c r="JV207" s="5" t="str">
        <f t="shared" si="757"/>
        <v>NO APLICA</v>
      </c>
      <c r="JW207" s="6" t="s">
        <v>788</v>
      </c>
      <c r="JX207" s="5"/>
      <c r="JY207" s="5"/>
      <c r="JZ207" s="5"/>
      <c r="KA207" s="5" t="str">
        <f t="shared" si="758"/>
        <v>NO APLICA</v>
      </c>
      <c r="KB207" s="5"/>
      <c r="KC207" s="6"/>
      <c r="KD207" s="6"/>
      <c r="KE207" s="6"/>
      <c r="KF207" s="5" t="str">
        <f t="shared" si="759"/>
        <v>NO APLICA</v>
      </c>
      <c r="KG207" s="5"/>
      <c r="KH207" s="6"/>
      <c r="KI207" s="6"/>
      <c r="KJ207" s="6"/>
      <c r="KK207" s="5" t="str">
        <f t="shared" si="779"/>
        <v>NO APLICA</v>
      </c>
      <c r="KL207" s="5"/>
      <c r="KM207" s="6"/>
      <c r="KN207" s="6"/>
      <c r="KO207" s="6"/>
      <c r="KP207" s="5" t="str">
        <f t="shared" si="760"/>
        <v>NO APLICA</v>
      </c>
      <c r="KQ207" s="5"/>
      <c r="KR207" s="6"/>
      <c r="KS207" s="6"/>
      <c r="KT207" s="6"/>
      <c r="KU207" s="5" t="str">
        <f t="shared" si="780"/>
        <v>NO APLICA</v>
      </c>
      <c r="KV207" s="6"/>
      <c r="KW207" s="6"/>
      <c r="KX207" s="6"/>
      <c r="KY207" s="6"/>
      <c r="KZ207" s="5" t="str">
        <f t="shared" si="786"/>
        <v>NO APLICA</v>
      </c>
      <c r="LA207" s="5"/>
      <c r="LB207" s="6"/>
      <c r="LC207" s="6"/>
      <c r="LD207" s="6"/>
      <c r="LE207" s="5" t="str">
        <f t="shared" si="781"/>
        <v>NO APLICA</v>
      </c>
      <c r="LF207" s="6"/>
      <c r="LG207" s="6"/>
      <c r="LH207" s="6"/>
      <c r="LI207" s="6"/>
      <c r="LJ207" s="5" t="str">
        <f t="shared" si="614"/>
        <v>NO APLICA</v>
      </c>
      <c r="LK207" s="5"/>
      <c r="LL207" s="5"/>
      <c r="LM207" s="4"/>
      <c r="LN207" s="8"/>
      <c r="LO207" s="5" t="str">
        <f t="shared" si="787"/>
        <v>NO APLICA</v>
      </c>
      <c r="LP207" s="6"/>
      <c r="LQ207" s="6"/>
      <c r="LR207" s="6"/>
      <c r="LS207" s="6"/>
      <c r="LT207" s="5" t="str">
        <f t="shared" si="782"/>
        <v>NO APLICA</v>
      </c>
      <c r="LU207" s="6"/>
      <c r="LV207" s="6"/>
      <c r="LW207" s="6"/>
      <c r="LX207" s="6"/>
      <c r="LY207" s="5" t="str">
        <f t="shared" si="783"/>
        <v>NO APLICA</v>
      </c>
      <c r="LZ207" s="6"/>
      <c r="MA207" s="6"/>
      <c r="MB207" s="6"/>
      <c r="MC207" s="6"/>
      <c r="MD207" s="5" t="str">
        <f t="shared" si="784"/>
        <v>NO APLICA</v>
      </c>
      <c r="ME207" s="6"/>
      <c r="MF207" s="6"/>
      <c r="MG207" s="6"/>
      <c r="MH207" s="6"/>
      <c r="MI207" s="5" t="str">
        <f t="shared" si="761"/>
        <v>NO APLICA</v>
      </c>
      <c r="MJ207" s="6"/>
      <c r="MK207" s="6"/>
      <c r="ML207" s="6"/>
      <c r="MM207" s="6"/>
      <c r="MN207" s="5" t="str">
        <f t="shared" si="762"/>
        <v>NO APLICA</v>
      </c>
      <c r="MO207" s="5"/>
      <c r="MP207" s="6"/>
      <c r="MQ207" s="6"/>
      <c r="MR207" s="6"/>
      <c r="MS207" s="5" t="str">
        <f t="shared" si="763"/>
        <v>NO APLICA</v>
      </c>
      <c r="MT207" s="5"/>
      <c r="MU207" s="6"/>
      <c r="MV207" s="6"/>
      <c r="MW207" s="6"/>
      <c r="MX207" s="5" t="str">
        <f t="shared" si="764"/>
        <v>NO APLICA</v>
      </c>
      <c r="MY207" s="6"/>
      <c r="MZ207" s="6"/>
      <c r="NA207" s="6"/>
      <c r="NB207" s="6"/>
      <c r="NC207" s="5" t="str">
        <f t="shared" si="765"/>
        <v>NO APLICA</v>
      </c>
      <c r="ND207" s="6"/>
      <c r="NE207" s="6"/>
      <c r="NF207" s="6"/>
      <c r="NG207" s="6"/>
      <c r="NH207" s="5" t="str">
        <f t="shared" si="766"/>
        <v>NO APLICA</v>
      </c>
      <c r="NI207" s="6"/>
      <c r="NJ207" s="6"/>
      <c r="NK207" s="6"/>
      <c r="NL207" s="6"/>
      <c r="NM207" s="5" t="str">
        <f t="shared" si="767"/>
        <v>NO APLICA</v>
      </c>
      <c r="NN207" s="6"/>
      <c r="NO207" s="6"/>
      <c r="NP207" s="6"/>
      <c r="NQ207" s="6"/>
      <c r="NR207" s="5" t="str">
        <f t="shared" si="768"/>
        <v>NO APLICA</v>
      </c>
      <c r="NS207" s="6"/>
      <c r="NT207" s="6"/>
      <c r="NU207" s="6"/>
      <c r="NV207" s="6"/>
      <c r="NW207" s="5" t="str">
        <f t="shared" si="769"/>
        <v>NO APLICA</v>
      </c>
      <c r="NX207" s="6"/>
      <c r="NY207" s="6"/>
      <c r="NZ207" s="6"/>
      <c r="OA207" s="6"/>
      <c r="OB207" s="5" t="str">
        <f t="shared" si="770"/>
        <v>NO APLICA</v>
      </c>
      <c r="OC207" s="6"/>
      <c r="OD207" s="6"/>
      <c r="OE207" s="6"/>
      <c r="OF207" s="6"/>
      <c r="OG207" s="5" t="str">
        <f t="shared" si="771"/>
        <v>NO APLICA</v>
      </c>
      <c r="OH207" s="6"/>
      <c r="OI207" s="6"/>
      <c r="OJ207" s="6"/>
      <c r="OK207" s="6"/>
      <c r="OL207" s="5" t="str">
        <f t="shared" si="772"/>
        <v>NO APLICA</v>
      </c>
      <c r="OM207" s="6"/>
      <c r="ON207" s="6"/>
      <c r="OO207" s="6"/>
      <c r="OP207" s="6"/>
      <c r="OQ207" s="5" t="str">
        <f t="shared" si="773"/>
        <v>NO APLICA</v>
      </c>
      <c r="OR207" s="6"/>
      <c r="OS207" s="6"/>
      <c r="OT207" s="6"/>
      <c r="OU207" s="6"/>
      <c r="OV207" s="5" t="str">
        <f t="shared" si="774"/>
        <v>NO APLICA</v>
      </c>
      <c r="OW207" s="6"/>
      <c r="OX207" s="6"/>
      <c r="OY207" s="6"/>
      <c r="OZ207" s="6"/>
      <c r="PA207" s="5" t="str">
        <f t="shared" si="788"/>
        <v>NO APLICA</v>
      </c>
      <c r="PB207" s="6"/>
      <c r="PC207" s="6"/>
      <c r="PD207" s="6"/>
      <c r="PE207" s="6"/>
      <c r="PF207" s="5" t="str">
        <f t="shared" si="775"/>
        <v>NO APLICA</v>
      </c>
      <c r="PG207" s="6"/>
      <c r="PH207" s="6"/>
      <c r="PI207" s="6"/>
      <c r="PJ207" s="6"/>
      <c r="PK207" s="5" t="str">
        <f t="shared" si="776"/>
        <v>NO APLICA</v>
      </c>
      <c r="PL207" s="5"/>
      <c r="PM207" s="6"/>
      <c r="PN207" s="6"/>
      <c r="PO207" s="6"/>
      <c r="PP207" s="5" t="str">
        <f t="shared" si="785"/>
        <v>NO APLICA</v>
      </c>
      <c r="PQ207" s="6"/>
      <c r="PR207" s="6"/>
      <c r="PS207" s="6"/>
      <c r="PT207" s="6"/>
      <c r="PU207" s="5" t="str">
        <f t="shared" si="777"/>
        <v>NO APLICA</v>
      </c>
      <c r="PV207" s="5"/>
      <c r="PW207" s="6"/>
      <c r="PX207" s="6"/>
      <c r="PY207" s="6"/>
      <c r="PZ207" s="5" t="str">
        <f t="shared" si="77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647</v>
      </c>
      <c r="D208" s="30" t="s">
        <v>640</v>
      </c>
      <c r="E208" s="31" t="s">
        <v>641</v>
      </c>
      <c r="F208" s="6"/>
      <c r="G208" s="6"/>
      <c r="H208" s="6"/>
      <c r="I208" s="6"/>
      <c r="J208" s="5" t="str">
        <f t="shared" si="710"/>
        <v>NO APLICA</v>
      </c>
      <c r="K208" s="6"/>
      <c r="L208" s="6"/>
      <c r="M208" s="6"/>
      <c r="N208" s="6"/>
      <c r="O208" s="5" t="str">
        <f t="shared" si="713"/>
        <v>NO APLICA</v>
      </c>
      <c r="P208" s="6"/>
      <c r="Q208" s="6"/>
      <c r="R208" s="6"/>
      <c r="S208" s="6"/>
      <c r="T208" s="5" t="str">
        <f t="shared" si="711"/>
        <v>NO APLICA</v>
      </c>
      <c r="U208" s="5"/>
      <c r="V208" s="6"/>
      <c r="W208" s="4"/>
      <c r="X208" s="4"/>
      <c r="Y208" s="8"/>
      <c r="Z208" s="5" t="str">
        <f t="shared" si="619"/>
        <v>NO APLICA</v>
      </c>
      <c r="AA208" s="5"/>
      <c r="AB208" s="2"/>
      <c r="AC208" s="2"/>
      <c r="AD208" s="2"/>
      <c r="AE208" s="2"/>
      <c r="AF208" s="5" t="str">
        <f t="shared" si="714"/>
        <v>NO APLICA</v>
      </c>
      <c r="AG208" s="4"/>
      <c r="AH208" s="4"/>
      <c r="AI208" s="4"/>
      <c r="AJ208" s="8"/>
      <c r="AK208" s="5" t="str">
        <f t="shared" si="616"/>
        <v>NO APLICA</v>
      </c>
      <c r="AL208" s="4"/>
      <c r="AM208" s="4"/>
      <c r="AN208" s="4"/>
      <c r="AO208" s="8"/>
      <c r="AP208" s="5" t="str">
        <f t="shared" si="715"/>
        <v>NO APLICA</v>
      </c>
      <c r="AQ208" s="4"/>
      <c r="AR208" s="4"/>
      <c r="AS208" s="4"/>
      <c r="AT208" s="8"/>
      <c r="AU208" s="5" t="str">
        <f t="shared" si="716"/>
        <v>NO APLICA</v>
      </c>
      <c r="AV208" s="4"/>
      <c r="AW208" s="4"/>
      <c r="AX208" s="4"/>
      <c r="AY208" s="8"/>
      <c r="AZ208" s="5" t="str">
        <f t="shared" si="717"/>
        <v>NO APLICA</v>
      </c>
      <c r="BA208" s="4"/>
      <c r="BB208" s="4"/>
      <c r="BC208" s="4"/>
      <c r="BD208" s="8"/>
      <c r="BE208" s="5" t="str">
        <f t="shared" si="718"/>
        <v>NO APLICA</v>
      </c>
      <c r="BF208" s="4"/>
      <c r="BG208" s="4"/>
      <c r="BH208" s="4"/>
      <c r="BI208" s="8"/>
      <c r="BJ208" s="5" t="str">
        <f t="shared" si="719"/>
        <v>NO APLICA</v>
      </c>
      <c r="BK208" s="4"/>
      <c r="BL208" s="4"/>
      <c r="BM208" s="4"/>
      <c r="BN208" s="8"/>
      <c r="BO208" s="5" t="str">
        <f t="shared" si="720"/>
        <v>NO APLICA</v>
      </c>
      <c r="BP208" s="4"/>
      <c r="BQ208" s="4"/>
      <c r="BR208" s="4"/>
      <c r="BS208" s="8"/>
      <c r="BT208" s="5" t="str">
        <f t="shared" si="721"/>
        <v>NO APLICA</v>
      </c>
      <c r="BU208" s="4"/>
      <c r="BV208" s="4"/>
      <c r="BW208" s="4"/>
      <c r="BX208" s="8"/>
      <c r="BY208" s="5" t="str">
        <f t="shared" si="722"/>
        <v>NO APLICA</v>
      </c>
      <c r="BZ208" s="4"/>
      <c r="CA208" s="4"/>
      <c r="CB208" s="4"/>
      <c r="CC208" s="8"/>
      <c r="CD208" s="5" t="str">
        <f t="shared" si="723"/>
        <v>NO APLICA</v>
      </c>
      <c r="CE208" s="2"/>
      <c r="CF208" s="2"/>
      <c r="CG208" s="2"/>
      <c r="CH208" s="2"/>
      <c r="CI208" s="5" t="str">
        <f t="shared" ref="CI208:CI237" si="78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4"/>
        <v>NO APLICA</v>
      </c>
      <c r="CO208" s="4"/>
      <c r="CP208" s="4"/>
      <c r="CQ208" s="4"/>
      <c r="CR208" s="8"/>
      <c r="CS208" s="5" t="str">
        <f t="shared" si="725"/>
        <v>NO APLICA</v>
      </c>
      <c r="CT208" s="4"/>
      <c r="CU208" s="4"/>
      <c r="CV208" s="4"/>
      <c r="CW208" s="8"/>
      <c r="CX208" s="5" t="str">
        <f t="shared" si="726"/>
        <v>NO APLICA</v>
      </c>
      <c r="CY208" s="4"/>
      <c r="CZ208" s="4"/>
      <c r="DA208" s="4"/>
      <c r="DB208" s="8"/>
      <c r="DC208" s="5" t="str">
        <f t="shared" si="727"/>
        <v>NO APLICA</v>
      </c>
      <c r="DD208" s="4"/>
      <c r="DE208" s="4"/>
      <c r="DF208" s="4"/>
      <c r="DG208" s="8"/>
      <c r="DH208" s="5" t="str">
        <f t="shared" si="728"/>
        <v>NO APLICA</v>
      </c>
      <c r="DI208" s="4"/>
      <c r="DJ208" s="4"/>
      <c r="DK208" s="4"/>
      <c r="DL208" s="8"/>
      <c r="DM208" s="5" t="str">
        <f t="shared" si="729"/>
        <v>NO APLICA</v>
      </c>
      <c r="DN208" s="4"/>
      <c r="DO208" s="4"/>
      <c r="DP208" s="4"/>
      <c r="DQ208" s="8"/>
      <c r="DR208" s="5" t="str">
        <f t="shared" si="730"/>
        <v>NO APLICA</v>
      </c>
      <c r="DS208" s="4"/>
      <c r="DT208" s="4"/>
      <c r="DU208" s="4"/>
      <c r="DV208" s="8"/>
      <c r="DW208" s="5" t="str">
        <f t="shared" si="731"/>
        <v>NO APLICA</v>
      </c>
      <c r="DX208" s="4"/>
      <c r="DY208" s="4"/>
      <c r="DZ208" s="4"/>
      <c r="EA208" s="8"/>
      <c r="EB208" s="5" t="str">
        <f t="shared" si="732"/>
        <v>NO APLICA</v>
      </c>
      <c r="EC208" s="4"/>
      <c r="ED208" s="4"/>
      <c r="EE208" s="4"/>
      <c r="EF208" s="8"/>
      <c r="EG208" s="5" t="str">
        <f t="shared" si="733"/>
        <v>NO APLICA</v>
      </c>
      <c r="EH208" s="4"/>
      <c r="EI208" s="4"/>
      <c r="EJ208" s="4"/>
      <c r="EK208" s="8"/>
      <c r="EL208" s="5" t="str">
        <f t="shared" si="734"/>
        <v>NO APLICA</v>
      </c>
      <c r="EM208" s="4"/>
      <c r="EN208" s="6"/>
      <c r="EO208" s="4"/>
      <c r="EP208" s="8"/>
      <c r="EQ208" s="5" t="str">
        <f t="shared" si="735"/>
        <v>NO APLICA</v>
      </c>
      <c r="ER208" s="4"/>
      <c r="ES208" s="4"/>
      <c r="ET208" s="4"/>
      <c r="EU208" s="8"/>
      <c r="EV208" s="5" t="str">
        <f t="shared" si="736"/>
        <v>NO APLICA</v>
      </c>
      <c r="EW208" s="4"/>
      <c r="EX208" s="4"/>
      <c r="EY208" s="4"/>
      <c r="EZ208" s="8"/>
      <c r="FA208" s="5" t="str">
        <f t="shared" si="737"/>
        <v>NO APLICA</v>
      </c>
      <c r="FB208" s="6"/>
      <c r="FC208" s="6"/>
      <c r="FD208" s="4"/>
      <c r="FE208" s="8"/>
      <c r="FF208" s="5" t="str">
        <f t="shared" si="738"/>
        <v>NO APLICA</v>
      </c>
      <c r="FG208" s="4"/>
      <c r="FH208" s="4"/>
      <c r="FI208" s="4"/>
      <c r="FJ208" s="8"/>
      <c r="FK208" s="5" t="str">
        <f t="shared" si="739"/>
        <v>NO APLICA</v>
      </c>
      <c r="FL208" s="4"/>
      <c r="FM208" s="6"/>
      <c r="FN208" s="4"/>
      <c r="FO208" s="8"/>
      <c r="FP208" s="5" t="str">
        <f t="shared" si="740"/>
        <v>NO APLICA</v>
      </c>
      <c r="FQ208" s="4"/>
      <c r="FR208" s="4"/>
      <c r="FS208" s="4"/>
      <c r="FT208" s="8"/>
      <c r="FU208" s="5" t="str">
        <f t="shared" si="741"/>
        <v>NO APLICA</v>
      </c>
      <c r="FV208" s="4"/>
      <c r="FW208" s="4"/>
      <c r="FX208" s="4"/>
      <c r="FY208" s="8"/>
      <c r="FZ208" s="5" t="str">
        <f t="shared" si="742"/>
        <v>NO APLICA</v>
      </c>
      <c r="GA208" s="4"/>
      <c r="GB208" s="4"/>
      <c r="GC208" s="4"/>
      <c r="GD208" s="8"/>
      <c r="GE208" s="5" t="str">
        <f t="shared" si="743"/>
        <v>NO APLICA</v>
      </c>
      <c r="GF208" s="4"/>
      <c r="GG208" s="4"/>
      <c r="GH208" s="4"/>
      <c r="GI208" s="8"/>
      <c r="GJ208" s="5" t="str">
        <f t="shared" si="744"/>
        <v>NO APLICA</v>
      </c>
      <c r="GK208" s="4"/>
      <c r="GL208" s="6"/>
      <c r="GM208" s="4"/>
      <c r="GN208" s="8"/>
      <c r="GO208" s="5" t="str">
        <f t="shared" si="745"/>
        <v>NO APLICA</v>
      </c>
      <c r="GP208" s="4"/>
      <c r="GQ208" s="6"/>
      <c r="GR208" s="4"/>
      <c r="GS208" s="8"/>
      <c r="GT208" s="5" t="str">
        <f t="shared" si="624"/>
        <v>NO APLICA</v>
      </c>
      <c r="GU208" s="4"/>
      <c r="GV208" s="6"/>
      <c r="GW208" s="4"/>
      <c r="GX208" s="8"/>
      <c r="GY208" s="5" t="str">
        <f t="shared" si="625"/>
        <v>NO APLICA</v>
      </c>
      <c r="GZ208" s="6"/>
      <c r="HA208" s="6"/>
      <c r="HB208" s="4"/>
      <c r="HC208" s="8"/>
      <c r="HD208" s="5" t="str">
        <f t="shared" si="626"/>
        <v>NO APLICA</v>
      </c>
      <c r="HE208" s="6"/>
      <c r="HF208" s="6"/>
      <c r="HG208" s="4"/>
      <c r="HH208" s="8"/>
      <c r="HI208" s="5" t="str">
        <f t="shared" si="712"/>
        <v>NO APLICA</v>
      </c>
      <c r="HJ208" s="6"/>
      <c r="HK208" s="6"/>
      <c r="HL208" s="6"/>
      <c r="HM208" s="6"/>
      <c r="HN208" s="5" t="str">
        <f t="shared" si="708"/>
        <v>NO APLICA</v>
      </c>
      <c r="HO208" s="6"/>
      <c r="HP208" s="6"/>
      <c r="HQ208" s="6"/>
      <c r="HR208" s="6"/>
      <c r="HS208" s="5" t="str">
        <f t="shared" si="746"/>
        <v>NO APLICA</v>
      </c>
      <c r="HT208" s="6"/>
      <c r="HU208" s="6"/>
      <c r="HV208" s="6"/>
      <c r="HW208" s="6"/>
      <c r="HX208" s="5" t="str">
        <f t="shared" si="747"/>
        <v>NO APLICA</v>
      </c>
      <c r="HY208" s="6"/>
      <c r="HZ208" s="6"/>
      <c r="IA208" s="6"/>
      <c r="IB208" s="6"/>
      <c r="IC208" s="5" t="str">
        <f t="shared" si="748"/>
        <v>NO APLICA</v>
      </c>
      <c r="ID208" s="6"/>
      <c r="IE208" s="6"/>
      <c r="IF208" s="6"/>
      <c r="IG208" s="6"/>
      <c r="IH208" s="5" t="str">
        <f t="shared" si="749"/>
        <v>NO APLICA</v>
      </c>
      <c r="II208" s="6"/>
      <c r="IJ208" s="6"/>
      <c r="IK208" s="6"/>
      <c r="IL208" s="6"/>
      <c r="IM208" s="5" t="str">
        <f t="shared" si="750"/>
        <v>NO APLICA</v>
      </c>
      <c r="IN208" s="6"/>
      <c r="IO208" s="6"/>
      <c r="IP208" s="6"/>
      <c r="IQ208" s="6"/>
      <c r="IR208" s="5" t="str">
        <f t="shared" si="751"/>
        <v>NO APLICA</v>
      </c>
      <c r="IS208" s="6"/>
      <c r="IT208" s="6"/>
      <c r="IU208" s="6"/>
      <c r="IV208" s="6"/>
      <c r="IW208" s="5" t="str">
        <f t="shared" si="752"/>
        <v>NO APLICA</v>
      </c>
      <c r="IX208" s="6"/>
      <c r="IY208" s="6"/>
      <c r="IZ208" s="6"/>
      <c r="JA208" s="6"/>
      <c r="JB208" s="5" t="str">
        <f t="shared" si="753"/>
        <v>NO APLICA</v>
      </c>
      <c r="JC208" s="3"/>
      <c r="JD208" s="3"/>
      <c r="JE208" s="4"/>
      <c r="JF208" s="8"/>
      <c r="JG208" s="5" t="str">
        <f t="shared" si="754"/>
        <v>NO APLICA</v>
      </c>
      <c r="JH208" s="4"/>
      <c r="JI208" s="4"/>
      <c r="JJ208" s="6"/>
      <c r="JK208" s="6"/>
      <c r="JL208" s="5" t="str">
        <f t="shared" si="755"/>
        <v>NO APLICA</v>
      </c>
      <c r="JM208" s="6"/>
      <c r="JN208" s="6"/>
      <c r="JO208" s="6"/>
      <c r="JP208" s="6"/>
      <c r="JQ208" s="5" t="str">
        <f t="shared" si="756"/>
        <v>NO APLICA</v>
      </c>
      <c r="JR208" s="4"/>
      <c r="JS208" s="4"/>
      <c r="JT208" s="6"/>
      <c r="JU208" s="6"/>
      <c r="JV208" s="5" t="str">
        <f t="shared" si="757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59"/>
        <v>NO APLICA</v>
      </c>
      <c r="KG208" s="5"/>
      <c r="KH208" s="6"/>
      <c r="KI208" s="6"/>
      <c r="KJ208" s="6"/>
      <c r="KK208" s="5" t="str">
        <f t="shared" si="779"/>
        <v>NO APLICA</v>
      </c>
      <c r="KL208" s="5"/>
      <c r="KM208" s="6"/>
      <c r="KN208" s="6"/>
      <c r="KO208" s="6"/>
      <c r="KP208" s="5" t="str">
        <f t="shared" si="76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86"/>
        <v>NO APLICA</v>
      </c>
      <c r="LA208" s="5"/>
      <c r="LB208" s="6"/>
      <c r="LC208" s="6"/>
      <c r="LD208" s="6"/>
      <c r="LE208" s="5" t="str">
        <f t="shared" si="781"/>
        <v>NO APLICA</v>
      </c>
      <c r="LF208" s="6"/>
      <c r="LG208" s="6"/>
      <c r="LH208" s="6"/>
      <c r="LI208" s="6"/>
      <c r="LJ208" s="5" t="str">
        <f t="shared" si="614"/>
        <v>NO APLICA</v>
      </c>
      <c r="LK208" s="5"/>
      <c r="LL208" s="5"/>
      <c r="LM208" s="4"/>
      <c r="LN208" s="8"/>
      <c r="LO208" s="5" t="str">
        <f t="shared" si="787"/>
        <v>NO APLICA</v>
      </c>
      <c r="LP208" s="6"/>
      <c r="LQ208" s="6"/>
      <c r="LR208" s="6"/>
      <c r="LS208" s="6"/>
      <c r="LT208" s="5" t="str">
        <f t="shared" si="782"/>
        <v>NO APLICA</v>
      </c>
      <c r="LU208" s="6"/>
      <c r="LV208" s="6"/>
      <c r="LW208" s="6"/>
      <c r="LX208" s="6"/>
      <c r="LY208" s="5" t="str">
        <f t="shared" si="783"/>
        <v>NO APLICA</v>
      </c>
      <c r="LZ208" s="6"/>
      <c r="MA208" s="6"/>
      <c r="MB208" s="6"/>
      <c r="MC208" s="6"/>
      <c r="MD208" s="5" t="str">
        <f t="shared" si="784"/>
        <v>NO APLICA</v>
      </c>
      <c r="ME208" s="6"/>
      <c r="MF208" s="6"/>
      <c r="MG208" s="6"/>
      <c r="MH208" s="6"/>
      <c r="MI208" s="5" t="str">
        <f t="shared" si="761"/>
        <v>NO APLICA</v>
      </c>
      <c r="MJ208" s="6"/>
      <c r="MK208" s="6"/>
      <c r="ML208" s="6"/>
      <c r="MM208" s="6"/>
      <c r="MN208" s="5" t="str">
        <f t="shared" si="762"/>
        <v>NO APLICA</v>
      </c>
      <c r="MO208" s="5"/>
      <c r="MP208" s="6"/>
      <c r="MQ208" s="6"/>
      <c r="MR208" s="6"/>
      <c r="MS208" s="5" t="str">
        <f t="shared" si="763"/>
        <v>NO APLICA</v>
      </c>
      <c r="MT208" s="5"/>
      <c r="MU208" s="6"/>
      <c r="MV208" s="6"/>
      <c r="MW208" s="6"/>
      <c r="MX208" s="5" t="str">
        <f t="shared" si="764"/>
        <v>NO APLICA</v>
      </c>
      <c r="MY208" s="6"/>
      <c r="MZ208" s="6"/>
      <c r="NA208" s="6"/>
      <c r="NB208" s="6"/>
      <c r="NC208" s="5" t="str">
        <f t="shared" si="765"/>
        <v>NO APLICA</v>
      </c>
      <c r="ND208" s="6"/>
      <c r="NE208" s="6"/>
      <c r="NF208" s="6"/>
      <c r="NG208" s="6"/>
      <c r="NH208" s="5" t="str">
        <f t="shared" si="766"/>
        <v>NO APLICA</v>
      </c>
      <c r="NI208" s="6"/>
      <c r="NJ208" s="6"/>
      <c r="NK208" s="6"/>
      <c r="NL208" s="6"/>
      <c r="NM208" s="5" t="str">
        <f t="shared" si="767"/>
        <v>NO APLICA</v>
      </c>
      <c r="NN208" s="6"/>
      <c r="NO208" s="6"/>
      <c r="NP208" s="6"/>
      <c r="NQ208" s="6"/>
      <c r="NR208" s="5" t="str">
        <f t="shared" si="768"/>
        <v>NO APLICA</v>
      </c>
      <c r="NS208" s="6"/>
      <c r="NT208" s="6"/>
      <c r="NU208" s="6"/>
      <c r="NV208" s="6"/>
      <c r="NW208" s="5" t="str">
        <f t="shared" si="769"/>
        <v>NO APLICA</v>
      </c>
      <c r="NX208" s="6"/>
      <c r="NY208" s="6"/>
      <c r="NZ208" s="6"/>
      <c r="OA208" s="6"/>
      <c r="OB208" s="5" t="str">
        <f t="shared" si="770"/>
        <v>NO APLICA</v>
      </c>
      <c r="OC208" s="6"/>
      <c r="OD208" s="6"/>
      <c r="OE208" s="6"/>
      <c r="OF208" s="6"/>
      <c r="OG208" s="5" t="str">
        <f t="shared" si="771"/>
        <v>NO APLICA</v>
      </c>
      <c r="OH208" s="6"/>
      <c r="OI208" s="6"/>
      <c r="OJ208" s="6"/>
      <c r="OK208" s="6"/>
      <c r="OL208" s="5" t="str">
        <f t="shared" si="772"/>
        <v>NO APLICA</v>
      </c>
      <c r="OM208" s="6"/>
      <c r="ON208" s="6"/>
      <c r="OO208" s="6"/>
      <c r="OP208" s="6"/>
      <c r="OQ208" s="5" t="str">
        <f t="shared" si="773"/>
        <v>NO APLICA</v>
      </c>
      <c r="OR208" s="6"/>
      <c r="OS208" s="6"/>
      <c r="OT208" s="6"/>
      <c r="OU208" s="6"/>
      <c r="OV208" s="5" t="str">
        <f t="shared" si="774"/>
        <v>NO APLICA</v>
      </c>
      <c r="OW208" s="6"/>
      <c r="OX208" s="6"/>
      <c r="OY208" s="6"/>
      <c r="OZ208" s="6"/>
      <c r="PA208" s="5" t="str">
        <f t="shared" si="788"/>
        <v>NO APLICA</v>
      </c>
      <c r="PB208" s="6"/>
      <c r="PC208" s="6"/>
      <c r="PD208" s="6"/>
      <c r="PE208" s="6"/>
      <c r="PF208" s="5" t="str">
        <f t="shared" si="775"/>
        <v>NO APLICA</v>
      </c>
      <c r="PG208" s="6"/>
      <c r="PH208" s="6"/>
      <c r="PI208" s="6"/>
      <c r="PJ208" s="6"/>
      <c r="PK208" s="5" t="str">
        <f t="shared" si="776"/>
        <v>NO APLICA</v>
      </c>
      <c r="PL208" s="5"/>
      <c r="PM208" s="6"/>
      <c r="PN208" s="6"/>
      <c r="PO208" s="6"/>
      <c r="PP208" s="5" t="str">
        <f t="shared" si="785"/>
        <v>NO APLICA</v>
      </c>
      <c r="PQ208" s="6"/>
      <c r="PR208" s="6"/>
      <c r="PS208" s="6"/>
      <c r="PT208" s="6"/>
      <c r="PU208" s="5" t="str">
        <f t="shared" si="77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7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648</v>
      </c>
      <c r="D209" s="30" t="s">
        <v>640</v>
      </c>
      <c r="E209" s="31" t="s">
        <v>649</v>
      </c>
      <c r="F209" s="6"/>
      <c r="G209" s="6"/>
      <c r="H209" s="6"/>
      <c r="I209" s="6"/>
      <c r="J209" s="5" t="str">
        <f t="shared" si="710"/>
        <v>NO APLICA</v>
      </c>
      <c r="K209" s="6"/>
      <c r="L209" s="6"/>
      <c r="M209" s="6"/>
      <c r="N209" s="6"/>
      <c r="O209" s="5" t="str">
        <f t="shared" si="713"/>
        <v>NO APLICA</v>
      </c>
      <c r="P209" s="6"/>
      <c r="Q209" s="6"/>
      <c r="R209" s="6"/>
      <c r="S209" s="6"/>
      <c r="T209" s="5" t="str">
        <f t="shared" si="711"/>
        <v>NO APLICA</v>
      </c>
      <c r="U209" s="5"/>
      <c r="V209" s="6"/>
      <c r="W209" s="4"/>
      <c r="X209" s="4"/>
      <c r="Y209" s="8"/>
      <c r="Z209" s="5" t="str">
        <f t="shared" si="619"/>
        <v>NO APLICA</v>
      </c>
      <c r="AA209" s="5"/>
      <c r="AB209" s="6"/>
      <c r="AC209" s="6"/>
      <c r="AD209" s="6"/>
      <c r="AE209" s="6"/>
      <c r="AF209" s="5" t="str">
        <f t="shared" si="714"/>
        <v>NO APLICA</v>
      </c>
      <c r="AG209" s="4"/>
      <c r="AH209" s="4"/>
      <c r="AI209" s="4"/>
      <c r="AJ209" s="6"/>
      <c r="AK209" s="5" t="str">
        <f t="shared" si="616"/>
        <v>NO APLICA</v>
      </c>
      <c r="AL209" s="4"/>
      <c r="AM209" s="4"/>
      <c r="AN209" s="4"/>
      <c r="AO209" s="6"/>
      <c r="AP209" s="5" t="str">
        <f t="shared" si="715"/>
        <v>NO APLICA</v>
      </c>
      <c r="AQ209" s="4"/>
      <c r="AR209" s="4"/>
      <c r="AS209" s="4"/>
      <c r="AT209" s="6"/>
      <c r="AU209" s="5" t="str">
        <f t="shared" si="716"/>
        <v>NO APLICA</v>
      </c>
      <c r="AV209" s="4"/>
      <c r="AW209" s="4"/>
      <c r="AX209" s="4"/>
      <c r="AY209" s="6"/>
      <c r="AZ209" s="5" t="str">
        <f t="shared" si="717"/>
        <v>NO APLICA</v>
      </c>
      <c r="BA209" s="4"/>
      <c r="BB209" s="4"/>
      <c r="BC209" s="4"/>
      <c r="BD209" s="6"/>
      <c r="BE209" s="5" t="str">
        <f t="shared" si="718"/>
        <v>NO APLICA</v>
      </c>
      <c r="BF209" s="4"/>
      <c r="BG209" s="4"/>
      <c r="BH209" s="4"/>
      <c r="BI209" s="6"/>
      <c r="BJ209" s="5" t="str">
        <f t="shared" si="719"/>
        <v>NO APLICA</v>
      </c>
      <c r="BK209" s="4"/>
      <c r="BL209" s="4"/>
      <c r="BM209" s="4"/>
      <c r="BN209" s="6"/>
      <c r="BO209" s="5" t="str">
        <f t="shared" si="720"/>
        <v>NO APLICA</v>
      </c>
      <c r="BP209" s="4"/>
      <c r="BQ209" s="4"/>
      <c r="BR209" s="4"/>
      <c r="BS209" s="6"/>
      <c r="BT209" s="5" t="str">
        <f t="shared" si="721"/>
        <v>NO APLICA</v>
      </c>
      <c r="BU209" s="4"/>
      <c r="BV209" s="4"/>
      <c r="BW209" s="4"/>
      <c r="BX209" s="6"/>
      <c r="BY209" s="5" t="str">
        <f t="shared" si="722"/>
        <v>NO APLICA</v>
      </c>
      <c r="BZ209" s="4"/>
      <c r="CA209" s="4"/>
      <c r="CB209" s="4"/>
      <c r="CC209" s="6"/>
      <c r="CD209" s="5" t="str">
        <f t="shared" si="723"/>
        <v>NO APLICA</v>
      </c>
      <c r="CE209" s="6"/>
      <c r="CF209" s="6"/>
      <c r="CG209" s="6"/>
      <c r="CH209" s="6"/>
      <c r="CI209" s="5" t="str">
        <f t="shared" si="789"/>
        <v>NO APLICA</v>
      </c>
      <c r="CJ209" s="4"/>
      <c r="CK209" s="4"/>
      <c r="CL209" s="4"/>
      <c r="CM209" s="6"/>
      <c r="CN209" s="5" t="str">
        <f t="shared" si="724"/>
        <v>NO APLICA</v>
      </c>
      <c r="CO209" s="4"/>
      <c r="CP209" s="4"/>
      <c r="CQ209" s="4"/>
      <c r="CR209" s="6"/>
      <c r="CS209" s="5" t="str">
        <f t="shared" si="725"/>
        <v>NO APLICA</v>
      </c>
      <c r="CT209" s="4"/>
      <c r="CU209" s="4"/>
      <c r="CV209" s="4"/>
      <c r="CW209" s="6"/>
      <c r="CX209" s="5" t="str">
        <f t="shared" si="726"/>
        <v>NO APLICA</v>
      </c>
      <c r="CY209" s="4"/>
      <c r="CZ209" s="4"/>
      <c r="DA209" s="4"/>
      <c r="DB209" s="6"/>
      <c r="DC209" s="5" t="str">
        <f t="shared" si="727"/>
        <v>NO APLICA</v>
      </c>
      <c r="DD209" s="4"/>
      <c r="DE209" s="4"/>
      <c r="DF209" s="4"/>
      <c r="DG209" s="6"/>
      <c r="DH209" s="5" t="str">
        <f t="shared" si="728"/>
        <v>NO APLICA</v>
      </c>
      <c r="DI209" s="4"/>
      <c r="DJ209" s="4"/>
      <c r="DK209" s="4"/>
      <c r="DL209" s="6"/>
      <c r="DM209" s="5" t="str">
        <f t="shared" si="729"/>
        <v>NO APLICA</v>
      </c>
      <c r="DN209" s="4"/>
      <c r="DO209" s="4"/>
      <c r="DP209" s="4"/>
      <c r="DQ209" s="6"/>
      <c r="DR209" s="5" t="str">
        <f t="shared" si="730"/>
        <v>NO APLICA</v>
      </c>
      <c r="DS209" s="4"/>
      <c r="DT209" s="4"/>
      <c r="DU209" s="4"/>
      <c r="DV209" s="6"/>
      <c r="DW209" s="5" t="str">
        <f t="shared" si="731"/>
        <v>NO APLICA</v>
      </c>
      <c r="DX209" s="4"/>
      <c r="DY209" s="4"/>
      <c r="DZ209" s="4"/>
      <c r="EA209" s="6"/>
      <c r="EB209" s="5" t="str">
        <f t="shared" si="732"/>
        <v>NO APLICA</v>
      </c>
      <c r="EC209" s="4"/>
      <c r="ED209" s="4"/>
      <c r="EE209" s="4"/>
      <c r="EF209" s="6"/>
      <c r="EG209" s="5" t="str">
        <f t="shared" si="733"/>
        <v>NO APLICA</v>
      </c>
      <c r="EH209" s="4"/>
      <c r="EI209" s="4"/>
      <c r="EJ209" s="4"/>
      <c r="EK209" s="8"/>
      <c r="EL209" s="5" t="str">
        <f t="shared" si="734"/>
        <v>NO APLICA</v>
      </c>
      <c r="EM209" s="4"/>
      <c r="EN209" s="4"/>
      <c r="EO209" s="4"/>
      <c r="EP209" s="8"/>
      <c r="EQ209" s="5" t="str">
        <f t="shared" si="735"/>
        <v>NO APLICA</v>
      </c>
      <c r="ER209" s="4"/>
      <c r="ES209" s="4"/>
      <c r="ET209" s="4"/>
      <c r="EU209" s="8"/>
      <c r="EV209" s="5" t="str">
        <f t="shared" si="736"/>
        <v>NO APLICA</v>
      </c>
      <c r="EW209" s="4"/>
      <c r="EX209" s="4"/>
      <c r="EY209" s="4"/>
      <c r="EZ209" s="6"/>
      <c r="FA209" s="5" t="str">
        <f t="shared" si="737"/>
        <v>NO APLICA</v>
      </c>
      <c r="FB209" s="4"/>
      <c r="FC209" s="4"/>
      <c r="FD209" s="4"/>
      <c r="FE209" s="6"/>
      <c r="FF209" s="5" t="str">
        <f t="shared" si="738"/>
        <v>NO APLICA</v>
      </c>
      <c r="FG209" s="4"/>
      <c r="FH209" s="4"/>
      <c r="FI209" s="4"/>
      <c r="FJ209" s="6"/>
      <c r="FK209" s="5" t="str">
        <f t="shared" si="739"/>
        <v>NO APLICA</v>
      </c>
      <c r="FL209" s="4"/>
      <c r="FM209" s="4"/>
      <c r="FN209" s="4"/>
      <c r="FO209" s="6"/>
      <c r="FP209" s="5" t="str">
        <f t="shared" si="740"/>
        <v>NO APLICA</v>
      </c>
      <c r="FQ209" s="4"/>
      <c r="FR209" s="4"/>
      <c r="FS209" s="4"/>
      <c r="FT209" s="6"/>
      <c r="FU209" s="5" t="str">
        <f t="shared" si="741"/>
        <v>NO APLICA</v>
      </c>
      <c r="FV209" s="4"/>
      <c r="FW209" s="4"/>
      <c r="FX209" s="4"/>
      <c r="FY209" s="6"/>
      <c r="FZ209" s="5" t="str">
        <f t="shared" si="742"/>
        <v>NO APLICA</v>
      </c>
      <c r="GA209" s="4"/>
      <c r="GB209" s="4"/>
      <c r="GC209" s="4"/>
      <c r="GD209" s="6"/>
      <c r="GE209" s="5" t="str">
        <f t="shared" si="743"/>
        <v>NO APLICA</v>
      </c>
      <c r="GF209" s="4"/>
      <c r="GG209" s="4"/>
      <c r="GH209" s="4"/>
      <c r="GI209" s="8"/>
      <c r="GJ209" s="5" t="str">
        <f t="shared" si="744"/>
        <v>NO APLICA</v>
      </c>
      <c r="GK209" s="4"/>
      <c r="GL209" s="6"/>
      <c r="GM209" s="6"/>
      <c r="GN209" s="6"/>
      <c r="GO209" s="5" t="str">
        <f t="shared" si="745"/>
        <v>NO APLICA</v>
      </c>
      <c r="GP209" s="4"/>
      <c r="GQ209" s="6"/>
      <c r="GR209" s="6"/>
      <c r="GS209" s="6"/>
      <c r="GT209" s="5" t="str">
        <f t="shared" si="624"/>
        <v>NO APLICA</v>
      </c>
      <c r="GU209" s="4"/>
      <c r="GV209" s="6"/>
      <c r="GW209" s="6"/>
      <c r="GX209" s="6"/>
      <c r="GY209" s="5" t="str">
        <f t="shared" si="625"/>
        <v>NO APLICA</v>
      </c>
      <c r="GZ209" s="6"/>
      <c r="HA209" s="6"/>
      <c r="HB209" s="6"/>
      <c r="HC209" s="6"/>
      <c r="HD209" s="5" t="str">
        <f t="shared" si="626"/>
        <v>NO APLICA</v>
      </c>
      <c r="HE209" s="6"/>
      <c r="HF209" s="6"/>
      <c r="HG209" s="4"/>
      <c r="HH209" s="8"/>
      <c r="HI209" s="5" t="str">
        <f t="shared" si="712"/>
        <v>NO APLICA</v>
      </c>
      <c r="HJ209" s="6"/>
      <c r="HK209" s="6"/>
      <c r="HL209" s="6"/>
      <c r="HM209" s="6"/>
      <c r="HN209" s="5" t="str">
        <f t="shared" si="708"/>
        <v>NO APLICA</v>
      </c>
      <c r="HO209" s="6"/>
      <c r="HP209" s="6"/>
      <c r="HQ209" s="6"/>
      <c r="HR209" s="6"/>
      <c r="HS209" s="5" t="str">
        <f t="shared" si="746"/>
        <v>NO APLICA</v>
      </c>
      <c r="HT209" s="6"/>
      <c r="HU209" s="6"/>
      <c r="HV209" s="6"/>
      <c r="HW209" s="6"/>
      <c r="HX209" s="5" t="str">
        <f t="shared" si="747"/>
        <v>NO APLICA</v>
      </c>
      <c r="HY209" s="6"/>
      <c r="HZ209" s="6"/>
      <c r="IA209" s="6"/>
      <c r="IB209" s="6"/>
      <c r="IC209" s="5" t="str">
        <f t="shared" si="748"/>
        <v>NO APLICA</v>
      </c>
      <c r="ID209" s="6"/>
      <c r="IE209" s="6"/>
      <c r="IF209" s="6"/>
      <c r="IG209" s="6"/>
      <c r="IH209" s="5" t="str">
        <f t="shared" si="749"/>
        <v>NO APLICA</v>
      </c>
      <c r="II209" s="6"/>
      <c r="IJ209" s="6"/>
      <c r="IK209" s="6"/>
      <c r="IL209" s="6"/>
      <c r="IM209" s="5" t="str">
        <f t="shared" si="750"/>
        <v>NO APLICA</v>
      </c>
      <c r="IN209" s="6"/>
      <c r="IO209" s="6"/>
      <c r="IP209" s="6"/>
      <c r="IQ209" s="6"/>
      <c r="IR209" s="5" t="str">
        <f t="shared" si="751"/>
        <v>NO APLICA</v>
      </c>
      <c r="IS209" s="6"/>
      <c r="IT209" s="6"/>
      <c r="IU209" s="6"/>
      <c r="IV209" s="6"/>
      <c r="IW209" s="5" t="str">
        <f t="shared" si="752"/>
        <v>NO APLICA</v>
      </c>
      <c r="IX209" s="6"/>
      <c r="IY209" s="6"/>
      <c r="IZ209" s="6"/>
      <c r="JA209" s="6"/>
      <c r="JB209" s="5" t="str">
        <f t="shared" si="753"/>
        <v>NO APLICA</v>
      </c>
      <c r="JC209" s="6" t="s">
        <v>788</v>
      </c>
      <c r="JD209" s="3"/>
      <c r="JE209" s="4"/>
      <c r="JF209" s="8"/>
      <c r="JG209" s="5" t="str">
        <f t="shared" si="754"/>
        <v>NO APLICA</v>
      </c>
      <c r="JH209" s="6" t="s">
        <v>788</v>
      </c>
      <c r="JI209" s="4"/>
      <c r="JJ209" s="6"/>
      <c r="JK209" s="6"/>
      <c r="JL209" s="5" t="str">
        <f>IF(JK209&gt;=61,"VIGENTE",IF(JK209&gt;=1,"POR VENCER",IF(JK209&lt;=-1,"VENCIDA",IF(JI209=0,"NO APLICA"))))</f>
        <v>NO APLICA</v>
      </c>
      <c r="JM209" s="6" t="s">
        <v>788</v>
      </c>
      <c r="JN209" s="6"/>
      <c r="JO209" s="6"/>
      <c r="JP209" s="6"/>
      <c r="JQ209" s="5" t="str">
        <f>IF(JP209&gt;=61,"VIGENTE",IF(JP209&gt;=1,"POR VENCER",IF(JP209&lt;=-1,"VENCIDA",IF(JN209=0,"NO APLICA"))))</f>
        <v>NO APLICA</v>
      </c>
      <c r="JR209" s="6" t="s">
        <v>788</v>
      </c>
      <c r="JS209" s="4"/>
      <c r="JT209" s="6"/>
      <c r="JU209" s="6"/>
      <c r="JV209" s="5" t="str">
        <f t="shared" si="757"/>
        <v>NO APLICA</v>
      </c>
      <c r="JW209" s="6" t="s">
        <v>788</v>
      </c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59"/>
        <v>NO APLICA</v>
      </c>
      <c r="KG209" s="5"/>
      <c r="KH209" s="6"/>
      <c r="KI209" s="6"/>
      <c r="KJ209" s="6"/>
      <c r="KK209" s="5" t="str">
        <f t="shared" si="779"/>
        <v>NO APLICA</v>
      </c>
      <c r="KL209" s="5"/>
      <c r="KM209" s="6"/>
      <c r="KN209" s="6"/>
      <c r="KO209" s="6"/>
      <c r="KP209" s="5" t="str">
        <f t="shared" si="760"/>
        <v>NO APLICA</v>
      </c>
      <c r="KQ209" s="5"/>
      <c r="KR209" s="6"/>
      <c r="KS209" s="6"/>
      <c r="KT209" s="6"/>
      <c r="KU209" s="5" t="str">
        <f t="shared" si="780"/>
        <v>NO APLICA</v>
      </c>
      <c r="KV209" s="6"/>
      <c r="KW209" s="6"/>
      <c r="KX209" s="6"/>
      <c r="KY209" s="6"/>
      <c r="KZ209" s="5" t="str">
        <f t="shared" si="786"/>
        <v>NO APLICA</v>
      </c>
      <c r="LA209" s="5"/>
      <c r="LB209" s="6"/>
      <c r="LC209" s="6"/>
      <c r="LD209" s="6"/>
      <c r="LE209" s="5" t="str">
        <f t="shared" si="781"/>
        <v>NO APLICA</v>
      </c>
      <c r="LF209" s="6"/>
      <c r="LG209" s="6"/>
      <c r="LH209" s="6"/>
      <c r="LI209" s="6"/>
      <c r="LJ209" s="5" t="str">
        <f t="shared" si="614"/>
        <v>NO APLICA</v>
      </c>
      <c r="LK209" s="5"/>
      <c r="LL209" s="5"/>
      <c r="LM209" s="4"/>
      <c r="LN209" s="8"/>
      <c r="LO209" s="5" t="str">
        <f t="shared" si="787"/>
        <v>NO APLICA</v>
      </c>
      <c r="LP209" s="6"/>
      <c r="LQ209" s="6"/>
      <c r="LR209" s="6"/>
      <c r="LS209" s="6"/>
      <c r="LT209" s="5" t="str">
        <f t="shared" si="782"/>
        <v>NO APLICA</v>
      </c>
      <c r="LU209" s="6"/>
      <c r="LV209" s="6"/>
      <c r="LW209" s="6"/>
      <c r="LX209" s="6"/>
      <c r="LY209" s="5" t="str">
        <f t="shared" si="783"/>
        <v>NO APLICA</v>
      </c>
      <c r="LZ209" s="6"/>
      <c r="MA209" s="6"/>
      <c r="MB209" s="6"/>
      <c r="MC209" s="6"/>
      <c r="MD209" s="5" t="str">
        <f t="shared" si="784"/>
        <v>NO APLICA</v>
      </c>
      <c r="ME209" s="6"/>
      <c r="MF209" s="6"/>
      <c r="MG209" s="6"/>
      <c r="MH209" s="6"/>
      <c r="MI209" s="5" t="str">
        <f t="shared" si="761"/>
        <v>NO APLICA</v>
      </c>
      <c r="MJ209" s="6"/>
      <c r="MK209" s="6"/>
      <c r="ML209" s="6"/>
      <c r="MM209" s="6"/>
      <c r="MN209" s="5" t="str">
        <f t="shared" si="762"/>
        <v>NO APLICA</v>
      </c>
      <c r="MO209" s="5"/>
      <c r="MP209" s="6"/>
      <c r="MQ209" s="6"/>
      <c r="MR209" s="6"/>
      <c r="MS209" s="5" t="str">
        <f t="shared" si="763"/>
        <v>NO APLICA</v>
      </c>
      <c r="MT209" s="5"/>
      <c r="MU209" s="6"/>
      <c r="MV209" s="6"/>
      <c r="MW209" s="6"/>
      <c r="MX209" s="5" t="str">
        <f t="shared" si="764"/>
        <v>NO APLICA</v>
      </c>
      <c r="MY209" s="6"/>
      <c r="MZ209" s="6"/>
      <c r="NA209" s="6"/>
      <c r="NB209" s="6"/>
      <c r="NC209" s="5" t="str">
        <f t="shared" si="765"/>
        <v>NO APLICA</v>
      </c>
      <c r="ND209" s="6"/>
      <c r="NE209" s="6"/>
      <c r="NF209" s="6"/>
      <c r="NG209" s="6"/>
      <c r="NH209" s="5" t="str">
        <f t="shared" si="766"/>
        <v>NO APLICA</v>
      </c>
      <c r="NI209" s="6"/>
      <c r="NJ209" s="6"/>
      <c r="NK209" s="6"/>
      <c r="NL209" s="6"/>
      <c r="NM209" s="5" t="str">
        <f t="shared" si="767"/>
        <v>NO APLICA</v>
      </c>
      <c r="NN209" s="6"/>
      <c r="NO209" s="6"/>
      <c r="NP209" s="6"/>
      <c r="NQ209" s="6"/>
      <c r="NR209" s="5" t="str">
        <f t="shared" si="768"/>
        <v>NO APLICA</v>
      </c>
      <c r="NS209" s="6"/>
      <c r="NT209" s="6"/>
      <c r="NU209" s="6"/>
      <c r="NV209" s="6"/>
      <c r="NW209" s="5" t="str">
        <f t="shared" si="769"/>
        <v>NO APLICA</v>
      </c>
      <c r="NX209" s="6"/>
      <c r="NY209" s="6"/>
      <c r="NZ209" s="6"/>
      <c r="OA209" s="6"/>
      <c r="OB209" s="5" t="str">
        <f t="shared" si="770"/>
        <v>NO APLICA</v>
      </c>
      <c r="OC209" s="6"/>
      <c r="OD209" s="6"/>
      <c r="OE209" s="6"/>
      <c r="OF209" s="6"/>
      <c r="OG209" s="5" t="str">
        <f t="shared" si="771"/>
        <v>NO APLICA</v>
      </c>
      <c r="OH209" s="6"/>
      <c r="OI209" s="6"/>
      <c r="OJ209" s="6"/>
      <c r="OK209" s="6"/>
      <c r="OL209" s="5" t="str">
        <f t="shared" si="772"/>
        <v>NO APLICA</v>
      </c>
      <c r="OM209" s="6"/>
      <c r="ON209" s="6"/>
      <c r="OO209" s="6"/>
      <c r="OP209" s="6"/>
      <c r="OQ209" s="5" t="str">
        <f t="shared" si="773"/>
        <v>NO APLICA</v>
      </c>
      <c r="OR209" s="6"/>
      <c r="OS209" s="6"/>
      <c r="OT209" s="6"/>
      <c r="OU209" s="6"/>
      <c r="OV209" s="5" t="str">
        <f t="shared" si="774"/>
        <v>NO APLICA</v>
      </c>
      <c r="OW209" s="6"/>
      <c r="OX209" s="6"/>
      <c r="OY209" s="6"/>
      <c r="OZ209" s="6"/>
      <c r="PA209" s="5" t="str">
        <f t="shared" si="788"/>
        <v>NO APLICA</v>
      </c>
      <c r="PB209" s="6"/>
      <c r="PC209" s="6"/>
      <c r="PD209" s="6"/>
      <c r="PE209" s="6"/>
      <c r="PF209" s="5" t="str">
        <f t="shared" si="775"/>
        <v>NO APLICA</v>
      </c>
      <c r="PG209" s="6"/>
      <c r="PH209" s="6"/>
      <c r="PI209" s="6"/>
      <c r="PJ209" s="6"/>
      <c r="PK209" s="5" t="str">
        <f t="shared" si="776"/>
        <v>NO APLICA</v>
      </c>
      <c r="PL209" s="5"/>
      <c r="PM209" s="6"/>
      <c r="PN209" s="6"/>
      <c r="PO209" s="6"/>
      <c r="PP209" s="5" t="str">
        <f t="shared" si="785"/>
        <v>NO APLICA</v>
      </c>
      <c r="PQ209" s="6"/>
      <c r="PR209" s="6"/>
      <c r="PS209" s="6"/>
      <c r="PT209" s="6"/>
      <c r="PU209" s="5" t="str">
        <f t="shared" si="777"/>
        <v>NO APLICA</v>
      </c>
      <c r="PV209" s="5"/>
      <c r="PW209" s="6"/>
      <c r="PX209" s="6"/>
      <c r="PY209" s="6"/>
      <c r="PZ209" s="5" t="str">
        <f t="shared" si="77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779</v>
      </c>
      <c r="D210" s="30" t="s">
        <v>115</v>
      </c>
      <c r="E210" s="31" t="s">
        <v>650</v>
      </c>
      <c r="F210" s="6"/>
      <c r="G210" s="6"/>
      <c r="H210" s="6"/>
      <c r="I210" s="6"/>
      <c r="J210" s="5" t="str">
        <f t="shared" si="710"/>
        <v>NO APLICA</v>
      </c>
      <c r="K210" s="6"/>
      <c r="L210" s="6"/>
      <c r="M210" s="6"/>
      <c r="N210" s="6"/>
      <c r="O210" s="5" t="str">
        <f t="shared" si="713"/>
        <v>NO APLICA</v>
      </c>
      <c r="P210" s="6"/>
      <c r="Q210" s="6"/>
      <c r="R210" s="6"/>
      <c r="S210" s="6"/>
      <c r="T210" s="5" t="str">
        <f t="shared" si="711"/>
        <v>NO APLICA</v>
      </c>
      <c r="U210" s="5"/>
      <c r="V210" s="6"/>
      <c r="W210" s="4"/>
      <c r="X210" s="4"/>
      <c r="Y210" s="8"/>
      <c r="Z210" s="5" t="str">
        <f t="shared" si="619"/>
        <v>NO APLICA</v>
      </c>
      <c r="AA210" s="5"/>
      <c r="AB210" s="6"/>
      <c r="AC210" s="6"/>
      <c r="AD210" s="6"/>
      <c r="AE210" s="6"/>
      <c r="AF210" s="5" t="str">
        <f t="shared" si="714"/>
        <v>NO APLICA</v>
      </c>
      <c r="AG210" s="4"/>
      <c r="AH210" s="4"/>
      <c r="AI210" s="4"/>
      <c r="AJ210" s="6"/>
      <c r="AK210" s="5" t="str">
        <f t="shared" si="616"/>
        <v>NO APLICA</v>
      </c>
      <c r="AL210" s="4"/>
      <c r="AM210" s="4"/>
      <c r="AN210" s="4"/>
      <c r="AO210" s="6"/>
      <c r="AP210" s="5" t="str">
        <f t="shared" si="715"/>
        <v>NO APLICA</v>
      </c>
      <c r="AQ210" s="4"/>
      <c r="AR210" s="4"/>
      <c r="AS210" s="4"/>
      <c r="AT210" s="6"/>
      <c r="AU210" s="5" t="str">
        <f t="shared" si="716"/>
        <v>NO APLICA</v>
      </c>
      <c r="AV210" s="4"/>
      <c r="AW210" s="4"/>
      <c r="AX210" s="4"/>
      <c r="AY210" s="6"/>
      <c r="AZ210" s="5" t="str">
        <f t="shared" si="717"/>
        <v>NO APLICA</v>
      </c>
      <c r="BA210" s="4"/>
      <c r="BB210" s="4"/>
      <c r="BC210" s="4"/>
      <c r="BD210" s="6"/>
      <c r="BE210" s="5" t="str">
        <f t="shared" si="718"/>
        <v>NO APLICA</v>
      </c>
      <c r="BF210" s="4"/>
      <c r="BG210" s="4"/>
      <c r="BH210" s="4"/>
      <c r="BI210" s="6"/>
      <c r="BJ210" s="5" t="str">
        <f t="shared" si="719"/>
        <v>NO APLICA</v>
      </c>
      <c r="BK210" s="4"/>
      <c r="BL210" s="4"/>
      <c r="BM210" s="4"/>
      <c r="BN210" s="6"/>
      <c r="BO210" s="5" t="str">
        <f t="shared" si="720"/>
        <v>NO APLICA</v>
      </c>
      <c r="BP210" s="4"/>
      <c r="BQ210" s="4"/>
      <c r="BR210" s="4"/>
      <c r="BS210" s="6"/>
      <c r="BT210" s="5" t="str">
        <f t="shared" si="721"/>
        <v>NO APLICA</v>
      </c>
      <c r="BU210" s="4"/>
      <c r="BV210" s="4"/>
      <c r="BW210" s="4"/>
      <c r="BX210" s="6"/>
      <c r="BY210" s="5" t="str">
        <f t="shared" si="722"/>
        <v>NO APLICA</v>
      </c>
      <c r="BZ210" s="4"/>
      <c r="CA210" s="4"/>
      <c r="CB210" s="4"/>
      <c r="CC210" s="6"/>
      <c r="CD210" s="5" t="str">
        <f t="shared" si="723"/>
        <v>NO APLICA</v>
      </c>
      <c r="CE210" s="6"/>
      <c r="CF210" s="6"/>
      <c r="CG210" s="6"/>
      <c r="CH210" s="6"/>
      <c r="CI210" s="5" t="str">
        <f t="shared" si="789"/>
        <v>NO APLICA</v>
      </c>
      <c r="CJ210" s="4"/>
      <c r="CK210" s="4"/>
      <c r="CL210" s="4"/>
      <c r="CM210" s="6"/>
      <c r="CN210" s="5" t="str">
        <f t="shared" si="724"/>
        <v>NO APLICA</v>
      </c>
      <c r="CO210" s="4"/>
      <c r="CP210" s="4"/>
      <c r="CQ210" s="4"/>
      <c r="CR210" s="6"/>
      <c r="CS210" s="5" t="str">
        <f t="shared" si="725"/>
        <v>NO APLICA</v>
      </c>
      <c r="CT210" s="4"/>
      <c r="CU210" s="4"/>
      <c r="CV210" s="4"/>
      <c r="CW210" s="6"/>
      <c r="CX210" s="5" t="str">
        <f t="shared" si="726"/>
        <v>NO APLICA</v>
      </c>
      <c r="CY210" s="4"/>
      <c r="CZ210" s="4"/>
      <c r="DA210" s="4"/>
      <c r="DB210" s="6"/>
      <c r="DC210" s="5" t="str">
        <f t="shared" si="727"/>
        <v>NO APLICA</v>
      </c>
      <c r="DD210" s="4"/>
      <c r="DE210" s="4"/>
      <c r="DF210" s="4"/>
      <c r="DG210" s="6"/>
      <c r="DH210" s="5" t="str">
        <f t="shared" si="728"/>
        <v>NO APLICA</v>
      </c>
      <c r="DI210" s="4"/>
      <c r="DJ210" s="4"/>
      <c r="DK210" s="4"/>
      <c r="DL210" s="6"/>
      <c r="DM210" s="5" t="str">
        <f t="shared" si="729"/>
        <v>NO APLICA</v>
      </c>
      <c r="DN210" s="4"/>
      <c r="DO210" s="4"/>
      <c r="DP210" s="4"/>
      <c r="DQ210" s="6"/>
      <c r="DR210" s="5" t="str">
        <f t="shared" si="730"/>
        <v>NO APLICA</v>
      </c>
      <c r="DS210" s="4"/>
      <c r="DT210" s="4"/>
      <c r="DU210" s="4"/>
      <c r="DV210" s="6"/>
      <c r="DW210" s="5" t="str">
        <f t="shared" si="731"/>
        <v>NO APLICA</v>
      </c>
      <c r="DX210" s="4"/>
      <c r="DY210" s="4"/>
      <c r="DZ210" s="4"/>
      <c r="EA210" s="6"/>
      <c r="EB210" s="5" t="str">
        <f t="shared" si="732"/>
        <v>NO APLICA</v>
      </c>
      <c r="EC210" s="4"/>
      <c r="ED210" s="4"/>
      <c r="EE210" s="4"/>
      <c r="EF210" s="6"/>
      <c r="EG210" s="5" t="str">
        <f t="shared" si="733"/>
        <v>NO APLICA</v>
      </c>
      <c r="EH210" s="4"/>
      <c r="EI210" s="4"/>
      <c r="EJ210" s="4"/>
      <c r="EK210" s="8"/>
      <c r="EL210" s="5" t="str">
        <f t="shared" si="734"/>
        <v>NO APLICA</v>
      </c>
      <c r="EM210" s="4"/>
      <c r="EN210" s="4"/>
      <c r="EO210" s="4"/>
      <c r="EP210" s="8"/>
      <c r="EQ210" s="5" t="str">
        <f t="shared" si="735"/>
        <v>NO APLICA</v>
      </c>
      <c r="ER210" s="4"/>
      <c r="ES210" s="4"/>
      <c r="ET210" s="4"/>
      <c r="EU210" s="8"/>
      <c r="EV210" s="5" t="str">
        <f t="shared" si="736"/>
        <v>NO APLICA</v>
      </c>
      <c r="EW210" s="4"/>
      <c r="EX210" s="4"/>
      <c r="EY210" s="4"/>
      <c r="EZ210" s="6"/>
      <c r="FA210" s="5" t="str">
        <f t="shared" si="737"/>
        <v>NO APLICA</v>
      </c>
      <c r="FB210" s="4"/>
      <c r="FC210" s="4"/>
      <c r="FD210" s="4"/>
      <c r="FE210" s="6"/>
      <c r="FF210" s="5" t="str">
        <f t="shared" si="738"/>
        <v>NO APLICA</v>
      </c>
      <c r="FG210" s="4"/>
      <c r="FH210" s="4"/>
      <c r="FI210" s="4"/>
      <c r="FJ210" s="6"/>
      <c r="FK210" s="5" t="str">
        <f t="shared" si="739"/>
        <v>NO APLICA</v>
      </c>
      <c r="FL210" s="4"/>
      <c r="FM210" s="4"/>
      <c r="FN210" s="4"/>
      <c r="FO210" s="6"/>
      <c r="FP210" s="5" t="str">
        <f t="shared" si="740"/>
        <v>NO APLICA</v>
      </c>
      <c r="FQ210" s="4"/>
      <c r="FR210" s="4"/>
      <c r="FS210" s="4"/>
      <c r="FT210" s="6"/>
      <c r="FU210" s="5" t="str">
        <f t="shared" si="741"/>
        <v>NO APLICA</v>
      </c>
      <c r="FV210" s="4"/>
      <c r="FW210" s="4"/>
      <c r="FX210" s="4"/>
      <c r="FY210" s="6"/>
      <c r="FZ210" s="5" t="str">
        <f t="shared" si="742"/>
        <v>NO APLICA</v>
      </c>
      <c r="GA210" s="4"/>
      <c r="GB210" s="4"/>
      <c r="GC210" s="4"/>
      <c r="GD210" s="6"/>
      <c r="GE210" s="5" t="str">
        <f t="shared" si="743"/>
        <v>NO APLICA</v>
      </c>
      <c r="GF210" s="4"/>
      <c r="GG210" s="4"/>
      <c r="GH210" s="4"/>
      <c r="GI210" s="8"/>
      <c r="GJ210" s="5" t="str">
        <f t="shared" si="744"/>
        <v>NO APLICA</v>
      </c>
      <c r="GK210" s="4"/>
      <c r="GL210" s="6"/>
      <c r="GM210" s="6"/>
      <c r="GN210" s="6"/>
      <c r="GO210" s="5" t="str">
        <f t="shared" si="745"/>
        <v>NO APLICA</v>
      </c>
      <c r="GP210" s="4"/>
      <c r="GQ210" s="6"/>
      <c r="GR210" s="6"/>
      <c r="GS210" s="6"/>
      <c r="GT210" s="5" t="str">
        <f t="shared" si="624"/>
        <v>NO APLICA</v>
      </c>
      <c r="GU210" s="4"/>
      <c r="GV210" s="6"/>
      <c r="GW210" s="6"/>
      <c r="GX210" s="6"/>
      <c r="GY210" s="5" t="str">
        <f t="shared" si="625"/>
        <v>NO APLICA</v>
      </c>
      <c r="GZ210" s="6"/>
      <c r="HA210" s="6"/>
      <c r="HB210" s="6"/>
      <c r="HC210" s="6"/>
      <c r="HD210" s="5" t="str">
        <f t="shared" si="626"/>
        <v>NO APLICA</v>
      </c>
      <c r="HE210" s="6"/>
      <c r="HF210" s="6"/>
      <c r="HG210" s="4"/>
      <c r="HH210" s="8"/>
      <c r="HI210" s="5" t="str">
        <f t="shared" si="712"/>
        <v>NO APLICA</v>
      </c>
      <c r="HJ210" s="6"/>
      <c r="HK210" s="6"/>
      <c r="HL210" s="6"/>
      <c r="HM210" s="6"/>
      <c r="HN210" s="5" t="str">
        <f t="shared" si="708"/>
        <v>NO APLICA</v>
      </c>
      <c r="HO210" s="6"/>
      <c r="HP210" s="6"/>
      <c r="HQ210" s="6"/>
      <c r="HR210" s="6"/>
      <c r="HS210" s="5" t="str">
        <f t="shared" si="746"/>
        <v>NO APLICA</v>
      </c>
      <c r="HT210" s="6"/>
      <c r="HU210" s="6"/>
      <c r="HV210" s="6"/>
      <c r="HW210" s="6"/>
      <c r="HX210" s="5" t="str">
        <f t="shared" si="747"/>
        <v>NO APLICA</v>
      </c>
      <c r="HY210" s="6"/>
      <c r="HZ210" s="6"/>
      <c r="IA210" s="6"/>
      <c r="IB210" s="6"/>
      <c r="IC210" s="5" t="str">
        <f t="shared" si="748"/>
        <v>NO APLICA</v>
      </c>
      <c r="ID210" s="6"/>
      <c r="IE210" s="6"/>
      <c r="IF210" s="6"/>
      <c r="IG210" s="6"/>
      <c r="IH210" s="5" t="str">
        <f t="shared" si="749"/>
        <v>NO APLICA</v>
      </c>
      <c r="II210" s="6"/>
      <c r="IJ210" s="6"/>
      <c r="IK210" s="6"/>
      <c r="IL210" s="6"/>
      <c r="IM210" s="5" t="str">
        <f t="shared" si="750"/>
        <v>NO APLICA</v>
      </c>
      <c r="IN210" s="6"/>
      <c r="IO210" s="6"/>
      <c r="IP210" s="6"/>
      <c r="IQ210" s="6"/>
      <c r="IR210" s="5" t="str">
        <f t="shared" si="751"/>
        <v>NO APLICA</v>
      </c>
      <c r="IS210" s="6"/>
      <c r="IT210" s="6"/>
      <c r="IU210" s="6"/>
      <c r="IV210" s="6"/>
      <c r="IW210" s="5" t="str">
        <f t="shared" si="752"/>
        <v>NO APLICA</v>
      </c>
      <c r="IX210" s="6"/>
      <c r="IY210" s="6"/>
      <c r="IZ210" s="6"/>
      <c r="JA210" s="6"/>
      <c r="JB210" s="5" t="str">
        <f t="shared" si="753"/>
        <v>NO APLICA</v>
      </c>
      <c r="JC210" s="6"/>
      <c r="JD210" s="6"/>
      <c r="JE210" s="6"/>
      <c r="JF210" s="6"/>
      <c r="JG210" s="5" t="str">
        <f t="shared" si="754"/>
        <v>NO APLICA</v>
      </c>
      <c r="JH210" s="6"/>
      <c r="JI210" s="6"/>
      <c r="JJ210" s="6"/>
      <c r="JK210" s="6"/>
      <c r="JL210" s="5" t="str">
        <f t="shared" si="755"/>
        <v>NO APLICA</v>
      </c>
      <c r="JM210" s="6"/>
      <c r="JN210" s="6"/>
      <c r="JO210" s="6"/>
      <c r="JP210" s="6"/>
      <c r="JQ210" s="5" t="str">
        <f t="shared" si="756"/>
        <v>NO APLICA</v>
      </c>
      <c r="JR210" s="6"/>
      <c r="JS210" s="6"/>
      <c r="JT210" s="6"/>
      <c r="JU210" s="6"/>
      <c r="JV210" s="5" t="str">
        <f t="shared" si="757"/>
        <v>NO APLICA</v>
      </c>
      <c r="JW210" s="5"/>
      <c r="JX210" s="5"/>
      <c r="JY210" s="5"/>
      <c r="JZ210" s="5"/>
      <c r="KA210" s="5" t="str">
        <f t="shared" si="758"/>
        <v>NO APLICA</v>
      </c>
      <c r="KB210" s="5"/>
      <c r="KC210" s="6"/>
      <c r="KD210" s="6"/>
      <c r="KE210" s="6"/>
      <c r="KF210" s="5" t="str">
        <f t="shared" si="759"/>
        <v>NO APLICA</v>
      </c>
      <c r="KG210" s="5"/>
      <c r="KH210" s="6"/>
      <c r="KI210" s="6"/>
      <c r="KJ210" s="6"/>
      <c r="KK210" s="5" t="str">
        <f t="shared" si="779"/>
        <v>NO APLICA</v>
      </c>
      <c r="KL210" s="5"/>
      <c r="KM210" s="6"/>
      <c r="KN210" s="6"/>
      <c r="KO210" s="6"/>
      <c r="KP210" s="5" t="str">
        <f t="shared" si="760"/>
        <v>NO APLICA</v>
      </c>
      <c r="KQ210" s="5"/>
      <c r="KR210" s="6"/>
      <c r="KS210" s="6"/>
      <c r="KT210" s="6"/>
      <c r="KU210" s="5" t="str">
        <f t="shared" si="780"/>
        <v>NO APLICA</v>
      </c>
      <c r="KV210" s="6"/>
      <c r="KW210" s="6"/>
      <c r="KX210" s="6"/>
      <c r="KY210" s="6"/>
      <c r="KZ210" s="5" t="str">
        <f t="shared" si="786"/>
        <v>NO APLICA</v>
      </c>
      <c r="LA210" s="5"/>
      <c r="LB210" s="6"/>
      <c r="LC210" s="6"/>
      <c r="LD210" s="6"/>
      <c r="LE210" s="5" t="str">
        <f t="shared" si="781"/>
        <v>NO APLICA</v>
      </c>
      <c r="LF210" s="6"/>
      <c r="LG210" s="6"/>
      <c r="LH210" s="6"/>
      <c r="LI210" s="6"/>
      <c r="LJ210" s="5" t="str">
        <f t="shared" si="614"/>
        <v>NO APLICA</v>
      </c>
      <c r="LK210" s="5"/>
      <c r="LL210" s="5"/>
      <c r="LM210" s="4"/>
      <c r="LN210" s="8"/>
      <c r="LO210" s="5" t="str">
        <f t="shared" si="787"/>
        <v>NO APLICA</v>
      </c>
      <c r="LP210" s="6"/>
      <c r="LQ210" s="6"/>
      <c r="LR210" s="6"/>
      <c r="LS210" s="6"/>
      <c r="LT210" s="5" t="str">
        <f t="shared" si="782"/>
        <v>NO APLICA</v>
      </c>
      <c r="LU210" s="6"/>
      <c r="LV210" s="6"/>
      <c r="LW210" s="6"/>
      <c r="LX210" s="6"/>
      <c r="LY210" s="5" t="str">
        <f t="shared" si="783"/>
        <v>NO APLICA</v>
      </c>
      <c r="LZ210" s="6"/>
      <c r="MA210" s="6"/>
      <c r="MB210" s="6"/>
      <c r="MC210" s="6"/>
      <c r="MD210" s="5" t="str">
        <f t="shared" si="784"/>
        <v>NO APLICA</v>
      </c>
      <c r="ME210" s="6"/>
      <c r="MF210" s="6"/>
      <c r="MG210" s="6"/>
      <c r="MH210" s="6"/>
      <c r="MI210" s="5" t="str">
        <f t="shared" si="761"/>
        <v>NO APLICA</v>
      </c>
      <c r="MJ210" s="6"/>
      <c r="MK210" s="6"/>
      <c r="ML210" s="6"/>
      <c r="MM210" s="6"/>
      <c r="MN210" s="5" t="str">
        <f t="shared" si="762"/>
        <v>NO APLICA</v>
      </c>
      <c r="MO210" s="5"/>
      <c r="MP210" s="6"/>
      <c r="MQ210" s="6"/>
      <c r="MR210" s="6"/>
      <c r="MS210" s="5" t="str">
        <f t="shared" si="763"/>
        <v>NO APLICA</v>
      </c>
      <c r="MT210" s="5"/>
      <c r="MU210" s="6"/>
      <c r="MV210" s="6"/>
      <c r="MW210" s="6"/>
      <c r="MX210" s="5" t="str">
        <f t="shared" si="764"/>
        <v>NO APLICA</v>
      </c>
      <c r="MY210" s="6"/>
      <c r="MZ210" s="6"/>
      <c r="NA210" s="6"/>
      <c r="NB210" s="6"/>
      <c r="NC210" s="5" t="str">
        <f t="shared" si="765"/>
        <v>NO APLICA</v>
      </c>
      <c r="ND210" s="6"/>
      <c r="NE210" s="6"/>
      <c r="NF210" s="6"/>
      <c r="NG210" s="6"/>
      <c r="NH210" s="5" t="str">
        <f t="shared" si="766"/>
        <v>NO APLICA</v>
      </c>
      <c r="NI210" s="6"/>
      <c r="NJ210" s="6"/>
      <c r="NK210" s="6"/>
      <c r="NL210" s="6"/>
      <c r="NM210" s="5" t="str">
        <f t="shared" si="767"/>
        <v>NO APLICA</v>
      </c>
      <c r="NN210" s="6"/>
      <c r="NO210" s="6"/>
      <c r="NP210" s="6"/>
      <c r="NQ210" s="6"/>
      <c r="NR210" s="5" t="str">
        <f t="shared" si="768"/>
        <v>NO APLICA</v>
      </c>
      <c r="NS210" s="6"/>
      <c r="NT210" s="6"/>
      <c r="NU210" s="6"/>
      <c r="NV210" s="6"/>
      <c r="NW210" s="5" t="str">
        <f t="shared" si="769"/>
        <v>NO APLICA</v>
      </c>
      <c r="NX210" s="6"/>
      <c r="NY210" s="6"/>
      <c r="NZ210" s="6"/>
      <c r="OA210" s="6"/>
      <c r="OB210" s="5" t="str">
        <f t="shared" si="770"/>
        <v>NO APLICA</v>
      </c>
      <c r="OC210" s="6"/>
      <c r="OD210" s="6"/>
      <c r="OE210" s="6"/>
      <c r="OF210" s="6"/>
      <c r="OG210" s="5" t="str">
        <f t="shared" si="771"/>
        <v>NO APLICA</v>
      </c>
      <c r="OH210" s="6"/>
      <c r="OI210" s="6"/>
      <c r="OJ210" s="6"/>
      <c r="OK210" s="6"/>
      <c r="OL210" s="5" t="str">
        <f t="shared" si="772"/>
        <v>NO APLICA</v>
      </c>
      <c r="OM210" s="6"/>
      <c r="ON210" s="6"/>
      <c r="OO210" s="6"/>
      <c r="OP210" s="6"/>
      <c r="OQ210" s="5" t="str">
        <f t="shared" si="773"/>
        <v>NO APLICA</v>
      </c>
      <c r="OR210" s="6"/>
      <c r="OS210" s="6"/>
      <c r="OT210" s="6"/>
      <c r="OU210" s="6"/>
      <c r="OV210" s="5" t="str">
        <f t="shared" si="774"/>
        <v>NO APLICA</v>
      </c>
      <c r="OW210" s="6"/>
      <c r="OX210" s="6"/>
      <c r="OY210" s="6"/>
      <c r="OZ210" s="6"/>
      <c r="PA210" s="5" t="str">
        <f t="shared" si="788"/>
        <v>NO APLICA</v>
      </c>
      <c r="PB210" s="6"/>
      <c r="PC210" s="6"/>
      <c r="PD210" s="6"/>
      <c r="PE210" s="6"/>
      <c r="PF210" s="5" t="str">
        <f t="shared" si="775"/>
        <v>NO APLICA</v>
      </c>
      <c r="PG210" s="6"/>
      <c r="PH210" s="6"/>
      <c r="PI210" s="6"/>
      <c r="PJ210" s="6"/>
      <c r="PK210" s="5" t="str">
        <f t="shared" si="776"/>
        <v>NO APLICA</v>
      </c>
      <c r="PL210" s="5"/>
      <c r="PM210" s="6"/>
      <c r="PN210" s="6"/>
      <c r="PO210" s="6"/>
      <c r="PP210" s="5" t="str">
        <f t="shared" si="785"/>
        <v>NO APLICA</v>
      </c>
      <c r="PQ210" s="6"/>
      <c r="PR210" s="6"/>
      <c r="PS210" s="6"/>
      <c r="PT210" s="6"/>
      <c r="PU210" s="5" t="str">
        <f t="shared" si="777"/>
        <v>NO APLICA</v>
      </c>
      <c r="PV210" s="5"/>
      <c r="PW210" s="6"/>
      <c r="PX210" s="6"/>
      <c r="PY210" s="6"/>
      <c r="PZ210" s="5" t="str">
        <f t="shared" si="77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651</v>
      </c>
      <c r="D211" s="30" t="s">
        <v>115</v>
      </c>
      <c r="E211" s="31" t="s">
        <v>609</v>
      </c>
      <c r="F211" s="3"/>
      <c r="G211" s="4"/>
      <c r="H211" s="4"/>
      <c r="I211" s="8"/>
      <c r="J211" s="5" t="str">
        <f t="shared" si="710"/>
        <v>NO APLICA</v>
      </c>
      <c r="K211" s="2"/>
      <c r="L211" s="2"/>
      <c r="M211" s="2"/>
      <c r="N211" s="2"/>
      <c r="O211" s="5" t="str">
        <f t="shared" si="713"/>
        <v>NO APLICA</v>
      </c>
      <c r="P211" s="6"/>
      <c r="Q211" s="6"/>
      <c r="R211" s="4"/>
      <c r="S211" s="8"/>
      <c r="T211" s="5" t="str">
        <f t="shared" si="711"/>
        <v>NO APLICA</v>
      </c>
      <c r="U211" s="5"/>
      <c r="V211" s="2"/>
      <c r="W211" s="4"/>
      <c r="X211" s="4"/>
      <c r="Y211" s="8"/>
      <c r="Z211" s="5" t="str">
        <f t="shared" si="619"/>
        <v>NO APLICA</v>
      </c>
      <c r="AA211" s="5"/>
      <c r="AB211" s="2"/>
      <c r="AC211" s="6"/>
      <c r="AD211" s="4"/>
      <c r="AE211" s="8"/>
      <c r="AF211" s="5" t="str">
        <f t="shared" si="714"/>
        <v>NO APLICA</v>
      </c>
      <c r="AG211" s="2"/>
      <c r="AH211" s="4"/>
      <c r="AI211" s="4"/>
      <c r="AJ211" s="8"/>
      <c r="AK211" s="5" t="str">
        <f t="shared" si="616"/>
        <v>NO APLICA</v>
      </c>
      <c r="AL211" s="2"/>
      <c r="AM211" s="4"/>
      <c r="AN211" s="4"/>
      <c r="AO211" s="8"/>
      <c r="AP211" s="5" t="str">
        <f t="shared" si="715"/>
        <v>NO APLICA</v>
      </c>
      <c r="AQ211" s="2"/>
      <c r="AR211" s="4"/>
      <c r="AS211" s="4"/>
      <c r="AT211" s="8"/>
      <c r="AU211" s="5" t="str">
        <f t="shared" si="716"/>
        <v>NO APLICA</v>
      </c>
      <c r="AV211" s="2"/>
      <c r="AW211" s="4"/>
      <c r="AX211" s="4"/>
      <c r="AY211" s="8"/>
      <c r="AZ211" s="5" t="str">
        <f t="shared" si="717"/>
        <v>NO APLICA</v>
      </c>
      <c r="BA211" s="3"/>
      <c r="BB211" s="4"/>
      <c r="BC211" s="4"/>
      <c r="BD211" s="8"/>
      <c r="BE211" s="5" t="str">
        <f t="shared" si="718"/>
        <v>NO APLICA</v>
      </c>
      <c r="BF211" s="2"/>
      <c r="BG211" s="4"/>
      <c r="BH211" s="4"/>
      <c r="BI211" s="8"/>
      <c r="BJ211" s="5" t="str">
        <f t="shared" si="719"/>
        <v>NO APLICA</v>
      </c>
      <c r="BK211" s="3"/>
      <c r="BL211" s="4"/>
      <c r="BM211" s="4"/>
      <c r="BN211" s="8"/>
      <c r="BO211" s="5" t="str">
        <f t="shared" si="720"/>
        <v>NO APLICA</v>
      </c>
      <c r="BP211" s="3"/>
      <c r="BQ211" s="4"/>
      <c r="BR211" s="4"/>
      <c r="BS211" s="8"/>
      <c r="BT211" s="5" t="str">
        <f t="shared" si="721"/>
        <v>NO APLICA</v>
      </c>
      <c r="BU211" s="2"/>
      <c r="BV211" s="4"/>
      <c r="BW211" s="4"/>
      <c r="BX211" s="8"/>
      <c r="BY211" s="5" t="str">
        <f t="shared" si="722"/>
        <v>NO APLICA</v>
      </c>
      <c r="BZ211" s="2"/>
      <c r="CA211" s="4"/>
      <c r="CB211" s="4"/>
      <c r="CC211" s="8"/>
      <c r="CD211" s="5" t="str">
        <f t="shared" si="723"/>
        <v>NO APLICA</v>
      </c>
      <c r="CE211" s="6"/>
      <c r="CF211" s="4"/>
      <c r="CG211" s="4"/>
      <c r="CH211" s="8"/>
      <c r="CI211" s="5" t="str">
        <f t="shared" si="789"/>
        <v>NO APLICA</v>
      </c>
      <c r="CJ211" s="6"/>
      <c r="CK211" s="4"/>
      <c r="CL211" s="4"/>
      <c r="CM211" s="8"/>
      <c r="CN211" s="5" t="str">
        <f t="shared" si="724"/>
        <v>NO APLICA</v>
      </c>
      <c r="CO211" s="2"/>
      <c r="CP211" s="4"/>
      <c r="CQ211" s="4"/>
      <c r="CR211" s="8"/>
      <c r="CS211" s="5" t="str">
        <f t="shared" si="725"/>
        <v>NO APLICA</v>
      </c>
      <c r="CT211" s="2"/>
      <c r="CU211" s="4"/>
      <c r="CV211" s="4"/>
      <c r="CW211" s="8"/>
      <c r="CX211" s="5" t="str">
        <f t="shared" si="726"/>
        <v>NO APLICA</v>
      </c>
      <c r="CY211" s="3"/>
      <c r="CZ211" s="4"/>
      <c r="DA211" s="4"/>
      <c r="DB211" s="8"/>
      <c r="DC211" s="5" t="str">
        <f t="shared" si="727"/>
        <v>NO APLICA</v>
      </c>
      <c r="DD211" s="3"/>
      <c r="DE211" s="4"/>
      <c r="DF211" s="4"/>
      <c r="DG211" s="8"/>
      <c r="DH211" s="5" t="str">
        <f t="shared" si="728"/>
        <v>NO APLICA</v>
      </c>
      <c r="DI211" s="2"/>
      <c r="DJ211" s="4"/>
      <c r="DK211" s="4"/>
      <c r="DL211" s="8"/>
      <c r="DM211" s="5" t="str">
        <f t="shared" si="729"/>
        <v>NO APLICA</v>
      </c>
      <c r="DN211" s="3"/>
      <c r="DO211" s="4"/>
      <c r="DP211" s="4"/>
      <c r="DQ211" s="8"/>
      <c r="DR211" s="5" t="str">
        <f t="shared" si="730"/>
        <v>NO APLICA</v>
      </c>
      <c r="DS211" s="2"/>
      <c r="DT211" s="4"/>
      <c r="DU211" s="4"/>
      <c r="DV211" s="8"/>
      <c r="DW211" s="5" t="str">
        <f t="shared" si="731"/>
        <v>NO APLICA</v>
      </c>
      <c r="DX211" s="3"/>
      <c r="DY211" s="4"/>
      <c r="DZ211" s="4"/>
      <c r="EA211" s="8"/>
      <c r="EB211" s="5" t="str">
        <f t="shared" si="732"/>
        <v>NO APLICA</v>
      </c>
      <c r="EC211" s="3"/>
      <c r="ED211" s="4"/>
      <c r="EE211" s="4"/>
      <c r="EF211" s="8"/>
      <c r="EG211" s="5" t="str">
        <f t="shared" si="733"/>
        <v>NO APLICA</v>
      </c>
      <c r="EH211" s="2"/>
      <c r="EI211" s="4"/>
      <c r="EJ211" s="4"/>
      <c r="EK211" s="8"/>
      <c r="EL211" s="5" t="str">
        <f t="shared" si="734"/>
        <v>NO APLICA</v>
      </c>
      <c r="EM211" s="3"/>
      <c r="EN211" s="4"/>
      <c r="EO211" s="4"/>
      <c r="EP211" s="8"/>
      <c r="EQ211" s="5" t="str">
        <f t="shared" si="735"/>
        <v>NO APLICA</v>
      </c>
      <c r="ER211" s="2"/>
      <c r="ES211" s="4"/>
      <c r="ET211" s="4"/>
      <c r="EU211" s="8"/>
      <c r="EV211" s="5" t="str">
        <f t="shared" si="736"/>
        <v>NO APLICA</v>
      </c>
      <c r="EW211" s="2"/>
      <c r="EX211" s="4"/>
      <c r="EY211" s="4"/>
      <c r="EZ211" s="8"/>
      <c r="FA211" s="5" t="str">
        <f t="shared" si="737"/>
        <v>NO APLICA</v>
      </c>
      <c r="FB211" s="2"/>
      <c r="FC211" s="4"/>
      <c r="FD211" s="4"/>
      <c r="FE211" s="8"/>
      <c r="FF211" s="5" t="str">
        <f t="shared" si="738"/>
        <v>NO APLICA</v>
      </c>
      <c r="FG211" s="2"/>
      <c r="FH211" s="4"/>
      <c r="FI211" s="4"/>
      <c r="FJ211" s="8"/>
      <c r="FK211" s="5" t="str">
        <f t="shared" si="739"/>
        <v>NO APLICA</v>
      </c>
      <c r="FL211" s="3"/>
      <c r="FM211" s="4"/>
      <c r="FN211" s="4"/>
      <c r="FO211" s="8"/>
      <c r="FP211" s="5" t="str">
        <f t="shared" si="740"/>
        <v>NO APLICA</v>
      </c>
      <c r="FQ211" s="3"/>
      <c r="FR211" s="4"/>
      <c r="FS211" s="4"/>
      <c r="FT211" s="8"/>
      <c r="FU211" s="5" t="str">
        <f t="shared" si="741"/>
        <v>NO APLICA</v>
      </c>
      <c r="FV211" s="3"/>
      <c r="FW211" s="4"/>
      <c r="FX211" s="4"/>
      <c r="FY211" s="8"/>
      <c r="FZ211" s="5" t="str">
        <f t="shared" si="742"/>
        <v>NO APLICA</v>
      </c>
      <c r="GA211" s="3"/>
      <c r="GB211" s="4"/>
      <c r="GC211" s="4"/>
      <c r="GD211" s="8"/>
      <c r="GE211" s="5" t="str">
        <f t="shared" si="743"/>
        <v>NO APLICA</v>
      </c>
      <c r="GF211" s="3"/>
      <c r="GG211" s="4"/>
      <c r="GH211" s="4"/>
      <c r="GI211" s="8"/>
      <c r="GJ211" s="5" t="str">
        <f t="shared" si="744"/>
        <v>NO APLICA</v>
      </c>
      <c r="GK211" s="3"/>
      <c r="GL211" s="4"/>
      <c r="GM211" s="4"/>
      <c r="GN211" s="8"/>
      <c r="GO211" s="5" t="str">
        <f t="shared" si="745"/>
        <v>NO APLICA</v>
      </c>
      <c r="GP211" s="4"/>
      <c r="GQ211" s="4"/>
      <c r="GR211" s="4"/>
      <c r="GS211" s="8"/>
      <c r="GT211" s="5" t="str">
        <f t="shared" si="624"/>
        <v>NO APLICA</v>
      </c>
      <c r="GU211" s="3"/>
      <c r="GV211" s="4"/>
      <c r="GW211" s="4"/>
      <c r="GX211" s="8"/>
      <c r="GY211" s="5" t="str">
        <f t="shared" si="625"/>
        <v>NO APLICA</v>
      </c>
      <c r="GZ211" s="2"/>
      <c r="HA211" s="4"/>
      <c r="HB211" s="4"/>
      <c r="HC211" s="8"/>
      <c r="HD211" s="5" t="str">
        <f t="shared" si="626"/>
        <v>NO APLICA</v>
      </c>
      <c r="HE211" s="6"/>
      <c r="HF211" s="6"/>
      <c r="HG211" s="4"/>
      <c r="HH211" s="8"/>
      <c r="HI211" s="5" t="str">
        <f t="shared" si="712"/>
        <v>NO APLICA</v>
      </c>
      <c r="HJ211" s="2"/>
      <c r="HK211" s="6"/>
      <c r="HL211" s="4"/>
      <c r="HM211" s="8"/>
      <c r="HN211" s="5" t="str">
        <f t="shared" si="708"/>
        <v>NO APLICA</v>
      </c>
      <c r="HO211" s="2"/>
      <c r="HP211" s="2"/>
      <c r="HQ211" s="4"/>
      <c r="HR211" s="2"/>
      <c r="HS211" s="5" t="str">
        <f t="shared" si="746"/>
        <v>NO APLICA</v>
      </c>
      <c r="HT211" s="2"/>
      <c r="HU211" s="6"/>
      <c r="HV211" s="4"/>
      <c r="HW211" s="8"/>
      <c r="HX211" s="5" t="str">
        <f t="shared" si="747"/>
        <v>NO APLICA</v>
      </c>
      <c r="HY211" s="2"/>
      <c r="HZ211" s="6"/>
      <c r="IA211" s="4"/>
      <c r="IB211" s="8"/>
      <c r="IC211" s="5" t="str">
        <f t="shared" si="748"/>
        <v>NO APLICA</v>
      </c>
      <c r="ID211" s="2"/>
      <c r="IE211" s="6"/>
      <c r="IF211" s="4"/>
      <c r="IG211" s="8"/>
      <c r="IH211" s="5" t="str">
        <f t="shared" si="749"/>
        <v>NO APLICA</v>
      </c>
      <c r="II211" s="6"/>
      <c r="IJ211" s="6"/>
      <c r="IK211" s="4"/>
      <c r="IL211" s="8"/>
      <c r="IM211" s="5" t="str">
        <f t="shared" si="750"/>
        <v>NO APLICA</v>
      </c>
      <c r="IN211" s="2"/>
      <c r="IO211" s="6"/>
      <c r="IP211" s="4"/>
      <c r="IQ211" s="8"/>
      <c r="IR211" s="5" t="str">
        <f t="shared" si="751"/>
        <v>NO APLICA</v>
      </c>
      <c r="IS211" s="2"/>
      <c r="IT211" s="6"/>
      <c r="IU211" s="4"/>
      <c r="IV211" s="8"/>
      <c r="IW211" s="5" t="str">
        <f t="shared" si="752"/>
        <v>NO APLICA</v>
      </c>
      <c r="IX211" s="2"/>
      <c r="IY211" s="6"/>
      <c r="IZ211" s="4"/>
      <c r="JA211" s="8"/>
      <c r="JB211" s="5" t="str">
        <f t="shared" si="753"/>
        <v>NO APLICA</v>
      </c>
      <c r="JC211" s="3"/>
      <c r="JD211" s="3"/>
      <c r="JE211" s="4"/>
      <c r="JF211" s="8"/>
      <c r="JG211" s="5" t="str">
        <f t="shared" si="754"/>
        <v>NO APLICA</v>
      </c>
      <c r="JH211" s="6"/>
      <c r="JI211" s="6"/>
      <c r="JJ211" s="6"/>
      <c r="JK211" s="6"/>
      <c r="JL211" s="5" t="str">
        <f t="shared" si="755"/>
        <v>NO APLICA</v>
      </c>
      <c r="JM211" s="6"/>
      <c r="JN211" s="6"/>
      <c r="JO211" s="6"/>
      <c r="JP211" s="6"/>
      <c r="JQ211" s="5" t="str">
        <f t="shared" si="756"/>
        <v>NO APLICA</v>
      </c>
      <c r="JR211" s="6"/>
      <c r="JS211" s="6"/>
      <c r="JT211" s="6"/>
      <c r="JU211" s="6"/>
      <c r="JV211" s="5" t="str">
        <f t="shared" si="757"/>
        <v>NO APLICA</v>
      </c>
      <c r="JW211" s="5"/>
      <c r="JX211" s="5"/>
      <c r="JY211" s="5"/>
      <c r="JZ211" s="5"/>
      <c r="KA211" s="5" t="str">
        <f t="shared" si="758"/>
        <v>NO APLICA</v>
      </c>
      <c r="KB211" s="5"/>
      <c r="KC211" s="2"/>
      <c r="KD211" s="4"/>
      <c r="KE211" s="8"/>
      <c r="KF211" s="5" t="str">
        <f t="shared" si="759"/>
        <v>NO APLICA</v>
      </c>
      <c r="KG211" s="5"/>
      <c r="KH211" s="2"/>
      <c r="KI211" s="4"/>
      <c r="KJ211" s="8"/>
      <c r="KK211" s="5" t="str">
        <f t="shared" si="779"/>
        <v>NO APLICA</v>
      </c>
      <c r="KL211" s="5"/>
      <c r="KM211" s="2"/>
      <c r="KN211" s="4"/>
      <c r="KO211" s="8"/>
      <c r="KP211" s="5" t="str">
        <f t="shared" si="760"/>
        <v>NO APLICA</v>
      </c>
      <c r="KQ211" s="5"/>
      <c r="KR211" s="2"/>
      <c r="KS211" s="4"/>
      <c r="KT211" s="8"/>
      <c r="KU211" s="5" t="str">
        <f t="shared" si="780"/>
        <v>NO APLICA</v>
      </c>
      <c r="KV211" s="2"/>
      <c r="KW211" s="6"/>
      <c r="KX211" s="4"/>
      <c r="KY211" s="8"/>
      <c r="KZ211" s="5" t="str">
        <f t="shared" si="786"/>
        <v>NO APLICA</v>
      </c>
      <c r="LA211" s="5"/>
      <c r="LB211" s="6"/>
      <c r="LC211" s="4"/>
      <c r="LD211" s="8"/>
      <c r="LE211" s="5" t="str">
        <f t="shared" si="781"/>
        <v>NO APLICA</v>
      </c>
      <c r="LF211" s="6"/>
      <c r="LG211" s="6"/>
      <c r="LH211" s="4"/>
      <c r="LI211" s="8"/>
      <c r="LJ211" s="5" t="str">
        <f t="shared" si="614"/>
        <v>NO APLICA</v>
      </c>
      <c r="LK211" s="5"/>
      <c r="LL211" s="5"/>
      <c r="LM211" s="4"/>
      <c r="LN211" s="8"/>
      <c r="LO211" s="5" t="str">
        <f t="shared" si="787"/>
        <v>NO APLICA</v>
      </c>
      <c r="LP211" s="2"/>
      <c r="LQ211" s="6"/>
      <c r="LR211" s="4"/>
      <c r="LS211" s="8"/>
      <c r="LT211" s="5" t="str">
        <f t="shared" si="782"/>
        <v>NO APLICA</v>
      </c>
      <c r="LU211" s="6"/>
      <c r="LV211" s="6"/>
      <c r="LW211" s="4"/>
      <c r="LX211" s="8"/>
      <c r="LY211" s="5" t="str">
        <f t="shared" si="783"/>
        <v>NO APLICA</v>
      </c>
      <c r="LZ211" s="6"/>
      <c r="MA211" s="6"/>
      <c r="MB211" s="4"/>
      <c r="MC211" s="8"/>
      <c r="MD211" s="5" t="str">
        <f t="shared" si="784"/>
        <v>NO APLICA</v>
      </c>
      <c r="ME211" s="2"/>
      <c r="MF211" s="2"/>
      <c r="MG211" s="4"/>
      <c r="MH211" s="8"/>
      <c r="MI211" s="5" t="str">
        <f t="shared" si="761"/>
        <v>NO APLICA</v>
      </c>
      <c r="MJ211" s="2"/>
      <c r="MK211" s="2"/>
      <c r="ML211" s="4"/>
      <c r="MM211" s="8"/>
      <c r="MN211" s="5" t="str">
        <f t="shared" si="762"/>
        <v>NO APLICA</v>
      </c>
      <c r="MO211" s="5"/>
      <c r="MP211" s="2"/>
      <c r="MQ211" s="4"/>
      <c r="MR211" s="8"/>
      <c r="MS211" s="5" t="str">
        <f t="shared" si="763"/>
        <v>NO APLICA</v>
      </c>
      <c r="MT211" s="5"/>
      <c r="MU211" s="2"/>
      <c r="MV211" s="4"/>
      <c r="MW211" s="2"/>
      <c r="MX211" s="5" t="str">
        <f t="shared" si="764"/>
        <v>NO APLICA</v>
      </c>
      <c r="MY211" s="2"/>
      <c r="MZ211" s="6"/>
      <c r="NA211" s="4"/>
      <c r="NB211" s="8"/>
      <c r="NC211" s="5" t="str">
        <f t="shared" si="765"/>
        <v>NO APLICA</v>
      </c>
      <c r="ND211" s="2"/>
      <c r="NE211" s="6"/>
      <c r="NF211" s="4"/>
      <c r="NG211" s="8"/>
      <c r="NH211" s="5" t="str">
        <f t="shared" si="766"/>
        <v>NO APLICA</v>
      </c>
      <c r="NI211" s="2"/>
      <c r="NJ211" s="6"/>
      <c r="NK211" s="4"/>
      <c r="NL211" s="8"/>
      <c r="NM211" s="5" t="str">
        <f t="shared" si="767"/>
        <v>NO APLICA</v>
      </c>
      <c r="NN211" s="2"/>
      <c r="NO211" s="2"/>
      <c r="NP211" s="4"/>
      <c r="NQ211" s="8"/>
      <c r="NR211" s="5" t="str">
        <f t="shared" si="768"/>
        <v>NO APLICA</v>
      </c>
      <c r="NS211" s="2"/>
      <c r="NT211" s="2"/>
      <c r="NU211" s="4"/>
      <c r="NV211" s="2"/>
      <c r="NW211" s="5" t="str">
        <f t="shared" si="769"/>
        <v>NO APLICA</v>
      </c>
      <c r="NX211" s="6"/>
      <c r="NY211" s="6"/>
      <c r="NZ211" s="4"/>
      <c r="OA211" s="8"/>
      <c r="OB211" s="5" t="str">
        <f t="shared" si="770"/>
        <v>NO APLICA</v>
      </c>
      <c r="OC211" s="6"/>
      <c r="OD211" s="6"/>
      <c r="OE211" s="6"/>
      <c r="OF211" s="6"/>
      <c r="OG211" s="5" t="str">
        <f t="shared" si="771"/>
        <v>NO APLICA</v>
      </c>
      <c r="OH211" s="6"/>
      <c r="OI211" s="6"/>
      <c r="OJ211" s="4"/>
      <c r="OK211" s="8"/>
      <c r="OL211" s="5" t="str">
        <f t="shared" si="772"/>
        <v>NO APLICA</v>
      </c>
      <c r="OM211" s="6"/>
      <c r="ON211" s="6"/>
      <c r="OO211" s="6"/>
      <c r="OP211" s="6"/>
      <c r="OQ211" s="5" t="str">
        <f t="shared" si="773"/>
        <v>NO APLICA</v>
      </c>
      <c r="OR211" s="6"/>
      <c r="OS211" s="6"/>
      <c r="OT211" s="6"/>
      <c r="OU211" s="6"/>
      <c r="OV211" s="5" t="str">
        <f t="shared" si="774"/>
        <v>NO APLICA</v>
      </c>
      <c r="OW211" s="6"/>
      <c r="OX211" s="6"/>
      <c r="OY211" s="6"/>
      <c r="OZ211" s="6"/>
      <c r="PA211" s="5" t="str">
        <f t="shared" si="788"/>
        <v>NO APLICA</v>
      </c>
      <c r="PB211" s="6"/>
      <c r="PC211" s="6"/>
      <c r="PD211" s="6"/>
      <c r="PE211" s="6"/>
      <c r="PF211" s="5" t="str">
        <f t="shared" si="775"/>
        <v>NO APLICA</v>
      </c>
      <c r="PG211" s="6"/>
      <c r="PH211" s="6"/>
      <c r="PI211" s="6"/>
      <c r="PJ211" s="6"/>
      <c r="PK211" s="5" t="str">
        <f t="shared" si="776"/>
        <v>NO APLICA</v>
      </c>
      <c r="PL211" s="5"/>
      <c r="PM211" s="6"/>
      <c r="PN211" s="4"/>
      <c r="PO211" s="8"/>
      <c r="PP211" s="5" t="str">
        <f t="shared" si="785"/>
        <v>NO APLICA</v>
      </c>
      <c r="PQ211" s="6"/>
      <c r="PR211" s="6"/>
      <c r="PS211" s="6"/>
      <c r="PT211" s="6"/>
      <c r="PU211" s="5" t="str">
        <f t="shared" si="77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7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652</v>
      </c>
      <c r="D212" s="30" t="s">
        <v>69</v>
      </c>
      <c r="E212" s="31" t="s">
        <v>188</v>
      </c>
      <c r="F212" s="6"/>
      <c r="G212" s="6"/>
      <c r="H212" s="6"/>
      <c r="I212" s="6"/>
      <c r="J212" s="5" t="str">
        <f t="shared" si="710"/>
        <v>NO APLICA</v>
      </c>
      <c r="K212" s="6"/>
      <c r="L212" s="6"/>
      <c r="M212" s="6"/>
      <c r="N212" s="6"/>
      <c r="O212" s="5" t="str">
        <f t="shared" si="713"/>
        <v>NO APLICA</v>
      </c>
      <c r="P212" s="6"/>
      <c r="Q212" s="6"/>
      <c r="R212" s="6"/>
      <c r="S212" s="6"/>
      <c r="T212" s="5" t="str">
        <f t="shared" si="711"/>
        <v>NO APLICA</v>
      </c>
      <c r="U212" s="5"/>
      <c r="V212" s="6" t="s">
        <v>653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654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714"/>
        <v>VIGENTE</v>
      </c>
      <c r="AG212" s="4"/>
      <c r="AH212" s="4"/>
      <c r="AI212" s="4"/>
      <c r="AJ212" s="6"/>
      <c r="AK212" s="5" t="str">
        <f t="shared" si="616"/>
        <v>NO APLICA</v>
      </c>
      <c r="AL212" s="4"/>
      <c r="AM212" s="4"/>
      <c r="AN212" s="4"/>
      <c r="AO212" s="6"/>
      <c r="AP212" s="5" t="str">
        <f t="shared" si="715"/>
        <v>NO APLICA</v>
      </c>
      <c r="AQ212" s="4"/>
      <c r="AR212" s="4"/>
      <c r="AS212" s="4"/>
      <c r="AT212" s="6"/>
      <c r="AU212" s="5" t="str">
        <f t="shared" si="716"/>
        <v>NO APLICA</v>
      </c>
      <c r="AV212" s="4"/>
      <c r="AW212" s="4"/>
      <c r="AX212" s="4"/>
      <c r="AY212" s="6"/>
      <c r="AZ212" s="5" t="str">
        <f t="shared" si="717"/>
        <v>NO APLICA</v>
      </c>
      <c r="BA212" s="4"/>
      <c r="BB212" s="4"/>
      <c r="BC212" s="4"/>
      <c r="BD212" s="6"/>
      <c r="BE212" s="5" t="str">
        <f t="shared" si="718"/>
        <v>NO APLICA</v>
      </c>
      <c r="BF212" s="4"/>
      <c r="BG212" s="4"/>
      <c r="BH212" s="4"/>
      <c r="BI212" s="6"/>
      <c r="BJ212" s="5" t="str">
        <f t="shared" si="719"/>
        <v>NO APLICA</v>
      </c>
      <c r="BK212" s="4"/>
      <c r="BL212" s="4"/>
      <c r="BM212" s="4"/>
      <c r="BN212" s="6"/>
      <c r="BO212" s="5" t="str">
        <f t="shared" si="720"/>
        <v>NO APLICA</v>
      </c>
      <c r="BP212" s="4"/>
      <c r="BQ212" s="4"/>
      <c r="BR212" s="4"/>
      <c r="BS212" s="6"/>
      <c r="BT212" s="5" t="str">
        <f t="shared" si="721"/>
        <v>NO APLICA</v>
      </c>
      <c r="BU212" s="4"/>
      <c r="BV212" s="4"/>
      <c r="BW212" s="4"/>
      <c r="BX212" s="6"/>
      <c r="BY212" s="5" t="str">
        <f t="shared" si="722"/>
        <v>NO APLICA</v>
      </c>
      <c r="BZ212" s="4"/>
      <c r="CA212" s="4"/>
      <c r="CB212" s="4"/>
      <c r="CC212" s="6"/>
      <c r="CD212" s="5" t="str">
        <f t="shared" si="723"/>
        <v>NO APLICA</v>
      </c>
      <c r="CE212" s="6" t="s">
        <v>323</v>
      </c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4"/>
        <v>NO APLICA</v>
      </c>
      <c r="CO212" s="4"/>
      <c r="CP212" s="4"/>
      <c r="CQ212" s="4"/>
      <c r="CR212" s="6"/>
      <c r="CS212" s="5" t="str">
        <f t="shared" si="725"/>
        <v>NO APLICA</v>
      </c>
      <c r="CT212" s="4"/>
      <c r="CU212" s="4"/>
      <c r="CV212" s="4"/>
      <c r="CW212" s="6"/>
      <c r="CX212" s="5" t="str">
        <f t="shared" si="726"/>
        <v>NO APLICA</v>
      </c>
      <c r="CY212" s="4"/>
      <c r="CZ212" s="4"/>
      <c r="DA212" s="4"/>
      <c r="DB212" s="6"/>
      <c r="DC212" s="5" t="str">
        <f t="shared" si="727"/>
        <v>NO APLICA</v>
      </c>
      <c r="DD212" s="4"/>
      <c r="DE212" s="4"/>
      <c r="DF212" s="4"/>
      <c r="DG212" s="6"/>
      <c r="DH212" s="5" t="str">
        <f t="shared" si="728"/>
        <v>NO APLICA</v>
      </c>
      <c r="DI212" s="4"/>
      <c r="DJ212" s="4"/>
      <c r="DK212" s="4"/>
      <c r="DL212" s="6"/>
      <c r="DM212" s="5" t="str">
        <f t="shared" si="729"/>
        <v>NO APLICA</v>
      </c>
      <c r="DN212" s="4"/>
      <c r="DO212" s="4"/>
      <c r="DP212" s="4"/>
      <c r="DQ212" s="6"/>
      <c r="DR212" s="5" t="str">
        <f t="shared" si="730"/>
        <v>NO APLICA</v>
      </c>
      <c r="DS212" s="4"/>
      <c r="DT212" s="4"/>
      <c r="DU212" s="4"/>
      <c r="DV212" s="6"/>
      <c r="DW212" s="5" t="str">
        <f t="shared" si="731"/>
        <v>NO APLICA</v>
      </c>
      <c r="DX212" s="4"/>
      <c r="DY212" s="4"/>
      <c r="DZ212" s="4"/>
      <c r="EA212" s="6"/>
      <c r="EB212" s="5" t="str">
        <f t="shared" si="732"/>
        <v>NO APLICA</v>
      </c>
      <c r="EC212" s="4"/>
      <c r="ED212" s="4"/>
      <c r="EE212" s="4"/>
      <c r="EF212" s="6"/>
      <c r="EG212" s="5" t="str">
        <f t="shared" si="733"/>
        <v>NO APLICA</v>
      </c>
      <c r="EH212" s="4"/>
      <c r="EI212" s="4"/>
      <c r="EJ212" s="4"/>
      <c r="EK212" s="8"/>
      <c r="EL212" s="5" t="str">
        <f t="shared" si="734"/>
        <v>NO APLICA</v>
      </c>
      <c r="EM212" s="4"/>
      <c r="EN212" s="4"/>
      <c r="EO212" s="4"/>
      <c r="EP212" s="8"/>
      <c r="EQ212" s="5" t="str">
        <f t="shared" si="735"/>
        <v>NO APLICA</v>
      </c>
      <c r="ER212" s="4"/>
      <c r="ES212" s="4"/>
      <c r="ET212" s="4"/>
      <c r="EU212" s="8"/>
      <c r="EV212" s="5" t="str">
        <f t="shared" si="736"/>
        <v>NO APLICA</v>
      </c>
      <c r="EW212" s="4"/>
      <c r="EX212" s="4"/>
      <c r="EY212" s="4"/>
      <c r="EZ212" s="6"/>
      <c r="FA212" s="5" t="str">
        <f t="shared" si="737"/>
        <v>NO APLICA</v>
      </c>
      <c r="FB212" s="4"/>
      <c r="FC212" s="4"/>
      <c r="FD212" s="4"/>
      <c r="FE212" s="6"/>
      <c r="FF212" s="5" t="str">
        <f t="shared" si="738"/>
        <v>NO APLICA</v>
      </c>
      <c r="FG212" s="4"/>
      <c r="FH212" s="4"/>
      <c r="FI212" s="4"/>
      <c r="FJ212" s="6"/>
      <c r="FK212" s="5" t="str">
        <f t="shared" si="739"/>
        <v>NO APLICA</v>
      </c>
      <c r="FL212" s="4"/>
      <c r="FM212" s="4"/>
      <c r="FN212" s="4"/>
      <c r="FO212" s="6"/>
      <c r="FP212" s="5" t="str">
        <f t="shared" si="740"/>
        <v>NO APLICA</v>
      </c>
      <c r="FQ212" s="4"/>
      <c r="FR212" s="4"/>
      <c r="FS212" s="4"/>
      <c r="FT212" s="6"/>
      <c r="FU212" s="5" t="str">
        <f t="shared" si="741"/>
        <v>NO APLICA</v>
      </c>
      <c r="FV212" s="4"/>
      <c r="FW212" s="4"/>
      <c r="FX212" s="4"/>
      <c r="FY212" s="6"/>
      <c r="FZ212" s="5" t="str">
        <f t="shared" si="742"/>
        <v>NO APLICA</v>
      </c>
      <c r="GA212" s="4"/>
      <c r="GB212" s="4"/>
      <c r="GC212" s="4"/>
      <c r="GD212" s="6"/>
      <c r="GE212" s="5" t="str">
        <f t="shared" si="743"/>
        <v>NO APLICA</v>
      </c>
      <c r="GF212" s="4"/>
      <c r="GG212" s="4"/>
      <c r="GH212" s="4"/>
      <c r="GI212" s="8"/>
      <c r="GJ212" s="5" t="str">
        <f t="shared" si="744"/>
        <v>NO APLICA</v>
      </c>
      <c r="GK212" s="4"/>
      <c r="GL212" s="6"/>
      <c r="GM212" s="6"/>
      <c r="GN212" s="6"/>
      <c r="GO212" s="5" t="str">
        <f t="shared" si="745"/>
        <v>NO APLICA</v>
      </c>
      <c r="GP212" s="4"/>
      <c r="GQ212" s="6"/>
      <c r="GR212" s="6"/>
      <c r="GS212" s="6"/>
      <c r="GT212" s="5" t="str">
        <f t="shared" si="624"/>
        <v>NO APLICA</v>
      </c>
      <c r="GU212" s="4"/>
      <c r="GV212" s="6"/>
      <c r="GW212" s="6"/>
      <c r="GX212" s="6"/>
      <c r="GY212" s="5" t="str">
        <f t="shared" si="625"/>
        <v>NO APLICA</v>
      </c>
      <c r="GZ212" s="6"/>
      <c r="HA212" s="6"/>
      <c r="HB212" s="6"/>
      <c r="HC212" s="6"/>
      <c r="HD212" s="5" t="str">
        <f t="shared" si="626"/>
        <v>NO APLICA</v>
      </c>
      <c r="HE212" s="6"/>
      <c r="HF212" s="6"/>
      <c r="HG212" s="4"/>
      <c r="HH212" s="8"/>
      <c r="HI212" s="5" t="str">
        <f t="shared" si="712"/>
        <v>NO APLICA</v>
      </c>
      <c r="HJ212" s="6"/>
      <c r="HK212" s="6"/>
      <c r="HL212" s="6"/>
      <c r="HM212" s="6"/>
      <c r="HN212" s="5" t="str">
        <f t="shared" si="708"/>
        <v>NO APLICA</v>
      </c>
      <c r="HO212" s="6"/>
      <c r="HP212" s="6"/>
      <c r="HQ212" s="6"/>
      <c r="HR212" s="6"/>
      <c r="HS212" s="5" t="str">
        <f t="shared" si="746"/>
        <v>NO APLICA</v>
      </c>
      <c r="HT212" s="6"/>
      <c r="HU212" s="6"/>
      <c r="HV212" s="6"/>
      <c r="HW212" s="6"/>
      <c r="HX212" s="5" t="str">
        <f t="shared" si="747"/>
        <v>NO APLICA</v>
      </c>
      <c r="HY212" s="6"/>
      <c r="HZ212" s="6"/>
      <c r="IA212" s="6"/>
      <c r="IB212" s="6"/>
      <c r="IC212" s="5" t="str">
        <f t="shared" si="748"/>
        <v>NO APLICA</v>
      </c>
      <c r="ID212" s="6"/>
      <c r="IE212" s="6"/>
      <c r="IF212" s="6"/>
      <c r="IG212" s="6"/>
      <c r="IH212" s="5" t="str">
        <f t="shared" si="749"/>
        <v>NO APLICA</v>
      </c>
      <c r="II212" s="6"/>
      <c r="IJ212" s="6"/>
      <c r="IK212" s="6"/>
      <c r="IL212" s="6"/>
      <c r="IM212" s="5" t="str">
        <f t="shared" si="750"/>
        <v>NO APLICA</v>
      </c>
      <c r="IN212" s="6"/>
      <c r="IO212" s="6"/>
      <c r="IP212" s="6"/>
      <c r="IQ212" s="6"/>
      <c r="IR212" s="5" t="str">
        <f t="shared" si="751"/>
        <v>NO APLICA</v>
      </c>
      <c r="IS212" s="6"/>
      <c r="IT212" s="6"/>
      <c r="IU212" s="6"/>
      <c r="IV212" s="6"/>
      <c r="IW212" s="5" t="str">
        <f t="shared" si="752"/>
        <v>NO APLICA</v>
      </c>
      <c r="IX212" s="6"/>
      <c r="IY212" s="6"/>
      <c r="IZ212" s="6"/>
      <c r="JA212" s="6"/>
      <c r="JB212" s="5" t="str">
        <f t="shared" si="753"/>
        <v>NO APLICA</v>
      </c>
      <c r="JC212" s="6"/>
      <c r="JD212" s="6"/>
      <c r="JE212" s="6"/>
      <c r="JF212" s="6"/>
      <c r="JG212" s="5" t="str">
        <f t="shared" si="754"/>
        <v>NO APLICA</v>
      </c>
      <c r="JH212" s="6"/>
      <c r="JI212" s="6"/>
      <c r="JJ212" s="6"/>
      <c r="JK212" s="6"/>
      <c r="JL212" s="5" t="str">
        <f t="shared" si="755"/>
        <v>NO APLICA</v>
      </c>
      <c r="JM212" s="6"/>
      <c r="JN212" s="6"/>
      <c r="JO212" s="6"/>
      <c r="JP212" s="6"/>
      <c r="JQ212" s="5" t="str">
        <f t="shared" si="756"/>
        <v>NO APLICA</v>
      </c>
      <c r="JR212" s="6"/>
      <c r="JS212" s="6"/>
      <c r="JT212" s="6"/>
      <c r="JU212" s="6"/>
      <c r="JV212" s="5" t="str">
        <f t="shared" si="757"/>
        <v>NO APLICA</v>
      </c>
      <c r="JW212" s="5"/>
      <c r="JX212" s="5"/>
      <c r="JY212" s="5"/>
      <c r="JZ212" s="5"/>
      <c r="KA212" s="5" t="str">
        <f t="shared" si="758"/>
        <v>NO APLICA</v>
      </c>
      <c r="KB212" s="5"/>
      <c r="KC212" s="6"/>
      <c r="KD212" s="6"/>
      <c r="KE212" s="6"/>
      <c r="KF212" s="5" t="str">
        <f t="shared" si="759"/>
        <v>NO APLICA</v>
      </c>
      <c r="KG212" s="5"/>
      <c r="KH212" s="6"/>
      <c r="KI212" s="6"/>
      <c r="KJ212" s="6"/>
      <c r="KK212" s="5" t="str">
        <f t="shared" si="779"/>
        <v>NO APLICA</v>
      </c>
      <c r="KL212" s="5"/>
      <c r="KM212" s="6"/>
      <c r="KN212" s="6"/>
      <c r="KO212" s="6"/>
      <c r="KP212" s="5" t="str">
        <f t="shared" si="76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86"/>
        <v>NO APLICA</v>
      </c>
      <c r="LA212" s="5"/>
      <c r="LB212" s="6"/>
      <c r="LC212" s="6"/>
      <c r="LD212" s="6"/>
      <c r="LE212" s="5" t="str">
        <f t="shared" si="781"/>
        <v>NO APLICA</v>
      </c>
      <c r="LF212" s="6"/>
      <c r="LG212" s="6"/>
      <c r="LH212" s="6"/>
      <c r="LI212" s="6"/>
      <c r="LJ212" s="5" t="str">
        <f t="shared" si="614"/>
        <v>NO APLICA</v>
      </c>
      <c r="LK212" s="5"/>
      <c r="LL212" s="5"/>
      <c r="LM212" s="4"/>
      <c r="LN212" s="8"/>
      <c r="LO212" s="5" t="str">
        <f t="shared" si="787"/>
        <v>NO APLICA</v>
      </c>
      <c r="LP212" s="6"/>
      <c r="LQ212" s="6"/>
      <c r="LR212" s="6"/>
      <c r="LS212" s="6"/>
      <c r="LT212" s="5" t="str">
        <f t="shared" si="782"/>
        <v>NO APLICA</v>
      </c>
      <c r="LU212" s="6"/>
      <c r="LV212" s="6"/>
      <c r="LW212" s="6"/>
      <c r="LX212" s="6"/>
      <c r="LY212" s="5" t="str">
        <f t="shared" si="783"/>
        <v>NO APLICA</v>
      </c>
      <c r="LZ212" s="6"/>
      <c r="MA212" s="6"/>
      <c r="MB212" s="6"/>
      <c r="MC212" s="6"/>
      <c r="MD212" s="5" t="str">
        <f t="shared" si="784"/>
        <v>NO APLICA</v>
      </c>
      <c r="ME212" s="6"/>
      <c r="MF212" s="6"/>
      <c r="MG212" s="6"/>
      <c r="MH212" s="6"/>
      <c r="MI212" s="5" t="str">
        <f t="shared" si="761"/>
        <v>NO APLICA</v>
      </c>
      <c r="MJ212" s="6"/>
      <c r="MK212" s="6"/>
      <c r="ML212" s="6"/>
      <c r="MM212" s="6"/>
      <c r="MN212" s="5" t="str">
        <f t="shared" si="762"/>
        <v>NO APLICA</v>
      </c>
      <c r="MO212" s="5"/>
      <c r="MP212" s="6"/>
      <c r="MQ212" s="6"/>
      <c r="MR212" s="6"/>
      <c r="MS212" s="5" t="str">
        <f t="shared" si="763"/>
        <v>NO APLICA</v>
      </c>
      <c r="MT212" s="5"/>
      <c r="MU212" s="6"/>
      <c r="MV212" s="6"/>
      <c r="MW212" s="6"/>
      <c r="MX212" s="5" t="str">
        <f t="shared" si="764"/>
        <v>NO APLICA</v>
      </c>
      <c r="MY212" s="6"/>
      <c r="MZ212" s="6"/>
      <c r="NA212" s="6"/>
      <c r="NB212" s="6"/>
      <c r="NC212" s="5" t="str">
        <f t="shared" si="765"/>
        <v>NO APLICA</v>
      </c>
      <c r="ND212" s="6"/>
      <c r="NE212" s="6"/>
      <c r="NF212" s="6"/>
      <c r="NG212" s="6"/>
      <c r="NH212" s="5" t="str">
        <f t="shared" si="766"/>
        <v>NO APLICA</v>
      </c>
      <c r="NI212" s="6"/>
      <c r="NJ212" s="6"/>
      <c r="NK212" s="6"/>
      <c r="NL212" s="6"/>
      <c r="NM212" s="5" t="str">
        <f t="shared" si="767"/>
        <v>NO APLICA</v>
      </c>
      <c r="NN212" s="6"/>
      <c r="NO212" s="6"/>
      <c r="NP212" s="6"/>
      <c r="NQ212" s="6"/>
      <c r="NR212" s="5" t="str">
        <f t="shared" si="768"/>
        <v>NO APLICA</v>
      </c>
      <c r="NS212" s="6"/>
      <c r="NT212" s="6"/>
      <c r="NU212" s="6"/>
      <c r="NV212" s="6"/>
      <c r="NW212" s="5" t="str">
        <f t="shared" si="769"/>
        <v>NO APLICA</v>
      </c>
      <c r="NX212" s="6"/>
      <c r="NY212" s="6"/>
      <c r="NZ212" s="6"/>
      <c r="OA212" s="6"/>
      <c r="OB212" s="5" t="str">
        <f t="shared" si="770"/>
        <v>NO APLICA</v>
      </c>
      <c r="OC212" s="6"/>
      <c r="OD212" s="6"/>
      <c r="OE212" s="6"/>
      <c r="OF212" s="6"/>
      <c r="OG212" s="5" t="str">
        <f t="shared" si="771"/>
        <v>NO APLICA</v>
      </c>
      <c r="OH212" s="6"/>
      <c r="OI212" s="6"/>
      <c r="OJ212" s="6"/>
      <c r="OK212" s="6"/>
      <c r="OL212" s="5" t="str">
        <f t="shared" si="772"/>
        <v>NO APLICA</v>
      </c>
      <c r="OM212" s="6"/>
      <c r="ON212" s="6"/>
      <c r="OO212" s="6"/>
      <c r="OP212" s="6"/>
      <c r="OQ212" s="5" t="str">
        <f t="shared" si="773"/>
        <v>NO APLICA</v>
      </c>
      <c r="OR212" s="6"/>
      <c r="OS212" s="6"/>
      <c r="OT212" s="6"/>
      <c r="OU212" s="6"/>
      <c r="OV212" s="5" t="str">
        <f t="shared" si="774"/>
        <v>NO APLICA</v>
      </c>
      <c r="OW212" s="6"/>
      <c r="OX212" s="6"/>
      <c r="OY212" s="6"/>
      <c r="OZ212" s="6"/>
      <c r="PA212" s="5" t="str">
        <f t="shared" si="788"/>
        <v>NO APLICA</v>
      </c>
      <c r="PB212" s="6"/>
      <c r="PC212" s="6"/>
      <c r="PD212" s="6"/>
      <c r="PE212" s="6"/>
      <c r="PF212" s="5" t="str">
        <f t="shared" si="775"/>
        <v>NO APLICA</v>
      </c>
      <c r="PG212" s="6"/>
      <c r="PH212" s="6"/>
      <c r="PI212" s="6"/>
      <c r="PJ212" s="6"/>
      <c r="PK212" s="5" t="str">
        <f t="shared" si="776"/>
        <v>NO APLICA</v>
      </c>
      <c r="PL212" s="5"/>
      <c r="PM212" s="6"/>
      <c r="PN212" s="6"/>
      <c r="PO212" s="6"/>
      <c r="PP212" s="5" t="str">
        <f t="shared" si="785"/>
        <v>NO APLICA</v>
      </c>
      <c r="PQ212" s="6"/>
      <c r="PR212" s="6"/>
      <c r="PS212" s="6"/>
      <c r="PT212" s="6"/>
      <c r="PU212" s="5" t="str">
        <f t="shared" si="777"/>
        <v>NO APLICA</v>
      </c>
      <c r="PV212" s="5"/>
      <c r="PW212" s="6"/>
      <c r="PX212" s="6"/>
      <c r="PY212" s="6"/>
      <c r="PZ212" s="5" t="str">
        <f t="shared" si="77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655</v>
      </c>
      <c r="D213" s="30" t="s">
        <v>643</v>
      </c>
      <c r="E213" s="31" t="s">
        <v>656</v>
      </c>
      <c r="F213" s="3"/>
      <c r="G213" s="4"/>
      <c r="H213" s="4"/>
      <c r="I213" s="8"/>
      <c r="J213" s="5" t="str">
        <f t="shared" si="710"/>
        <v>NO APLICA</v>
      </c>
      <c r="K213" s="2"/>
      <c r="L213" s="2"/>
      <c r="M213" s="2"/>
      <c r="N213" s="2"/>
      <c r="O213" s="5" t="str">
        <f t="shared" si="713"/>
        <v>NO APLICA</v>
      </c>
      <c r="P213" s="6"/>
      <c r="Q213" s="6"/>
      <c r="R213" s="4"/>
      <c r="S213" s="8"/>
      <c r="T213" s="5" t="str">
        <f t="shared" si="711"/>
        <v>NO APLICA</v>
      </c>
      <c r="U213" s="5"/>
      <c r="V213" s="2"/>
      <c r="W213" s="4"/>
      <c r="X213" s="4"/>
      <c r="Y213" s="8"/>
      <c r="Z213" s="5" t="str">
        <f t="shared" si="619"/>
        <v>NO APLICA</v>
      </c>
      <c r="AA213" s="5"/>
      <c r="AB213" s="2"/>
      <c r="AC213" s="6"/>
      <c r="AD213" s="4"/>
      <c r="AE213" s="8"/>
      <c r="AF213" s="5" t="str">
        <f t="shared" si="714"/>
        <v>NO APLICA</v>
      </c>
      <c r="AG213" s="2"/>
      <c r="AH213" s="4"/>
      <c r="AI213" s="4"/>
      <c r="AJ213" s="8"/>
      <c r="AK213" s="5" t="str">
        <f t="shared" si="616"/>
        <v>NO APLICA</v>
      </c>
      <c r="AL213" s="2"/>
      <c r="AM213" s="4"/>
      <c r="AN213" s="4"/>
      <c r="AO213" s="8"/>
      <c r="AP213" s="5" t="str">
        <f t="shared" si="715"/>
        <v>NO APLICA</v>
      </c>
      <c r="AQ213" s="2"/>
      <c r="AR213" s="4"/>
      <c r="AS213" s="4"/>
      <c r="AT213" s="8"/>
      <c r="AU213" s="5" t="str">
        <f t="shared" si="716"/>
        <v>NO APLICA</v>
      </c>
      <c r="AV213" s="2"/>
      <c r="AW213" s="4"/>
      <c r="AX213" s="4"/>
      <c r="AY213" s="8"/>
      <c r="AZ213" s="5" t="str">
        <f t="shared" si="717"/>
        <v>NO APLICA</v>
      </c>
      <c r="BA213" s="3"/>
      <c r="BB213" s="4"/>
      <c r="BC213" s="4"/>
      <c r="BD213" s="8"/>
      <c r="BE213" s="5" t="str">
        <f t="shared" si="718"/>
        <v>NO APLICA</v>
      </c>
      <c r="BF213" s="2"/>
      <c r="BG213" s="4"/>
      <c r="BH213" s="4"/>
      <c r="BI213" s="8"/>
      <c r="BJ213" s="5" t="str">
        <f t="shared" si="719"/>
        <v>NO APLICA</v>
      </c>
      <c r="BK213" s="3"/>
      <c r="BL213" s="4"/>
      <c r="BM213" s="4"/>
      <c r="BN213" s="8"/>
      <c r="BO213" s="5" t="str">
        <f t="shared" si="720"/>
        <v>NO APLICA</v>
      </c>
      <c r="BP213" s="3"/>
      <c r="BQ213" s="4"/>
      <c r="BR213" s="4"/>
      <c r="BS213" s="8"/>
      <c r="BT213" s="5" t="str">
        <f t="shared" si="721"/>
        <v>NO APLICA</v>
      </c>
      <c r="BU213" s="2"/>
      <c r="BV213" s="4"/>
      <c r="BW213" s="4"/>
      <c r="BX213" s="8"/>
      <c r="BY213" s="5" t="str">
        <f t="shared" si="722"/>
        <v>NO APLICA</v>
      </c>
      <c r="BZ213" s="2"/>
      <c r="CA213" s="4"/>
      <c r="CB213" s="4"/>
      <c r="CC213" s="8"/>
      <c r="CD213" s="5" t="str">
        <f t="shared" si="723"/>
        <v>NO APLICA</v>
      </c>
      <c r="CE213" s="6"/>
      <c r="CF213" s="4"/>
      <c r="CG213" s="4"/>
      <c r="CH213" s="8"/>
      <c r="CI213" s="5" t="str">
        <f t="shared" si="789"/>
        <v>NO APLICA</v>
      </c>
      <c r="CJ213" s="6"/>
      <c r="CK213" s="4"/>
      <c r="CL213" s="4"/>
      <c r="CM213" s="8"/>
      <c r="CN213" s="5" t="str">
        <f t="shared" si="724"/>
        <v>NO APLICA</v>
      </c>
      <c r="CO213" s="2"/>
      <c r="CP213" s="4"/>
      <c r="CQ213" s="4"/>
      <c r="CR213" s="8"/>
      <c r="CS213" s="5" t="str">
        <f t="shared" si="725"/>
        <v>NO APLICA</v>
      </c>
      <c r="CT213" s="2"/>
      <c r="CU213" s="4"/>
      <c r="CV213" s="4"/>
      <c r="CW213" s="8"/>
      <c r="CX213" s="5" t="str">
        <f t="shared" si="726"/>
        <v>NO APLICA</v>
      </c>
      <c r="CY213" s="3"/>
      <c r="CZ213" s="4"/>
      <c r="DA213" s="4"/>
      <c r="DB213" s="8"/>
      <c r="DC213" s="5" t="str">
        <f t="shared" si="727"/>
        <v>NO APLICA</v>
      </c>
      <c r="DD213" s="3"/>
      <c r="DE213" s="4"/>
      <c r="DF213" s="4"/>
      <c r="DG213" s="8"/>
      <c r="DH213" s="5" t="str">
        <f t="shared" si="728"/>
        <v>NO APLICA</v>
      </c>
      <c r="DI213" s="2"/>
      <c r="DJ213" s="4"/>
      <c r="DK213" s="4"/>
      <c r="DL213" s="8"/>
      <c r="DM213" s="5" t="str">
        <f t="shared" si="729"/>
        <v>NO APLICA</v>
      </c>
      <c r="DN213" s="3"/>
      <c r="DO213" s="4"/>
      <c r="DP213" s="4"/>
      <c r="DQ213" s="8"/>
      <c r="DR213" s="5" t="str">
        <f t="shared" si="730"/>
        <v>NO APLICA</v>
      </c>
      <c r="DS213" s="2"/>
      <c r="DT213" s="4"/>
      <c r="DU213" s="4"/>
      <c r="DV213" s="8"/>
      <c r="DW213" s="5" t="str">
        <f t="shared" si="731"/>
        <v>NO APLICA</v>
      </c>
      <c r="DX213" s="3"/>
      <c r="DY213" s="4"/>
      <c r="DZ213" s="4"/>
      <c r="EA213" s="8"/>
      <c r="EB213" s="5" t="str">
        <f t="shared" si="732"/>
        <v>NO APLICA</v>
      </c>
      <c r="EC213" s="3"/>
      <c r="ED213" s="4"/>
      <c r="EE213" s="4"/>
      <c r="EF213" s="8"/>
      <c r="EG213" s="5" t="str">
        <f t="shared" si="733"/>
        <v>NO APLICA</v>
      </c>
      <c r="EH213" s="2"/>
      <c r="EI213" s="4"/>
      <c r="EJ213" s="4"/>
      <c r="EK213" s="8"/>
      <c r="EL213" s="5" t="str">
        <f t="shared" si="734"/>
        <v>NO APLICA</v>
      </c>
      <c r="EM213" s="3"/>
      <c r="EN213" s="4"/>
      <c r="EO213" s="4"/>
      <c r="EP213" s="8"/>
      <c r="EQ213" s="5" t="str">
        <f t="shared" si="735"/>
        <v>NO APLICA</v>
      </c>
      <c r="ER213" s="2"/>
      <c r="ES213" s="4"/>
      <c r="ET213" s="4"/>
      <c r="EU213" s="8"/>
      <c r="EV213" s="5" t="str">
        <f t="shared" si="736"/>
        <v>NO APLICA</v>
      </c>
      <c r="EW213" s="2"/>
      <c r="EX213" s="4"/>
      <c r="EY213" s="4"/>
      <c r="EZ213" s="8"/>
      <c r="FA213" s="5" t="str">
        <f t="shared" si="737"/>
        <v>NO APLICA</v>
      </c>
      <c r="FB213" s="2"/>
      <c r="FC213" s="4"/>
      <c r="FD213" s="4"/>
      <c r="FE213" s="8"/>
      <c r="FF213" s="5" t="str">
        <f t="shared" si="738"/>
        <v>NO APLICA</v>
      </c>
      <c r="FG213" s="2"/>
      <c r="FH213" s="4"/>
      <c r="FI213" s="4"/>
      <c r="FJ213" s="8"/>
      <c r="FK213" s="5" t="str">
        <f t="shared" si="739"/>
        <v>NO APLICA</v>
      </c>
      <c r="FL213" s="3"/>
      <c r="FM213" s="4"/>
      <c r="FN213" s="4"/>
      <c r="FO213" s="8"/>
      <c r="FP213" s="5" t="str">
        <f t="shared" si="740"/>
        <v>NO APLICA</v>
      </c>
      <c r="FQ213" s="3"/>
      <c r="FR213" s="4"/>
      <c r="FS213" s="4"/>
      <c r="FT213" s="8"/>
      <c r="FU213" s="5" t="str">
        <f t="shared" si="741"/>
        <v>NO APLICA</v>
      </c>
      <c r="FV213" s="3"/>
      <c r="FW213" s="4"/>
      <c r="FX213" s="4"/>
      <c r="FY213" s="8"/>
      <c r="FZ213" s="5" t="str">
        <f t="shared" si="742"/>
        <v>NO APLICA</v>
      </c>
      <c r="GA213" s="3"/>
      <c r="GB213" s="4"/>
      <c r="GC213" s="4"/>
      <c r="GD213" s="8"/>
      <c r="GE213" s="5" t="str">
        <f t="shared" si="743"/>
        <v>NO APLICA</v>
      </c>
      <c r="GF213" s="3"/>
      <c r="GG213" s="4"/>
      <c r="GH213" s="4"/>
      <c r="GI213" s="8"/>
      <c r="GJ213" s="5" t="str">
        <f t="shared" si="744"/>
        <v>NO APLICA</v>
      </c>
      <c r="GK213" s="3"/>
      <c r="GL213" s="4"/>
      <c r="GM213" s="4"/>
      <c r="GN213" s="8"/>
      <c r="GO213" s="5" t="str">
        <f t="shared" si="745"/>
        <v>NO APLICA</v>
      </c>
      <c r="GP213" s="4"/>
      <c r="GQ213" s="4"/>
      <c r="GR213" s="4"/>
      <c r="GS213" s="8"/>
      <c r="GT213" s="5" t="str">
        <f t="shared" si="624"/>
        <v>NO APLICA</v>
      </c>
      <c r="GU213" s="3"/>
      <c r="GV213" s="4"/>
      <c r="GW213" s="4"/>
      <c r="GX213" s="8"/>
      <c r="GY213" s="5" t="str">
        <f t="shared" si="625"/>
        <v>NO APLICA</v>
      </c>
      <c r="GZ213" s="2"/>
      <c r="HA213" s="4"/>
      <c r="HB213" s="4"/>
      <c r="HC213" s="8"/>
      <c r="HD213" s="5" t="str">
        <f t="shared" si="626"/>
        <v>NO APLICA</v>
      </c>
      <c r="HE213" s="6"/>
      <c r="HF213" s="6"/>
      <c r="HG213" s="4"/>
      <c r="HH213" s="8"/>
      <c r="HI213" s="5" t="str">
        <f t="shared" si="712"/>
        <v>NO APLICA</v>
      </c>
      <c r="HJ213" s="2"/>
      <c r="HK213" s="6"/>
      <c r="HL213" s="4"/>
      <c r="HM213" s="8"/>
      <c r="HN213" s="5" t="str">
        <f t="shared" si="708"/>
        <v>NO APLICA</v>
      </c>
      <c r="HO213" s="2"/>
      <c r="HP213" s="2"/>
      <c r="HQ213" s="4"/>
      <c r="HR213" s="2"/>
      <c r="HS213" s="5" t="str">
        <f t="shared" si="746"/>
        <v>NO APLICA</v>
      </c>
      <c r="HT213" s="2"/>
      <c r="HU213" s="6"/>
      <c r="HV213" s="4"/>
      <c r="HW213" s="8"/>
      <c r="HX213" s="5" t="str">
        <f t="shared" si="747"/>
        <v>NO APLICA</v>
      </c>
      <c r="HY213" s="2"/>
      <c r="HZ213" s="6"/>
      <c r="IA213" s="4"/>
      <c r="IB213" s="8"/>
      <c r="IC213" s="5" t="str">
        <f t="shared" si="748"/>
        <v>NO APLICA</v>
      </c>
      <c r="ID213" s="2"/>
      <c r="IE213" s="6"/>
      <c r="IF213" s="4"/>
      <c r="IG213" s="8"/>
      <c r="IH213" s="5" t="str">
        <f t="shared" si="749"/>
        <v>NO APLICA</v>
      </c>
      <c r="II213" s="6"/>
      <c r="IJ213" s="6"/>
      <c r="IK213" s="4"/>
      <c r="IL213" s="8"/>
      <c r="IM213" s="5" t="str">
        <f t="shared" si="750"/>
        <v>NO APLICA</v>
      </c>
      <c r="IN213" s="2"/>
      <c r="IO213" s="6"/>
      <c r="IP213" s="4"/>
      <c r="IQ213" s="8"/>
      <c r="IR213" s="5" t="str">
        <f t="shared" si="751"/>
        <v>NO APLICA</v>
      </c>
      <c r="IS213" s="2"/>
      <c r="IT213" s="6"/>
      <c r="IU213" s="4"/>
      <c r="IV213" s="8"/>
      <c r="IW213" s="5" t="str">
        <f t="shared" si="752"/>
        <v>NO APLICA</v>
      </c>
      <c r="IX213" s="2"/>
      <c r="IY213" s="6"/>
      <c r="IZ213" s="4"/>
      <c r="JA213" s="8"/>
      <c r="JB213" s="5" t="str">
        <f t="shared" si="753"/>
        <v>NO APLICA</v>
      </c>
      <c r="JC213" s="3"/>
      <c r="JD213" s="3"/>
      <c r="JE213" s="4"/>
      <c r="JF213" s="8"/>
      <c r="JG213" s="5" t="str">
        <f t="shared" si="754"/>
        <v>NO APLICA</v>
      </c>
      <c r="JH213" s="6"/>
      <c r="JI213" s="6"/>
      <c r="JJ213" s="6"/>
      <c r="JK213" s="6"/>
      <c r="JL213" s="5" t="str">
        <f t="shared" si="755"/>
        <v>NO APLICA</v>
      </c>
      <c r="JM213" s="6"/>
      <c r="JN213" s="6"/>
      <c r="JO213" s="6"/>
      <c r="JP213" s="6"/>
      <c r="JQ213" s="5" t="str">
        <f t="shared" si="756"/>
        <v>NO APLICA</v>
      </c>
      <c r="JR213" s="6"/>
      <c r="JS213" s="6"/>
      <c r="JT213" s="6"/>
      <c r="JU213" s="6"/>
      <c r="JV213" s="5" t="str">
        <f t="shared" si="757"/>
        <v>NO APLICA</v>
      </c>
      <c r="JW213" s="5"/>
      <c r="JX213" s="5"/>
      <c r="JY213" s="5"/>
      <c r="JZ213" s="5"/>
      <c r="KA213" s="5" t="str">
        <f t="shared" si="758"/>
        <v>NO APLICA</v>
      </c>
      <c r="KB213" s="5"/>
      <c r="KC213" s="2"/>
      <c r="KD213" s="4"/>
      <c r="KE213" s="8"/>
      <c r="KF213" s="5" t="str">
        <f t="shared" si="759"/>
        <v>NO APLICA</v>
      </c>
      <c r="KG213" s="5"/>
      <c r="KH213" s="2"/>
      <c r="KI213" s="4"/>
      <c r="KJ213" s="8"/>
      <c r="KK213" s="5" t="str">
        <f t="shared" si="779"/>
        <v>NO APLICA</v>
      </c>
      <c r="KL213" s="5"/>
      <c r="KM213" s="2"/>
      <c r="KN213" s="4"/>
      <c r="KO213" s="8"/>
      <c r="KP213" s="5" t="str">
        <f t="shared" si="760"/>
        <v>NO APLICA</v>
      </c>
      <c r="KQ213" s="5"/>
      <c r="KR213" s="2"/>
      <c r="KS213" s="4"/>
      <c r="KT213" s="8"/>
      <c r="KU213" s="5" t="str">
        <f t="shared" si="780"/>
        <v>NO APLICA</v>
      </c>
      <c r="KV213" s="2"/>
      <c r="KW213" s="6"/>
      <c r="KX213" s="4"/>
      <c r="KY213" s="8"/>
      <c r="KZ213" s="5" t="str">
        <f t="shared" si="786"/>
        <v>NO APLICA</v>
      </c>
      <c r="LA213" s="5"/>
      <c r="LB213" s="6"/>
      <c r="LC213" s="4"/>
      <c r="LD213" s="8"/>
      <c r="LE213" s="5" t="str">
        <f t="shared" si="781"/>
        <v>NO APLICA</v>
      </c>
      <c r="LF213" s="6"/>
      <c r="LG213" s="6"/>
      <c r="LH213" s="4"/>
      <c r="LI213" s="8"/>
      <c r="LJ213" s="5" t="str">
        <f t="shared" si="614"/>
        <v>NO APLICA</v>
      </c>
      <c r="LK213" s="5"/>
      <c r="LL213" s="5"/>
      <c r="LM213" s="4"/>
      <c r="LN213" s="8"/>
      <c r="LO213" s="5" t="str">
        <f t="shared" si="787"/>
        <v>NO APLICA</v>
      </c>
      <c r="LP213" s="2"/>
      <c r="LQ213" s="6"/>
      <c r="LR213" s="4"/>
      <c r="LS213" s="8"/>
      <c r="LT213" s="5" t="str">
        <f t="shared" si="782"/>
        <v>NO APLICA</v>
      </c>
      <c r="LU213" s="6"/>
      <c r="LV213" s="6"/>
      <c r="LW213" s="4"/>
      <c r="LX213" s="8"/>
      <c r="LY213" s="5" t="str">
        <f t="shared" si="783"/>
        <v>NO APLICA</v>
      </c>
      <c r="LZ213" s="6"/>
      <c r="MA213" s="6"/>
      <c r="MB213" s="4"/>
      <c r="MC213" s="8"/>
      <c r="MD213" s="5" t="str">
        <f t="shared" si="784"/>
        <v>NO APLICA</v>
      </c>
      <c r="ME213" s="2"/>
      <c r="MF213" s="2"/>
      <c r="MG213" s="4"/>
      <c r="MH213" s="8"/>
      <c r="MI213" s="5" t="str">
        <f t="shared" si="761"/>
        <v>NO APLICA</v>
      </c>
      <c r="MJ213" s="2"/>
      <c r="MK213" s="2"/>
      <c r="ML213" s="4"/>
      <c r="MM213" s="8"/>
      <c r="MN213" s="5" t="str">
        <f t="shared" si="762"/>
        <v>NO APLICA</v>
      </c>
      <c r="MO213" s="5"/>
      <c r="MP213" s="2"/>
      <c r="MQ213" s="4"/>
      <c r="MR213" s="8"/>
      <c r="MS213" s="5" t="str">
        <f t="shared" si="763"/>
        <v>NO APLICA</v>
      </c>
      <c r="MT213" s="5"/>
      <c r="MU213" s="2"/>
      <c r="MV213" s="4"/>
      <c r="MW213" s="2"/>
      <c r="MX213" s="5" t="str">
        <f t="shared" si="764"/>
        <v>NO APLICA</v>
      </c>
      <c r="MY213" s="2"/>
      <c r="MZ213" s="6"/>
      <c r="NA213" s="4"/>
      <c r="NB213" s="8"/>
      <c r="NC213" s="5" t="str">
        <f t="shared" si="765"/>
        <v>NO APLICA</v>
      </c>
      <c r="ND213" s="2"/>
      <c r="NE213" s="6"/>
      <c r="NF213" s="4"/>
      <c r="NG213" s="8"/>
      <c r="NH213" s="5" t="str">
        <f t="shared" si="766"/>
        <v>NO APLICA</v>
      </c>
      <c r="NI213" s="2"/>
      <c r="NJ213" s="6"/>
      <c r="NK213" s="4"/>
      <c r="NL213" s="8"/>
      <c r="NM213" s="5" t="str">
        <f t="shared" si="767"/>
        <v>NO APLICA</v>
      </c>
      <c r="NN213" s="2"/>
      <c r="NO213" s="2"/>
      <c r="NP213" s="4"/>
      <c r="NQ213" s="8"/>
      <c r="NR213" s="5" t="str">
        <f t="shared" si="768"/>
        <v>NO APLICA</v>
      </c>
      <c r="NS213" s="2"/>
      <c r="NT213" s="2"/>
      <c r="NU213" s="4"/>
      <c r="NV213" s="2"/>
      <c r="NW213" s="5" t="str">
        <f t="shared" si="769"/>
        <v>NO APLICA</v>
      </c>
      <c r="NX213" s="6"/>
      <c r="NY213" s="6"/>
      <c r="NZ213" s="4"/>
      <c r="OA213" s="8"/>
      <c r="OB213" s="5" t="str">
        <f t="shared" si="770"/>
        <v>NO APLICA</v>
      </c>
      <c r="OC213" s="6"/>
      <c r="OD213" s="6"/>
      <c r="OE213" s="6"/>
      <c r="OF213" s="6"/>
      <c r="OG213" s="5" t="str">
        <f t="shared" si="771"/>
        <v>NO APLICA</v>
      </c>
      <c r="OH213" s="6"/>
      <c r="OI213" s="6"/>
      <c r="OJ213" s="4"/>
      <c r="OK213" s="8"/>
      <c r="OL213" s="5" t="str">
        <f t="shared" si="772"/>
        <v>NO APLICA</v>
      </c>
      <c r="OM213" s="6"/>
      <c r="ON213" s="6"/>
      <c r="OO213" s="6"/>
      <c r="OP213" s="6"/>
      <c r="OQ213" s="5" t="str">
        <f t="shared" si="773"/>
        <v>NO APLICA</v>
      </c>
      <c r="OR213" s="6"/>
      <c r="OS213" s="6"/>
      <c r="OT213" s="6"/>
      <c r="OU213" s="6"/>
      <c r="OV213" s="5" t="str">
        <f t="shared" si="774"/>
        <v>NO APLICA</v>
      </c>
      <c r="OW213" s="6"/>
      <c r="OX213" s="6"/>
      <c r="OY213" s="6"/>
      <c r="OZ213" s="6"/>
      <c r="PA213" s="5" t="str">
        <f t="shared" si="788"/>
        <v>NO APLICA</v>
      </c>
      <c r="PB213" s="6"/>
      <c r="PC213" s="6"/>
      <c r="PD213" s="6"/>
      <c r="PE213" s="6"/>
      <c r="PF213" s="5" t="str">
        <f t="shared" si="775"/>
        <v>NO APLICA</v>
      </c>
      <c r="PG213" s="6"/>
      <c r="PH213" s="6"/>
      <c r="PI213" s="6"/>
      <c r="PJ213" s="6"/>
      <c r="PK213" s="5" t="str">
        <f t="shared" si="77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77"/>
        <v>NO APLICA</v>
      </c>
      <c r="PV213" s="5"/>
      <c r="PW213" s="6"/>
      <c r="PX213" s="6"/>
      <c r="PY213" s="6"/>
      <c r="PZ213" s="5" t="str">
        <f t="shared" si="77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657</v>
      </c>
      <c r="D214" s="30" t="s">
        <v>115</v>
      </c>
      <c r="E214" s="31" t="s">
        <v>650</v>
      </c>
      <c r="F214" s="6"/>
      <c r="G214" s="6"/>
      <c r="H214" s="6"/>
      <c r="I214" s="6"/>
      <c r="J214" s="5" t="str">
        <f t="shared" si="710"/>
        <v>NO APLICA</v>
      </c>
      <c r="K214" s="6"/>
      <c r="L214" s="6"/>
      <c r="M214" s="6"/>
      <c r="N214" s="6"/>
      <c r="O214" s="5" t="str">
        <f t="shared" si="713"/>
        <v>NO APLICA</v>
      </c>
      <c r="P214" s="6"/>
      <c r="Q214" s="6"/>
      <c r="R214" s="6"/>
      <c r="S214" s="6"/>
      <c r="T214" s="5" t="str">
        <f t="shared" si="711"/>
        <v>NO APLICA</v>
      </c>
      <c r="U214" s="5"/>
      <c r="V214" s="6"/>
      <c r="W214" s="4"/>
      <c r="X214" s="4"/>
      <c r="Y214" s="8"/>
      <c r="Z214" s="5" t="str">
        <f t="shared" si="619"/>
        <v>NO APLICA</v>
      </c>
      <c r="AA214" s="5"/>
      <c r="AB214" s="6"/>
      <c r="AC214" s="6"/>
      <c r="AD214" s="6"/>
      <c r="AE214" s="6"/>
      <c r="AF214" s="5" t="str">
        <f t="shared" si="714"/>
        <v>NO APLICA</v>
      </c>
      <c r="AG214" s="4"/>
      <c r="AH214" s="4"/>
      <c r="AI214" s="4"/>
      <c r="AJ214" s="6"/>
      <c r="AK214" s="5" t="str">
        <f t="shared" si="616"/>
        <v>NO APLICA</v>
      </c>
      <c r="AL214" s="4"/>
      <c r="AM214" s="4"/>
      <c r="AN214" s="4"/>
      <c r="AO214" s="6"/>
      <c r="AP214" s="5" t="str">
        <f t="shared" si="715"/>
        <v>NO APLICA</v>
      </c>
      <c r="AQ214" s="4"/>
      <c r="AR214" s="4"/>
      <c r="AS214" s="4"/>
      <c r="AT214" s="6"/>
      <c r="AU214" s="5" t="str">
        <f t="shared" si="716"/>
        <v>NO APLICA</v>
      </c>
      <c r="AV214" s="4"/>
      <c r="AW214" s="4"/>
      <c r="AX214" s="4"/>
      <c r="AY214" s="6"/>
      <c r="AZ214" s="5" t="str">
        <f t="shared" si="717"/>
        <v>NO APLICA</v>
      </c>
      <c r="BA214" s="4"/>
      <c r="BB214" s="4"/>
      <c r="BC214" s="4"/>
      <c r="BD214" s="6"/>
      <c r="BE214" s="5" t="str">
        <f t="shared" si="718"/>
        <v>NO APLICA</v>
      </c>
      <c r="BF214" s="4"/>
      <c r="BG214" s="4"/>
      <c r="BH214" s="4"/>
      <c r="BI214" s="6"/>
      <c r="BJ214" s="5" t="str">
        <f t="shared" si="719"/>
        <v>NO APLICA</v>
      </c>
      <c r="BK214" s="4"/>
      <c r="BL214" s="4"/>
      <c r="BM214" s="4"/>
      <c r="BN214" s="6"/>
      <c r="BO214" s="5" t="str">
        <f t="shared" si="720"/>
        <v>NO APLICA</v>
      </c>
      <c r="BP214" s="4"/>
      <c r="BQ214" s="4"/>
      <c r="BR214" s="4"/>
      <c r="BS214" s="6"/>
      <c r="BT214" s="5" t="str">
        <f t="shared" si="721"/>
        <v>NO APLICA</v>
      </c>
      <c r="BU214" s="4"/>
      <c r="BV214" s="4"/>
      <c r="BW214" s="4"/>
      <c r="BX214" s="6"/>
      <c r="BY214" s="5" t="str">
        <f t="shared" si="722"/>
        <v>NO APLICA</v>
      </c>
      <c r="BZ214" s="4"/>
      <c r="CA214" s="4"/>
      <c r="CB214" s="4"/>
      <c r="CC214" s="6"/>
      <c r="CD214" s="5" t="str">
        <f t="shared" si="723"/>
        <v>NO APLICA</v>
      </c>
      <c r="CE214" s="6"/>
      <c r="CF214" s="6"/>
      <c r="CG214" s="6"/>
      <c r="CH214" s="6"/>
      <c r="CI214" s="5" t="str">
        <f t="shared" si="789"/>
        <v>NO APLICA</v>
      </c>
      <c r="CJ214" s="4"/>
      <c r="CK214" s="4"/>
      <c r="CL214" s="4"/>
      <c r="CM214" s="6"/>
      <c r="CN214" s="5" t="str">
        <f t="shared" si="724"/>
        <v>NO APLICA</v>
      </c>
      <c r="CO214" s="4"/>
      <c r="CP214" s="4"/>
      <c r="CQ214" s="4"/>
      <c r="CR214" s="6"/>
      <c r="CS214" s="5" t="str">
        <f t="shared" si="725"/>
        <v>NO APLICA</v>
      </c>
      <c r="CT214" s="4"/>
      <c r="CU214" s="4"/>
      <c r="CV214" s="4"/>
      <c r="CW214" s="6"/>
      <c r="CX214" s="5" t="str">
        <f t="shared" si="726"/>
        <v>NO APLICA</v>
      </c>
      <c r="CY214" s="4"/>
      <c r="CZ214" s="4"/>
      <c r="DA214" s="4"/>
      <c r="DB214" s="6"/>
      <c r="DC214" s="5" t="str">
        <f t="shared" si="727"/>
        <v>NO APLICA</v>
      </c>
      <c r="DD214" s="4"/>
      <c r="DE214" s="4"/>
      <c r="DF214" s="4"/>
      <c r="DG214" s="6"/>
      <c r="DH214" s="5" t="str">
        <f t="shared" si="728"/>
        <v>NO APLICA</v>
      </c>
      <c r="DI214" s="4"/>
      <c r="DJ214" s="4"/>
      <c r="DK214" s="4"/>
      <c r="DL214" s="6"/>
      <c r="DM214" s="5" t="str">
        <f t="shared" si="729"/>
        <v>NO APLICA</v>
      </c>
      <c r="DN214" s="4"/>
      <c r="DO214" s="4"/>
      <c r="DP214" s="4"/>
      <c r="DQ214" s="6"/>
      <c r="DR214" s="5" t="str">
        <f t="shared" si="730"/>
        <v>NO APLICA</v>
      </c>
      <c r="DS214" s="4"/>
      <c r="DT214" s="4"/>
      <c r="DU214" s="4"/>
      <c r="DV214" s="6"/>
      <c r="DW214" s="5" t="str">
        <f t="shared" si="731"/>
        <v>NO APLICA</v>
      </c>
      <c r="DX214" s="4"/>
      <c r="DY214" s="4"/>
      <c r="DZ214" s="4"/>
      <c r="EA214" s="6"/>
      <c r="EB214" s="5" t="str">
        <f t="shared" si="732"/>
        <v>NO APLICA</v>
      </c>
      <c r="EC214" s="4"/>
      <c r="ED214" s="4"/>
      <c r="EE214" s="4"/>
      <c r="EF214" s="6"/>
      <c r="EG214" s="5" t="str">
        <f t="shared" si="733"/>
        <v>NO APLICA</v>
      </c>
      <c r="EH214" s="4"/>
      <c r="EI214" s="4"/>
      <c r="EJ214" s="4"/>
      <c r="EK214" s="8"/>
      <c r="EL214" s="5" t="str">
        <f t="shared" si="734"/>
        <v>NO APLICA</v>
      </c>
      <c r="EM214" s="4"/>
      <c r="EN214" s="4"/>
      <c r="EO214" s="4"/>
      <c r="EP214" s="8"/>
      <c r="EQ214" s="5" t="str">
        <f t="shared" si="735"/>
        <v>NO APLICA</v>
      </c>
      <c r="ER214" s="4"/>
      <c r="ES214" s="4"/>
      <c r="ET214" s="4"/>
      <c r="EU214" s="8"/>
      <c r="EV214" s="5" t="str">
        <f t="shared" si="736"/>
        <v>NO APLICA</v>
      </c>
      <c r="EW214" s="4"/>
      <c r="EX214" s="4"/>
      <c r="EY214" s="4"/>
      <c r="EZ214" s="6"/>
      <c r="FA214" s="5" t="str">
        <f t="shared" si="737"/>
        <v>NO APLICA</v>
      </c>
      <c r="FB214" s="4"/>
      <c r="FC214" s="4"/>
      <c r="FD214" s="4"/>
      <c r="FE214" s="6"/>
      <c r="FF214" s="5" t="str">
        <f t="shared" si="738"/>
        <v>NO APLICA</v>
      </c>
      <c r="FG214" s="4"/>
      <c r="FH214" s="4"/>
      <c r="FI214" s="4"/>
      <c r="FJ214" s="6"/>
      <c r="FK214" s="5" t="str">
        <f t="shared" si="739"/>
        <v>NO APLICA</v>
      </c>
      <c r="FL214" s="4"/>
      <c r="FM214" s="4"/>
      <c r="FN214" s="4"/>
      <c r="FO214" s="6"/>
      <c r="FP214" s="5" t="str">
        <f t="shared" si="740"/>
        <v>NO APLICA</v>
      </c>
      <c r="FQ214" s="4"/>
      <c r="FR214" s="4"/>
      <c r="FS214" s="4"/>
      <c r="FT214" s="6"/>
      <c r="FU214" s="5" t="str">
        <f t="shared" si="741"/>
        <v>NO APLICA</v>
      </c>
      <c r="FV214" s="4"/>
      <c r="FW214" s="4"/>
      <c r="FX214" s="4"/>
      <c r="FY214" s="6"/>
      <c r="FZ214" s="5" t="str">
        <f t="shared" si="742"/>
        <v>NO APLICA</v>
      </c>
      <c r="GA214" s="4"/>
      <c r="GB214" s="4"/>
      <c r="GC214" s="4"/>
      <c r="GD214" s="6"/>
      <c r="GE214" s="5" t="str">
        <f t="shared" si="743"/>
        <v>NO APLICA</v>
      </c>
      <c r="GF214" s="4"/>
      <c r="GG214" s="4"/>
      <c r="GH214" s="4"/>
      <c r="GI214" s="8"/>
      <c r="GJ214" s="5" t="str">
        <f t="shared" si="744"/>
        <v>NO APLICA</v>
      </c>
      <c r="GK214" s="4"/>
      <c r="GL214" s="6"/>
      <c r="GM214" s="6"/>
      <c r="GN214" s="6"/>
      <c r="GO214" s="5" t="str">
        <f t="shared" si="745"/>
        <v>NO APLICA</v>
      </c>
      <c r="GP214" s="4"/>
      <c r="GQ214" s="6"/>
      <c r="GR214" s="6"/>
      <c r="GS214" s="6"/>
      <c r="GT214" s="5" t="str">
        <f t="shared" si="624"/>
        <v>NO APLICA</v>
      </c>
      <c r="GU214" s="4"/>
      <c r="GV214" s="6"/>
      <c r="GW214" s="6"/>
      <c r="GX214" s="6"/>
      <c r="GY214" s="5" t="str">
        <f t="shared" si="625"/>
        <v>NO APLICA</v>
      </c>
      <c r="GZ214" s="6"/>
      <c r="HA214" s="6"/>
      <c r="HB214" s="6"/>
      <c r="HC214" s="6"/>
      <c r="HD214" s="5" t="str">
        <f t="shared" si="626"/>
        <v>NO APLICA</v>
      </c>
      <c r="HE214" s="6"/>
      <c r="HF214" s="6"/>
      <c r="HG214" s="4"/>
      <c r="HH214" s="8"/>
      <c r="HI214" s="5" t="str">
        <f t="shared" si="712"/>
        <v>NO APLICA</v>
      </c>
      <c r="HJ214" s="6"/>
      <c r="HK214" s="6"/>
      <c r="HL214" s="6"/>
      <c r="HM214" s="6"/>
      <c r="HN214" s="5" t="str">
        <f t="shared" si="708"/>
        <v>NO APLICA</v>
      </c>
      <c r="HO214" s="6"/>
      <c r="HP214" s="6"/>
      <c r="HQ214" s="6"/>
      <c r="HR214" s="6"/>
      <c r="HS214" s="5" t="str">
        <f t="shared" si="746"/>
        <v>NO APLICA</v>
      </c>
      <c r="HT214" s="6"/>
      <c r="HU214" s="6"/>
      <c r="HV214" s="6"/>
      <c r="HW214" s="6"/>
      <c r="HX214" s="5" t="str">
        <f t="shared" si="747"/>
        <v>NO APLICA</v>
      </c>
      <c r="HY214" s="6"/>
      <c r="HZ214" s="6"/>
      <c r="IA214" s="6"/>
      <c r="IB214" s="6"/>
      <c r="IC214" s="5" t="str">
        <f t="shared" si="748"/>
        <v>NO APLICA</v>
      </c>
      <c r="ID214" s="6"/>
      <c r="IE214" s="6"/>
      <c r="IF214" s="6"/>
      <c r="IG214" s="6"/>
      <c r="IH214" s="5" t="str">
        <f t="shared" si="749"/>
        <v>NO APLICA</v>
      </c>
      <c r="II214" s="6"/>
      <c r="IJ214" s="6"/>
      <c r="IK214" s="6"/>
      <c r="IL214" s="6"/>
      <c r="IM214" s="5" t="str">
        <f t="shared" si="750"/>
        <v>NO APLICA</v>
      </c>
      <c r="IN214" s="6"/>
      <c r="IO214" s="6"/>
      <c r="IP214" s="6"/>
      <c r="IQ214" s="6"/>
      <c r="IR214" s="5" t="str">
        <f t="shared" si="751"/>
        <v>NO APLICA</v>
      </c>
      <c r="IS214" s="6"/>
      <c r="IT214" s="6"/>
      <c r="IU214" s="6"/>
      <c r="IV214" s="6"/>
      <c r="IW214" s="5" t="str">
        <f t="shared" si="752"/>
        <v>NO APLICA</v>
      </c>
      <c r="IX214" s="6"/>
      <c r="IY214" s="6"/>
      <c r="IZ214" s="6"/>
      <c r="JA214" s="6"/>
      <c r="JB214" s="5" t="str">
        <f t="shared" si="753"/>
        <v>NO APLICA</v>
      </c>
      <c r="JC214" s="6"/>
      <c r="JD214" s="6"/>
      <c r="JE214" s="6"/>
      <c r="JF214" s="6"/>
      <c r="JG214" s="5" t="str">
        <f t="shared" si="754"/>
        <v>NO APLICA</v>
      </c>
      <c r="JH214" s="6"/>
      <c r="JI214" s="6"/>
      <c r="JJ214" s="6"/>
      <c r="JK214" s="6"/>
      <c r="JL214" s="5" t="str">
        <f t="shared" si="755"/>
        <v>NO APLICA</v>
      </c>
      <c r="JM214" s="6"/>
      <c r="JN214" s="6"/>
      <c r="JO214" s="6"/>
      <c r="JP214" s="6"/>
      <c r="JQ214" s="5" t="str">
        <f t="shared" si="756"/>
        <v>NO APLICA</v>
      </c>
      <c r="JR214" s="6"/>
      <c r="JS214" s="6"/>
      <c r="JT214" s="6"/>
      <c r="JU214" s="6"/>
      <c r="JV214" s="5" t="str">
        <f t="shared" si="757"/>
        <v>NO APLICA</v>
      </c>
      <c r="JW214" s="5"/>
      <c r="JX214" s="5"/>
      <c r="JY214" s="5"/>
      <c r="JZ214" s="5"/>
      <c r="KA214" s="5" t="str">
        <f t="shared" si="758"/>
        <v>NO APLICA</v>
      </c>
      <c r="KB214" s="5"/>
      <c r="KC214" s="6"/>
      <c r="KD214" s="6"/>
      <c r="KE214" s="6"/>
      <c r="KF214" s="5" t="str">
        <f t="shared" si="759"/>
        <v>NO APLICA</v>
      </c>
      <c r="KG214" s="5"/>
      <c r="KH214" s="6"/>
      <c r="KI214" s="6"/>
      <c r="KJ214" s="6"/>
      <c r="KK214" s="5" t="str">
        <f t="shared" si="779"/>
        <v>NO APLICA</v>
      </c>
      <c r="KL214" s="5"/>
      <c r="KM214" s="6"/>
      <c r="KN214" s="6"/>
      <c r="KO214" s="6"/>
      <c r="KP214" s="5" t="str">
        <f t="shared" si="760"/>
        <v>NO APLICA</v>
      </c>
      <c r="KQ214" s="5"/>
      <c r="KR214" s="6"/>
      <c r="KS214" s="6"/>
      <c r="KT214" s="6"/>
      <c r="KU214" s="5" t="str">
        <f t="shared" si="780"/>
        <v>NO APLICA</v>
      </c>
      <c r="KV214" s="6"/>
      <c r="KW214" s="6"/>
      <c r="KX214" s="6"/>
      <c r="KY214" s="6"/>
      <c r="KZ214" s="5" t="str">
        <f t="shared" si="786"/>
        <v>NO APLICA</v>
      </c>
      <c r="LA214" s="5"/>
      <c r="LB214" s="6"/>
      <c r="LC214" s="6"/>
      <c r="LD214" s="6"/>
      <c r="LE214" s="5" t="str">
        <f t="shared" si="781"/>
        <v>NO APLICA</v>
      </c>
      <c r="LF214" s="6"/>
      <c r="LG214" s="6"/>
      <c r="LH214" s="6"/>
      <c r="LI214" s="6"/>
      <c r="LJ214" s="5" t="str">
        <f t="shared" si="614"/>
        <v>NO APLICA</v>
      </c>
      <c r="LK214" s="5"/>
      <c r="LL214" s="5"/>
      <c r="LM214" s="4"/>
      <c r="LN214" s="8"/>
      <c r="LO214" s="5" t="str">
        <f t="shared" si="787"/>
        <v>NO APLICA</v>
      </c>
      <c r="LP214" s="6"/>
      <c r="LQ214" s="6"/>
      <c r="LR214" s="6"/>
      <c r="LS214" s="6"/>
      <c r="LT214" s="5" t="str">
        <f t="shared" si="782"/>
        <v>NO APLICA</v>
      </c>
      <c r="LU214" s="6"/>
      <c r="LV214" s="6"/>
      <c r="LW214" s="6"/>
      <c r="LX214" s="6"/>
      <c r="LY214" s="5" t="str">
        <f t="shared" si="783"/>
        <v>NO APLICA</v>
      </c>
      <c r="LZ214" s="6"/>
      <c r="MA214" s="6"/>
      <c r="MB214" s="6"/>
      <c r="MC214" s="6"/>
      <c r="MD214" s="5" t="str">
        <f t="shared" si="784"/>
        <v>NO APLICA</v>
      </c>
      <c r="ME214" s="6"/>
      <c r="MF214" s="6"/>
      <c r="MG214" s="6"/>
      <c r="MH214" s="6"/>
      <c r="MI214" s="5" t="str">
        <f t="shared" si="761"/>
        <v>NO APLICA</v>
      </c>
      <c r="MJ214" s="6"/>
      <c r="MK214" s="6"/>
      <c r="ML214" s="6"/>
      <c r="MM214" s="6"/>
      <c r="MN214" s="5" t="str">
        <f t="shared" si="762"/>
        <v>NO APLICA</v>
      </c>
      <c r="MO214" s="5"/>
      <c r="MP214" s="6"/>
      <c r="MQ214" s="6"/>
      <c r="MR214" s="6"/>
      <c r="MS214" s="5" t="str">
        <f t="shared" si="763"/>
        <v>NO APLICA</v>
      </c>
      <c r="MT214" s="5"/>
      <c r="MU214" s="6"/>
      <c r="MV214" s="6"/>
      <c r="MW214" s="6"/>
      <c r="MX214" s="5" t="str">
        <f t="shared" si="764"/>
        <v>NO APLICA</v>
      </c>
      <c r="MY214" s="6"/>
      <c r="MZ214" s="6"/>
      <c r="NA214" s="6"/>
      <c r="NB214" s="6"/>
      <c r="NC214" s="5" t="str">
        <f t="shared" si="765"/>
        <v>NO APLICA</v>
      </c>
      <c r="ND214" s="6"/>
      <c r="NE214" s="6"/>
      <c r="NF214" s="6"/>
      <c r="NG214" s="6"/>
      <c r="NH214" s="5" t="str">
        <f t="shared" si="766"/>
        <v>NO APLICA</v>
      </c>
      <c r="NI214" s="6"/>
      <c r="NJ214" s="6"/>
      <c r="NK214" s="6"/>
      <c r="NL214" s="6"/>
      <c r="NM214" s="5" t="str">
        <f t="shared" si="767"/>
        <v>NO APLICA</v>
      </c>
      <c r="NN214" s="6"/>
      <c r="NO214" s="6"/>
      <c r="NP214" s="6"/>
      <c r="NQ214" s="6"/>
      <c r="NR214" s="5" t="str">
        <f t="shared" si="768"/>
        <v>NO APLICA</v>
      </c>
      <c r="NS214" s="6"/>
      <c r="NT214" s="6"/>
      <c r="NU214" s="6"/>
      <c r="NV214" s="6"/>
      <c r="NW214" s="5" t="str">
        <f t="shared" si="769"/>
        <v>NO APLICA</v>
      </c>
      <c r="NX214" s="6"/>
      <c r="NY214" s="6"/>
      <c r="NZ214" s="6"/>
      <c r="OA214" s="6"/>
      <c r="OB214" s="5" t="str">
        <f t="shared" si="770"/>
        <v>NO APLICA</v>
      </c>
      <c r="OC214" s="6"/>
      <c r="OD214" s="6"/>
      <c r="OE214" s="6"/>
      <c r="OF214" s="6"/>
      <c r="OG214" s="5" t="str">
        <f t="shared" si="771"/>
        <v>NO APLICA</v>
      </c>
      <c r="OH214" s="6"/>
      <c r="OI214" s="6"/>
      <c r="OJ214" s="6"/>
      <c r="OK214" s="6"/>
      <c r="OL214" s="5" t="str">
        <f t="shared" si="772"/>
        <v>NO APLICA</v>
      </c>
      <c r="OM214" s="6"/>
      <c r="ON214" s="6"/>
      <c r="OO214" s="6"/>
      <c r="OP214" s="6"/>
      <c r="OQ214" s="5" t="str">
        <f t="shared" si="773"/>
        <v>NO APLICA</v>
      </c>
      <c r="OR214" s="6"/>
      <c r="OS214" s="6"/>
      <c r="OT214" s="6"/>
      <c r="OU214" s="6"/>
      <c r="OV214" s="5" t="str">
        <f t="shared" si="774"/>
        <v>NO APLICA</v>
      </c>
      <c r="OW214" s="6"/>
      <c r="OX214" s="6"/>
      <c r="OY214" s="6"/>
      <c r="OZ214" s="6"/>
      <c r="PA214" s="5" t="str">
        <f t="shared" si="788"/>
        <v>NO APLICA</v>
      </c>
      <c r="PB214" s="6"/>
      <c r="PC214" s="6"/>
      <c r="PD214" s="6"/>
      <c r="PE214" s="6"/>
      <c r="PF214" s="5" t="str">
        <f t="shared" si="775"/>
        <v>NO APLICA</v>
      </c>
      <c r="PG214" s="6"/>
      <c r="PH214" s="6"/>
      <c r="PI214" s="6"/>
      <c r="PJ214" s="6"/>
      <c r="PK214" s="5" t="str">
        <f t="shared" si="776"/>
        <v>NO APLICA</v>
      </c>
      <c r="PL214" s="5"/>
      <c r="PM214" s="6"/>
      <c r="PN214" s="6"/>
      <c r="PO214" s="6"/>
      <c r="PP214" s="5" t="str">
        <f t="shared" si="785"/>
        <v>NO APLICA</v>
      </c>
      <c r="PQ214" s="6"/>
      <c r="PR214" s="6"/>
      <c r="PS214" s="6"/>
      <c r="PT214" s="6"/>
      <c r="PU214" s="5" t="str">
        <f t="shared" si="777"/>
        <v>NO APLICA</v>
      </c>
      <c r="PV214" s="5"/>
      <c r="PW214" s="6"/>
      <c r="PX214" s="6"/>
      <c r="PY214" s="6"/>
      <c r="PZ214" s="5" t="str">
        <f t="shared" si="77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658</v>
      </c>
      <c r="D215" s="30" t="s">
        <v>69</v>
      </c>
      <c r="E215" s="31" t="s">
        <v>622</v>
      </c>
      <c r="F215" s="6"/>
      <c r="G215" s="6"/>
      <c r="H215" s="6"/>
      <c r="I215" s="6"/>
      <c r="J215" s="5" t="str">
        <f t="shared" si="710"/>
        <v>NO APLICA</v>
      </c>
      <c r="K215" s="6"/>
      <c r="L215" s="6"/>
      <c r="M215" s="6"/>
      <c r="N215" s="6"/>
      <c r="O215" s="5" t="str">
        <f t="shared" si="713"/>
        <v>NO APLICA</v>
      </c>
      <c r="P215" s="6"/>
      <c r="Q215" s="6"/>
      <c r="R215" s="6"/>
      <c r="S215" s="6"/>
      <c r="T215" s="5" t="str">
        <f t="shared" si="711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19"/>
        <v>VIGENTE</v>
      </c>
      <c r="AA215" s="5"/>
      <c r="AB215" s="6" t="s">
        <v>659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714"/>
        <v>VIGENTE</v>
      </c>
      <c r="AG215" s="4"/>
      <c r="AH215" s="4"/>
      <c r="AI215" s="4"/>
      <c r="AJ215" s="6"/>
      <c r="AK215" s="5" t="str">
        <f t="shared" si="616"/>
        <v>NO APLICA</v>
      </c>
      <c r="AL215" s="4"/>
      <c r="AM215" s="4"/>
      <c r="AN215" s="4"/>
      <c r="AO215" s="6"/>
      <c r="AP215" s="5" t="str">
        <f t="shared" si="715"/>
        <v>NO APLICA</v>
      </c>
      <c r="AQ215" s="4"/>
      <c r="AR215" s="4"/>
      <c r="AS215" s="4"/>
      <c r="AT215" s="6"/>
      <c r="AU215" s="5" t="str">
        <f t="shared" si="716"/>
        <v>NO APLICA</v>
      </c>
      <c r="AV215" s="4"/>
      <c r="AW215" s="4"/>
      <c r="AX215" s="4"/>
      <c r="AY215" s="6"/>
      <c r="AZ215" s="5" t="str">
        <f t="shared" si="717"/>
        <v>NO APLICA</v>
      </c>
      <c r="BA215" s="4"/>
      <c r="BB215" s="4"/>
      <c r="BC215" s="4"/>
      <c r="BD215" s="6"/>
      <c r="BE215" s="5" t="str">
        <f t="shared" si="718"/>
        <v>NO APLICA</v>
      </c>
      <c r="BF215" s="4"/>
      <c r="BG215" s="4"/>
      <c r="BH215" s="4"/>
      <c r="BI215" s="6"/>
      <c r="BJ215" s="5" t="str">
        <f t="shared" si="719"/>
        <v>NO APLICA</v>
      </c>
      <c r="BK215" s="4"/>
      <c r="BL215" s="4"/>
      <c r="BM215" s="4"/>
      <c r="BN215" s="6"/>
      <c r="BO215" s="5" t="str">
        <f t="shared" si="720"/>
        <v>NO APLICA</v>
      </c>
      <c r="BP215" s="4"/>
      <c r="BQ215" s="4"/>
      <c r="BR215" s="4"/>
      <c r="BS215" s="6"/>
      <c r="BT215" s="5" t="str">
        <f t="shared" si="721"/>
        <v>NO APLICA</v>
      </c>
      <c r="BU215" s="4"/>
      <c r="BV215" s="4"/>
      <c r="BW215" s="4"/>
      <c r="BX215" s="6"/>
      <c r="BY215" s="5" t="str">
        <f t="shared" si="722"/>
        <v>NO APLICA</v>
      </c>
      <c r="BZ215" s="4"/>
      <c r="CA215" s="4"/>
      <c r="CB215" s="4"/>
      <c r="CC215" s="6"/>
      <c r="CD215" s="5" t="str">
        <f t="shared" si="723"/>
        <v>NO APLICA</v>
      </c>
      <c r="CE215" s="6" t="s">
        <v>146</v>
      </c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4"/>
        <v>NO APLICA</v>
      </c>
      <c r="CO215" s="4"/>
      <c r="CP215" s="4"/>
      <c r="CQ215" s="4"/>
      <c r="CR215" s="6"/>
      <c r="CS215" s="5" t="str">
        <f t="shared" si="725"/>
        <v>NO APLICA</v>
      </c>
      <c r="CT215" s="4"/>
      <c r="CU215" s="4"/>
      <c r="CV215" s="4"/>
      <c r="CW215" s="6"/>
      <c r="CX215" s="5" t="str">
        <f t="shared" si="726"/>
        <v>NO APLICA</v>
      </c>
      <c r="CY215" s="4"/>
      <c r="CZ215" s="4"/>
      <c r="DA215" s="4"/>
      <c r="DB215" s="6"/>
      <c r="DC215" s="5" t="str">
        <f t="shared" si="727"/>
        <v>NO APLICA</v>
      </c>
      <c r="DD215" s="4"/>
      <c r="DE215" s="4"/>
      <c r="DF215" s="4"/>
      <c r="DG215" s="6"/>
      <c r="DH215" s="5" t="str">
        <f t="shared" si="728"/>
        <v>NO APLICA</v>
      </c>
      <c r="DI215" s="4"/>
      <c r="DJ215" s="4"/>
      <c r="DK215" s="4"/>
      <c r="DL215" s="6"/>
      <c r="DM215" s="5" t="str">
        <f t="shared" si="729"/>
        <v>NO APLICA</v>
      </c>
      <c r="DN215" s="4"/>
      <c r="DO215" s="4"/>
      <c r="DP215" s="4"/>
      <c r="DQ215" s="6"/>
      <c r="DR215" s="5" t="str">
        <f t="shared" si="730"/>
        <v>NO APLICA</v>
      </c>
      <c r="DS215" s="4"/>
      <c r="DT215" s="4"/>
      <c r="DU215" s="4"/>
      <c r="DV215" s="6"/>
      <c r="DW215" s="5" t="str">
        <f t="shared" si="731"/>
        <v>NO APLICA</v>
      </c>
      <c r="DX215" s="4"/>
      <c r="DY215" s="4"/>
      <c r="DZ215" s="4"/>
      <c r="EA215" s="6"/>
      <c r="EB215" s="5" t="str">
        <f t="shared" si="732"/>
        <v>NO APLICA</v>
      </c>
      <c r="EC215" s="4"/>
      <c r="ED215" s="4"/>
      <c r="EE215" s="4"/>
      <c r="EF215" s="6"/>
      <c r="EG215" s="5" t="str">
        <f t="shared" si="733"/>
        <v>NO APLICA</v>
      </c>
      <c r="EH215" s="4"/>
      <c r="EI215" s="4"/>
      <c r="EJ215" s="4"/>
      <c r="EK215" s="8"/>
      <c r="EL215" s="5" t="str">
        <f t="shared" si="734"/>
        <v>NO APLICA</v>
      </c>
      <c r="EM215" s="4"/>
      <c r="EN215" s="4"/>
      <c r="EO215" s="4"/>
      <c r="EP215" s="8"/>
      <c r="EQ215" s="5" t="str">
        <f t="shared" si="735"/>
        <v>NO APLICA</v>
      </c>
      <c r="ER215" s="4"/>
      <c r="ES215" s="4"/>
      <c r="ET215" s="4"/>
      <c r="EU215" s="8"/>
      <c r="EV215" s="5" t="str">
        <f t="shared" si="736"/>
        <v>NO APLICA</v>
      </c>
      <c r="EW215" s="4"/>
      <c r="EX215" s="4"/>
      <c r="EY215" s="4"/>
      <c r="EZ215" s="6"/>
      <c r="FA215" s="5" t="str">
        <f t="shared" si="737"/>
        <v>NO APLICA</v>
      </c>
      <c r="FB215" s="4"/>
      <c r="FC215" s="4"/>
      <c r="FD215" s="4"/>
      <c r="FE215" s="6"/>
      <c r="FF215" s="5" t="str">
        <f t="shared" si="738"/>
        <v>NO APLICA</v>
      </c>
      <c r="FG215" s="4"/>
      <c r="FH215" s="4"/>
      <c r="FI215" s="4"/>
      <c r="FJ215" s="6"/>
      <c r="FK215" s="5" t="str">
        <f t="shared" si="739"/>
        <v>NO APLICA</v>
      </c>
      <c r="FL215" s="4"/>
      <c r="FM215" s="4"/>
      <c r="FN215" s="4"/>
      <c r="FO215" s="6"/>
      <c r="FP215" s="5" t="str">
        <f t="shared" si="740"/>
        <v>NO APLICA</v>
      </c>
      <c r="FQ215" s="4"/>
      <c r="FR215" s="4"/>
      <c r="FS215" s="4"/>
      <c r="FT215" s="6"/>
      <c r="FU215" s="5" t="str">
        <f t="shared" si="741"/>
        <v>NO APLICA</v>
      </c>
      <c r="FV215" s="4"/>
      <c r="FW215" s="4"/>
      <c r="FX215" s="4"/>
      <c r="FY215" s="6"/>
      <c r="FZ215" s="5" t="str">
        <f t="shared" si="742"/>
        <v>NO APLICA</v>
      </c>
      <c r="GA215" s="4"/>
      <c r="GB215" s="4"/>
      <c r="GC215" s="4"/>
      <c r="GD215" s="6"/>
      <c r="GE215" s="5" t="str">
        <f t="shared" si="743"/>
        <v>NO APLICA</v>
      </c>
      <c r="GF215" s="4"/>
      <c r="GG215" s="4"/>
      <c r="GH215" s="4"/>
      <c r="GI215" s="8"/>
      <c r="GJ215" s="5" t="str">
        <f t="shared" si="744"/>
        <v>NO APLICA</v>
      </c>
      <c r="GK215" s="4"/>
      <c r="GL215" s="6"/>
      <c r="GM215" s="6"/>
      <c r="GN215" s="6"/>
      <c r="GO215" s="5" t="str">
        <f t="shared" si="745"/>
        <v>NO APLICA</v>
      </c>
      <c r="GP215" s="4"/>
      <c r="GQ215" s="6"/>
      <c r="GR215" s="6"/>
      <c r="GS215" s="6"/>
      <c r="GT215" s="5" t="str">
        <f t="shared" si="624"/>
        <v>NO APLICA</v>
      </c>
      <c r="GU215" s="4"/>
      <c r="GV215" s="6"/>
      <c r="GW215" s="6"/>
      <c r="GX215" s="6"/>
      <c r="GY215" s="5" t="str">
        <f t="shared" si="625"/>
        <v>NO APLICA</v>
      </c>
      <c r="GZ215" s="6"/>
      <c r="HA215" s="6"/>
      <c r="HB215" s="6"/>
      <c r="HC215" s="6"/>
      <c r="HD215" s="5" t="str">
        <f t="shared" si="626"/>
        <v>NO APLICA</v>
      </c>
      <c r="HE215" s="6"/>
      <c r="HF215" s="6"/>
      <c r="HG215" s="4"/>
      <c r="HH215" s="8"/>
      <c r="HI215" s="5" t="str">
        <f t="shared" si="712"/>
        <v>NO APLICA</v>
      </c>
      <c r="HJ215" s="6"/>
      <c r="HK215" s="6"/>
      <c r="HL215" s="6"/>
      <c r="HM215" s="6"/>
      <c r="HN215" s="5" t="str">
        <f t="shared" si="708"/>
        <v>NO APLICA</v>
      </c>
      <c r="HO215" s="6"/>
      <c r="HP215" s="6"/>
      <c r="HQ215" s="6"/>
      <c r="HR215" s="6"/>
      <c r="HS215" s="5" t="str">
        <f t="shared" si="746"/>
        <v>NO APLICA</v>
      </c>
      <c r="HT215" s="6"/>
      <c r="HU215" s="6"/>
      <c r="HV215" s="6"/>
      <c r="HW215" s="6"/>
      <c r="HX215" s="5" t="str">
        <f t="shared" si="747"/>
        <v>NO APLICA</v>
      </c>
      <c r="HY215" s="6"/>
      <c r="HZ215" s="6"/>
      <c r="IA215" s="6"/>
      <c r="IB215" s="6"/>
      <c r="IC215" s="5" t="str">
        <f t="shared" si="748"/>
        <v>NO APLICA</v>
      </c>
      <c r="ID215" s="6"/>
      <c r="IE215" s="6"/>
      <c r="IF215" s="6"/>
      <c r="IG215" s="6"/>
      <c r="IH215" s="5" t="str">
        <f t="shared" si="749"/>
        <v>NO APLICA</v>
      </c>
      <c r="II215" s="6"/>
      <c r="IJ215" s="6"/>
      <c r="IK215" s="6"/>
      <c r="IL215" s="6"/>
      <c r="IM215" s="5" t="str">
        <f t="shared" si="750"/>
        <v>NO APLICA</v>
      </c>
      <c r="IN215" s="6"/>
      <c r="IO215" s="6"/>
      <c r="IP215" s="6"/>
      <c r="IQ215" s="6"/>
      <c r="IR215" s="5" t="str">
        <f t="shared" si="751"/>
        <v>NO APLICA</v>
      </c>
      <c r="IS215" s="6"/>
      <c r="IT215" s="6"/>
      <c r="IU215" s="6"/>
      <c r="IV215" s="6"/>
      <c r="IW215" s="5" t="str">
        <f t="shared" si="752"/>
        <v>NO APLICA</v>
      </c>
      <c r="IX215" s="6"/>
      <c r="IY215" s="6"/>
      <c r="IZ215" s="6"/>
      <c r="JA215" s="6"/>
      <c r="JB215" s="5" t="str">
        <f t="shared" si="753"/>
        <v>NO APLICA</v>
      </c>
      <c r="JC215" s="6"/>
      <c r="JD215" s="6"/>
      <c r="JE215" s="6"/>
      <c r="JF215" s="6"/>
      <c r="JG215" s="5" t="str">
        <f t="shared" si="754"/>
        <v>NO APLICA</v>
      </c>
      <c r="JH215" s="6"/>
      <c r="JI215" s="6"/>
      <c r="JJ215" s="6"/>
      <c r="JK215" s="6"/>
      <c r="JL215" s="5" t="str">
        <f t="shared" si="755"/>
        <v>NO APLICA</v>
      </c>
      <c r="JM215" s="6"/>
      <c r="JN215" s="6"/>
      <c r="JO215" s="6"/>
      <c r="JP215" s="6"/>
      <c r="JQ215" s="5" t="str">
        <f t="shared" si="756"/>
        <v>NO APLICA</v>
      </c>
      <c r="JR215" s="6"/>
      <c r="JS215" s="6"/>
      <c r="JT215" s="6"/>
      <c r="JU215" s="6"/>
      <c r="JV215" s="5" t="str">
        <f t="shared" si="757"/>
        <v>NO APLICA</v>
      </c>
      <c r="JW215" s="5"/>
      <c r="JX215" s="5"/>
      <c r="JY215" s="5"/>
      <c r="JZ215" s="5"/>
      <c r="KA215" s="5" t="str">
        <f t="shared" si="758"/>
        <v>NO APLICA</v>
      </c>
      <c r="KB215" s="5"/>
      <c r="KC215" s="6"/>
      <c r="KD215" s="6"/>
      <c r="KE215" s="6"/>
      <c r="KF215" s="5" t="str">
        <f t="shared" si="759"/>
        <v>NO APLICA</v>
      </c>
      <c r="KG215" s="5"/>
      <c r="KH215" s="6"/>
      <c r="KI215" s="6"/>
      <c r="KJ215" s="6"/>
      <c r="KK215" s="5" t="str">
        <f t="shared" si="779"/>
        <v>NO APLICA</v>
      </c>
      <c r="KL215" s="5"/>
      <c r="KM215" s="6"/>
      <c r="KN215" s="6"/>
      <c r="KO215" s="6"/>
      <c r="KP215" s="5" t="str">
        <f t="shared" si="760"/>
        <v>NO APLICA</v>
      </c>
      <c r="KQ215" s="5"/>
      <c r="KR215" s="6"/>
      <c r="KS215" s="6"/>
      <c r="KT215" s="6"/>
      <c r="KU215" s="5" t="str">
        <f t="shared" si="780"/>
        <v>NO APLICA</v>
      </c>
      <c r="KV215" s="6"/>
      <c r="KW215" s="6"/>
      <c r="KX215" s="6"/>
      <c r="KY215" s="6"/>
      <c r="KZ215" s="5" t="str">
        <f t="shared" si="786"/>
        <v>NO APLICA</v>
      </c>
      <c r="LA215" s="5"/>
      <c r="LB215" s="6"/>
      <c r="LC215" s="6"/>
      <c r="LD215" s="6"/>
      <c r="LE215" s="5" t="str">
        <f t="shared" si="781"/>
        <v>NO APLICA</v>
      </c>
      <c r="LF215" s="6"/>
      <c r="LG215" s="6"/>
      <c r="LH215" s="6"/>
      <c r="LI215" s="6"/>
      <c r="LJ215" s="5" t="str">
        <f t="shared" si="614"/>
        <v>NO APLICA</v>
      </c>
      <c r="LK215" s="5"/>
      <c r="LL215" s="5"/>
      <c r="LM215" s="4"/>
      <c r="LN215" s="8"/>
      <c r="LO215" s="5" t="str">
        <f t="shared" si="787"/>
        <v>NO APLICA</v>
      </c>
      <c r="LP215" s="6"/>
      <c r="LQ215" s="6"/>
      <c r="LR215" s="6"/>
      <c r="LS215" s="6"/>
      <c r="LT215" s="5" t="str">
        <f t="shared" si="782"/>
        <v>NO APLICA</v>
      </c>
      <c r="LU215" s="6"/>
      <c r="LV215" s="6"/>
      <c r="LW215" s="6"/>
      <c r="LX215" s="6"/>
      <c r="LY215" s="5" t="str">
        <f t="shared" si="783"/>
        <v>NO APLICA</v>
      </c>
      <c r="LZ215" s="6"/>
      <c r="MA215" s="6"/>
      <c r="MB215" s="6"/>
      <c r="MC215" s="6"/>
      <c r="MD215" s="5" t="str">
        <f t="shared" si="784"/>
        <v>NO APLICA</v>
      </c>
      <c r="ME215" s="6"/>
      <c r="MF215" s="6"/>
      <c r="MG215" s="6"/>
      <c r="MH215" s="6"/>
      <c r="MI215" s="5" t="str">
        <f t="shared" si="761"/>
        <v>NO APLICA</v>
      </c>
      <c r="MJ215" s="6"/>
      <c r="MK215" s="6"/>
      <c r="ML215" s="6"/>
      <c r="MM215" s="6"/>
      <c r="MN215" s="5" t="str">
        <f t="shared" si="762"/>
        <v>NO APLICA</v>
      </c>
      <c r="MO215" s="5"/>
      <c r="MP215" s="6"/>
      <c r="MQ215" s="6"/>
      <c r="MR215" s="6"/>
      <c r="MS215" s="5" t="str">
        <f t="shared" si="763"/>
        <v>NO APLICA</v>
      </c>
      <c r="MT215" s="5"/>
      <c r="MU215" s="6"/>
      <c r="MV215" s="6"/>
      <c r="MW215" s="6"/>
      <c r="MX215" s="5" t="str">
        <f t="shared" si="764"/>
        <v>NO APLICA</v>
      </c>
      <c r="MY215" s="6"/>
      <c r="MZ215" s="6"/>
      <c r="NA215" s="6"/>
      <c r="NB215" s="6"/>
      <c r="NC215" s="5" t="str">
        <f t="shared" si="765"/>
        <v>NO APLICA</v>
      </c>
      <c r="ND215" s="6"/>
      <c r="NE215" s="6"/>
      <c r="NF215" s="6"/>
      <c r="NG215" s="6"/>
      <c r="NH215" s="5" t="str">
        <f t="shared" si="766"/>
        <v>NO APLICA</v>
      </c>
      <c r="NI215" s="6"/>
      <c r="NJ215" s="6"/>
      <c r="NK215" s="6"/>
      <c r="NL215" s="6"/>
      <c r="NM215" s="5" t="str">
        <f t="shared" si="767"/>
        <v>NO APLICA</v>
      </c>
      <c r="NN215" s="6"/>
      <c r="NO215" s="6"/>
      <c r="NP215" s="6"/>
      <c r="NQ215" s="6"/>
      <c r="NR215" s="5" t="str">
        <f t="shared" si="768"/>
        <v>NO APLICA</v>
      </c>
      <c r="NS215" s="6"/>
      <c r="NT215" s="6"/>
      <c r="NU215" s="6"/>
      <c r="NV215" s="6"/>
      <c r="NW215" s="5" t="str">
        <f t="shared" si="769"/>
        <v>NO APLICA</v>
      </c>
      <c r="NX215" s="6"/>
      <c r="NY215" s="6"/>
      <c r="NZ215" s="6"/>
      <c r="OA215" s="6"/>
      <c r="OB215" s="5" t="str">
        <f t="shared" si="770"/>
        <v>NO APLICA</v>
      </c>
      <c r="OC215" s="6"/>
      <c r="OD215" s="6"/>
      <c r="OE215" s="6"/>
      <c r="OF215" s="6"/>
      <c r="OG215" s="5" t="str">
        <f t="shared" si="771"/>
        <v>NO APLICA</v>
      </c>
      <c r="OH215" s="6"/>
      <c r="OI215" s="6"/>
      <c r="OJ215" s="6"/>
      <c r="OK215" s="6"/>
      <c r="OL215" s="5" t="str">
        <f t="shared" si="772"/>
        <v>NO APLICA</v>
      </c>
      <c r="OM215" s="6"/>
      <c r="ON215" s="6"/>
      <c r="OO215" s="6"/>
      <c r="OP215" s="6"/>
      <c r="OQ215" s="5" t="str">
        <f t="shared" si="773"/>
        <v>NO APLICA</v>
      </c>
      <c r="OR215" s="6"/>
      <c r="OS215" s="6"/>
      <c r="OT215" s="6"/>
      <c r="OU215" s="6"/>
      <c r="OV215" s="5" t="str">
        <f t="shared" si="774"/>
        <v>NO APLICA</v>
      </c>
      <c r="OW215" s="6"/>
      <c r="OX215" s="6"/>
      <c r="OY215" s="6"/>
      <c r="OZ215" s="6"/>
      <c r="PA215" s="5" t="str">
        <f t="shared" si="788"/>
        <v>NO APLICA</v>
      </c>
      <c r="PB215" s="6"/>
      <c r="PC215" s="6"/>
      <c r="PD215" s="6"/>
      <c r="PE215" s="6"/>
      <c r="PF215" s="5" t="str">
        <f t="shared" si="775"/>
        <v>NO APLICA</v>
      </c>
      <c r="PG215" s="6"/>
      <c r="PH215" s="6"/>
      <c r="PI215" s="6"/>
      <c r="PJ215" s="6"/>
      <c r="PK215" s="5" t="str">
        <f t="shared" si="776"/>
        <v>NO APLICA</v>
      </c>
      <c r="PL215" s="5"/>
      <c r="PM215" s="6"/>
      <c r="PN215" s="6"/>
      <c r="PO215" s="6"/>
      <c r="PP215" s="5" t="str">
        <f t="shared" si="785"/>
        <v>NO APLICA</v>
      </c>
      <c r="PQ215" s="6"/>
      <c r="PR215" s="6"/>
      <c r="PS215" s="6"/>
      <c r="PT215" s="6"/>
      <c r="PU215" s="5" t="str">
        <f t="shared" si="777"/>
        <v>NO APLICA</v>
      </c>
      <c r="PV215" s="5"/>
      <c r="PW215" s="6"/>
      <c r="PX215" s="6"/>
      <c r="PY215" s="6"/>
      <c r="PZ215" s="5" t="str">
        <f t="shared" si="77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660</v>
      </c>
      <c r="D216" s="30" t="s">
        <v>115</v>
      </c>
      <c r="E216" s="31" t="s">
        <v>650</v>
      </c>
      <c r="F216" s="6"/>
      <c r="G216" s="6"/>
      <c r="H216" s="6"/>
      <c r="I216" s="6"/>
      <c r="J216" s="5" t="str">
        <f t="shared" si="710"/>
        <v>NO APLICA</v>
      </c>
      <c r="K216" s="6"/>
      <c r="L216" s="6"/>
      <c r="M216" s="6"/>
      <c r="N216" s="6"/>
      <c r="O216" s="5" t="str">
        <f t="shared" si="713"/>
        <v>NO APLICA</v>
      </c>
      <c r="P216" s="6"/>
      <c r="Q216" s="6"/>
      <c r="R216" s="6"/>
      <c r="S216" s="6"/>
      <c r="T216" s="5" t="str">
        <f t="shared" si="711"/>
        <v>NO APLICA</v>
      </c>
      <c r="U216" s="5"/>
      <c r="V216" s="6"/>
      <c r="W216" s="4"/>
      <c r="X216" s="4"/>
      <c r="Y216" s="8"/>
      <c r="Z216" s="5" t="str">
        <f t="shared" si="619"/>
        <v>NO APLICA</v>
      </c>
      <c r="AA216" s="5"/>
      <c r="AB216" s="6"/>
      <c r="AC216" s="6"/>
      <c r="AD216" s="6"/>
      <c r="AE216" s="6"/>
      <c r="AF216" s="5" t="str">
        <f t="shared" si="714"/>
        <v>NO APLICA</v>
      </c>
      <c r="AG216" s="4"/>
      <c r="AH216" s="4"/>
      <c r="AI216" s="4"/>
      <c r="AJ216" s="6"/>
      <c r="AK216" s="5" t="str">
        <f t="shared" si="616"/>
        <v>NO APLICA</v>
      </c>
      <c r="AL216" s="4"/>
      <c r="AM216" s="4"/>
      <c r="AN216" s="4"/>
      <c r="AO216" s="6"/>
      <c r="AP216" s="5" t="str">
        <f t="shared" si="715"/>
        <v>NO APLICA</v>
      </c>
      <c r="AQ216" s="4"/>
      <c r="AR216" s="4"/>
      <c r="AS216" s="4"/>
      <c r="AT216" s="6"/>
      <c r="AU216" s="5" t="str">
        <f t="shared" si="716"/>
        <v>NO APLICA</v>
      </c>
      <c r="AV216" s="4"/>
      <c r="AW216" s="4"/>
      <c r="AX216" s="4"/>
      <c r="AY216" s="6"/>
      <c r="AZ216" s="5" t="str">
        <f t="shared" si="717"/>
        <v>NO APLICA</v>
      </c>
      <c r="BA216" s="4"/>
      <c r="BB216" s="4"/>
      <c r="BC216" s="4"/>
      <c r="BD216" s="6"/>
      <c r="BE216" s="5" t="str">
        <f t="shared" si="718"/>
        <v>NO APLICA</v>
      </c>
      <c r="BF216" s="4"/>
      <c r="BG216" s="4"/>
      <c r="BH216" s="4"/>
      <c r="BI216" s="6"/>
      <c r="BJ216" s="5" t="str">
        <f t="shared" si="719"/>
        <v>NO APLICA</v>
      </c>
      <c r="BK216" s="4"/>
      <c r="BL216" s="4"/>
      <c r="BM216" s="4"/>
      <c r="BN216" s="6"/>
      <c r="BO216" s="5" t="str">
        <f t="shared" si="720"/>
        <v>NO APLICA</v>
      </c>
      <c r="BP216" s="4"/>
      <c r="BQ216" s="4"/>
      <c r="BR216" s="4"/>
      <c r="BS216" s="6"/>
      <c r="BT216" s="5" t="str">
        <f t="shared" si="721"/>
        <v>NO APLICA</v>
      </c>
      <c r="BU216" s="4"/>
      <c r="BV216" s="4"/>
      <c r="BW216" s="4"/>
      <c r="BX216" s="6"/>
      <c r="BY216" s="5" t="str">
        <f t="shared" si="722"/>
        <v>NO APLICA</v>
      </c>
      <c r="BZ216" s="4"/>
      <c r="CA216" s="4"/>
      <c r="CB216" s="4"/>
      <c r="CC216" s="6"/>
      <c r="CD216" s="5" t="str">
        <f t="shared" si="723"/>
        <v>NO APLICA</v>
      </c>
      <c r="CE216" s="6"/>
      <c r="CF216" s="6"/>
      <c r="CG216" s="6"/>
      <c r="CH216" s="6"/>
      <c r="CI216" s="5" t="str">
        <f t="shared" si="789"/>
        <v>NO APLICA</v>
      </c>
      <c r="CJ216" s="4"/>
      <c r="CK216" s="4"/>
      <c r="CL216" s="4"/>
      <c r="CM216" s="6"/>
      <c r="CN216" s="5" t="str">
        <f t="shared" si="724"/>
        <v>NO APLICA</v>
      </c>
      <c r="CO216" s="4"/>
      <c r="CP216" s="4"/>
      <c r="CQ216" s="4"/>
      <c r="CR216" s="6"/>
      <c r="CS216" s="5" t="str">
        <f t="shared" si="725"/>
        <v>NO APLICA</v>
      </c>
      <c r="CT216" s="4"/>
      <c r="CU216" s="4"/>
      <c r="CV216" s="4"/>
      <c r="CW216" s="6"/>
      <c r="CX216" s="5" t="str">
        <f t="shared" si="726"/>
        <v>NO APLICA</v>
      </c>
      <c r="CY216" s="4"/>
      <c r="CZ216" s="4"/>
      <c r="DA216" s="4"/>
      <c r="DB216" s="6"/>
      <c r="DC216" s="5" t="str">
        <f t="shared" si="727"/>
        <v>NO APLICA</v>
      </c>
      <c r="DD216" s="4"/>
      <c r="DE216" s="4"/>
      <c r="DF216" s="4"/>
      <c r="DG216" s="6"/>
      <c r="DH216" s="5" t="str">
        <f t="shared" si="728"/>
        <v>NO APLICA</v>
      </c>
      <c r="DI216" s="4"/>
      <c r="DJ216" s="4"/>
      <c r="DK216" s="4"/>
      <c r="DL216" s="6"/>
      <c r="DM216" s="5" t="str">
        <f t="shared" si="729"/>
        <v>NO APLICA</v>
      </c>
      <c r="DN216" s="4"/>
      <c r="DO216" s="4"/>
      <c r="DP216" s="4"/>
      <c r="DQ216" s="6"/>
      <c r="DR216" s="5" t="str">
        <f t="shared" si="730"/>
        <v>NO APLICA</v>
      </c>
      <c r="DS216" s="4"/>
      <c r="DT216" s="4"/>
      <c r="DU216" s="4"/>
      <c r="DV216" s="6"/>
      <c r="DW216" s="5" t="str">
        <f t="shared" si="731"/>
        <v>NO APLICA</v>
      </c>
      <c r="DX216" s="4"/>
      <c r="DY216" s="4"/>
      <c r="DZ216" s="4"/>
      <c r="EA216" s="6"/>
      <c r="EB216" s="5" t="str">
        <f t="shared" si="732"/>
        <v>NO APLICA</v>
      </c>
      <c r="EC216" s="4"/>
      <c r="ED216" s="4"/>
      <c r="EE216" s="4"/>
      <c r="EF216" s="6"/>
      <c r="EG216" s="5" t="str">
        <f t="shared" si="733"/>
        <v>NO APLICA</v>
      </c>
      <c r="EH216" s="4"/>
      <c r="EI216" s="4"/>
      <c r="EJ216" s="4"/>
      <c r="EK216" s="8"/>
      <c r="EL216" s="5" t="str">
        <f t="shared" si="734"/>
        <v>NO APLICA</v>
      </c>
      <c r="EM216" s="4"/>
      <c r="EN216" s="4"/>
      <c r="EO216" s="4"/>
      <c r="EP216" s="8"/>
      <c r="EQ216" s="5" t="str">
        <f t="shared" si="735"/>
        <v>NO APLICA</v>
      </c>
      <c r="ER216" s="4"/>
      <c r="ES216" s="4"/>
      <c r="ET216" s="4"/>
      <c r="EU216" s="8"/>
      <c r="EV216" s="5" t="str">
        <f t="shared" si="736"/>
        <v>NO APLICA</v>
      </c>
      <c r="EW216" s="4"/>
      <c r="EX216" s="4"/>
      <c r="EY216" s="4"/>
      <c r="EZ216" s="6"/>
      <c r="FA216" s="5" t="str">
        <f t="shared" si="737"/>
        <v>NO APLICA</v>
      </c>
      <c r="FB216" s="4"/>
      <c r="FC216" s="4"/>
      <c r="FD216" s="4"/>
      <c r="FE216" s="6"/>
      <c r="FF216" s="5" t="str">
        <f t="shared" si="738"/>
        <v>NO APLICA</v>
      </c>
      <c r="FG216" s="4"/>
      <c r="FH216" s="4"/>
      <c r="FI216" s="4"/>
      <c r="FJ216" s="6"/>
      <c r="FK216" s="5" t="str">
        <f t="shared" si="739"/>
        <v>NO APLICA</v>
      </c>
      <c r="FL216" s="4"/>
      <c r="FM216" s="4"/>
      <c r="FN216" s="4"/>
      <c r="FO216" s="6"/>
      <c r="FP216" s="5" t="str">
        <f t="shared" si="740"/>
        <v>NO APLICA</v>
      </c>
      <c r="FQ216" s="4"/>
      <c r="FR216" s="4"/>
      <c r="FS216" s="4"/>
      <c r="FT216" s="6"/>
      <c r="FU216" s="5" t="str">
        <f t="shared" si="741"/>
        <v>NO APLICA</v>
      </c>
      <c r="FV216" s="4"/>
      <c r="FW216" s="4"/>
      <c r="FX216" s="4"/>
      <c r="FY216" s="6"/>
      <c r="FZ216" s="5" t="str">
        <f t="shared" si="742"/>
        <v>NO APLICA</v>
      </c>
      <c r="GA216" s="4"/>
      <c r="GB216" s="4"/>
      <c r="GC216" s="4"/>
      <c r="GD216" s="6"/>
      <c r="GE216" s="5" t="str">
        <f t="shared" si="743"/>
        <v>NO APLICA</v>
      </c>
      <c r="GF216" s="4"/>
      <c r="GG216" s="4"/>
      <c r="GH216" s="4"/>
      <c r="GI216" s="8"/>
      <c r="GJ216" s="5" t="str">
        <f t="shared" si="744"/>
        <v>NO APLICA</v>
      </c>
      <c r="GK216" s="4"/>
      <c r="GL216" s="6"/>
      <c r="GM216" s="6"/>
      <c r="GN216" s="6"/>
      <c r="GO216" s="5" t="str">
        <f t="shared" si="745"/>
        <v>NO APLICA</v>
      </c>
      <c r="GP216" s="4"/>
      <c r="GQ216" s="6"/>
      <c r="GR216" s="6"/>
      <c r="GS216" s="6"/>
      <c r="GT216" s="5" t="str">
        <f t="shared" si="624"/>
        <v>NO APLICA</v>
      </c>
      <c r="GU216" s="4"/>
      <c r="GV216" s="6"/>
      <c r="GW216" s="6"/>
      <c r="GX216" s="6"/>
      <c r="GY216" s="5" t="str">
        <f t="shared" si="625"/>
        <v>NO APLICA</v>
      </c>
      <c r="GZ216" s="6"/>
      <c r="HA216" s="6"/>
      <c r="HB216" s="6"/>
      <c r="HC216" s="6"/>
      <c r="HD216" s="5" t="str">
        <f t="shared" si="626"/>
        <v>NO APLICA</v>
      </c>
      <c r="HE216" s="6"/>
      <c r="HF216" s="6"/>
      <c r="HG216" s="4"/>
      <c r="HH216" s="8"/>
      <c r="HI216" s="5" t="str">
        <f t="shared" si="712"/>
        <v>NO APLICA</v>
      </c>
      <c r="HJ216" s="6"/>
      <c r="HK216" s="6"/>
      <c r="HL216" s="6"/>
      <c r="HM216" s="6"/>
      <c r="HN216" s="5" t="str">
        <f t="shared" si="708"/>
        <v>NO APLICA</v>
      </c>
      <c r="HO216" s="6"/>
      <c r="HP216" s="6"/>
      <c r="HQ216" s="6"/>
      <c r="HR216" s="6"/>
      <c r="HS216" s="5" t="str">
        <f t="shared" si="746"/>
        <v>NO APLICA</v>
      </c>
      <c r="HT216" s="6"/>
      <c r="HU216" s="6"/>
      <c r="HV216" s="6"/>
      <c r="HW216" s="6"/>
      <c r="HX216" s="5" t="str">
        <f t="shared" si="747"/>
        <v>NO APLICA</v>
      </c>
      <c r="HY216" s="6"/>
      <c r="HZ216" s="6"/>
      <c r="IA216" s="6"/>
      <c r="IB216" s="6"/>
      <c r="IC216" s="5" t="str">
        <f t="shared" si="748"/>
        <v>NO APLICA</v>
      </c>
      <c r="ID216" s="6"/>
      <c r="IE216" s="6"/>
      <c r="IF216" s="6"/>
      <c r="IG216" s="6"/>
      <c r="IH216" s="5" t="str">
        <f t="shared" si="749"/>
        <v>NO APLICA</v>
      </c>
      <c r="II216" s="6"/>
      <c r="IJ216" s="6"/>
      <c r="IK216" s="6"/>
      <c r="IL216" s="6"/>
      <c r="IM216" s="5" t="str">
        <f t="shared" si="750"/>
        <v>NO APLICA</v>
      </c>
      <c r="IN216" s="6"/>
      <c r="IO216" s="6"/>
      <c r="IP216" s="6"/>
      <c r="IQ216" s="6"/>
      <c r="IR216" s="5" t="str">
        <f t="shared" si="751"/>
        <v>NO APLICA</v>
      </c>
      <c r="IS216" s="6"/>
      <c r="IT216" s="6"/>
      <c r="IU216" s="6"/>
      <c r="IV216" s="6"/>
      <c r="IW216" s="5" t="str">
        <f t="shared" si="752"/>
        <v>NO APLICA</v>
      </c>
      <c r="IX216" s="6"/>
      <c r="IY216" s="6"/>
      <c r="IZ216" s="6"/>
      <c r="JA216" s="6"/>
      <c r="JB216" s="5" t="str">
        <f t="shared" si="753"/>
        <v>NO APLICA</v>
      </c>
      <c r="JC216" s="6"/>
      <c r="JD216" s="6"/>
      <c r="JE216" s="6"/>
      <c r="JF216" s="6"/>
      <c r="JG216" s="5" t="str">
        <f t="shared" si="754"/>
        <v>NO APLICA</v>
      </c>
      <c r="JH216" s="6"/>
      <c r="JI216" s="6"/>
      <c r="JJ216" s="6"/>
      <c r="JK216" s="6"/>
      <c r="JL216" s="5" t="str">
        <f t="shared" si="755"/>
        <v>NO APLICA</v>
      </c>
      <c r="JM216" s="6"/>
      <c r="JN216" s="6"/>
      <c r="JO216" s="6"/>
      <c r="JP216" s="6"/>
      <c r="JQ216" s="5" t="str">
        <f t="shared" si="756"/>
        <v>NO APLICA</v>
      </c>
      <c r="JR216" s="6"/>
      <c r="JS216" s="6"/>
      <c r="JT216" s="6"/>
      <c r="JU216" s="6"/>
      <c r="JV216" s="5" t="str">
        <f t="shared" si="757"/>
        <v>NO APLICA</v>
      </c>
      <c r="JW216" s="5"/>
      <c r="JX216" s="5"/>
      <c r="JY216" s="5"/>
      <c r="JZ216" s="5"/>
      <c r="KA216" s="5" t="str">
        <f t="shared" si="758"/>
        <v>NO APLICA</v>
      </c>
      <c r="KB216" s="5"/>
      <c r="KC216" s="6"/>
      <c r="KD216" s="6"/>
      <c r="KE216" s="6"/>
      <c r="KF216" s="5" t="str">
        <f t="shared" si="759"/>
        <v>NO APLICA</v>
      </c>
      <c r="KG216" s="5"/>
      <c r="KH216" s="6"/>
      <c r="KI216" s="6"/>
      <c r="KJ216" s="6"/>
      <c r="KK216" s="5" t="str">
        <f t="shared" si="779"/>
        <v>NO APLICA</v>
      </c>
      <c r="KL216" s="5"/>
      <c r="KM216" s="6"/>
      <c r="KN216" s="6"/>
      <c r="KO216" s="6"/>
      <c r="KP216" s="5" t="str">
        <f t="shared" si="760"/>
        <v>NO APLICA</v>
      </c>
      <c r="KQ216" s="5"/>
      <c r="KR216" s="6"/>
      <c r="KS216" s="6"/>
      <c r="KT216" s="6"/>
      <c r="KU216" s="5" t="str">
        <f t="shared" si="780"/>
        <v>NO APLICA</v>
      </c>
      <c r="KV216" s="6"/>
      <c r="KW216" s="6"/>
      <c r="KX216" s="6"/>
      <c r="KY216" s="6"/>
      <c r="KZ216" s="5" t="str">
        <f t="shared" si="786"/>
        <v>NO APLICA</v>
      </c>
      <c r="LA216" s="5"/>
      <c r="LB216" s="6"/>
      <c r="LC216" s="6"/>
      <c r="LD216" s="6"/>
      <c r="LE216" s="5" t="str">
        <f t="shared" si="781"/>
        <v>NO APLICA</v>
      </c>
      <c r="LF216" s="6"/>
      <c r="LG216" s="6"/>
      <c r="LH216" s="6"/>
      <c r="LI216" s="6"/>
      <c r="LJ216" s="5" t="str">
        <f t="shared" si="614"/>
        <v>NO APLICA</v>
      </c>
      <c r="LK216" s="5"/>
      <c r="LL216" s="5"/>
      <c r="LM216" s="4"/>
      <c r="LN216" s="8"/>
      <c r="LO216" s="5" t="str">
        <f t="shared" si="787"/>
        <v>NO APLICA</v>
      </c>
      <c r="LP216" s="6"/>
      <c r="LQ216" s="6"/>
      <c r="LR216" s="6"/>
      <c r="LS216" s="6"/>
      <c r="LT216" s="5" t="str">
        <f t="shared" si="782"/>
        <v>NO APLICA</v>
      </c>
      <c r="LU216" s="6"/>
      <c r="LV216" s="6"/>
      <c r="LW216" s="6"/>
      <c r="LX216" s="6"/>
      <c r="LY216" s="5" t="str">
        <f t="shared" si="783"/>
        <v>NO APLICA</v>
      </c>
      <c r="LZ216" s="6"/>
      <c r="MA216" s="6"/>
      <c r="MB216" s="6"/>
      <c r="MC216" s="6"/>
      <c r="MD216" s="5" t="str">
        <f t="shared" si="784"/>
        <v>NO APLICA</v>
      </c>
      <c r="ME216" s="6"/>
      <c r="MF216" s="6"/>
      <c r="MG216" s="6"/>
      <c r="MH216" s="6"/>
      <c r="MI216" s="5" t="str">
        <f t="shared" si="761"/>
        <v>NO APLICA</v>
      </c>
      <c r="MJ216" s="6"/>
      <c r="MK216" s="6"/>
      <c r="ML216" s="6"/>
      <c r="MM216" s="6"/>
      <c r="MN216" s="5" t="str">
        <f t="shared" si="762"/>
        <v>NO APLICA</v>
      </c>
      <c r="MO216" s="5"/>
      <c r="MP216" s="6"/>
      <c r="MQ216" s="6"/>
      <c r="MR216" s="6"/>
      <c r="MS216" s="5" t="str">
        <f t="shared" si="763"/>
        <v>NO APLICA</v>
      </c>
      <c r="MT216" s="5"/>
      <c r="MU216" s="6"/>
      <c r="MV216" s="6"/>
      <c r="MW216" s="6"/>
      <c r="MX216" s="5" t="str">
        <f t="shared" si="764"/>
        <v>NO APLICA</v>
      </c>
      <c r="MY216" s="6"/>
      <c r="MZ216" s="6"/>
      <c r="NA216" s="6"/>
      <c r="NB216" s="6"/>
      <c r="NC216" s="5" t="str">
        <f t="shared" si="765"/>
        <v>NO APLICA</v>
      </c>
      <c r="ND216" s="6"/>
      <c r="NE216" s="6"/>
      <c r="NF216" s="6"/>
      <c r="NG216" s="6"/>
      <c r="NH216" s="5" t="str">
        <f t="shared" si="766"/>
        <v>NO APLICA</v>
      </c>
      <c r="NI216" s="6"/>
      <c r="NJ216" s="6"/>
      <c r="NK216" s="6"/>
      <c r="NL216" s="6"/>
      <c r="NM216" s="5" t="str">
        <f t="shared" si="767"/>
        <v>NO APLICA</v>
      </c>
      <c r="NN216" s="6"/>
      <c r="NO216" s="6"/>
      <c r="NP216" s="6"/>
      <c r="NQ216" s="6"/>
      <c r="NR216" s="5" t="str">
        <f t="shared" si="768"/>
        <v>NO APLICA</v>
      </c>
      <c r="NS216" s="6"/>
      <c r="NT216" s="6"/>
      <c r="NU216" s="6"/>
      <c r="NV216" s="6"/>
      <c r="NW216" s="5" t="str">
        <f t="shared" si="769"/>
        <v>NO APLICA</v>
      </c>
      <c r="NX216" s="6"/>
      <c r="NY216" s="6"/>
      <c r="NZ216" s="6"/>
      <c r="OA216" s="6"/>
      <c r="OB216" s="5" t="str">
        <f t="shared" si="770"/>
        <v>NO APLICA</v>
      </c>
      <c r="OC216" s="6"/>
      <c r="OD216" s="6"/>
      <c r="OE216" s="6"/>
      <c r="OF216" s="6"/>
      <c r="OG216" s="5" t="str">
        <f t="shared" si="771"/>
        <v>NO APLICA</v>
      </c>
      <c r="OH216" s="6"/>
      <c r="OI216" s="6"/>
      <c r="OJ216" s="6"/>
      <c r="OK216" s="6"/>
      <c r="OL216" s="5" t="str">
        <f t="shared" si="772"/>
        <v>NO APLICA</v>
      </c>
      <c r="OM216" s="6"/>
      <c r="ON216" s="6"/>
      <c r="OO216" s="6"/>
      <c r="OP216" s="6"/>
      <c r="OQ216" s="5" t="str">
        <f t="shared" si="773"/>
        <v>NO APLICA</v>
      </c>
      <c r="OR216" s="6"/>
      <c r="OS216" s="6"/>
      <c r="OT216" s="6"/>
      <c r="OU216" s="6"/>
      <c r="OV216" s="5" t="str">
        <f t="shared" si="774"/>
        <v>NO APLICA</v>
      </c>
      <c r="OW216" s="6"/>
      <c r="OX216" s="6"/>
      <c r="OY216" s="6"/>
      <c r="OZ216" s="6"/>
      <c r="PA216" s="5" t="str">
        <f t="shared" si="788"/>
        <v>NO APLICA</v>
      </c>
      <c r="PB216" s="6"/>
      <c r="PC216" s="6"/>
      <c r="PD216" s="6"/>
      <c r="PE216" s="6"/>
      <c r="PF216" s="5" t="str">
        <f t="shared" si="775"/>
        <v>NO APLICA</v>
      </c>
      <c r="PG216" s="6"/>
      <c r="PH216" s="6"/>
      <c r="PI216" s="6"/>
      <c r="PJ216" s="6"/>
      <c r="PK216" s="5" t="str">
        <f t="shared" si="776"/>
        <v>NO APLICA</v>
      </c>
      <c r="PL216" s="5"/>
      <c r="PM216" s="6"/>
      <c r="PN216" s="6"/>
      <c r="PO216" s="6"/>
      <c r="PP216" s="5" t="str">
        <f t="shared" si="785"/>
        <v>NO APLICA</v>
      </c>
      <c r="PQ216" s="6"/>
      <c r="PR216" s="6"/>
      <c r="PS216" s="6"/>
      <c r="PT216" s="6"/>
      <c r="PU216" s="5" t="str">
        <f t="shared" si="777"/>
        <v>NO APLICA</v>
      </c>
      <c r="PV216" s="5"/>
      <c r="PW216" s="6"/>
      <c r="PX216" s="6"/>
      <c r="PY216" s="6"/>
      <c r="PZ216" s="5" t="str">
        <f t="shared" si="77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661</v>
      </c>
      <c r="D217" s="30" t="s">
        <v>640</v>
      </c>
      <c r="E217" s="31" t="s">
        <v>662</v>
      </c>
      <c r="F217" s="6"/>
      <c r="G217" s="6"/>
      <c r="H217" s="6"/>
      <c r="I217" s="6"/>
      <c r="J217" s="5" t="str">
        <f t="shared" si="710"/>
        <v>NO APLICA</v>
      </c>
      <c r="K217" s="6"/>
      <c r="L217" s="6"/>
      <c r="M217" s="6"/>
      <c r="N217" s="6"/>
      <c r="O217" s="5" t="str">
        <f t="shared" si="713"/>
        <v>NO APLICA</v>
      </c>
      <c r="P217" s="6"/>
      <c r="Q217" s="6"/>
      <c r="R217" s="6"/>
      <c r="S217" s="6"/>
      <c r="T217" s="5" t="str">
        <f t="shared" si="711"/>
        <v>NO APLICA</v>
      </c>
      <c r="U217" s="5"/>
      <c r="V217" s="6"/>
      <c r="W217" s="4"/>
      <c r="X217" s="4"/>
      <c r="Y217" s="8"/>
      <c r="Z217" s="5" t="str">
        <f t="shared" si="619"/>
        <v>NO APLICA</v>
      </c>
      <c r="AA217" s="5"/>
      <c r="AB217" s="6"/>
      <c r="AC217" s="6"/>
      <c r="AD217" s="6"/>
      <c r="AE217" s="6"/>
      <c r="AF217" s="5" t="str">
        <f t="shared" si="714"/>
        <v>NO APLICA</v>
      </c>
      <c r="AG217" s="4"/>
      <c r="AH217" s="4"/>
      <c r="AI217" s="4"/>
      <c r="AJ217" s="6"/>
      <c r="AK217" s="5" t="str">
        <f t="shared" si="616"/>
        <v>NO APLICA</v>
      </c>
      <c r="AL217" s="4"/>
      <c r="AM217" s="4"/>
      <c r="AN217" s="4"/>
      <c r="AO217" s="6"/>
      <c r="AP217" s="5" t="str">
        <f t="shared" si="715"/>
        <v>NO APLICA</v>
      </c>
      <c r="AQ217" s="4"/>
      <c r="AR217" s="4"/>
      <c r="AS217" s="4"/>
      <c r="AT217" s="6"/>
      <c r="AU217" s="5" t="str">
        <f t="shared" si="716"/>
        <v>NO APLICA</v>
      </c>
      <c r="AV217" s="4"/>
      <c r="AW217" s="4"/>
      <c r="AX217" s="4"/>
      <c r="AY217" s="6"/>
      <c r="AZ217" s="5" t="str">
        <f t="shared" si="717"/>
        <v>NO APLICA</v>
      </c>
      <c r="BA217" s="4"/>
      <c r="BB217" s="4"/>
      <c r="BC217" s="4"/>
      <c r="BD217" s="6"/>
      <c r="BE217" s="5" t="str">
        <f t="shared" si="718"/>
        <v>NO APLICA</v>
      </c>
      <c r="BF217" s="4"/>
      <c r="BG217" s="4"/>
      <c r="BH217" s="4"/>
      <c r="BI217" s="6"/>
      <c r="BJ217" s="5" t="str">
        <f t="shared" si="719"/>
        <v>NO APLICA</v>
      </c>
      <c r="BK217" s="4"/>
      <c r="BL217" s="4"/>
      <c r="BM217" s="4"/>
      <c r="BN217" s="6"/>
      <c r="BO217" s="5" t="str">
        <f t="shared" si="720"/>
        <v>NO APLICA</v>
      </c>
      <c r="BP217" s="4"/>
      <c r="BQ217" s="4"/>
      <c r="BR217" s="4"/>
      <c r="BS217" s="6"/>
      <c r="BT217" s="5" t="str">
        <f t="shared" si="721"/>
        <v>NO APLICA</v>
      </c>
      <c r="BU217" s="4"/>
      <c r="BV217" s="4"/>
      <c r="BW217" s="4"/>
      <c r="BX217" s="6"/>
      <c r="BY217" s="5" t="str">
        <f t="shared" si="722"/>
        <v>NO APLICA</v>
      </c>
      <c r="BZ217" s="4"/>
      <c r="CA217" s="4"/>
      <c r="CB217" s="4"/>
      <c r="CC217" s="6"/>
      <c r="CD217" s="5" t="str">
        <f t="shared" si="723"/>
        <v>NO APLICA</v>
      </c>
      <c r="CE217" s="6"/>
      <c r="CF217" s="6"/>
      <c r="CG217" s="6"/>
      <c r="CH217" s="6"/>
      <c r="CI217" s="5" t="str">
        <f t="shared" si="789"/>
        <v>NO APLICA</v>
      </c>
      <c r="CJ217" s="4"/>
      <c r="CK217" s="4"/>
      <c r="CL217" s="4"/>
      <c r="CM217" s="6"/>
      <c r="CN217" s="5" t="str">
        <f t="shared" si="724"/>
        <v>NO APLICA</v>
      </c>
      <c r="CO217" s="4"/>
      <c r="CP217" s="4"/>
      <c r="CQ217" s="4"/>
      <c r="CR217" s="6"/>
      <c r="CS217" s="5" t="str">
        <f t="shared" si="725"/>
        <v>NO APLICA</v>
      </c>
      <c r="CT217" s="4"/>
      <c r="CU217" s="4"/>
      <c r="CV217" s="4"/>
      <c r="CW217" s="6"/>
      <c r="CX217" s="5" t="str">
        <f t="shared" si="726"/>
        <v>NO APLICA</v>
      </c>
      <c r="CY217" s="4"/>
      <c r="CZ217" s="4"/>
      <c r="DA217" s="4"/>
      <c r="DB217" s="6"/>
      <c r="DC217" s="5" t="str">
        <f t="shared" si="727"/>
        <v>NO APLICA</v>
      </c>
      <c r="DD217" s="4"/>
      <c r="DE217" s="4"/>
      <c r="DF217" s="4"/>
      <c r="DG217" s="6"/>
      <c r="DH217" s="5" t="str">
        <f t="shared" si="728"/>
        <v>NO APLICA</v>
      </c>
      <c r="DI217" s="4"/>
      <c r="DJ217" s="4"/>
      <c r="DK217" s="4"/>
      <c r="DL217" s="6"/>
      <c r="DM217" s="5" t="str">
        <f t="shared" si="729"/>
        <v>NO APLICA</v>
      </c>
      <c r="DN217" s="4"/>
      <c r="DO217" s="4"/>
      <c r="DP217" s="4"/>
      <c r="DQ217" s="6"/>
      <c r="DR217" s="5" t="str">
        <f t="shared" si="730"/>
        <v>NO APLICA</v>
      </c>
      <c r="DS217" s="4"/>
      <c r="DT217" s="4"/>
      <c r="DU217" s="4"/>
      <c r="DV217" s="6"/>
      <c r="DW217" s="5" t="str">
        <f t="shared" si="731"/>
        <v>NO APLICA</v>
      </c>
      <c r="DX217" s="4"/>
      <c r="DY217" s="4"/>
      <c r="DZ217" s="4"/>
      <c r="EA217" s="6"/>
      <c r="EB217" s="5" t="str">
        <f t="shared" si="732"/>
        <v>NO APLICA</v>
      </c>
      <c r="EC217" s="4"/>
      <c r="ED217" s="4"/>
      <c r="EE217" s="4"/>
      <c r="EF217" s="6"/>
      <c r="EG217" s="5" t="str">
        <f t="shared" si="733"/>
        <v>NO APLICA</v>
      </c>
      <c r="EH217" s="4"/>
      <c r="EI217" s="4"/>
      <c r="EJ217" s="4"/>
      <c r="EK217" s="8"/>
      <c r="EL217" s="5" t="str">
        <f t="shared" si="734"/>
        <v>NO APLICA</v>
      </c>
      <c r="EM217" s="4"/>
      <c r="EN217" s="4"/>
      <c r="EO217" s="4"/>
      <c r="EP217" s="8"/>
      <c r="EQ217" s="5" t="str">
        <f t="shared" si="735"/>
        <v>NO APLICA</v>
      </c>
      <c r="ER217" s="4"/>
      <c r="ES217" s="4"/>
      <c r="ET217" s="4"/>
      <c r="EU217" s="8"/>
      <c r="EV217" s="5" t="str">
        <f t="shared" si="736"/>
        <v>NO APLICA</v>
      </c>
      <c r="EW217" s="4"/>
      <c r="EX217" s="4"/>
      <c r="EY217" s="4"/>
      <c r="EZ217" s="6"/>
      <c r="FA217" s="5" t="str">
        <f t="shared" si="737"/>
        <v>NO APLICA</v>
      </c>
      <c r="FB217" s="4"/>
      <c r="FC217" s="4"/>
      <c r="FD217" s="4"/>
      <c r="FE217" s="6"/>
      <c r="FF217" s="5" t="str">
        <f t="shared" si="738"/>
        <v>NO APLICA</v>
      </c>
      <c r="FG217" s="4"/>
      <c r="FH217" s="4"/>
      <c r="FI217" s="4"/>
      <c r="FJ217" s="6"/>
      <c r="FK217" s="5" t="str">
        <f t="shared" si="739"/>
        <v>NO APLICA</v>
      </c>
      <c r="FL217" s="4"/>
      <c r="FM217" s="4"/>
      <c r="FN217" s="4"/>
      <c r="FO217" s="6"/>
      <c r="FP217" s="5" t="str">
        <f t="shared" si="740"/>
        <v>NO APLICA</v>
      </c>
      <c r="FQ217" s="4"/>
      <c r="FR217" s="4"/>
      <c r="FS217" s="4"/>
      <c r="FT217" s="6"/>
      <c r="FU217" s="5" t="str">
        <f t="shared" si="741"/>
        <v>NO APLICA</v>
      </c>
      <c r="FV217" s="4"/>
      <c r="FW217" s="4"/>
      <c r="FX217" s="4"/>
      <c r="FY217" s="6"/>
      <c r="FZ217" s="5" t="str">
        <f t="shared" si="742"/>
        <v>NO APLICA</v>
      </c>
      <c r="GA217" s="4"/>
      <c r="GB217" s="4"/>
      <c r="GC217" s="4"/>
      <c r="GD217" s="6"/>
      <c r="GE217" s="5" t="str">
        <f t="shared" si="743"/>
        <v>NO APLICA</v>
      </c>
      <c r="GF217" s="4"/>
      <c r="GG217" s="4"/>
      <c r="GH217" s="4"/>
      <c r="GI217" s="8"/>
      <c r="GJ217" s="5" t="str">
        <f t="shared" si="744"/>
        <v>NO APLICA</v>
      </c>
      <c r="GK217" s="4"/>
      <c r="GL217" s="6"/>
      <c r="GM217" s="6"/>
      <c r="GN217" s="6"/>
      <c r="GO217" s="5" t="str">
        <f t="shared" si="745"/>
        <v>NO APLICA</v>
      </c>
      <c r="GP217" s="4"/>
      <c r="GQ217" s="6"/>
      <c r="GR217" s="6"/>
      <c r="GS217" s="6"/>
      <c r="GT217" s="5" t="str">
        <f t="shared" si="624"/>
        <v>NO APLICA</v>
      </c>
      <c r="GU217" s="4"/>
      <c r="GV217" s="6"/>
      <c r="GW217" s="6"/>
      <c r="GX217" s="6"/>
      <c r="GY217" s="5" t="str">
        <f t="shared" si="625"/>
        <v>NO APLICA</v>
      </c>
      <c r="GZ217" s="6"/>
      <c r="HA217" s="6"/>
      <c r="HB217" s="6"/>
      <c r="HC217" s="6"/>
      <c r="HD217" s="5" t="str">
        <f t="shared" si="626"/>
        <v>NO APLICA</v>
      </c>
      <c r="HE217" s="6"/>
      <c r="HF217" s="6"/>
      <c r="HG217" s="4"/>
      <c r="HH217" s="8"/>
      <c r="HI217" s="5" t="str">
        <f t="shared" si="712"/>
        <v>NO APLICA</v>
      </c>
      <c r="HJ217" s="6"/>
      <c r="HK217" s="6"/>
      <c r="HL217" s="6"/>
      <c r="HM217" s="6"/>
      <c r="HN217" s="5" t="str">
        <f t="shared" si="708"/>
        <v>NO APLICA</v>
      </c>
      <c r="HO217" s="6"/>
      <c r="HP217" s="6"/>
      <c r="HQ217" s="6"/>
      <c r="HR217" s="6"/>
      <c r="HS217" s="5" t="str">
        <f t="shared" si="746"/>
        <v>NO APLICA</v>
      </c>
      <c r="HT217" s="6"/>
      <c r="HU217" s="6"/>
      <c r="HV217" s="6"/>
      <c r="HW217" s="6"/>
      <c r="HX217" s="5" t="str">
        <f t="shared" si="747"/>
        <v>NO APLICA</v>
      </c>
      <c r="HY217" s="6"/>
      <c r="HZ217" s="6"/>
      <c r="IA217" s="6"/>
      <c r="IB217" s="6"/>
      <c r="IC217" s="5" t="str">
        <f t="shared" si="748"/>
        <v>NO APLICA</v>
      </c>
      <c r="ID217" s="6"/>
      <c r="IE217" s="6"/>
      <c r="IF217" s="6"/>
      <c r="IG217" s="6"/>
      <c r="IH217" s="5" t="str">
        <f t="shared" si="749"/>
        <v>NO APLICA</v>
      </c>
      <c r="II217" s="6"/>
      <c r="IJ217" s="6"/>
      <c r="IK217" s="6"/>
      <c r="IL217" s="6"/>
      <c r="IM217" s="5" t="str">
        <f t="shared" si="750"/>
        <v>NO APLICA</v>
      </c>
      <c r="IN217" s="6"/>
      <c r="IO217" s="6"/>
      <c r="IP217" s="6"/>
      <c r="IQ217" s="6"/>
      <c r="IR217" s="5" t="str">
        <f t="shared" si="751"/>
        <v>NO APLICA</v>
      </c>
      <c r="IS217" s="6"/>
      <c r="IT217" s="6"/>
      <c r="IU217" s="6"/>
      <c r="IV217" s="6"/>
      <c r="IW217" s="5" t="str">
        <f t="shared" si="752"/>
        <v>NO APLICA</v>
      </c>
      <c r="IX217" s="6"/>
      <c r="IY217" s="6"/>
      <c r="IZ217" s="6"/>
      <c r="JA217" s="6"/>
      <c r="JB217" s="5" t="str">
        <f t="shared" si="753"/>
        <v>NO APLICA</v>
      </c>
      <c r="JC217" s="3"/>
      <c r="JD217" s="3"/>
      <c r="JE217" s="6"/>
      <c r="JF217" s="6"/>
      <c r="JG217" s="5" t="str">
        <f t="shared" si="754"/>
        <v>NO APLICA</v>
      </c>
      <c r="JH217" s="6"/>
      <c r="JI217" s="6"/>
      <c r="JJ217" s="6"/>
      <c r="JK217" s="6"/>
      <c r="JL217" s="5" t="str">
        <f t="shared" si="755"/>
        <v>NO APLICA</v>
      </c>
      <c r="JM217" s="6"/>
      <c r="JN217" s="6"/>
      <c r="JO217" s="6"/>
      <c r="JP217" s="6"/>
      <c r="JQ217" s="5" t="str">
        <f t="shared" si="756"/>
        <v>NO APLICA</v>
      </c>
      <c r="JR217" s="4"/>
      <c r="JS217" s="4"/>
      <c r="JT217" s="6"/>
      <c r="JU217" s="6"/>
      <c r="JV217" s="5" t="str">
        <f t="shared" si="757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59"/>
        <v>NO APLICA</v>
      </c>
      <c r="KG217" s="5"/>
      <c r="KH217" s="6"/>
      <c r="KI217" s="6"/>
      <c r="KJ217" s="6"/>
      <c r="KK217" s="5" t="str">
        <f t="shared" si="779"/>
        <v>NO APLICA</v>
      </c>
      <c r="KL217" s="5"/>
      <c r="KM217" s="6"/>
      <c r="KN217" s="6"/>
      <c r="KO217" s="6"/>
      <c r="KP217" s="5" t="str">
        <f t="shared" si="760"/>
        <v>NO APLICA</v>
      </c>
      <c r="KQ217" s="5"/>
      <c r="KR217" s="6"/>
      <c r="KS217" s="6"/>
      <c r="KT217" s="6"/>
      <c r="KU217" s="5" t="str">
        <f t="shared" si="780"/>
        <v>NO APLICA</v>
      </c>
      <c r="KV217" s="6"/>
      <c r="KW217" s="6"/>
      <c r="KX217" s="6"/>
      <c r="KY217" s="6"/>
      <c r="KZ217" s="5" t="str">
        <f t="shared" si="786"/>
        <v>NO APLICA</v>
      </c>
      <c r="LA217" s="5"/>
      <c r="LB217" s="6"/>
      <c r="LC217" s="6"/>
      <c r="LD217" s="6"/>
      <c r="LE217" s="5" t="str">
        <f t="shared" si="781"/>
        <v>NO APLICA</v>
      </c>
      <c r="LF217" s="6"/>
      <c r="LG217" s="6"/>
      <c r="LH217" s="6"/>
      <c r="LI217" s="6"/>
      <c r="LJ217" s="5" t="str">
        <f t="shared" si="614"/>
        <v>NO APLICA</v>
      </c>
      <c r="LK217" s="5"/>
      <c r="LL217" s="5"/>
      <c r="LM217" s="4"/>
      <c r="LN217" s="8"/>
      <c r="LO217" s="5" t="str">
        <f t="shared" si="787"/>
        <v>NO APLICA</v>
      </c>
      <c r="LP217" s="6"/>
      <c r="LQ217" s="6"/>
      <c r="LR217" s="6"/>
      <c r="LS217" s="6"/>
      <c r="LT217" s="5" t="str">
        <f t="shared" si="782"/>
        <v>NO APLICA</v>
      </c>
      <c r="LU217" s="6"/>
      <c r="LV217" s="6"/>
      <c r="LW217" s="6"/>
      <c r="LX217" s="6"/>
      <c r="LY217" s="5" t="str">
        <f t="shared" si="783"/>
        <v>NO APLICA</v>
      </c>
      <c r="LZ217" s="6"/>
      <c r="MA217" s="6"/>
      <c r="MB217" s="6"/>
      <c r="MC217" s="6"/>
      <c r="MD217" s="5" t="str">
        <f t="shared" si="784"/>
        <v>NO APLICA</v>
      </c>
      <c r="ME217" s="6"/>
      <c r="MF217" s="6"/>
      <c r="MG217" s="6"/>
      <c r="MH217" s="6"/>
      <c r="MI217" s="5" t="str">
        <f t="shared" si="761"/>
        <v>NO APLICA</v>
      </c>
      <c r="MJ217" s="6"/>
      <c r="MK217" s="6"/>
      <c r="ML217" s="6"/>
      <c r="MM217" s="6"/>
      <c r="MN217" s="5" t="str">
        <f t="shared" si="762"/>
        <v>NO APLICA</v>
      </c>
      <c r="MO217" s="5"/>
      <c r="MP217" s="6"/>
      <c r="MQ217" s="6"/>
      <c r="MR217" s="6"/>
      <c r="MS217" s="5" t="str">
        <f t="shared" si="763"/>
        <v>NO APLICA</v>
      </c>
      <c r="MT217" s="5"/>
      <c r="MU217" s="6"/>
      <c r="MV217" s="6"/>
      <c r="MW217" s="6"/>
      <c r="MX217" s="5" t="str">
        <f t="shared" si="764"/>
        <v>NO APLICA</v>
      </c>
      <c r="MY217" s="6"/>
      <c r="MZ217" s="6"/>
      <c r="NA217" s="6"/>
      <c r="NB217" s="6"/>
      <c r="NC217" s="5" t="str">
        <f t="shared" si="765"/>
        <v>NO APLICA</v>
      </c>
      <c r="ND217" s="6"/>
      <c r="NE217" s="6"/>
      <c r="NF217" s="6"/>
      <c r="NG217" s="6"/>
      <c r="NH217" s="5" t="str">
        <f t="shared" si="766"/>
        <v>NO APLICA</v>
      </c>
      <c r="NI217" s="6"/>
      <c r="NJ217" s="6"/>
      <c r="NK217" s="6"/>
      <c r="NL217" s="6"/>
      <c r="NM217" s="5" t="str">
        <f t="shared" si="767"/>
        <v>NO APLICA</v>
      </c>
      <c r="NN217" s="6"/>
      <c r="NO217" s="6"/>
      <c r="NP217" s="6"/>
      <c r="NQ217" s="6"/>
      <c r="NR217" s="5" t="str">
        <f t="shared" si="768"/>
        <v>NO APLICA</v>
      </c>
      <c r="NS217" s="6"/>
      <c r="NT217" s="6"/>
      <c r="NU217" s="6"/>
      <c r="NV217" s="6"/>
      <c r="NW217" s="5" t="str">
        <f t="shared" si="769"/>
        <v>NO APLICA</v>
      </c>
      <c r="NX217" s="6"/>
      <c r="NY217" s="6"/>
      <c r="NZ217" s="6"/>
      <c r="OA217" s="6"/>
      <c r="OB217" s="5" t="str">
        <f t="shared" si="770"/>
        <v>NO APLICA</v>
      </c>
      <c r="OC217" s="6"/>
      <c r="OD217" s="6"/>
      <c r="OE217" s="6"/>
      <c r="OF217" s="6"/>
      <c r="OG217" s="5" t="str">
        <f t="shared" si="771"/>
        <v>NO APLICA</v>
      </c>
      <c r="OH217" s="6"/>
      <c r="OI217" s="6"/>
      <c r="OJ217" s="6"/>
      <c r="OK217" s="6"/>
      <c r="OL217" s="5" t="str">
        <f t="shared" si="772"/>
        <v>NO APLICA</v>
      </c>
      <c r="OM217" s="6"/>
      <c r="ON217" s="6"/>
      <c r="OO217" s="6"/>
      <c r="OP217" s="6"/>
      <c r="OQ217" s="5" t="str">
        <f t="shared" si="773"/>
        <v>NO APLICA</v>
      </c>
      <c r="OR217" s="6"/>
      <c r="OS217" s="6"/>
      <c r="OT217" s="6"/>
      <c r="OU217" s="6"/>
      <c r="OV217" s="5" t="str">
        <f t="shared" si="774"/>
        <v>NO APLICA</v>
      </c>
      <c r="OW217" s="6"/>
      <c r="OX217" s="6"/>
      <c r="OY217" s="6"/>
      <c r="OZ217" s="6"/>
      <c r="PA217" s="5" t="str">
        <f t="shared" si="788"/>
        <v>NO APLICA</v>
      </c>
      <c r="PB217" s="6"/>
      <c r="PC217" s="6"/>
      <c r="PD217" s="6"/>
      <c r="PE217" s="6"/>
      <c r="PF217" s="5" t="str">
        <f t="shared" si="775"/>
        <v>NO APLICA</v>
      </c>
      <c r="PG217" s="6"/>
      <c r="PH217" s="6"/>
      <c r="PI217" s="6"/>
      <c r="PJ217" s="6"/>
      <c r="PK217" s="5" t="str">
        <f t="shared" si="776"/>
        <v>NO APLICA</v>
      </c>
      <c r="PL217" s="5"/>
      <c r="PM217" s="6"/>
      <c r="PN217" s="6"/>
      <c r="PO217" s="6"/>
      <c r="PP217" s="5" t="str">
        <f t="shared" si="785"/>
        <v>NO APLICA</v>
      </c>
      <c r="PQ217" s="6"/>
      <c r="PR217" s="6"/>
      <c r="PS217" s="6"/>
      <c r="PT217" s="6"/>
      <c r="PU217" s="5" t="str">
        <f t="shared" si="777"/>
        <v>NO APLICA</v>
      </c>
      <c r="PV217" s="5"/>
      <c r="PW217" s="6"/>
      <c r="PX217" s="6"/>
      <c r="PY217" s="6"/>
      <c r="PZ217" s="5" t="str">
        <f t="shared" si="77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663</v>
      </c>
      <c r="D218" s="30" t="s">
        <v>115</v>
      </c>
      <c r="E218" s="31" t="s">
        <v>664</v>
      </c>
      <c r="F218" s="6"/>
      <c r="G218" s="6"/>
      <c r="H218" s="6"/>
      <c r="I218" s="6"/>
      <c r="J218" s="5" t="str">
        <f t="shared" si="710"/>
        <v>NO APLICA</v>
      </c>
      <c r="K218" s="6"/>
      <c r="L218" s="6"/>
      <c r="M218" s="6"/>
      <c r="N218" s="6"/>
      <c r="O218" s="5" t="str">
        <f t="shared" si="713"/>
        <v>NO APLICA</v>
      </c>
      <c r="P218" s="6"/>
      <c r="Q218" s="6"/>
      <c r="R218" s="6"/>
      <c r="S218" s="6"/>
      <c r="T218" s="5" t="str">
        <f t="shared" si="711"/>
        <v>NO APLICA</v>
      </c>
      <c r="U218" s="5"/>
      <c r="V218" s="6"/>
      <c r="W218" s="4"/>
      <c r="X218" s="4"/>
      <c r="Y218" s="8"/>
      <c r="Z218" s="5" t="str">
        <f t="shared" si="619"/>
        <v>NO APLICA</v>
      </c>
      <c r="AA218" s="5"/>
      <c r="AB218" s="6"/>
      <c r="AC218" s="6"/>
      <c r="AD218" s="6"/>
      <c r="AE218" s="6"/>
      <c r="AF218" s="5" t="str">
        <f t="shared" si="714"/>
        <v>NO APLICA</v>
      </c>
      <c r="AG218" s="4"/>
      <c r="AH218" s="4"/>
      <c r="AI218" s="4"/>
      <c r="AJ218" s="6"/>
      <c r="AK218" s="5" t="str">
        <f t="shared" si="616"/>
        <v>NO APLICA</v>
      </c>
      <c r="AL218" s="4"/>
      <c r="AM218" s="4"/>
      <c r="AN218" s="4"/>
      <c r="AO218" s="6"/>
      <c r="AP218" s="5" t="str">
        <f t="shared" si="715"/>
        <v>NO APLICA</v>
      </c>
      <c r="AQ218" s="4"/>
      <c r="AR218" s="4"/>
      <c r="AS218" s="4"/>
      <c r="AT218" s="6"/>
      <c r="AU218" s="5" t="str">
        <f t="shared" si="716"/>
        <v>NO APLICA</v>
      </c>
      <c r="AV218" s="4"/>
      <c r="AW218" s="4"/>
      <c r="AX218" s="4"/>
      <c r="AY218" s="6"/>
      <c r="AZ218" s="5" t="str">
        <f t="shared" si="717"/>
        <v>NO APLICA</v>
      </c>
      <c r="BA218" s="4"/>
      <c r="BB218" s="4"/>
      <c r="BC218" s="4"/>
      <c r="BD218" s="6"/>
      <c r="BE218" s="5" t="str">
        <f t="shared" si="718"/>
        <v>NO APLICA</v>
      </c>
      <c r="BF218" s="4"/>
      <c r="BG218" s="4"/>
      <c r="BH218" s="4"/>
      <c r="BI218" s="6"/>
      <c r="BJ218" s="5" t="str">
        <f t="shared" si="719"/>
        <v>NO APLICA</v>
      </c>
      <c r="BK218" s="4"/>
      <c r="BL218" s="4"/>
      <c r="BM218" s="4"/>
      <c r="BN218" s="6"/>
      <c r="BO218" s="5" t="str">
        <f t="shared" si="720"/>
        <v>NO APLICA</v>
      </c>
      <c r="BP218" s="4"/>
      <c r="BQ218" s="4"/>
      <c r="BR218" s="4"/>
      <c r="BS218" s="6"/>
      <c r="BT218" s="5" t="str">
        <f t="shared" si="721"/>
        <v>NO APLICA</v>
      </c>
      <c r="BU218" s="4"/>
      <c r="BV218" s="4"/>
      <c r="BW218" s="4"/>
      <c r="BX218" s="6"/>
      <c r="BY218" s="5" t="str">
        <f t="shared" si="722"/>
        <v>NO APLICA</v>
      </c>
      <c r="BZ218" s="4"/>
      <c r="CA218" s="4"/>
      <c r="CB218" s="4"/>
      <c r="CC218" s="6"/>
      <c r="CD218" s="5" t="str">
        <f t="shared" si="723"/>
        <v>NO APLICA</v>
      </c>
      <c r="CE218" s="6"/>
      <c r="CF218" s="6"/>
      <c r="CG218" s="6"/>
      <c r="CH218" s="6"/>
      <c r="CI218" s="5" t="str">
        <f t="shared" si="789"/>
        <v>NO APLICA</v>
      </c>
      <c r="CJ218" s="4"/>
      <c r="CK218" s="4"/>
      <c r="CL218" s="4"/>
      <c r="CM218" s="6"/>
      <c r="CN218" s="5" t="str">
        <f t="shared" si="724"/>
        <v>NO APLICA</v>
      </c>
      <c r="CO218" s="4"/>
      <c r="CP218" s="4"/>
      <c r="CQ218" s="4"/>
      <c r="CR218" s="6"/>
      <c r="CS218" s="5" t="str">
        <f t="shared" si="725"/>
        <v>NO APLICA</v>
      </c>
      <c r="CT218" s="4"/>
      <c r="CU218" s="4"/>
      <c r="CV218" s="4"/>
      <c r="CW218" s="6"/>
      <c r="CX218" s="5" t="str">
        <f t="shared" si="726"/>
        <v>NO APLICA</v>
      </c>
      <c r="CY218" s="4"/>
      <c r="CZ218" s="4"/>
      <c r="DA218" s="4"/>
      <c r="DB218" s="6"/>
      <c r="DC218" s="5" t="str">
        <f t="shared" si="727"/>
        <v>NO APLICA</v>
      </c>
      <c r="DD218" s="4"/>
      <c r="DE218" s="4"/>
      <c r="DF218" s="4"/>
      <c r="DG218" s="6"/>
      <c r="DH218" s="5" t="str">
        <f t="shared" si="728"/>
        <v>NO APLICA</v>
      </c>
      <c r="DI218" s="4"/>
      <c r="DJ218" s="4"/>
      <c r="DK218" s="4"/>
      <c r="DL218" s="6"/>
      <c r="DM218" s="5" t="str">
        <f t="shared" si="729"/>
        <v>NO APLICA</v>
      </c>
      <c r="DN218" s="4"/>
      <c r="DO218" s="4"/>
      <c r="DP218" s="4"/>
      <c r="DQ218" s="6"/>
      <c r="DR218" s="5" t="str">
        <f t="shared" si="730"/>
        <v>NO APLICA</v>
      </c>
      <c r="DS218" s="4"/>
      <c r="DT218" s="4"/>
      <c r="DU218" s="4"/>
      <c r="DV218" s="6"/>
      <c r="DW218" s="5" t="str">
        <f t="shared" si="731"/>
        <v>NO APLICA</v>
      </c>
      <c r="DX218" s="4"/>
      <c r="DY218" s="4"/>
      <c r="DZ218" s="4"/>
      <c r="EA218" s="6"/>
      <c r="EB218" s="5" t="str">
        <f t="shared" si="732"/>
        <v>NO APLICA</v>
      </c>
      <c r="EC218" s="4"/>
      <c r="ED218" s="4"/>
      <c r="EE218" s="4"/>
      <c r="EF218" s="6"/>
      <c r="EG218" s="5" t="str">
        <f t="shared" si="733"/>
        <v>NO APLICA</v>
      </c>
      <c r="EH218" s="4"/>
      <c r="EI218" s="4"/>
      <c r="EJ218" s="4"/>
      <c r="EK218" s="8"/>
      <c r="EL218" s="5" t="str">
        <f t="shared" si="734"/>
        <v>NO APLICA</v>
      </c>
      <c r="EM218" s="4"/>
      <c r="EN218" s="4"/>
      <c r="EO218" s="4"/>
      <c r="EP218" s="8"/>
      <c r="EQ218" s="5" t="str">
        <f t="shared" si="735"/>
        <v>NO APLICA</v>
      </c>
      <c r="ER218" s="4"/>
      <c r="ES218" s="4"/>
      <c r="ET218" s="4"/>
      <c r="EU218" s="8"/>
      <c r="EV218" s="5" t="str">
        <f t="shared" si="736"/>
        <v>NO APLICA</v>
      </c>
      <c r="EW218" s="4"/>
      <c r="EX218" s="4"/>
      <c r="EY218" s="4"/>
      <c r="EZ218" s="6"/>
      <c r="FA218" s="5" t="str">
        <f t="shared" si="737"/>
        <v>NO APLICA</v>
      </c>
      <c r="FB218" s="4"/>
      <c r="FC218" s="4"/>
      <c r="FD218" s="4"/>
      <c r="FE218" s="6"/>
      <c r="FF218" s="5" t="str">
        <f t="shared" si="738"/>
        <v>NO APLICA</v>
      </c>
      <c r="FG218" s="4"/>
      <c r="FH218" s="4"/>
      <c r="FI218" s="4"/>
      <c r="FJ218" s="6"/>
      <c r="FK218" s="5" t="str">
        <f t="shared" si="739"/>
        <v>NO APLICA</v>
      </c>
      <c r="FL218" s="4"/>
      <c r="FM218" s="4"/>
      <c r="FN218" s="4"/>
      <c r="FO218" s="6"/>
      <c r="FP218" s="5" t="str">
        <f t="shared" si="740"/>
        <v>NO APLICA</v>
      </c>
      <c r="FQ218" s="4"/>
      <c r="FR218" s="4"/>
      <c r="FS218" s="4"/>
      <c r="FT218" s="6"/>
      <c r="FU218" s="5" t="str">
        <f t="shared" si="741"/>
        <v>NO APLICA</v>
      </c>
      <c r="FV218" s="4"/>
      <c r="FW218" s="4"/>
      <c r="FX218" s="4"/>
      <c r="FY218" s="6"/>
      <c r="FZ218" s="5" t="str">
        <f t="shared" si="742"/>
        <v>NO APLICA</v>
      </c>
      <c r="GA218" s="4"/>
      <c r="GB218" s="4"/>
      <c r="GC218" s="4"/>
      <c r="GD218" s="6"/>
      <c r="GE218" s="5" t="str">
        <f t="shared" si="743"/>
        <v>NO APLICA</v>
      </c>
      <c r="GF218" s="4"/>
      <c r="GG218" s="4"/>
      <c r="GH218" s="4"/>
      <c r="GI218" s="8"/>
      <c r="GJ218" s="5" t="str">
        <f t="shared" si="744"/>
        <v>NO APLICA</v>
      </c>
      <c r="GK218" s="4"/>
      <c r="GL218" s="6"/>
      <c r="GM218" s="6"/>
      <c r="GN218" s="6"/>
      <c r="GO218" s="5" t="str">
        <f t="shared" si="745"/>
        <v>NO APLICA</v>
      </c>
      <c r="GP218" s="4"/>
      <c r="GQ218" s="6"/>
      <c r="GR218" s="6"/>
      <c r="GS218" s="6"/>
      <c r="GT218" s="5" t="str">
        <f t="shared" si="624"/>
        <v>NO APLICA</v>
      </c>
      <c r="GU218" s="4"/>
      <c r="GV218" s="6"/>
      <c r="GW218" s="6"/>
      <c r="GX218" s="6"/>
      <c r="GY218" s="5" t="str">
        <f t="shared" si="625"/>
        <v>NO APLICA</v>
      </c>
      <c r="GZ218" s="6"/>
      <c r="HA218" s="6"/>
      <c r="HB218" s="6"/>
      <c r="HC218" s="6"/>
      <c r="HD218" s="5" t="str">
        <f t="shared" si="626"/>
        <v>NO APLICA</v>
      </c>
      <c r="HE218" s="6"/>
      <c r="HF218" s="6"/>
      <c r="HG218" s="4"/>
      <c r="HH218" s="8"/>
      <c r="HI218" s="5" t="str">
        <f t="shared" si="712"/>
        <v>NO APLICA</v>
      </c>
      <c r="HJ218" s="6"/>
      <c r="HK218" s="6"/>
      <c r="HL218" s="6"/>
      <c r="HM218" s="6"/>
      <c r="HN218" s="5" t="str">
        <f t="shared" si="708"/>
        <v>NO APLICA</v>
      </c>
      <c r="HO218" s="6"/>
      <c r="HP218" s="6"/>
      <c r="HQ218" s="6"/>
      <c r="HR218" s="6"/>
      <c r="HS218" s="5" t="str">
        <f t="shared" si="746"/>
        <v>NO APLICA</v>
      </c>
      <c r="HT218" s="6"/>
      <c r="HU218" s="6"/>
      <c r="HV218" s="6"/>
      <c r="HW218" s="6"/>
      <c r="HX218" s="5" t="str">
        <f t="shared" si="747"/>
        <v>NO APLICA</v>
      </c>
      <c r="HY218" s="6"/>
      <c r="HZ218" s="6"/>
      <c r="IA218" s="6"/>
      <c r="IB218" s="6"/>
      <c r="IC218" s="5" t="str">
        <f t="shared" si="748"/>
        <v>NO APLICA</v>
      </c>
      <c r="ID218" s="6"/>
      <c r="IE218" s="6"/>
      <c r="IF218" s="6"/>
      <c r="IG218" s="6"/>
      <c r="IH218" s="5" t="str">
        <f t="shared" si="749"/>
        <v>NO APLICA</v>
      </c>
      <c r="II218" s="6"/>
      <c r="IJ218" s="6"/>
      <c r="IK218" s="6"/>
      <c r="IL218" s="6"/>
      <c r="IM218" s="5" t="str">
        <f t="shared" si="750"/>
        <v>NO APLICA</v>
      </c>
      <c r="IN218" s="6"/>
      <c r="IO218" s="6"/>
      <c r="IP218" s="6"/>
      <c r="IQ218" s="6"/>
      <c r="IR218" s="5" t="str">
        <f t="shared" si="751"/>
        <v>NO APLICA</v>
      </c>
      <c r="IS218" s="6"/>
      <c r="IT218" s="6"/>
      <c r="IU218" s="6"/>
      <c r="IV218" s="6"/>
      <c r="IW218" s="5" t="str">
        <f t="shared" si="752"/>
        <v>NO APLICA</v>
      </c>
      <c r="IX218" s="6"/>
      <c r="IY218" s="6"/>
      <c r="IZ218" s="6"/>
      <c r="JA218" s="6"/>
      <c r="JB218" s="5" t="str">
        <f t="shared" si="753"/>
        <v>NO APLICA</v>
      </c>
      <c r="JC218" s="6"/>
      <c r="JD218" s="6"/>
      <c r="JE218" s="6"/>
      <c r="JF218" s="6"/>
      <c r="JG218" s="5" t="str">
        <f t="shared" si="754"/>
        <v>NO APLICA</v>
      </c>
      <c r="JH218" s="6"/>
      <c r="JI218" s="6"/>
      <c r="JJ218" s="6"/>
      <c r="JK218" s="6"/>
      <c r="JL218" s="5" t="str">
        <f t="shared" si="755"/>
        <v>NO APLICA</v>
      </c>
      <c r="JM218" s="6"/>
      <c r="JN218" s="6"/>
      <c r="JO218" s="6"/>
      <c r="JP218" s="6"/>
      <c r="JQ218" s="5" t="str">
        <f t="shared" si="756"/>
        <v>NO APLICA</v>
      </c>
      <c r="JR218" s="6"/>
      <c r="JS218" s="6"/>
      <c r="JT218" s="6"/>
      <c r="JU218" s="6"/>
      <c r="JV218" s="5" t="str">
        <f t="shared" si="757"/>
        <v>NO APLICA</v>
      </c>
      <c r="JW218" s="5"/>
      <c r="JX218" s="5"/>
      <c r="JY218" s="5"/>
      <c r="JZ218" s="5"/>
      <c r="KA218" s="5" t="str">
        <f t="shared" si="758"/>
        <v>NO APLICA</v>
      </c>
      <c r="KB218" s="5"/>
      <c r="KC218" s="6"/>
      <c r="KD218" s="6"/>
      <c r="KE218" s="6"/>
      <c r="KF218" s="5" t="str">
        <f t="shared" si="759"/>
        <v>NO APLICA</v>
      </c>
      <c r="KG218" s="5"/>
      <c r="KH218" s="6"/>
      <c r="KI218" s="6"/>
      <c r="KJ218" s="6"/>
      <c r="KK218" s="5" t="str">
        <f t="shared" si="779"/>
        <v>NO APLICA</v>
      </c>
      <c r="KL218" s="5"/>
      <c r="KM218" s="6"/>
      <c r="KN218" s="6"/>
      <c r="KO218" s="6"/>
      <c r="KP218" s="5" t="str">
        <f t="shared" si="760"/>
        <v>NO APLICA</v>
      </c>
      <c r="KQ218" s="5"/>
      <c r="KR218" s="6"/>
      <c r="KS218" s="6"/>
      <c r="KT218" s="6"/>
      <c r="KU218" s="5" t="str">
        <f t="shared" si="780"/>
        <v>NO APLICA</v>
      </c>
      <c r="KV218" s="6"/>
      <c r="KW218" s="6"/>
      <c r="KX218" s="6"/>
      <c r="KY218" s="6"/>
      <c r="KZ218" s="5" t="str">
        <f t="shared" si="786"/>
        <v>NO APLICA</v>
      </c>
      <c r="LA218" s="5"/>
      <c r="LB218" s="6"/>
      <c r="LC218" s="6"/>
      <c r="LD218" s="6"/>
      <c r="LE218" s="5" t="str">
        <f t="shared" si="781"/>
        <v>NO APLICA</v>
      </c>
      <c r="LF218" s="6"/>
      <c r="LG218" s="6"/>
      <c r="LH218" s="6"/>
      <c r="LI218" s="6"/>
      <c r="LJ218" s="5" t="str">
        <f t="shared" si="614"/>
        <v>NO APLICA</v>
      </c>
      <c r="LK218" s="5"/>
      <c r="LL218" s="5"/>
      <c r="LM218" s="4"/>
      <c r="LN218" s="8"/>
      <c r="LO218" s="5" t="str">
        <f t="shared" si="787"/>
        <v>NO APLICA</v>
      </c>
      <c r="LP218" s="6"/>
      <c r="LQ218" s="6"/>
      <c r="LR218" s="6"/>
      <c r="LS218" s="6"/>
      <c r="LT218" s="5" t="str">
        <f t="shared" si="782"/>
        <v>NO APLICA</v>
      </c>
      <c r="LU218" s="6"/>
      <c r="LV218" s="6"/>
      <c r="LW218" s="6"/>
      <c r="LX218" s="6"/>
      <c r="LY218" s="5" t="str">
        <f t="shared" si="783"/>
        <v>NO APLICA</v>
      </c>
      <c r="LZ218" s="6"/>
      <c r="MA218" s="6"/>
      <c r="MB218" s="6"/>
      <c r="MC218" s="6"/>
      <c r="MD218" s="5" t="str">
        <f t="shared" si="784"/>
        <v>NO APLICA</v>
      </c>
      <c r="ME218" s="6"/>
      <c r="MF218" s="6"/>
      <c r="MG218" s="6"/>
      <c r="MH218" s="6"/>
      <c r="MI218" s="5" t="str">
        <f t="shared" si="761"/>
        <v>NO APLICA</v>
      </c>
      <c r="MJ218" s="6"/>
      <c r="MK218" s="6"/>
      <c r="ML218" s="6"/>
      <c r="MM218" s="6"/>
      <c r="MN218" s="5" t="str">
        <f t="shared" si="762"/>
        <v>NO APLICA</v>
      </c>
      <c r="MO218" s="5"/>
      <c r="MP218" s="6"/>
      <c r="MQ218" s="6"/>
      <c r="MR218" s="6"/>
      <c r="MS218" s="5" t="str">
        <f t="shared" si="763"/>
        <v>NO APLICA</v>
      </c>
      <c r="MT218" s="5"/>
      <c r="MU218" s="6"/>
      <c r="MV218" s="6"/>
      <c r="MW218" s="6"/>
      <c r="MX218" s="5" t="str">
        <f t="shared" si="764"/>
        <v>NO APLICA</v>
      </c>
      <c r="MY218" s="6"/>
      <c r="MZ218" s="6"/>
      <c r="NA218" s="6"/>
      <c r="NB218" s="6"/>
      <c r="NC218" s="5" t="str">
        <f t="shared" si="765"/>
        <v>NO APLICA</v>
      </c>
      <c r="ND218" s="6"/>
      <c r="NE218" s="6"/>
      <c r="NF218" s="6"/>
      <c r="NG218" s="6"/>
      <c r="NH218" s="5" t="str">
        <f t="shared" si="766"/>
        <v>NO APLICA</v>
      </c>
      <c r="NI218" s="6"/>
      <c r="NJ218" s="6"/>
      <c r="NK218" s="6"/>
      <c r="NL218" s="6"/>
      <c r="NM218" s="5" t="str">
        <f t="shared" si="767"/>
        <v>NO APLICA</v>
      </c>
      <c r="NN218" s="6"/>
      <c r="NO218" s="6"/>
      <c r="NP218" s="6"/>
      <c r="NQ218" s="6"/>
      <c r="NR218" s="5" t="str">
        <f t="shared" si="768"/>
        <v>NO APLICA</v>
      </c>
      <c r="NS218" s="6"/>
      <c r="NT218" s="6"/>
      <c r="NU218" s="6"/>
      <c r="NV218" s="6"/>
      <c r="NW218" s="5" t="str">
        <f t="shared" si="769"/>
        <v>NO APLICA</v>
      </c>
      <c r="NX218" s="6"/>
      <c r="NY218" s="6"/>
      <c r="NZ218" s="6"/>
      <c r="OA218" s="6"/>
      <c r="OB218" s="5" t="str">
        <f t="shared" si="770"/>
        <v>NO APLICA</v>
      </c>
      <c r="OC218" s="6"/>
      <c r="OD218" s="6"/>
      <c r="OE218" s="6"/>
      <c r="OF218" s="6"/>
      <c r="OG218" s="5" t="str">
        <f t="shared" si="771"/>
        <v>NO APLICA</v>
      </c>
      <c r="OH218" s="6"/>
      <c r="OI218" s="6"/>
      <c r="OJ218" s="6"/>
      <c r="OK218" s="6"/>
      <c r="OL218" s="5" t="str">
        <f t="shared" si="772"/>
        <v>NO APLICA</v>
      </c>
      <c r="OM218" s="6"/>
      <c r="ON218" s="6"/>
      <c r="OO218" s="6"/>
      <c r="OP218" s="6"/>
      <c r="OQ218" s="5" t="str">
        <f t="shared" si="773"/>
        <v>NO APLICA</v>
      </c>
      <c r="OR218" s="6"/>
      <c r="OS218" s="6"/>
      <c r="OT218" s="6"/>
      <c r="OU218" s="6"/>
      <c r="OV218" s="5" t="str">
        <f t="shared" si="774"/>
        <v>NO APLICA</v>
      </c>
      <c r="OW218" s="6"/>
      <c r="OX218" s="6"/>
      <c r="OY218" s="6"/>
      <c r="OZ218" s="6"/>
      <c r="PA218" s="5" t="str">
        <f t="shared" si="788"/>
        <v>NO APLICA</v>
      </c>
      <c r="PB218" s="6"/>
      <c r="PC218" s="6"/>
      <c r="PD218" s="6"/>
      <c r="PE218" s="6"/>
      <c r="PF218" s="5" t="str">
        <f t="shared" si="775"/>
        <v>NO APLICA</v>
      </c>
      <c r="PG218" s="6"/>
      <c r="PH218" s="6"/>
      <c r="PI218" s="6"/>
      <c r="PJ218" s="6"/>
      <c r="PK218" s="5" t="str">
        <f t="shared" si="776"/>
        <v>NO APLICA</v>
      </c>
      <c r="PL218" s="5"/>
      <c r="PM218" s="6"/>
      <c r="PN218" s="6"/>
      <c r="PO218" s="6"/>
      <c r="PP218" s="5" t="str">
        <f t="shared" si="785"/>
        <v>NO APLICA</v>
      </c>
      <c r="PQ218" s="6"/>
      <c r="PR218" s="6"/>
      <c r="PS218" s="6"/>
      <c r="PT218" s="6"/>
      <c r="PU218" s="5" t="str">
        <f t="shared" si="777"/>
        <v>NO APLICA</v>
      </c>
      <c r="PV218" s="5"/>
      <c r="PW218" s="6"/>
      <c r="PX218" s="6"/>
      <c r="PY218" s="6"/>
      <c r="PZ218" s="5" t="str">
        <f t="shared" si="77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783</v>
      </c>
      <c r="D219" s="30" t="s">
        <v>628</v>
      </c>
      <c r="E219" s="31" t="s">
        <v>629</v>
      </c>
      <c r="F219" s="6"/>
      <c r="G219" s="6"/>
      <c r="H219" s="6"/>
      <c r="I219" s="6"/>
      <c r="J219" s="5" t="str">
        <f t="shared" si="710"/>
        <v>NO APLICA</v>
      </c>
      <c r="K219" s="6"/>
      <c r="L219" s="6"/>
      <c r="M219" s="6"/>
      <c r="N219" s="6"/>
      <c r="O219" s="5" t="str">
        <f t="shared" si="713"/>
        <v>NO APLICA</v>
      </c>
      <c r="P219" s="6"/>
      <c r="Q219" s="6"/>
      <c r="R219" s="6"/>
      <c r="S219" s="6"/>
      <c r="T219" s="5" t="str">
        <f t="shared" si="711"/>
        <v>NO APLICA</v>
      </c>
      <c r="U219" s="5"/>
      <c r="V219" s="6"/>
      <c r="W219" s="4"/>
      <c r="X219" s="4"/>
      <c r="Y219" s="8"/>
      <c r="Z219" s="5" t="str">
        <f t="shared" si="619"/>
        <v>NO APLICA</v>
      </c>
      <c r="AA219" s="5"/>
      <c r="AB219" s="6"/>
      <c r="AC219" s="6"/>
      <c r="AD219" s="6"/>
      <c r="AE219" s="6"/>
      <c r="AF219" s="5" t="str">
        <f t="shared" si="714"/>
        <v>NO APLICA</v>
      </c>
      <c r="AG219" s="4"/>
      <c r="AH219" s="4"/>
      <c r="AI219" s="4"/>
      <c r="AJ219" s="6"/>
      <c r="AK219" s="5" t="str">
        <f t="shared" si="616"/>
        <v>NO APLICA</v>
      </c>
      <c r="AL219" s="4"/>
      <c r="AM219" s="4"/>
      <c r="AN219" s="4"/>
      <c r="AO219" s="6"/>
      <c r="AP219" s="5" t="str">
        <f t="shared" si="715"/>
        <v>NO APLICA</v>
      </c>
      <c r="AQ219" s="4"/>
      <c r="AR219" s="4"/>
      <c r="AS219" s="4"/>
      <c r="AT219" s="6"/>
      <c r="AU219" s="5" t="str">
        <f t="shared" si="716"/>
        <v>NO APLICA</v>
      </c>
      <c r="AV219" s="4"/>
      <c r="AW219" s="4"/>
      <c r="AX219" s="4"/>
      <c r="AY219" s="6"/>
      <c r="AZ219" s="5" t="str">
        <f t="shared" si="717"/>
        <v>NO APLICA</v>
      </c>
      <c r="BA219" s="4"/>
      <c r="BB219" s="4"/>
      <c r="BC219" s="4"/>
      <c r="BD219" s="6"/>
      <c r="BE219" s="5" t="str">
        <f t="shared" si="718"/>
        <v>NO APLICA</v>
      </c>
      <c r="BF219" s="4"/>
      <c r="BG219" s="4"/>
      <c r="BH219" s="4"/>
      <c r="BI219" s="6"/>
      <c r="BJ219" s="5" t="str">
        <f t="shared" si="719"/>
        <v>NO APLICA</v>
      </c>
      <c r="BK219" s="4"/>
      <c r="BL219" s="4"/>
      <c r="BM219" s="4"/>
      <c r="BN219" s="6"/>
      <c r="BO219" s="5" t="str">
        <f t="shared" si="720"/>
        <v>NO APLICA</v>
      </c>
      <c r="BP219" s="4"/>
      <c r="BQ219" s="4"/>
      <c r="BR219" s="4"/>
      <c r="BS219" s="6"/>
      <c r="BT219" s="5" t="str">
        <f t="shared" si="721"/>
        <v>NO APLICA</v>
      </c>
      <c r="BU219" s="4"/>
      <c r="BV219" s="4"/>
      <c r="BW219" s="4"/>
      <c r="BX219" s="6"/>
      <c r="BY219" s="5" t="str">
        <f t="shared" si="722"/>
        <v>NO APLICA</v>
      </c>
      <c r="BZ219" s="4"/>
      <c r="CA219" s="4"/>
      <c r="CB219" s="4"/>
      <c r="CC219" s="6"/>
      <c r="CD219" s="5" t="str">
        <f t="shared" si="723"/>
        <v>NO APLICA</v>
      </c>
      <c r="CE219" s="6"/>
      <c r="CF219" s="6"/>
      <c r="CG219" s="6"/>
      <c r="CH219" s="6"/>
      <c r="CI219" s="5" t="str">
        <f t="shared" si="789"/>
        <v>NO APLICA</v>
      </c>
      <c r="CJ219" s="4"/>
      <c r="CK219" s="4"/>
      <c r="CL219" s="4"/>
      <c r="CM219" s="6"/>
      <c r="CN219" s="5" t="str">
        <f t="shared" si="724"/>
        <v>NO APLICA</v>
      </c>
      <c r="CO219" s="4"/>
      <c r="CP219" s="4"/>
      <c r="CQ219" s="4"/>
      <c r="CR219" s="6"/>
      <c r="CS219" s="5" t="str">
        <f t="shared" si="725"/>
        <v>NO APLICA</v>
      </c>
      <c r="CT219" s="4"/>
      <c r="CU219" s="4"/>
      <c r="CV219" s="4"/>
      <c r="CW219" s="6"/>
      <c r="CX219" s="5" t="str">
        <f t="shared" si="726"/>
        <v>NO APLICA</v>
      </c>
      <c r="CY219" s="4"/>
      <c r="CZ219" s="4"/>
      <c r="DA219" s="4"/>
      <c r="DB219" s="6"/>
      <c r="DC219" s="5" t="str">
        <f t="shared" si="727"/>
        <v>NO APLICA</v>
      </c>
      <c r="DD219" s="4"/>
      <c r="DE219" s="4"/>
      <c r="DF219" s="4"/>
      <c r="DG219" s="6"/>
      <c r="DH219" s="5" t="str">
        <f t="shared" si="728"/>
        <v>NO APLICA</v>
      </c>
      <c r="DI219" s="4"/>
      <c r="DJ219" s="4"/>
      <c r="DK219" s="4"/>
      <c r="DL219" s="6"/>
      <c r="DM219" s="5" t="str">
        <f t="shared" si="729"/>
        <v>NO APLICA</v>
      </c>
      <c r="DN219" s="4"/>
      <c r="DO219" s="4"/>
      <c r="DP219" s="4"/>
      <c r="DQ219" s="6"/>
      <c r="DR219" s="5" t="str">
        <f t="shared" si="730"/>
        <v>NO APLICA</v>
      </c>
      <c r="DS219" s="4"/>
      <c r="DT219" s="4"/>
      <c r="DU219" s="4"/>
      <c r="DV219" s="6"/>
      <c r="DW219" s="5" t="str">
        <f t="shared" si="731"/>
        <v>NO APLICA</v>
      </c>
      <c r="DX219" s="4"/>
      <c r="DY219" s="4"/>
      <c r="DZ219" s="4"/>
      <c r="EA219" s="6"/>
      <c r="EB219" s="5" t="str">
        <f t="shared" si="732"/>
        <v>NO APLICA</v>
      </c>
      <c r="EC219" s="4"/>
      <c r="ED219" s="4"/>
      <c r="EE219" s="4"/>
      <c r="EF219" s="6"/>
      <c r="EG219" s="5" t="str">
        <f t="shared" si="733"/>
        <v>NO APLICA</v>
      </c>
      <c r="EH219" s="4"/>
      <c r="EI219" s="4"/>
      <c r="EJ219" s="4"/>
      <c r="EK219" s="8"/>
      <c r="EL219" s="5" t="str">
        <f t="shared" si="734"/>
        <v>NO APLICA</v>
      </c>
      <c r="EM219" s="4"/>
      <c r="EN219" s="4"/>
      <c r="EO219" s="4"/>
      <c r="EP219" s="8"/>
      <c r="EQ219" s="5" t="str">
        <f t="shared" si="735"/>
        <v>NO APLICA</v>
      </c>
      <c r="ER219" s="4"/>
      <c r="ES219" s="4"/>
      <c r="ET219" s="4"/>
      <c r="EU219" s="8"/>
      <c r="EV219" s="5" t="str">
        <f t="shared" si="736"/>
        <v>NO APLICA</v>
      </c>
      <c r="EW219" s="4"/>
      <c r="EX219" s="4"/>
      <c r="EY219" s="4"/>
      <c r="EZ219" s="6"/>
      <c r="FA219" s="5" t="str">
        <f t="shared" si="737"/>
        <v>NO APLICA</v>
      </c>
      <c r="FB219" s="4"/>
      <c r="FC219" s="4"/>
      <c r="FD219" s="4"/>
      <c r="FE219" s="6"/>
      <c r="FF219" s="5" t="str">
        <f t="shared" si="738"/>
        <v>NO APLICA</v>
      </c>
      <c r="FG219" s="4"/>
      <c r="FH219" s="4"/>
      <c r="FI219" s="4"/>
      <c r="FJ219" s="6"/>
      <c r="FK219" s="5" t="str">
        <f t="shared" si="739"/>
        <v>NO APLICA</v>
      </c>
      <c r="FL219" s="4"/>
      <c r="FM219" s="4"/>
      <c r="FN219" s="4"/>
      <c r="FO219" s="6"/>
      <c r="FP219" s="5" t="str">
        <f t="shared" si="740"/>
        <v>NO APLICA</v>
      </c>
      <c r="FQ219" s="4"/>
      <c r="FR219" s="4"/>
      <c r="FS219" s="4"/>
      <c r="FT219" s="6"/>
      <c r="FU219" s="5" t="str">
        <f t="shared" si="741"/>
        <v>NO APLICA</v>
      </c>
      <c r="FV219" s="4"/>
      <c r="FW219" s="4"/>
      <c r="FX219" s="4"/>
      <c r="FY219" s="6"/>
      <c r="FZ219" s="5" t="str">
        <f t="shared" si="742"/>
        <v>NO APLICA</v>
      </c>
      <c r="GA219" s="4"/>
      <c r="GB219" s="4"/>
      <c r="GC219" s="4"/>
      <c r="GD219" s="6"/>
      <c r="GE219" s="5" t="str">
        <f t="shared" si="743"/>
        <v>NO APLICA</v>
      </c>
      <c r="GF219" s="4"/>
      <c r="GG219" s="4"/>
      <c r="GH219" s="4"/>
      <c r="GI219" s="8"/>
      <c r="GJ219" s="5" t="str">
        <f t="shared" si="744"/>
        <v>NO APLICA</v>
      </c>
      <c r="GK219" s="4"/>
      <c r="GL219" s="6"/>
      <c r="GM219" s="6"/>
      <c r="GN219" s="6"/>
      <c r="GO219" s="5" t="str">
        <f t="shared" si="745"/>
        <v>NO APLICA</v>
      </c>
      <c r="GP219" s="4"/>
      <c r="GQ219" s="6"/>
      <c r="GR219" s="6"/>
      <c r="GS219" s="6"/>
      <c r="GT219" s="5" t="str">
        <f t="shared" si="624"/>
        <v>NO APLICA</v>
      </c>
      <c r="GU219" s="4"/>
      <c r="GV219" s="6"/>
      <c r="GW219" s="6"/>
      <c r="GX219" s="6"/>
      <c r="GY219" s="5" t="str">
        <f t="shared" si="625"/>
        <v>NO APLICA</v>
      </c>
      <c r="GZ219" s="6"/>
      <c r="HA219" s="6"/>
      <c r="HB219" s="6"/>
      <c r="HC219" s="6"/>
      <c r="HD219" s="5" t="str">
        <f t="shared" si="626"/>
        <v>NO APLICA</v>
      </c>
      <c r="HE219" s="6"/>
      <c r="HF219" s="6"/>
      <c r="HG219" s="4"/>
      <c r="HH219" s="8"/>
      <c r="HI219" s="5" t="str">
        <f t="shared" si="712"/>
        <v>NO APLICA</v>
      </c>
      <c r="HJ219" s="6"/>
      <c r="HK219" s="6"/>
      <c r="HL219" s="6"/>
      <c r="HM219" s="6"/>
      <c r="HN219" s="5" t="str">
        <f t="shared" si="708"/>
        <v>NO APLICA</v>
      </c>
      <c r="HO219" s="6"/>
      <c r="HP219" s="6"/>
      <c r="HQ219" s="6"/>
      <c r="HR219" s="6"/>
      <c r="HS219" s="5" t="str">
        <f t="shared" si="746"/>
        <v>NO APLICA</v>
      </c>
      <c r="HT219" s="6"/>
      <c r="HU219" s="6"/>
      <c r="HV219" s="6"/>
      <c r="HW219" s="6"/>
      <c r="HX219" s="5" t="str">
        <f t="shared" si="747"/>
        <v>NO APLICA</v>
      </c>
      <c r="HY219" s="6"/>
      <c r="HZ219" s="6"/>
      <c r="IA219" s="6"/>
      <c r="IB219" s="6"/>
      <c r="IC219" s="5" t="str">
        <f t="shared" si="748"/>
        <v>NO APLICA</v>
      </c>
      <c r="ID219" s="6"/>
      <c r="IE219" s="6"/>
      <c r="IF219" s="6"/>
      <c r="IG219" s="6"/>
      <c r="IH219" s="5" t="str">
        <f t="shared" si="749"/>
        <v>NO APLICA</v>
      </c>
      <c r="II219" s="6"/>
      <c r="IJ219" s="6"/>
      <c r="IK219" s="6"/>
      <c r="IL219" s="6"/>
      <c r="IM219" s="5" t="str">
        <f t="shared" si="750"/>
        <v>NO APLICA</v>
      </c>
      <c r="IN219" s="6"/>
      <c r="IO219" s="6"/>
      <c r="IP219" s="6"/>
      <c r="IQ219" s="6"/>
      <c r="IR219" s="5" t="str">
        <f t="shared" si="751"/>
        <v>NO APLICA</v>
      </c>
      <c r="IS219" s="6"/>
      <c r="IT219" s="6"/>
      <c r="IU219" s="6"/>
      <c r="IV219" s="6"/>
      <c r="IW219" s="5" t="str">
        <f t="shared" si="752"/>
        <v>NO APLICA</v>
      </c>
      <c r="IX219" s="6"/>
      <c r="IY219" s="6"/>
      <c r="IZ219" s="6"/>
      <c r="JA219" s="6"/>
      <c r="JB219" s="5" t="str">
        <f t="shared" si="753"/>
        <v>NO APLICA</v>
      </c>
      <c r="JC219" s="6"/>
      <c r="JD219" s="6"/>
      <c r="JE219" s="6"/>
      <c r="JF219" s="6"/>
      <c r="JG219" s="5" t="str">
        <f t="shared" si="754"/>
        <v>NO APLICA</v>
      </c>
      <c r="JH219" s="6"/>
      <c r="JI219" s="6"/>
      <c r="JJ219" s="6"/>
      <c r="JK219" s="6"/>
      <c r="JL219" s="5" t="str">
        <f t="shared" si="755"/>
        <v>NO APLICA</v>
      </c>
      <c r="JM219" s="6"/>
      <c r="JN219" s="6"/>
      <c r="JO219" s="6"/>
      <c r="JP219" s="6"/>
      <c r="JQ219" s="5" t="str">
        <f t="shared" si="756"/>
        <v>NO APLICA</v>
      </c>
      <c r="JR219" s="6"/>
      <c r="JS219" s="6"/>
      <c r="JT219" s="6"/>
      <c r="JU219" s="6"/>
      <c r="JV219" s="5" t="str">
        <f t="shared" si="757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59"/>
        <v>NO APLICA</v>
      </c>
      <c r="KG219" s="5"/>
      <c r="KH219" s="6"/>
      <c r="KI219" s="6"/>
      <c r="KJ219" s="6"/>
      <c r="KK219" s="5" t="str">
        <f t="shared" si="779"/>
        <v>NO APLICA</v>
      </c>
      <c r="KL219" s="5"/>
      <c r="KM219" s="6"/>
      <c r="KN219" s="6"/>
      <c r="KO219" s="6"/>
      <c r="KP219" s="5" t="str">
        <f t="shared" si="760"/>
        <v>NO APLICA</v>
      </c>
      <c r="KQ219" s="5"/>
      <c r="KR219" s="6"/>
      <c r="KS219" s="6"/>
      <c r="KT219" s="6"/>
      <c r="KU219" s="5" t="str">
        <f t="shared" si="780"/>
        <v>NO APLICA</v>
      </c>
      <c r="KV219" s="6"/>
      <c r="KW219" s="6"/>
      <c r="KX219" s="6"/>
      <c r="KY219" s="6"/>
      <c r="KZ219" s="5" t="str">
        <f t="shared" si="786"/>
        <v>NO APLICA</v>
      </c>
      <c r="LA219" s="5"/>
      <c r="LB219" s="6"/>
      <c r="LC219" s="6"/>
      <c r="LD219" s="6"/>
      <c r="LE219" s="5" t="str">
        <f t="shared" si="781"/>
        <v>NO APLICA</v>
      </c>
      <c r="LF219" s="6"/>
      <c r="LG219" s="6"/>
      <c r="LH219" s="6"/>
      <c r="LI219" s="6"/>
      <c r="LJ219" s="5" t="str">
        <f t="shared" si="614"/>
        <v>NO APLICA</v>
      </c>
      <c r="LK219" s="5"/>
      <c r="LL219" s="5"/>
      <c r="LM219" s="4"/>
      <c r="LN219" s="8"/>
      <c r="LO219" s="5" t="str">
        <f t="shared" si="787"/>
        <v>NO APLICA</v>
      </c>
      <c r="LP219" s="6"/>
      <c r="LQ219" s="6"/>
      <c r="LR219" s="6"/>
      <c r="LS219" s="6"/>
      <c r="LT219" s="5" t="str">
        <f t="shared" si="782"/>
        <v>NO APLICA</v>
      </c>
      <c r="LU219" s="6"/>
      <c r="LV219" s="6"/>
      <c r="LW219" s="6"/>
      <c r="LX219" s="6"/>
      <c r="LY219" s="5" t="str">
        <f t="shared" si="783"/>
        <v>NO APLICA</v>
      </c>
      <c r="LZ219" s="6"/>
      <c r="MA219" s="6"/>
      <c r="MB219" s="6"/>
      <c r="MC219" s="6"/>
      <c r="MD219" s="5" t="str">
        <f t="shared" si="784"/>
        <v>NO APLICA</v>
      </c>
      <c r="ME219" s="6"/>
      <c r="MF219" s="6"/>
      <c r="MG219" s="6"/>
      <c r="MH219" s="6"/>
      <c r="MI219" s="5" t="str">
        <f t="shared" si="761"/>
        <v>NO APLICA</v>
      </c>
      <c r="MJ219" s="6"/>
      <c r="MK219" s="6"/>
      <c r="ML219" s="6"/>
      <c r="MM219" s="6"/>
      <c r="MN219" s="5" t="str">
        <f t="shared" si="762"/>
        <v>NO APLICA</v>
      </c>
      <c r="MO219" s="5"/>
      <c r="MP219" s="6"/>
      <c r="MQ219" s="6"/>
      <c r="MR219" s="6"/>
      <c r="MS219" s="5" t="str">
        <f t="shared" si="763"/>
        <v>NO APLICA</v>
      </c>
      <c r="MT219" s="5"/>
      <c r="MU219" s="6"/>
      <c r="MV219" s="6"/>
      <c r="MW219" s="6"/>
      <c r="MX219" s="5" t="str">
        <f t="shared" si="764"/>
        <v>NO APLICA</v>
      </c>
      <c r="MY219" s="6"/>
      <c r="MZ219" s="6"/>
      <c r="NA219" s="6"/>
      <c r="NB219" s="6"/>
      <c r="NC219" s="5" t="str">
        <f t="shared" si="765"/>
        <v>NO APLICA</v>
      </c>
      <c r="ND219" s="6"/>
      <c r="NE219" s="6"/>
      <c r="NF219" s="6"/>
      <c r="NG219" s="6"/>
      <c r="NH219" s="5" t="str">
        <f t="shared" si="766"/>
        <v>NO APLICA</v>
      </c>
      <c r="NI219" s="6"/>
      <c r="NJ219" s="6"/>
      <c r="NK219" s="6"/>
      <c r="NL219" s="6"/>
      <c r="NM219" s="5" t="str">
        <f t="shared" si="767"/>
        <v>NO APLICA</v>
      </c>
      <c r="NN219" s="6"/>
      <c r="NO219" s="6"/>
      <c r="NP219" s="6"/>
      <c r="NQ219" s="6"/>
      <c r="NR219" s="5" t="str">
        <f t="shared" si="768"/>
        <v>NO APLICA</v>
      </c>
      <c r="NS219" s="6"/>
      <c r="NT219" s="6"/>
      <c r="NU219" s="6"/>
      <c r="NV219" s="6"/>
      <c r="NW219" s="5" t="str">
        <f t="shared" si="769"/>
        <v>NO APLICA</v>
      </c>
      <c r="NX219" s="6"/>
      <c r="NY219" s="6"/>
      <c r="NZ219" s="6"/>
      <c r="OA219" s="6"/>
      <c r="OB219" s="5" t="str">
        <f t="shared" si="770"/>
        <v>NO APLICA</v>
      </c>
      <c r="OC219" s="6"/>
      <c r="OD219" s="6"/>
      <c r="OE219" s="6"/>
      <c r="OF219" s="6"/>
      <c r="OG219" s="5" t="str">
        <f t="shared" si="771"/>
        <v>NO APLICA</v>
      </c>
      <c r="OH219" s="6"/>
      <c r="OI219" s="6"/>
      <c r="OJ219" s="6"/>
      <c r="OK219" s="6"/>
      <c r="OL219" s="5" t="str">
        <f t="shared" si="772"/>
        <v>NO APLICA</v>
      </c>
      <c r="OM219" s="6"/>
      <c r="ON219" s="6"/>
      <c r="OO219" s="6"/>
      <c r="OP219" s="6"/>
      <c r="OQ219" s="5" t="str">
        <f t="shared" si="773"/>
        <v>NO APLICA</v>
      </c>
      <c r="OR219" s="6"/>
      <c r="OS219" s="6"/>
      <c r="OT219" s="6"/>
      <c r="OU219" s="6"/>
      <c r="OV219" s="5" t="str">
        <f t="shared" si="774"/>
        <v>NO APLICA</v>
      </c>
      <c r="OW219" s="6"/>
      <c r="OX219" s="6"/>
      <c r="OY219" s="6"/>
      <c r="OZ219" s="6"/>
      <c r="PA219" s="5" t="str">
        <f t="shared" si="788"/>
        <v>NO APLICA</v>
      </c>
      <c r="PB219" s="6"/>
      <c r="PC219" s="6"/>
      <c r="PD219" s="6"/>
      <c r="PE219" s="6"/>
      <c r="PF219" s="5" t="str">
        <f t="shared" si="775"/>
        <v>NO APLICA</v>
      </c>
      <c r="PG219" s="6"/>
      <c r="PH219" s="6"/>
      <c r="PI219" s="6"/>
      <c r="PJ219" s="6"/>
      <c r="PK219" s="5" t="str">
        <f t="shared" si="776"/>
        <v>NO APLICA</v>
      </c>
      <c r="PL219" s="5"/>
      <c r="PM219" s="6"/>
      <c r="PN219" s="6"/>
      <c r="PO219" s="6"/>
      <c r="PP219" s="5" t="str">
        <f t="shared" si="785"/>
        <v>NO APLICA</v>
      </c>
      <c r="PQ219" s="6"/>
      <c r="PR219" s="6"/>
      <c r="PS219" s="6"/>
      <c r="PT219" s="6"/>
      <c r="PU219" s="5" t="str">
        <f t="shared" si="777"/>
        <v>NO APLICA</v>
      </c>
      <c r="PV219" s="5"/>
      <c r="PW219" s="6"/>
      <c r="PX219" s="6"/>
      <c r="PY219" s="6"/>
      <c r="PZ219" s="5" t="str">
        <f t="shared" si="77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665</v>
      </c>
      <c r="D220" s="30" t="s">
        <v>628</v>
      </c>
      <c r="E220" s="31" t="s">
        <v>666</v>
      </c>
      <c r="F220" s="6"/>
      <c r="G220" s="6"/>
      <c r="H220" s="6"/>
      <c r="I220" s="6"/>
      <c r="J220" s="5" t="str">
        <f t="shared" si="710"/>
        <v>NO APLICA</v>
      </c>
      <c r="K220" s="6"/>
      <c r="L220" s="6"/>
      <c r="M220" s="6"/>
      <c r="N220" s="6"/>
      <c r="O220" s="5" t="str">
        <f t="shared" si="713"/>
        <v>NO APLICA</v>
      </c>
      <c r="P220" s="6"/>
      <c r="Q220" s="6"/>
      <c r="R220" s="6"/>
      <c r="S220" s="6"/>
      <c r="T220" s="5" t="str">
        <f t="shared" si="711"/>
        <v>NO APLICA</v>
      </c>
      <c r="U220" s="5"/>
      <c r="V220" s="6"/>
      <c r="W220" s="4"/>
      <c r="X220" s="4"/>
      <c r="Y220" s="8"/>
      <c r="Z220" s="5" t="str">
        <f t="shared" si="619"/>
        <v>NO APLICA</v>
      </c>
      <c r="AA220" s="5"/>
      <c r="AB220" s="6"/>
      <c r="AC220" s="6"/>
      <c r="AD220" s="6"/>
      <c r="AE220" s="6"/>
      <c r="AF220" s="5" t="str">
        <f t="shared" si="714"/>
        <v>NO APLICA</v>
      </c>
      <c r="AG220" s="4"/>
      <c r="AH220" s="4"/>
      <c r="AI220" s="4"/>
      <c r="AJ220" s="6"/>
      <c r="AK220" s="5" t="str">
        <f t="shared" si="616"/>
        <v>NO APLICA</v>
      </c>
      <c r="AL220" s="4"/>
      <c r="AM220" s="4"/>
      <c r="AN220" s="4"/>
      <c r="AO220" s="6"/>
      <c r="AP220" s="5" t="str">
        <f t="shared" si="715"/>
        <v>NO APLICA</v>
      </c>
      <c r="AQ220" s="4"/>
      <c r="AR220" s="4"/>
      <c r="AS220" s="4"/>
      <c r="AT220" s="6"/>
      <c r="AU220" s="5" t="str">
        <f t="shared" si="716"/>
        <v>NO APLICA</v>
      </c>
      <c r="AV220" s="4"/>
      <c r="AW220" s="4"/>
      <c r="AX220" s="4"/>
      <c r="AY220" s="6"/>
      <c r="AZ220" s="5" t="str">
        <f t="shared" si="717"/>
        <v>NO APLICA</v>
      </c>
      <c r="BA220" s="4"/>
      <c r="BB220" s="4"/>
      <c r="BC220" s="4"/>
      <c r="BD220" s="6"/>
      <c r="BE220" s="5" t="str">
        <f t="shared" si="718"/>
        <v>NO APLICA</v>
      </c>
      <c r="BF220" s="4"/>
      <c r="BG220" s="4"/>
      <c r="BH220" s="4"/>
      <c r="BI220" s="6"/>
      <c r="BJ220" s="5" t="str">
        <f t="shared" si="719"/>
        <v>NO APLICA</v>
      </c>
      <c r="BK220" s="4"/>
      <c r="BL220" s="4"/>
      <c r="BM220" s="4"/>
      <c r="BN220" s="6"/>
      <c r="BO220" s="5" t="str">
        <f t="shared" si="720"/>
        <v>NO APLICA</v>
      </c>
      <c r="BP220" s="4"/>
      <c r="BQ220" s="4"/>
      <c r="BR220" s="4"/>
      <c r="BS220" s="6"/>
      <c r="BT220" s="5" t="str">
        <f t="shared" si="721"/>
        <v>NO APLICA</v>
      </c>
      <c r="BU220" s="4"/>
      <c r="BV220" s="4"/>
      <c r="BW220" s="4"/>
      <c r="BX220" s="6"/>
      <c r="BY220" s="5" t="str">
        <f t="shared" si="722"/>
        <v>NO APLICA</v>
      </c>
      <c r="BZ220" s="4"/>
      <c r="CA220" s="4"/>
      <c r="CB220" s="4"/>
      <c r="CC220" s="6"/>
      <c r="CD220" s="5" t="str">
        <f t="shared" si="723"/>
        <v>NO APLICA</v>
      </c>
      <c r="CE220" s="6"/>
      <c r="CF220" s="6"/>
      <c r="CG220" s="6"/>
      <c r="CH220" s="6"/>
      <c r="CI220" s="5" t="str">
        <f t="shared" si="789"/>
        <v>NO APLICA</v>
      </c>
      <c r="CJ220" s="4"/>
      <c r="CK220" s="4"/>
      <c r="CL220" s="4"/>
      <c r="CM220" s="6"/>
      <c r="CN220" s="5" t="str">
        <f t="shared" si="724"/>
        <v>NO APLICA</v>
      </c>
      <c r="CO220" s="4"/>
      <c r="CP220" s="4"/>
      <c r="CQ220" s="4"/>
      <c r="CR220" s="6"/>
      <c r="CS220" s="5" t="str">
        <f t="shared" si="725"/>
        <v>NO APLICA</v>
      </c>
      <c r="CT220" s="4"/>
      <c r="CU220" s="4"/>
      <c r="CV220" s="4"/>
      <c r="CW220" s="6"/>
      <c r="CX220" s="5" t="str">
        <f t="shared" si="726"/>
        <v>NO APLICA</v>
      </c>
      <c r="CY220" s="4"/>
      <c r="CZ220" s="4"/>
      <c r="DA220" s="4"/>
      <c r="DB220" s="6"/>
      <c r="DC220" s="5" t="str">
        <f t="shared" si="727"/>
        <v>NO APLICA</v>
      </c>
      <c r="DD220" s="4"/>
      <c r="DE220" s="4"/>
      <c r="DF220" s="4"/>
      <c r="DG220" s="6"/>
      <c r="DH220" s="5" t="str">
        <f t="shared" si="728"/>
        <v>NO APLICA</v>
      </c>
      <c r="DI220" s="4"/>
      <c r="DJ220" s="4"/>
      <c r="DK220" s="4"/>
      <c r="DL220" s="6"/>
      <c r="DM220" s="5" t="str">
        <f t="shared" si="729"/>
        <v>NO APLICA</v>
      </c>
      <c r="DN220" s="4"/>
      <c r="DO220" s="4"/>
      <c r="DP220" s="4"/>
      <c r="DQ220" s="6"/>
      <c r="DR220" s="5" t="str">
        <f t="shared" si="730"/>
        <v>NO APLICA</v>
      </c>
      <c r="DS220" s="4"/>
      <c r="DT220" s="4"/>
      <c r="DU220" s="4"/>
      <c r="DV220" s="6"/>
      <c r="DW220" s="5" t="str">
        <f t="shared" si="731"/>
        <v>NO APLICA</v>
      </c>
      <c r="DX220" s="4"/>
      <c r="DY220" s="4"/>
      <c r="DZ220" s="4"/>
      <c r="EA220" s="6"/>
      <c r="EB220" s="5" t="str">
        <f t="shared" si="732"/>
        <v>NO APLICA</v>
      </c>
      <c r="EC220" s="4"/>
      <c r="ED220" s="4"/>
      <c r="EE220" s="4"/>
      <c r="EF220" s="6"/>
      <c r="EG220" s="5" t="str">
        <f t="shared" si="733"/>
        <v>NO APLICA</v>
      </c>
      <c r="EH220" s="4"/>
      <c r="EI220" s="4"/>
      <c r="EJ220" s="4"/>
      <c r="EK220" s="8"/>
      <c r="EL220" s="5" t="str">
        <f t="shared" si="734"/>
        <v>NO APLICA</v>
      </c>
      <c r="EM220" s="4"/>
      <c r="EN220" s="4"/>
      <c r="EO220" s="4"/>
      <c r="EP220" s="8"/>
      <c r="EQ220" s="5" t="str">
        <f t="shared" si="735"/>
        <v>NO APLICA</v>
      </c>
      <c r="ER220" s="4"/>
      <c r="ES220" s="4"/>
      <c r="ET220" s="4"/>
      <c r="EU220" s="8"/>
      <c r="EV220" s="5" t="str">
        <f t="shared" si="736"/>
        <v>NO APLICA</v>
      </c>
      <c r="EW220" s="4"/>
      <c r="EX220" s="4"/>
      <c r="EY220" s="4"/>
      <c r="EZ220" s="6"/>
      <c r="FA220" s="5" t="str">
        <f t="shared" si="737"/>
        <v>NO APLICA</v>
      </c>
      <c r="FB220" s="4"/>
      <c r="FC220" s="4"/>
      <c r="FD220" s="4"/>
      <c r="FE220" s="6"/>
      <c r="FF220" s="5" t="str">
        <f t="shared" si="738"/>
        <v>NO APLICA</v>
      </c>
      <c r="FG220" s="4"/>
      <c r="FH220" s="4"/>
      <c r="FI220" s="4"/>
      <c r="FJ220" s="6"/>
      <c r="FK220" s="5" t="str">
        <f t="shared" si="739"/>
        <v>NO APLICA</v>
      </c>
      <c r="FL220" s="4"/>
      <c r="FM220" s="4"/>
      <c r="FN220" s="4"/>
      <c r="FO220" s="6"/>
      <c r="FP220" s="5" t="str">
        <f t="shared" si="740"/>
        <v>NO APLICA</v>
      </c>
      <c r="FQ220" s="4"/>
      <c r="FR220" s="4"/>
      <c r="FS220" s="4"/>
      <c r="FT220" s="6"/>
      <c r="FU220" s="5" t="str">
        <f t="shared" si="741"/>
        <v>NO APLICA</v>
      </c>
      <c r="FV220" s="4"/>
      <c r="FW220" s="4"/>
      <c r="FX220" s="4"/>
      <c r="FY220" s="6"/>
      <c r="FZ220" s="5" t="str">
        <f t="shared" si="742"/>
        <v>NO APLICA</v>
      </c>
      <c r="GA220" s="4"/>
      <c r="GB220" s="4"/>
      <c r="GC220" s="4"/>
      <c r="GD220" s="6"/>
      <c r="GE220" s="5" t="str">
        <f t="shared" si="743"/>
        <v>NO APLICA</v>
      </c>
      <c r="GF220" s="4"/>
      <c r="GG220" s="4"/>
      <c r="GH220" s="4"/>
      <c r="GI220" s="8"/>
      <c r="GJ220" s="5" t="str">
        <f t="shared" si="744"/>
        <v>NO APLICA</v>
      </c>
      <c r="GK220" s="4"/>
      <c r="GL220" s="6"/>
      <c r="GM220" s="6"/>
      <c r="GN220" s="6"/>
      <c r="GO220" s="5" t="str">
        <f t="shared" si="745"/>
        <v>NO APLICA</v>
      </c>
      <c r="GP220" s="4"/>
      <c r="GQ220" s="6"/>
      <c r="GR220" s="6"/>
      <c r="GS220" s="6"/>
      <c r="GT220" s="5" t="str">
        <f t="shared" si="624"/>
        <v>NO APLICA</v>
      </c>
      <c r="GU220" s="4"/>
      <c r="GV220" s="6"/>
      <c r="GW220" s="6"/>
      <c r="GX220" s="6"/>
      <c r="GY220" s="5" t="str">
        <f t="shared" si="625"/>
        <v>NO APLICA</v>
      </c>
      <c r="GZ220" s="6"/>
      <c r="HA220" s="6"/>
      <c r="HB220" s="6"/>
      <c r="HC220" s="6"/>
      <c r="HD220" s="5" t="str">
        <f t="shared" si="626"/>
        <v>NO APLICA</v>
      </c>
      <c r="HE220" s="6"/>
      <c r="HF220" s="6"/>
      <c r="HG220" s="4"/>
      <c r="HH220" s="8"/>
      <c r="HI220" s="5" t="str">
        <f t="shared" si="712"/>
        <v>NO APLICA</v>
      </c>
      <c r="HJ220" s="6"/>
      <c r="HK220" s="6"/>
      <c r="HL220" s="6"/>
      <c r="HM220" s="6"/>
      <c r="HN220" s="5" t="str">
        <f t="shared" si="708"/>
        <v>NO APLICA</v>
      </c>
      <c r="HO220" s="6"/>
      <c r="HP220" s="6"/>
      <c r="HQ220" s="6"/>
      <c r="HR220" s="6"/>
      <c r="HS220" s="5" t="str">
        <f t="shared" si="746"/>
        <v>NO APLICA</v>
      </c>
      <c r="HT220" s="6"/>
      <c r="HU220" s="6"/>
      <c r="HV220" s="6"/>
      <c r="HW220" s="6"/>
      <c r="HX220" s="5" t="str">
        <f t="shared" si="747"/>
        <v>NO APLICA</v>
      </c>
      <c r="HY220" s="6"/>
      <c r="HZ220" s="6"/>
      <c r="IA220" s="6"/>
      <c r="IB220" s="6"/>
      <c r="IC220" s="5" t="str">
        <f t="shared" si="748"/>
        <v>NO APLICA</v>
      </c>
      <c r="ID220" s="6"/>
      <c r="IE220" s="6"/>
      <c r="IF220" s="6"/>
      <c r="IG220" s="6"/>
      <c r="IH220" s="5" t="str">
        <f t="shared" si="749"/>
        <v>NO APLICA</v>
      </c>
      <c r="II220" s="6"/>
      <c r="IJ220" s="6"/>
      <c r="IK220" s="6"/>
      <c r="IL220" s="6"/>
      <c r="IM220" s="5" t="str">
        <f t="shared" si="750"/>
        <v>NO APLICA</v>
      </c>
      <c r="IN220" s="6"/>
      <c r="IO220" s="6"/>
      <c r="IP220" s="6"/>
      <c r="IQ220" s="6"/>
      <c r="IR220" s="5" t="str">
        <f t="shared" si="751"/>
        <v>NO APLICA</v>
      </c>
      <c r="IS220" s="6"/>
      <c r="IT220" s="6"/>
      <c r="IU220" s="6"/>
      <c r="IV220" s="6"/>
      <c r="IW220" s="5" t="str">
        <f t="shared" si="752"/>
        <v>NO APLICA</v>
      </c>
      <c r="IX220" s="6"/>
      <c r="IY220" s="6"/>
      <c r="IZ220" s="6"/>
      <c r="JA220" s="6"/>
      <c r="JB220" s="5" t="str">
        <f t="shared" si="753"/>
        <v>NO APLICA</v>
      </c>
      <c r="JC220" s="6"/>
      <c r="JD220" s="6"/>
      <c r="JE220" s="6"/>
      <c r="JF220" s="6"/>
      <c r="JG220" s="5" t="str">
        <f t="shared" si="754"/>
        <v>NO APLICA</v>
      </c>
      <c r="JH220" s="6"/>
      <c r="JI220" s="6"/>
      <c r="JJ220" s="6"/>
      <c r="JK220" s="6"/>
      <c r="JL220" s="5" t="str">
        <f t="shared" si="755"/>
        <v>NO APLICA</v>
      </c>
      <c r="JM220" s="6"/>
      <c r="JN220" s="6"/>
      <c r="JO220" s="6"/>
      <c r="JP220" s="6"/>
      <c r="JQ220" s="5" t="str">
        <f t="shared" si="756"/>
        <v>NO APLICA</v>
      </c>
      <c r="JR220" s="6"/>
      <c r="JS220" s="6"/>
      <c r="JT220" s="6"/>
      <c r="JU220" s="6"/>
      <c r="JV220" s="5" t="str">
        <f t="shared" si="757"/>
        <v>NO APLICA</v>
      </c>
      <c r="JW220" s="5"/>
      <c r="JX220" s="5"/>
      <c r="JY220" s="5"/>
      <c r="JZ220" s="5"/>
      <c r="KA220" s="5" t="str">
        <f t="shared" si="758"/>
        <v>NO APLICA</v>
      </c>
      <c r="KB220" s="5"/>
      <c r="KC220" s="6"/>
      <c r="KD220" s="6"/>
      <c r="KE220" s="6"/>
      <c r="KF220" s="5" t="str">
        <f t="shared" si="759"/>
        <v>NO APLICA</v>
      </c>
      <c r="KG220" s="5"/>
      <c r="KH220" s="6"/>
      <c r="KI220" s="6"/>
      <c r="KJ220" s="6"/>
      <c r="KK220" s="5" t="str">
        <f t="shared" si="779"/>
        <v>NO APLICA</v>
      </c>
      <c r="KL220" s="5"/>
      <c r="KM220" s="6"/>
      <c r="KN220" s="6"/>
      <c r="KO220" s="6"/>
      <c r="KP220" s="5" t="str">
        <f t="shared" si="760"/>
        <v>NO APLICA</v>
      </c>
      <c r="KQ220" s="5"/>
      <c r="KR220" s="6"/>
      <c r="KS220" s="6"/>
      <c r="KT220" s="6"/>
      <c r="KU220" s="5" t="str">
        <f t="shared" si="780"/>
        <v>NO APLICA</v>
      </c>
      <c r="KV220" s="6"/>
      <c r="KW220" s="6"/>
      <c r="KX220" s="6"/>
      <c r="KY220" s="6"/>
      <c r="KZ220" s="5" t="str">
        <f t="shared" si="786"/>
        <v>NO APLICA</v>
      </c>
      <c r="LA220" s="5"/>
      <c r="LB220" s="6"/>
      <c r="LC220" s="6"/>
      <c r="LD220" s="6"/>
      <c r="LE220" s="5" t="str">
        <f t="shared" si="781"/>
        <v>NO APLICA</v>
      </c>
      <c r="LF220" s="6"/>
      <c r="LG220" s="6"/>
      <c r="LH220" s="6"/>
      <c r="LI220" s="6"/>
      <c r="LJ220" s="5" t="str">
        <f t="shared" si="614"/>
        <v>NO APLICA</v>
      </c>
      <c r="LK220" s="5"/>
      <c r="LL220" s="5"/>
      <c r="LM220" s="4"/>
      <c r="LN220" s="8"/>
      <c r="LO220" s="5" t="str">
        <f t="shared" si="787"/>
        <v>NO APLICA</v>
      </c>
      <c r="LP220" s="6"/>
      <c r="LQ220" s="6"/>
      <c r="LR220" s="6"/>
      <c r="LS220" s="6"/>
      <c r="LT220" s="5" t="str">
        <f t="shared" si="782"/>
        <v>NO APLICA</v>
      </c>
      <c r="LU220" s="6"/>
      <c r="LV220" s="6"/>
      <c r="LW220" s="6"/>
      <c r="LX220" s="6"/>
      <c r="LY220" s="5" t="str">
        <f t="shared" si="783"/>
        <v>NO APLICA</v>
      </c>
      <c r="LZ220" s="6"/>
      <c r="MA220" s="6"/>
      <c r="MB220" s="6"/>
      <c r="MC220" s="6"/>
      <c r="MD220" s="5" t="str">
        <f t="shared" si="784"/>
        <v>NO APLICA</v>
      </c>
      <c r="ME220" s="6"/>
      <c r="MF220" s="6"/>
      <c r="MG220" s="6"/>
      <c r="MH220" s="6"/>
      <c r="MI220" s="5" t="str">
        <f t="shared" si="761"/>
        <v>NO APLICA</v>
      </c>
      <c r="MJ220" s="6"/>
      <c r="MK220" s="6"/>
      <c r="ML220" s="6"/>
      <c r="MM220" s="6"/>
      <c r="MN220" s="5" t="str">
        <f t="shared" si="762"/>
        <v>NO APLICA</v>
      </c>
      <c r="MO220" s="5"/>
      <c r="MP220" s="6"/>
      <c r="MQ220" s="6"/>
      <c r="MR220" s="6"/>
      <c r="MS220" s="5" t="str">
        <f t="shared" si="763"/>
        <v>NO APLICA</v>
      </c>
      <c r="MT220" s="5"/>
      <c r="MU220" s="6"/>
      <c r="MV220" s="6"/>
      <c r="MW220" s="6"/>
      <c r="MX220" s="5" t="str">
        <f t="shared" si="764"/>
        <v>NO APLICA</v>
      </c>
      <c r="MY220" s="6"/>
      <c r="MZ220" s="6"/>
      <c r="NA220" s="6"/>
      <c r="NB220" s="6"/>
      <c r="NC220" s="5" t="str">
        <f t="shared" si="765"/>
        <v>NO APLICA</v>
      </c>
      <c r="ND220" s="6"/>
      <c r="NE220" s="6"/>
      <c r="NF220" s="6"/>
      <c r="NG220" s="6"/>
      <c r="NH220" s="5" t="str">
        <f t="shared" si="766"/>
        <v>NO APLICA</v>
      </c>
      <c r="NI220" s="6"/>
      <c r="NJ220" s="6"/>
      <c r="NK220" s="6"/>
      <c r="NL220" s="6"/>
      <c r="NM220" s="5" t="str">
        <f t="shared" si="767"/>
        <v>NO APLICA</v>
      </c>
      <c r="NN220" s="6"/>
      <c r="NO220" s="6"/>
      <c r="NP220" s="6"/>
      <c r="NQ220" s="6"/>
      <c r="NR220" s="5" t="str">
        <f t="shared" si="768"/>
        <v>NO APLICA</v>
      </c>
      <c r="NS220" s="6"/>
      <c r="NT220" s="6"/>
      <c r="NU220" s="6"/>
      <c r="NV220" s="6"/>
      <c r="NW220" s="5" t="str">
        <f t="shared" si="769"/>
        <v>NO APLICA</v>
      </c>
      <c r="NX220" s="6"/>
      <c r="NY220" s="6"/>
      <c r="NZ220" s="6"/>
      <c r="OA220" s="6"/>
      <c r="OB220" s="5" t="str">
        <f t="shared" si="770"/>
        <v>NO APLICA</v>
      </c>
      <c r="OC220" s="6"/>
      <c r="OD220" s="6"/>
      <c r="OE220" s="6"/>
      <c r="OF220" s="6"/>
      <c r="OG220" s="5" t="str">
        <f t="shared" si="771"/>
        <v>NO APLICA</v>
      </c>
      <c r="OH220" s="6"/>
      <c r="OI220" s="6"/>
      <c r="OJ220" s="6"/>
      <c r="OK220" s="6"/>
      <c r="OL220" s="5" t="str">
        <f t="shared" si="772"/>
        <v>NO APLICA</v>
      </c>
      <c r="OM220" s="6"/>
      <c r="ON220" s="6"/>
      <c r="OO220" s="6"/>
      <c r="OP220" s="6"/>
      <c r="OQ220" s="5" t="str">
        <f t="shared" si="773"/>
        <v>NO APLICA</v>
      </c>
      <c r="OR220" s="6"/>
      <c r="OS220" s="6"/>
      <c r="OT220" s="6"/>
      <c r="OU220" s="6"/>
      <c r="OV220" s="5" t="str">
        <f t="shared" si="77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75"/>
        <v>NO APLICA</v>
      </c>
      <c r="PG220" s="6"/>
      <c r="PH220" s="6"/>
      <c r="PI220" s="6"/>
      <c r="PJ220" s="6"/>
      <c r="PK220" s="5" t="str">
        <f t="shared" si="776"/>
        <v>NO APLICA</v>
      </c>
      <c r="PL220" s="5"/>
      <c r="PM220" s="6"/>
      <c r="PN220" s="6"/>
      <c r="PO220" s="6"/>
      <c r="PP220" s="5" t="str">
        <f t="shared" si="785"/>
        <v>NO APLICA</v>
      </c>
      <c r="PQ220" s="6"/>
      <c r="PR220" s="6"/>
      <c r="PS220" s="6"/>
      <c r="PT220" s="6"/>
      <c r="PU220" s="5" t="str">
        <f t="shared" si="777"/>
        <v>NO APLICA</v>
      </c>
      <c r="PV220" s="5"/>
      <c r="PW220" s="6"/>
      <c r="PX220" s="6"/>
      <c r="PY220" s="6"/>
      <c r="PZ220" s="5" t="str">
        <f t="shared" si="77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667</v>
      </c>
      <c r="D221" s="30" t="s">
        <v>616</v>
      </c>
      <c r="E221" s="31" t="s">
        <v>668</v>
      </c>
      <c r="F221" s="6"/>
      <c r="G221" s="6"/>
      <c r="H221" s="6"/>
      <c r="I221" s="6"/>
      <c r="J221" s="5" t="str">
        <f t="shared" si="710"/>
        <v>NO APLICA</v>
      </c>
      <c r="K221" s="3"/>
      <c r="L221" s="4"/>
      <c r="M221" s="6"/>
      <c r="N221" s="6"/>
      <c r="O221" s="5" t="str">
        <f t="shared" si="713"/>
        <v>NO APLICA</v>
      </c>
      <c r="P221" s="6"/>
      <c r="Q221" s="6"/>
      <c r="R221" s="6"/>
      <c r="S221" s="6"/>
      <c r="T221" s="5" t="str">
        <f t="shared" si="711"/>
        <v>NO APLICA</v>
      </c>
      <c r="U221" s="5"/>
      <c r="V221" s="6" t="s">
        <v>669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14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8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24"/>
        <v>NO APLICA</v>
      </c>
      <c r="GU221" s="4"/>
      <c r="GV221" s="6"/>
      <c r="GW221" s="6"/>
      <c r="GX221" s="6"/>
      <c r="GY221" s="5" t="str">
        <f t="shared" si="625"/>
        <v>NO APLICA</v>
      </c>
      <c r="GZ221" s="6"/>
      <c r="HA221" s="6"/>
      <c r="HB221" s="6"/>
      <c r="HC221" s="6"/>
      <c r="HD221" s="5" t="str">
        <f t="shared" si="626"/>
        <v>NO APLICA</v>
      </c>
      <c r="HE221" s="6"/>
      <c r="HF221" s="6"/>
      <c r="HG221" s="4"/>
      <c r="HH221" s="8"/>
      <c r="HI221" s="5" t="str">
        <f t="shared" si="712"/>
        <v>NO APLICA</v>
      </c>
      <c r="HJ221" s="6"/>
      <c r="HK221" s="6"/>
      <c r="HL221" s="6"/>
      <c r="HM221" s="6"/>
      <c r="HN221" s="5" t="str">
        <f t="shared" si="708"/>
        <v>NO APLICA</v>
      </c>
      <c r="HO221" s="6"/>
      <c r="HP221" s="6"/>
      <c r="HQ221" s="6"/>
      <c r="HR221" s="6"/>
      <c r="HS221" s="5" t="str">
        <f t="shared" si="746"/>
        <v>NO APLICA</v>
      </c>
      <c r="HT221" s="6"/>
      <c r="HU221" s="6"/>
      <c r="HV221" s="6"/>
      <c r="HW221" s="6"/>
      <c r="HX221" s="5" t="str">
        <f t="shared" si="747"/>
        <v>NO APLICA</v>
      </c>
      <c r="HY221" s="6"/>
      <c r="HZ221" s="6"/>
      <c r="IA221" s="6"/>
      <c r="IB221" s="6"/>
      <c r="IC221" s="5" t="str">
        <f t="shared" si="748"/>
        <v>NO APLICA</v>
      </c>
      <c r="ID221" s="6"/>
      <c r="IE221" s="6"/>
      <c r="IF221" s="6"/>
      <c r="IG221" s="6"/>
      <c r="IH221" s="5" t="str">
        <f t="shared" si="749"/>
        <v>NO APLICA</v>
      </c>
      <c r="II221" s="6"/>
      <c r="IJ221" s="6"/>
      <c r="IK221" s="6"/>
      <c r="IL221" s="6"/>
      <c r="IM221" s="5" t="str">
        <f t="shared" si="750"/>
        <v>NO APLICA</v>
      </c>
      <c r="IN221" s="6"/>
      <c r="IO221" s="6"/>
      <c r="IP221" s="6"/>
      <c r="IQ221" s="6"/>
      <c r="IR221" s="5" t="str">
        <f t="shared" si="751"/>
        <v>NO APLICA</v>
      </c>
      <c r="IS221" s="6"/>
      <c r="IT221" s="6"/>
      <c r="IU221" s="6"/>
      <c r="IV221" s="6"/>
      <c r="IW221" s="5" t="str">
        <f t="shared" si="752"/>
        <v>NO APLICA</v>
      </c>
      <c r="IX221" s="6"/>
      <c r="IY221" s="6"/>
      <c r="IZ221" s="6"/>
      <c r="JA221" s="6"/>
      <c r="JB221" s="5" t="str">
        <f t="shared" si="753"/>
        <v>NO APLICA</v>
      </c>
      <c r="JC221" s="6"/>
      <c r="JD221" s="6"/>
      <c r="JE221" s="6"/>
      <c r="JF221" s="6"/>
      <c r="JG221" s="5" t="str">
        <f t="shared" si="754"/>
        <v>NO APLICA</v>
      </c>
      <c r="JH221" s="6"/>
      <c r="JI221" s="6"/>
      <c r="JJ221" s="6"/>
      <c r="JK221" s="6"/>
      <c r="JL221" s="5" t="str">
        <f t="shared" si="755"/>
        <v>NO APLICA</v>
      </c>
      <c r="JM221" s="6"/>
      <c r="JN221" s="6"/>
      <c r="JO221" s="6"/>
      <c r="JP221" s="6"/>
      <c r="JQ221" s="5" t="str">
        <f t="shared" si="756"/>
        <v>NO APLICA</v>
      </c>
      <c r="JR221" s="6"/>
      <c r="JS221" s="6"/>
      <c r="JT221" s="6"/>
      <c r="JU221" s="6"/>
      <c r="JV221" s="5" t="str">
        <f t="shared" si="757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59"/>
        <v>NO APLICA</v>
      </c>
      <c r="KG221" s="5"/>
      <c r="KH221" s="6"/>
      <c r="KI221" s="6"/>
      <c r="KJ221" s="6"/>
      <c r="KK221" s="5" t="str">
        <f t="shared" si="779"/>
        <v>NO APLICA</v>
      </c>
      <c r="KL221" s="5"/>
      <c r="KM221" s="6"/>
      <c r="KN221" s="6"/>
      <c r="KO221" s="6"/>
      <c r="KP221" s="5" t="str">
        <f t="shared" si="760"/>
        <v>NO APLICA</v>
      </c>
      <c r="KQ221" s="5"/>
      <c r="KR221" s="6"/>
      <c r="KS221" s="6"/>
      <c r="KT221" s="6"/>
      <c r="KU221" s="5" t="str">
        <f t="shared" si="780"/>
        <v>NO APLICA</v>
      </c>
      <c r="KV221" s="6"/>
      <c r="KW221" s="6"/>
      <c r="KX221" s="6"/>
      <c r="KY221" s="6"/>
      <c r="KZ221" s="5" t="str">
        <f t="shared" si="786"/>
        <v>NO APLICA</v>
      </c>
      <c r="LA221" s="5"/>
      <c r="LB221" s="6"/>
      <c r="LC221" s="6"/>
      <c r="LD221" s="6"/>
      <c r="LE221" s="5" t="str">
        <f t="shared" si="781"/>
        <v>NO APLICA</v>
      </c>
      <c r="LF221" s="6"/>
      <c r="LG221" s="6"/>
      <c r="LH221" s="6"/>
      <c r="LI221" s="6"/>
      <c r="LJ221" s="5" t="str">
        <f t="shared" si="614"/>
        <v>NO APLICA</v>
      </c>
      <c r="LK221" s="5"/>
      <c r="LL221" s="5"/>
      <c r="LM221" s="4"/>
      <c r="LN221" s="8"/>
      <c r="LO221" s="5" t="str">
        <f t="shared" si="787"/>
        <v>NO APLICA</v>
      </c>
      <c r="LP221" s="6"/>
      <c r="LQ221" s="6"/>
      <c r="LR221" s="6"/>
      <c r="LS221" s="6"/>
      <c r="LT221" s="5" t="str">
        <f t="shared" si="782"/>
        <v>NO APLICA</v>
      </c>
      <c r="LU221" s="6"/>
      <c r="LV221" s="6"/>
      <c r="LW221" s="6"/>
      <c r="LX221" s="6"/>
      <c r="LY221" s="5" t="str">
        <f t="shared" si="783"/>
        <v>NO APLICA</v>
      </c>
      <c r="LZ221" s="6"/>
      <c r="MA221" s="6"/>
      <c r="MB221" s="6"/>
      <c r="MC221" s="6"/>
      <c r="MD221" s="5" t="str">
        <f t="shared" si="784"/>
        <v>NO APLICA</v>
      </c>
      <c r="ME221" s="6"/>
      <c r="MF221" s="6"/>
      <c r="MG221" s="6"/>
      <c r="MH221" s="6"/>
      <c r="MI221" s="5" t="str">
        <f t="shared" si="761"/>
        <v>NO APLICA</v>
      </c>
      <c r="MJ221" s="6"/>
      <c r="MK221" s="6"/>
      <c r="ML221" s="6"/>
      <c r="MM221" s="6"/>
      <c r="MN221" s="5" t="str">
        <f t="shared" si="762"/>
        <v>NO APLICA</v>
      </c>
      <c r="MO221" s="5"/>
      <c r="MP221" s="6"/>
      <c r="MQ221" s="6"/>
      <c r="MR221" s="6"/>
      <c r="MS221" s="5" t="str">
        <f t="shared" si="763"/>
        <v>NO APLICA</v>
      </c>
      <c r="MT221" s="5"/>
      <c r="MU221" s="6"/>
      <c r="MV221" s="6"/>
      <c r="MW221" s="6"/>
      <c r="MX221" s="5" t="str">
        <f t="shared" si="764"/>
        <v>NO APLICA</v>
      </c>
      <c r="MY221" s="6"/>
      <c r="MZ221" s="6"/>
      <c r="NA221" s="6"/>
      <c r="NB221" s="6"/>
      <c r="NC221" s="5" t="str">
        <f t="shared" si="765"/>
        <v>NO APLICA</v>
      </c>
      <c r="ND221" s="6"/>
      <c r="NE221" s="6"/>
      <c r="NF221" s="6"/>
      <c r="NG221" s="6"/>
      <c r="NH221" s="5" t="str">
        <f t="shared" si="766"/>
        <v>NO APLICA</v>
      </c>
      <c r="NI221" s="6"/>
      <c r="NJ221" s="6"/>
      <c r="NK221" s="6"/>
      <c r="NL221" s="6"/>
      <c r="NM221" s="5" t="str">
        <f t="shared" si="767"/>
        <v>NO APLICA</v>
      </c>
      <c r="NN221" s="6"/>
      <c r="NO221" s="6"/>
      <c r="NP221" s="6"/>
      <c r="NQ221" s="6"/>
      <c r="NR221" s="5" t="str">
        <f t="shared" si="768"/>
        <v>NO APLICA</v>
      </c>
      <c r="NS221" s="6"/>
      <c r="NT221" s="6"/>
      <c r="NU221" s="6"/>
      <c r="NV221" s="6"/>
      <c r="NW221" s="5" t="str">
        <f t="shared" si="769"/>
        <v>NO APLICA</v>
      </c>
      <c r="NX221" s="6"/>
      <c r="NY221" s="6"/>
      <c r="NZ221" s="6"/>
      <c r="OA221" s="6"/>
      <c r="OB221" s="5" t="str">
        <f t="shared" si="770"/>
        <v>NO APLICA</v>
      </c>
      <c r="OC221" s="6"/>
      <c r="OD221" s="6"/>
      <c r="OE221" s="6"/>
      <c r="OF221" s="6"/>
      <c r="OG221" s="5" t="str">
        <f t="shared" si="771"/>
        <v>NO APLICA</v>
      </c>
      <c r="OH221" s="6"/>
      <c r="OI221" s="6"/>
      <c r="OJ221" s="6"/>
      <c r="OK221" s="6"/>
      <c r="OL221" s="5" t="str">
        <f t="shared" si="772"/>
        <v>NO APLICA</v>
      </c>
      <c r="OM221" s="6"/>
      <c r="ON221" s="6"/>
      <c r="OO221" s="6"/>
      <c r="OP221" s="6"/>
      <c r="OQ221" s="5" t="str">
        <f t="shared" si="773"/>
        <v>NO APLICA</v>
      </c>
      <c r="OR221" s="4"/>
      <c r="OS221" s="4"/>
      <c r="OT221" s="4"/>
      <c r="OU221" s="8"/>
      <c r="OV221" s="5" t="str">
        <f t="shared" si="77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7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670</v>
      </c>
      <c r="D222" s="30" t="s">
        <v>628</v>
      </c>
      <c r="E222" s="31" t="s">
        <v>629</v>
      </c>
      <c r="F222" s="6"/>
      <c r="G222" s="6"/>
      <c r="H222" s="6"/>
      <c r="I222" s="6"/>
      <c r="J222" s="5" t="str">
        <f t="shared" si="710"/>
        <v>NO APLICA</v>
      </c>
      <c r="K222" s="6"/>
      <c r="L222" s="6"/>
      <c r="M222" s="6"/>
      <c r="N222" s="6"/>
      <c r="O222" s="5" t="str">
        <f t="shared" si="713"/>
        <v>NO APLICA</v>
      </c>
      <c r="P222" s="6"/>
      <c r="Q222" s="6"/>
      <c r="R222" s="6"/>
      <c r="S222" s="6"/>
      <c r="T222" s="5" t="str">
        <f t="shared" si="711"/>
        <v>NO APLICA</v>
      </c>
      <c r="U222" s="5"/>
      <c r="V222" s="6"/>
      <c r="W222" s="4"/>
      <c r="X222" s="4"/>
      <c r="Y222" s="8"/>
      <c r="Z222" s="5" t="str">
        <f t="shared" si="619"/>
        <v>NO APLICA</v>
      </c>
      <c r="AA222" s="5"/>
      <c r="AB222" s="6"/>
      <c r="AC222" s="6"/>
      <c r="AD222" s="6"/>
      <c r="AE222" s="6"/>
      <c r="AF222" s="5" t="str">
        <f t="shared" si="714"/>
        <v>NO APLICA</v>
      </c>
      <c r="AG222" s="4"/>
      <c r="AH222" s="4"/>
      <c r="AI222" s="4"/>
      <c r="AJ222" s="6"/>
      <c r="AK222" s="5" t="str">
        <f t="shared" si="616"/>
        <v>NO APLICA</v>
      </c>
      <c r="AL222" s="4"/>
      <c r="AM222" s="4"/>
      <c r="AN222" s="4"/>
      <c r="AO222" s="6"/>
      <c r="AP222" s="5" t="str">
        <f t="shared" si="715"/>
        <v>NO APLICA</v>
      </c>
      <c r="AQ222" s="4"/>
      <c r="AR222" s="4"/>
      <c r="AS222" s="4"/>
      <c r="AT222" s="6"/>
      <c r="AU222" s="5" t="str">
        <f t="shared" si="716"/>
        <v>NO APLICA</v>
      </c>
      <c r="AV222" s="4"/>
      <c r="AW222" s="4"/>
      <c r="AX222" s="4"/>
      <c r="AY222" s="6"/>
      <c r="AZ222" s="5" t="str">
        <f t="shared" si="717"/>
        <v>NO APLICA</v>
      </c>
      <c r="BA222" s="4"/>
      <c r="BB222" s="4"/>
      <c r="BC222" s="4"/>
      <c r="BD222" s="6"/>
      <c r="BE222" s="5" t="str">
        <f t="shared" si="718"/>
        <v>NO APLICA</v>
      </c>
      <c r="BF222" s="4"/>
      <c r="BG222" s="4"/>
      <c r="BH222" s="4"/>
      <c r="BI222" s="6"/>
      <c r="BJ222" s="5" t="str">
        <f t="shared" si="719"/>
        <v>NO APLICA</v>
      </c>
      <c r="BK222" s="4"/>
      <c r="BL222" s="4"/>
      <c r="BM222" s="4"/>
      <c r="BN222" s="6"/>
      <c r="BO222" s="5" t="str">
        <f t="shared" si="720"/>
        <v>NO APLICA</v>
      </c>
      <c r="BP222" s="4"/>
      <c r="BQ222" s="4"/>
      <c r="BR222" s="4"/>
      <c r="BS222" s="6"/>
      <c r="BT222" s="5" t="str">
        <f t="shared" si="721"/>
        <v>NO APLICA</v>
      </c>
      <c r="BU222" s="4"/>
      <c r="BV222" s="4"/>
      <c r="BW222" s="4"/>
      <c r="BX222" s="6"/>
      <c r="BY222" s="5" t="str">
        <f t="shared" si="722"/>
        <v>NO APLICA</v>
      </c>
      <c r="BZ222" s="4"/>
      <c r="CA222" s="4"/>
      <c r="CB222" s="4"/>
      <c r="CC222" s="6"/>
      <c r="CD222" s="5" t="str">
        <f t="shared" si="723"/>
        <v>NO APLICA</v>
      </c>
      <c r="CE222" s="6"/>
      <c r="CF222" s="6"/>
      <c r="CG222" s="6"/>
      <c r="CH222" s="6"/>
      <c r="CI222" s="5" t="str">
        <f t="shared" si="789"/>
        <v>NO APLICA</v>
      </c>
      <c r="CJ222" s="4"/>
      <c r="CK222" s="4"/>
      <c r="CL222" s="4"/>
      <c r="CM222" s="6"/>
      <c r="CN222" s="5" t="str">
        <f t="shared" si="724"/>
        <v>NO APLICA</v>
      </c>
      <c r="CO222" s="4"/>
      <c r="CP222" s="4"/>
      <c r="CQ222" s="4"/>
      <c r="CR222" s="6"/>
      <c r="CS222" s="5" t="str">
        <f t="shared" si="725"/>
        <v>NO APLICA</v>
      </c>
      <c r="CT222" s="4"/>
      <c r="CU222" s="4"/>
      <c r="CV222" s="4"/>
      <c r="CW222" s="6"/>
      <c r="CX222" s="5" t="str">
        <f t="shared" si="726"/>
        <v>NO APLICA</v>
      </c>
      <c r="CY222" s="4"/>
      <c r="CZ222" s="4"/>
      <c r="DA222" s="4"/>
      <c r="DB222" s="6"/>
      <c r="DC222" s="5" t="str">
        <f t="shared" si="727"/>
        <v>NO APLICA</v>
      </c>
      <c r="DD222" s="4"/>
      <c r="DE222" s="4"/>
      <c r="DF222" s="4"/>
      <c r="DG222" s="6"/>
      <c r="DH222" s="5" t="str">
        <f t="shared" si="728"/>
        <v>NO APLICA</v>
      </c>
      <c r="DI222" s="4"/>
      <c r="DJ222" s="4"/>
      <c r="DK222" s="4"/>
      <c r="DL222" s="6"/>
      <c r="DM222" s="5" t="str">
        <f t="shared" si="729"/>
        <v>NO APLICA</v>
      </c>
      <c r="DN222" s="4"/>
      <c r="DO222" s="4"/>
      <c r="DP222" s="4"/>
      <c r="DQ222" s="6"/>
      <c r="DR222" s="5" t="str">
        <f t="shared" si="730"/>
        <v>NO APLICA</v>
      </c>
      <c r="DS222" s="4"/>
      <c r="DT222" s="4"/>
      <c r="DU222" s="4"/>
      <c r="DV222" s="6"/>
      <c r="DW222" s="5" t="str">
        <f t="shared" si="731"/>
        <v>NO APLICA</v>
      </c>
      <c r="DX222" s="4"/>
      <c r="DY222" s="4"/>
      <c r="DZ222" s="4"/>
      <c r="EA222" s="6"/>
      <c r="EB222" s="5" t="str">
        <f t="shared" si="732"/>
        <v>NO APLICA</v>
      </c>
      <c r="EC222" s="4"/>
      <c r="ED222" s="4"/>
      <c r="EE222" s="4"/>
      <c r="EF222" s="6"/>
      <c r="EG222" s="5" t="str">
        <f t="shared" si="733"/>
        <v>NO APLICA</v>
      </c>
      <c r="EH222" s="4"/>
      <c r="EI222" s="4"/>
      <c r="EJ222" s="4"/>
      <c r="EK222" s="8"/>
      <c r="EL222" s="5" t="str">
        <f t="shared" si="734"/>
        <v>NO APLICA</v>
      </c>
      <c r="EM222" s="4"/>
      <c r="EN222" s="4"/>
      <c r="EO222" s="4"/>
      <c r="EP222" s="8"/>
      <c r="EQ222" s="5" t="str">
        <f t="shared" si="735"/>
        <v>NO APLICA</v>
      </c>
      <c r="ER222" s="4"/>
      <c r="ES222" s="4"/>
      <c r="ET222" s="4"/>
      <c r="EU222" s="8"/>
      <c r="EV222" s="5" t="str">
        <f t="shared" si="736"/>
        <v>NO APLICA</v>
      </c>
      <c r="EW222" s="4"/>
      <c r="EX222" s="4"/>
      <c r="EY222" s="4"/>
      <c r="EZ222" s="6"/>
      <c r="FA222" s="5" t="str">
        <f t="shared" si="737"/>
        <v>NO APLICA</v>
      </c>
      <c r="FB222" s="4"/>
      <c r="FC222" s="4"/>
      <c r="FD222" s="4"/>
      <c r="FE222" s="6"/>
      <c r="FF222" s="5" t="str">
        <f t="shared" si="738"/>
        <v>NO APLICA</v>
      </c>
      <c r="FG222" s="4"/>
      <c r="FH222" s="4"/>
      <c r="FI222" s="4"/>
      <c r="FJ222" s="6"/>
      <c r="FK222" s="5" t="str">
        <f t="shared" si="739"/>
        <v>NO APLICA</v>
      </c>
      <c r="FL222" s="4"/>
      <c r="FM222" s="4"/>
      <c r="FN222" s="4"/>
      <c r="FO222" s="6"/>
      <c r="FP222" s="5" t="str">
        <f t="shared" si="740"/>
        <v>NO APLICA</v>
      </c>
      <c r="FQ222" s="4"/>
      <c r="FR222" s="4"/>
      <c r="FS222" s="4"/>
      <c r="FT222" s="6"/>
      <c r="FU222" s="5" t="str">
        <f t="shared" si="741"/>
        <v>NO APLICA</v>
      </c>
      <c r="FV222" s="4"/>
      <c r="FW222" s="4"/>
      <c r="FX222" s="4"/>
      <c r="FY222" s="6"/>
      <c r="FZ222" s="5" t="str">
        <f t="shared" si="742"/>
        <v>NO APLICA</v>
      </c>
      <c r="GA222" s="4"/>
      <c r="GB222" s="4"/>
      <c r="GC222" s="4"/>
      <c r="GD222" s="6"/>
      <c r="GE222" s="5" t="str">
        <f t="shared" si="743"/>
        <v>NO APLICA</v>
      </c>
      <c r="GF222" s="4"/>
      <c r="GG222" s="4"/>
      <c r="GH222" s="4"/>
      <c r="GI222" s="8"/>
      <c r="GJ222" s="5" t="str">
        <f t="shared" si="744"/>
        <v>NO APLICA</v>
      </c>
      <c r="GK222" s="4"/>
      <c r="GL222" s="6"/>
      <c r="GM222" s="6"/>
      <c r="GN222" s="6"/>
      <c r="GO222" s="5" t="str">
        <f t="shared" si="745"/>
        <v>NO APLICA</v>
      </c>
      <c r="GP222" s="4"/>
      <c r="GQ222" s="6"/>
      <c r="GR222" s="6"/>
      <c r="GS222" s="6"/>
      <c r="GT222" s="5" t="str">
        <f t="shared" si="624"/>
        <v>NO APLICA</v>
      </c>
      <c r="GU222" s="4"/>
      <c r="GV222" s="6"/>
      <c r="GW222" s="6"/>
      <c r="GX222" s="6"/>
      <c r="GY222" s="5" t="str">
        <f t="shared" si="625"/>
        <v>NO APLICA</v>
      </c>
      <c r="GZ222" s="6"/>
      <c r="HA222" s="6"/>
      <c r="HB222" s="6"/>
      <c r="HC222" s="6"/>
      <c r="HD222" s="5" t="str">
        <f t="shared" si="626"/>
        <v>NO APLICA</v>
      </c>
      <c r="HE222" s="6"/>
      <c r="HF222" s="6"/>
      <c r="HG222" s="4"/>
      <c r="HH222" s="8"/>
      <c r="HI222" s="5" t="str">
        <f t="shared" si="712"/>
        <v>NO APLICA</v>
      </c>
      <c r="HJ222" s="6"/>
      <c r="HK222" s="6"/>
      <c r="HL222" s="6"/>
      <c r="HM222" s="6"/>
      <c r="HN222" s="5" t="str">
        <f t="shared" si="708"/>
        <v>NO APLICA</v>
      </c>
      <c r="HO222" s="6"/>
      <c r="HP222" s="6"/>
      <c r="HQ222" s="6"/>
      <c r="HR222" s="6"/>
      <c r="HS222" s="5" t="str">
        <f t="shared" si="746"/>
        <v>NO APLICA</v>
      </c>
      <c r="HT222" s="6"/>
      <c r="HU222" s="6"/>
      <c r="HV222" s="6"/>
      <c r="HW222" s="6"/>
      <c r="HX222" s="5" t="str">
        <f t="shared" si="747"/>
        <v>NO APLICA</v>
      </c>
      <c r="HY222" s="6"/>
      <c r="HZ222" s="6"/>
      <c r="IA222" s="6"/>
      <c r="IB222" s="6"/>
      <c r="IC222" s="5" t="str">
        <f t="shared" si="748"/>
        <v>NO APLICA</v>
      </c>
      <c r="ID222" s="6"/>
      <c r="IE222" s="6"/>
      <c r="IF222" s="6"/>
      <c r="IG222" s="6"/>
      <c r="IH222" s="5" t="str">
        <f t="shared" si="749"/>
        <v>NO APLICA</v>
      </c>
      <c r="II222" s="6"/>
      <c r="IJ222" s="6"/>
      <c r="IK222" s="6"/>
      <c r="IL222" s="6"/>
      <c r="IM222" s="5" t="str">
        <f t="shared" si="750"/>
        <v>NO APLICA</v>
      </c>
      <c r="IN222" s="6"/>
      <c r="IO222" s="6"/>
      <c r="IP222" s="6"/>
      <c r="IQ222" s="6"/>
      <c r="IR222" s="5" t="str">
        <f t="shared" si="751"/>
        <v>NO APLICA</v>
      </c>
      <c r="IS222" s="6"/>
      <c r="IT222" s="6"/>
      <c r="IU222" s="6"/>
      <c r="IV222" s="6"/>
      <c r="IW222" s="5" t="str">
        <f t="shared" si="752"/>
        <v>NO APLICA</v>
      </c>
      <c r="IX222" s="6"/>
      <c r="IY222" s="6"/>
      <c r="IZ222" s="6"/>
      <c r="JA222" s="6"/>
      <c r="JB222" s="5" t="str">
        <f t="shared" si="753"/>
        <v>NO APLICA</v>
      </c>
      <c r="JC222" s="6"/>
      <c r="JD222" s="6"/>
      <c r="JE222" s="6"/>
      <c r="JF222" s="6"/>
      <c r="JG222" s="5" t="str">
        <f t="shared" si="754"/>
        <v>NO APLICA</v>
      </c>
      <c r="JH222" s="6"/>
      <c r="JI222" s="6"/>
      <c r="JJ222" s="6"/>
      <c r="JK222" s="6"/>
      <c r="JL222" s="5" t="str">
        <f t="shared" si="755"/>
        <v>NO APLICA</v>
      </c>
      <c r="JM222" s="6"/>
      <c r="JN222" s="6"/>
      <c r="JO222" s="6"/>
      <c r="JP222" s="6"/>
      <c r="JQ222" s="5" t="str">
        <f t="shared" si="756"/>
        <v>NO APLICA</v>
      </c>
      <c r="JR222" s="6"/>
      <c r="JS222" s="6"/>
      <c r="JT222" s="6"/>
      <c r="JU222" s="6"/>
      <c r="JV222" s="5" t="str">
        <f t="shared" si="757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59"/>
        <v>NO APLICA</v>
      </c>
      <c r="KG222" s="5"/>
      <c r="KH222" s="6"/>
      <c r="KI222" s="6"/>
      <c r="KJ222" s="6"/>
      <c r="KK222" s="5" t="str">
        <f t="shared" si="779"/>
        <v>NO APLICA</v>
      </c>
      <c r="KL222" s="5"/>
      <c r="KM222" s="6"/>
      <c r="KN222" s="6"/>
      <c r="KO222" s="6"/>
      <c r="KP222" s="5" t="str">
        <f t="shared" si="760"/>
        <v>NO APLICA</v>
      </c>
      <c r="KQ222" s="5"/>
      <c r="KR222" s="6"/>
      <c r="KS222" s="6"/>
      <c r="KT222" s="6"/>
      <c r="KU222" s="5" t="str">
        <f t="shared" si="780"/>
        <v>NO APLICA</v>
      </c>
      <c r="KV222" s="6"/>
      <c r="KW222" s="6"/>
      <c r="KX222" s="6"/>
      <c r="KY222" s="6"/>
      <c r="KZ222" s="5" t="str">
        <f t="shared" si="786"/>
        <v>NO APLICA</v>
      </c>
      <c r="LA222" s="5"/>
      <c r="LB222" s="6"/>
      <c r="LC222" s="6"/>
      <c r="LD222" s="6"/>
      <c r="LE222" s="5" t="str">
        <f t="shared" si="781"/>
        <v>NO APLICA</v>
      </c>
      <c r="LF222" s="6"/>
      <c r="LG222" s="6"/>
      <c r="LH222" s="6"/>
      <c r="LI222" s="6"/>
      <c r="LJ222" s="5" t="str">
        <f t="shared" si="614"/>
        <v>NO APLICA</v>
      </c>
      <c r="LK222" s="5"/>
      <c r="LL222" s="5"/>
      <c r="LM222" s="4"/>
      <c r="LN222" s="8"/>
      <c r="LO222" s="5" t="str">
        <f t="shared" si="787"/>
        <v>NO APLICA</v>
      </c>
      <c r="LP222" s="6"/>
      <c r="LQ222" s="6"/>
      <c r="LR222" s="6"/>
      <c r="LS222" s="6"/>
      <c r="LT222" s="5" t="str">
        <f t="shared" si="782"/>
        <v>NO APLICA</v>
      </c>
      <c r="LU222" s="6"/>
      <c r="LV222" s="6"/>
      <c r="LW222" s="6"/>
      <c r="LX222" s="6"/>
      <c r="LY222" s="5" t="str">
        <f t="shared" si="783"/>
        <v>NO APLICA</v>
      </c>
      <c r="LZ222" s="6"/>
      <c r="MA222" s="6"/>
      <c r="MB222" s="6"/>
      <c r="MC222" s="6"/>
      <c r="MD222" s="5" t="str">
        <f t="shared" si="784"/>
        <v>NO APLICA</v>
      </c>
      <c r="ME222" s="6"/>
      <c r="MF222" s="6"/>
      <c r="MG222" s="6"/>
      <c r="MH222" s="6"/>
      <c r="MI222" s="5" t="str">
        <f t="shared" si="761"/>
        <v>NO APLICA</v>
      </c>
      <c r="MJ222" s="6"/>
      <c r="MK222" s="6"/>
      <c r="ML222" s="6"/>
      <c r="MM222" s="6"/>
      <c r="MN222" s="5" t="str">
        <f t="shared" si="762"/>
        <v>NO APLICA</v>
      </c>
      <c r="MO222" s="5"/>
      <c r="MP222" s="6"/>
      <c r="MQ222" s="6"/>
      <c r="MR222" s="6"/>
      <c r="MS222" s="5" t="str">
        <f t="shared" si="763"/>
        <v>NO APLICA</v>
      </c>
      <c r="MT222" s="5"/>
      <c r="MU222" s="6"/>
      <c r="MV222" s="6"/>
      <c r="MW222" s="6"/>
      <c r="MX222" s="5" t="str">
        <f t="shared" si="764"/>
        <v>NO APLICA</v>
      </c>
      <c r="MY222" s="6"/>
      <c r="MZ222" s="6"/>
      <c r="NA222" s="6"/>
      <c r="NB222" s="6"/>
      <c r="NC222" s="5" t="str">
        <f t="shared" si="765"/>
        <v>NO APLICA</v>
      </c>
      <c r="ND222" s="6"/>
      <c r="NE222" s="6"/>
      <c r="NF222" s="6"/>
      <c r="NG222" s="6"/>
      <c r="NH222" s="5" t="str">
        <f t="shared" si="766"/>
        <v>NO APLICA</v>
      </c>
      <c r="NI222" s="6"/>
      <c r="NJ222" s="6"/>
      <c r="NK222" s="6"/>
      <c r="NL222" s="6"/>
      <c r="NM222" s="5" t="str">
        <f t="shared" si="767"/>
        <v>NO APLICA</v>
      </c>
      <c r="NN222" s="6"/>
      <c r="NO222" s="6"/>
      <c r="NP222" s="6"/>
      <c r="NQ222" s="6"/>
      <c r="NR222" s="5" t="str">
        <f t="shared" si="768"/>
        <v>NO APLICA</v>
      </c>
      <c r="NS222" s="6"/>
      <c r="NT222" s="6"/>
      <c r="NU222" s="6"/>
      <c r="NV222" s="6"/>
      <c r="NW222" s="5" t="str">
        <f t="shared" si="769"/>
        <v>NO APLICA</v>
      </c>
      <c r="NX222" s="6"/>
      <c r="NY222" s="6"/>
      <c r="NZ222" s="6"/>
      <c r="OA222" s="6"/>
      <c r="OB222" s="5" t="str">
        <f t="shared" si="770"/>
        <v>NO APLICA</v>
      </c>
      <c r="OC222" s="6"/>
      <c r="OD222" s="6"/>
      <c r="OE222" s="6"/>
      <c r="OF222" s="6"/>
      <c r="OG222" s="5" t="str">
        <f t="shared" si="771"/>
        <v>NO APLICA</v>
      </c>
      <c r="OH222" s="6"/>
      <c r="OI222" s="6"/>
      <c r="OJ222" s="6"/>
      <c r="OK222" s="6"/>
      <c r="OL222" s="5" t="str">
        <f t="shared" si="772"/>
        <v>NO APLICA</v>
      </c>
      <c r="OM222" s="6"/>
      <c r="ON222" s="6"/>
      <c r="OO222" s="6"/>
      <c r="OP222" s="6"/>
      <c r="OQ222" s="5" t="str">
        <f t="shared" si="773"/>
        <v>NO APLICA</v>
      </c>
      <c r="OR222" s="6"/>
      <c r="OS222" s="6"/>
      <c r="OT222" s="6"/>
      <c r="OU222" s="6"/>
      <c r="OV222" s="5" t="str">
        <f t="shared" si="774"/>
        <v>NO APLICA</v>
      </c>
      <c r="OW222" s="6"/>
      <c r="OX222" s="6"/>
      <c r="OY222" s="6"/>
      <c r="OZ222" s="6"/>
      <c r="PA222" s="5" t="str">
        <f t="shared" si="788"/>
        <v>NO APLICA</v>
      </c>
      <c r="PB222" s="6"/>
      <c r="PC222" s="6"/>
      <c r="PD222" s="6"/>
      <c r="PE222" s="6"/>
      <c r="PF222" s="5" t="str">
        <f t="shared" si="775"/>
        <v>NO APLICA</v>
      </c>
      <c r="PG222" s="6"/>
      <c r="PH222" s="6"/>
      <c r="PI222" s="6"/>
      <c r="PJ222" s="6"/>
      <c r="PK222" s="5" t="str">
        <f t="shared" si="776"/>
        <v>NO APLICA</v>
      </c>
      <c r="PL222" s="5"/>
      <c r="PM222" s="6"/>
      <c r="PN222" s="6"/>
      <c r="PO222" s="6"/>
      <c r="PP222" s="5" t="str">
        <f t="shared" si="785"/>
        <v>NO APLICA</v>
      </c>
      <c r="PQ222" s="6"/>
      <c r="PR222" s="6"/>
      <c r="PS222" s="6"/>
      <c r="PT222" s="6"/>
      <c r="PU222" s="5" t="str">
        <f t="shared" si="777"/>
        <v>NO APLICA</v>
      </c>
      <c r="PV222" s="5"/>
      <c r="PW222" s="6"/>
      <c r="PX222" s="6"/>
      <c r="PY222" s="6"/>
      <c r="PZ222" s="5" t="str">
        <f t="shared" si="77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671</v>
      </c>
      <c r="D223" s="30" t="s">
        <v>634</v>
      </c>
      <c r="E223" s="31" t="s">
        <v>672</v>
      </c>
      <c r="F223" s="6"/>
      <c r="G223" s="6"/>
      <c r="H223" s="6"/>
      <c r="I223" s="6"/>
      <c r="J223" s="5" t="str">
        <f t="shared" si="710"/>
        <v>NO APLICA</v>
      </c>
      <c r="K223" s="6"/>
      <c r="L223" s="6"/>
      <c r="M223" s="6"/>
      <c r="N223" s="6"/>
      <c r="O223" s="5" t="str">
        <f t="shared" si="713"/>
        <v>NO APLICA</v>
      </c>
      <c r="P223" s="6"/>
      <c r="Q223" s="6"/>
      <c r="R223" s="6"/>
      <c r="S223" s="6"/>
      <c r="T223" s="5" t="str">
        <f t="shared" si="711"/>
        <v>NO APLICA</v>
      </c>
      <c r="U223" s="5"/>
      <c r="V223" s="6"/>
      <c r="W223" s="4"/>
      <c r="X223" s="4"/>
      <c r="Y223" s="8"/>
      <c r="Z223" s="5" t="str">
        <f t="shared" si="619"/>
        <v>NO APLICA</v>
      </c>
      <c r="AA223" s="5"/>
      <c r="AB223" s="6"/>
      <c r="AC223" s="6"/>
      <c r="AD223" s="6"/>
      <c r="AE223" s="6"/>
      <c r="AF223" s="5" t="str">
        <f t="shared" si="714"/>
        <v>NO APLICA</v>
      </c>
      <c r="AG223" s="4"/>
      <c r="AH223" s="4"/>
      <c r="AI223" s="4"/>
      <c r="AJ223" s="6"/>
      <c r="AK223" s="5" t="str">
        <f t="shared" si="616"/>
        <v>NO APLICA</v>
      </c>
      <c r="AL223" s="4"/>
      <c r="AM223" s="4"/>
      <c r="AN223" s="4"/>
      <c r="AO223" s="6"/>
      <c r="AP223" s="5" t="str">
        <f t="shared" si="715"/>
        <v>NO APLICA</v>
      </c>
      <c r="AQ223" s="4"/>
      <c r="AR223" s="4"/>
      <c r="AS223" s="4"/>
      <c r="AT223" s="6"/>
      <c r="AU223" s="5" t="str">
        <f t="shared" si="716"/>
        <v>NO APLICA</v>
      </c>
      <c r="AV223" s="4"/>
      <c r="AW223" s="4"/>
      <c r="AX223" s="4"/>
      <c r="AY223" s="6"/>
      <c r="AZ223" s="5" t="str">
        <f t="shared" si="717"/>
        <v>NO APLICA</v>
      </c>
      <c r="BA223" s="4"/>
      <c r="BB223" s="4"/>
      <c r="BC223" s="4"/>
      <c r="BD223" s="6"/>
      <c r="BE223" s="5" t="str">
        <f t="shared" si="718"/>
        <v>NO APLICA</v>
      </c>
      <c r="BF223" s="4"/>
      <c r="BG223" s="4"/>
      <c r="BH223" s="4"/>
      <c r="BI223" s="6"/>
      <c r="BJ223" s="5" t="str">
        <f t="shared" si="719"/>
        <v>NO APLICA</v>
      </c>
      <c r="BK223" s="4"/>
      <c r="BL223" s="4"/>
      <c r="BM223" s="4"/>
      <c r="BN223" s="6"/>
      <c r="BO223" s="5" t="str">
        <f t="shared" si="720"/>
        <v>NO APLICA</v>
      </c>
      <c r="BP223" s="4"/>
      <c r="BQ223" s="4"/>
      <c r="BR223" s="4"/>
      <c r="BS223" s="6"/>
      <c r="BT223" s="5" t="str">
        <f t="shared" si="721"/>
        <v>NO APLICA</v>
      </c>
      <c r="BU223" s="4"/>
      <c r="BV223" s="4"/>
      <c r="BW223" s="4"/>
      <c r="BX223" s="6"/>
      <c r="BY223" s="5" t="str">
        <f t="shared" si="722"/>
        <v>NO APLICA</v>
      </c>
      <c r="BZ223" s="4"/>
      <c r="CA223" s="4"/>
      <c r="CB223" s="4"/>
      <c r="CC223" s="6"/>
      <c r="CD223" s="5" t="str">
        <f t="shared" si="723"/>
        <v>NO APLICA</v>
      </c>
      <c r="CE223" s="6"/>
      <c r="CF223" s="6"/>
      <c r="CG223" s="6"/>
      <c r="CH223" s="6"/>
      <c r="CI223" s="5" t="str">
        <f t="shared" si="789"/>
        <v>NO APLICA</v>
      </c>
      <c r="CJ223" s="4"/>
      <c r="CK223" s="4"/>
      <c r="CL223" s="4"/>
      <c r="CM223" s="6"/>
      <c r="CN223" s="5" t="str">
        <f t="shared" si="724"/>
        <v>NO APLICA</v>
      </c>
      <c r="CO223" s="4"/>
      <c r="CP223" s="4"/>
      <c r="CQ223" s="4"/>
      <c r="CR223" s="6"/>
      <c r="CS223" s="5" t="str">
        <f t="shared" si="725"/>
        <v>NO APLICA</v>
      </c>
      <c r="CT223" s="4"/>
      <c r="CU223" s="4"/>
      <c r="CV223" s="4"/>
      <c r="CW223" s="6"/>
      <c r="CX223" s="5" t="str">
        <f t="shared" si="726"/>
        <v>NO APLICA</v>
      </c>
      <c r="CY223" s="4"/>
      <c r="CZ223" s="4"/>
      <c r="DA223" s="4"/>
      <c r="DB223" s="6"/>
      <c r="DC223" s="5" t="str">
        <f t="shared" si="727"/>
        <v>NO APLICA</v>
      </c>
      <c r="DD223" s="4"/>
      <c r="DE223" s="4"/>
      <c r="DF223" s="4"/>
      <c r="DG223" s="6"/>
      <c r="DH223" s="5" t="str">
        <f t="shared" si="728"/>
        <v>NO APLICA</v>
      </c>
      <c r="DI223" s="4"/>
      <c r="DJ223" s="4"/>
      <c r="DK223" s="4"/>
      <c r="DL223" s="6"/>
      <c r="DM223" s="5" t="str">
        <f t="shared" si="729"/>
        <v>NO APLICA</v>
      </c>
      <c r="DN223" s="4"/>
      <c r="DO223" s="4"/>
      <c r="DP223" s="4"/>
      <c r="DQ223" s="6"/>
      <c r="DR223" s="5" t="str">
        <f t="shared" si="730"/>
        <v>NO APLICA</v>
      </c>
      <c r="DS223" s="4"/>
      <c r="DT223" s="4"/>
      <c r="DU223" s="4"/>
      <c r="DV223" s="6"/>
      <c r="DW223" s="5" t="str">
        <f t="shared" si="731"/>
        <v>NO APLICA</v>
      </c>
      <c r="DX223" s="4"/>
      <c r="DY223" s="4"/>
      <c r="DZ223" s="4"/>
      <c r="EA223" s="6"/>
      <c r="EB223" s="5" t="str">
        <f t="shared" si="732"/>
        <v>NO APLICA</v>
      </c>
      <c r="EC223" s="4"/>
      <c r="ED223" s="4"/>
      <c r="EE223" s="4"/>
      <c r="EF223" s="6"/>
      <c r="EG223" s="5" t="str">
        <f t="shared" si="733"/>
        <v>NO APLICA</v>
      </c>
      <c r="EH223" s="4"/>
      <c r="EI223" s="4"/>
      <c r="EJ223" s="4"/>
      <c r="EK223" s="8"/>
      <c r="EL223" s="5" t="str">
        <f t="shared" si="734"/>
        <v>NO APLICA</v>
      </c>
      <c r="EM223" s="4"/>
      <c r="EN223" s="4"/>
      <c r="EO223" s="4"/>
      <c r="EP223" s="8"/>
      <c r="EQ223" s="5" t="str">
        <f t="shared" si="735"/>
        <v>NO APLICA</v>
      </c>
      <c r="ER223" s="4"/>
      <c r="ES223" s="4"/>
      <c r="ET223" s="4"/>
      <c r="EU223" s="8"/>
      <c r="EV223" s="5" t="str">
        <f t="shared" si="736"/>
        <v>NO APLICA</v>
      </c>
      <c r="EW223" s="4"/>
      <c r="EX223" s="4"/>
      <c r="EY223" s="4"/>
      <c r="EZ223" s="6"/>
      <c r="FA223" s="5" t="str">
        <f t="shared" si="737"/>
        <v>NO APLICA</v>
      </c>
      <c r="FB223" s="4"/>
      <c r="FC223" s="4"/>
      <c r="FD223" s="4"/>
      <c r="FE223" s="6"/>
      <c r="FF223" s="5" t="str">
        <f t="shared" si="738"/>
        <v>NO APLICA</v>
      </c>
      <c r="FG223" s="4"/>
      <c r="FH223" s="4"/>
      <c r="FI223" s="4"/>
      <c r="FJ223" s="6"/>
      <c r="FK223" s="5" t="str">
        <f t="shared" si="739"/>
        <v>NO APLICA</v>
      </c>
      <c r="FL223" s="4"/>
      <c r="FM223" s="4"/>
      <c r="FN223" s="4"/>
      <c r="FO223" s="6"/>
      <c r="FP223" s="5" t="str">
        <f t="shared" si="740"/>
        <v>NO APLICA</v>
      </c>
      <c r="FQ223" s="4"/>
      <c r="FR223" s="4"/>
      <c r="FS223" s="4"/>
      <c r="FT223" s="6"/>
      <c r="FU223" s="5" t="str">
        <f t="shared" si="741"/>
        <v>NO APLICA</v>
      </c>
      <c r="FV223" s="4"/>
      <c r="FW223" s="4"/>
      <c r="FX223" s="4"/>
      <c r="FY223" s="6"/>
      <c r="FZ223" s="5" t="str">
        <f t="shared" si="742"/>
        <v>NO APLICA</v>
      </c>
      <c r="GA223" s="4"/>
      <c r="GB223" s="4"/>
      <c r="GC223" s="4"/>
      <c r="GD223" s="6"/>
      <c r="GE223" s="5" t="str">
        <f t="shared" si="743"/>
        <v>NO APLICA</v>
      </c>
      <c r="GF223" s="4"/>
      <c r="GG223" s="4"/>
      <c r="GH223" s="4"/>
      <c r="GI223" s="8"/>
      <c r="GJ223" s="5" t="str">
        <f t="shared" si="744"/>
        <v>NO APLICA</v>
      </c>
      <c r="GK223" s="4"/>
      <c r="GL223" s="6"/>
      <c r="GM223" s="6"/>
      <c r="GN223" s="6"/>
      <c r="GO223" s="5" t="str">
        <f t="shared" si="745"/>
        <v>NO APLICA</v>
      </c>
      <c r="GP223" s="4"/>
      <c r="GQ223" s="6"/>
      <c r="GR223" s="6"/>
      <c r="GS223" s="6"/>
      <c r="GT223" s="5" t="str">
        <f t="shared" si="624"/>
        <v>NO APLICA</v>
      </c>
      <c r="GU223" s="4"/>
      <c r="GV223" s="6"/>
      <c r="GW223" s="6"/>
      <c r="GX223" s="6"/>
      <c r="GY223" s="5" t="str">
        <f t="shared" si="625"/>
        <v>NO APLICA</v>
      </c>
      <c r="GZ223" s="6"/>
      <c r="HA223" s="6"/>
      <c r="HB223" s="6"/>
      <c r="HC223" s="6"/>
      <c r="HD223" s="5" t="str">
        <f t="shared" si="626"/>
        <v>NO APLICA</v>
      </c>
      <c r="HE223" s="6"/>
      <c r="HF223" s="6"/>
      <c r="HG223" s="4"/>
      <c r="HH223" s="8"/>
      <c r="HI223" s="5" t="str">
        <f t="shared" si="712"/>
        <v>NO APLICA</v>
      </c>
      <c r="HJ223" s="6"/>
      <c r="HK223" s="6"/>
      <c r="HL223" s="6"/>
      <c r="HM223" s="6"/>
      <c r="HN223" s="5" t="str">
        <f t="shared" si="708"/>
        <v>NO APLICA</v>
      </c>
      <c r="HO223" s="6"/>
      <c r="HP223" s="6"/>
      <c r="HQ223" s="6"/>
      <c r="HR223" s="6"/>
      <c r="HS223" s="5" t="str">
        <f t="shared" si="746"/>
        <v>NO APLICA</v>
      </c>
      <c r="HT223" s="6"/>
      <c r="HU223" s="6"/>
      <c r="HV223" s="6"/>
      <c r="HW223" s="6"/>
      <c r="HX223" s="5" t="str">
        <f t="shared" si="747"/>
        <v>NO APLICA</v>
      </c>
      <c r="HY223" s="6"/>
      <c r="HZ223" s="6"/>
      <c r="IA223" s="6"/>
      <c r="IB223" s="6"/>
      <c r="IC223" s="5" t="str">
        <f t="shared" si="748"/>
        <v>NO APLICA</v>
      </c>
      <c r="ID223" s="6"/>
      <c r="IE223" s="6"/>
      <c r="IF223" s="6"/>
      <c r="IG223" s="6"/>
      <c r="IH223" s="5" t="str">
        <f t="shared" si="749"/>
        <v>NO APLICA</v>
      </c>
      <c r="II223" s="6"/>
      <c r="IJ223" s="6"/>
      <c r="IK223" s="6"/>
      <c r="IL223" s="6"/>
      <c r="IM223" s="5" t="str">
        <f t="shared" si="750"/>
        <v>NO APLICA</v>
      </c>
      <c r="IN223" s="6"/>
      <c r="IO223" s="6"/>
      <c r="IP223" s="6"/>
      <c r="IQ223" s="6"/>
      <c r="IR223" s="5" t="str">
        <f t="shared" si="751"/>
        <v>NO APLICA</v>
      </c>
      <c r="IS223" s="6"/>
      <c r="IT223" s="6"/>
      <c r="IU223" s="6"/>
      <c r="IV223" s="6"/>
      <c r="IW223" s="5" t="str">
        <f t="shared" si="752"/>
        <v>NO APLICA</v>
      </c>
      <c r="IX223" s="6"/>
      <c r="IY223" s="6"/>
      <c r="IZ223" s="6"/>
      <c r="JA223" s="6"/>
      <c r="JB223" s="5" t="str">
        <f t="shared" si="753"/>
        <v>NO APLICA</v>
      </c>
      <c r="JC223" s="6"/>
      <c r="JD223" s="6"/>
      <c r="JE223" s="6"/>
      <c r="JF223" s="6"/>
      <c r="JG223" s="5" t="str">
        <f t="shared" si="754"/>
        <v>NO APLICA</v>
      </c>
      <c r="JH223" s="6"/>
      <c r="JI223" s="6"/>
      <c r="JJ223" s="6"/>
      <c r="JK223" s="6"/>
      <c r="JL223" s="5" t="str">
        <f t="shared" si="755"/>
        <v>NO APLICA</v>
      </c>
      <c r="JM223" s="6"/>
      <c r="JN223" s="6"/>
      <c r="JO223" s="6"/>
      <c r="JP223" s="6"/>
      <c r="JQ223" s="5" t="str">
        <f t="shared" si="756"/>
        <v>NO APLICA</v>
      </c>
      <c r="JR223" s="6"/>
      <c r="JS223" s="6"/>
      <c r="JT223" s="6"/>
      <c r="JU223" s="6"/>
      <c r="JV223" s="5" t="str">
        <f t="shared" si="757"/>
        <v>NO APLICA</v>
      </c>
      <c r="JW223" s="5"/>
      <c r="JX223" s="5"/>
      <c r="JY223" s="5"/>
      <c r="JZ223" s="5"/>
      <c r="KA223" s="5" t="str">
        <f t="shared" si="758"/>
        <v>NO APLICA</v>
      </c>
      <c r="KB223" s="5"/>
      <c r="KC223" s="6"/>
      <c r="KD223" s="6"/>
      <c r="KE223" s="6"/>
      <c r="KF223" s="5" t="str">
        <f t="shared" si="759"/>
        <v>NO APLICA</v>
      </c>
      <c r="KG223" s="5"/>
      <c r="KH223" s="6"/>
      <c r="KI223" s="6"/>
      <c r="KJ223" s="6"/>
      <c r="KK223" s="5" t="str">
        <f t="shared" si="779"/>
        <v>NO APLICA</v>
      </c>
      <c r="KL223" s="5"/>
      <c r="KM223" s="6"/>
      <c r="KN223" s="6"/>
      <c r="KO223" s="6"/>
      <c r="KP223" s="5" t="str">
        <f t="shared" si="760"/>
        <v>NO APLICA</v>
      </c>
      <c r="KQ223" s="5"/>
      <c r="KR223" s="6"/>
      <c r="KS223" s="6"/>
      <c r="KT223" s="6"/>
      <c r="KU223" s="5" t="str">
        <f t="shared" si="780"/>
        <v>NO APLICA</v>
      </c>
      <c r="KV223" s="6"/>
      <c r="KW223" s="6"/>
      <c r="KX223" s="6"/>
      <c r="KY223" s="6"/>
      <c r="KZ223" s="5" t="str">
        <f t="shared" si="786"/>
        <v>NO APLICA</v>
      </c>
      <c r="LA223" s="5"/>
      <c r="LB223" s="6"/>
      <c r="LC223" s="6"/>
      <c r="LD223" s="6"/>
      <c r="LE223" s="5" t="str">
        <f t="shared" si="781"/>
        <v>NO APLICA</v>
      </c>
      <c r="LF223" s="6"/>
      <c r="LG223" s="6"/>
      <c r="LH223" s="6"/>
      <c r="LI223" s="6"/>
      <c r="LJ223" s="5" t="str">
        <f t="shared" si="614"/>
        <v>NO APLICA</v>
      </c>
      <c r="LK223" s="5"/>
      <c r="LL223" s="5"/>
      <c r="LM223" s="4"/>
      <c r="LN223" s="8"/>
      <c r="LO223" s="5" t="str">
        <f t="shared" si="787"/>
        <v>NO APLICA</v>
      </c>
      <c r="LP223" s="6"/>
      <c r="LQ223" s="6"/>
      <c r="LR223" s="6"/>
      <c r="LS223" s="6"/>
      <c r="LT223" s="5" t="str">
        <f t="shared" si="782"/>
        <v>NO APLICA</v>
      </c>
      <c r="LU223" s="6"/>
      <c r="LV223" s="6"/>
      <c r="LW223" s="6"/>
      <c r="LX223" s="6"/>
      <c r="LY223" s="5" t="str">
        <f t="shared" si="783"/>
        <v>NO APLICA</v>
      </c>
      <c r="LZ223" s="6"/>
      <c r="MA223" s="6"/>
      <c r="MB223" s="6"/>
      <c r="MC223" s="6"/>
      <c r="MD223" s="5" t="str">
        <f t="shared" si="784"/>
        <v>NO APLICA</v>
      </c>
      <c r="ME223" s="6"/>
      <c r="MF223" s="6"/>
      <c r="MG223" s="6"/>
      <c r="MH223" s="6"/>
      <c r="MI223" s="5" t="str">
        <f t="shared" si="761"/>
        <v>NO APLICA</v>
      </c>
      <c r="MJ223" s="6"/>
      <c r="MK223" s="6"/>
      <c r="ML223" s="6"/>
      <c r="MM223" s="6"/>
      <c r="MN223" s="5" t="str">
        <f t="shared" si="762"/>
        <v>NO APLICA</v>
      </c>
      <c r="MO223" s="5"/>
      <c r="MP223" s="6"/>
      <c r="MQ223" s="6"/>
      <c r="MR223" s="6"/>
      <c r="MS223" s="5" t="str">
        <f t="shared" si="763"/>
        <v>NO APLICA</v>
      </c>
      <c r="MT223" s="5"/>
      <c r="MU223" s="6"/>
      <c r="MV223" s="6"/>
      <c r="MW223" s="6"/>
      <c r="MX223" s="5" t="str">
        <f t="shared" si="764"/>
        <v>NO APLICA</v>
      </c>
      <c r="MY223" s="6"/>
      <c r="MZ223" s="6"/>
      <c r="NA223" s="6"/>
      <c r="NB223" s="6"/>
      <c r="NC223" s="5" t="str">
        <f t="shared" si="765"/>
        <v>NO APLICA</v>
      </c>
      <c r="ND223" s="6"/>
      <c r="NE223" s="6"/>
      <c r="NF223" s="6"/>
      <c r="NG223" s="6"/>
      <c r="NH223" s="5" t="str">
        <f t="shared" si="766"/>
        <v>NO APLICA</v>
      </c>
      <c r="NI223" s="6"/>
      <c r="NJ223" s="6"/>
      <c r="NK223" s="6"/>
      <c r="NL223" s="6"/>
      <c r="NM223" s="5" t="str">
        <f t="shared" si="767"/>
        <v>NO APLICA</v>
      </c>
      <c r="NN223" s="6"/>
      <c r="NO223" s="6"/>
      <c r="NP223" s="6"/>
      <c r="NQ223" s="6"/>
      <c r="NR223" s="5" t="str">
        <f t="shared" si="768"/>
        <v>NO APLICA</v>
      </c>
      <c r="NS223" s="6"/>
      <c r="NT223" s="6"/>
      <c r="NU223" s="6"/>
      <c r="NV223" s="6"/>
      <c r="NW223" s="5" t="str">
        <f t="shared" si="769"/>
        <v>NO APLICA</v>
      </c>
      <c r="NX223" s="6"/>
      <c r="NY223" s="6"/>
      <c r="NZ223" s="6"/>
      <c r="OA223" s="6"/>
      <c r="OB223" s="5" t="str">
        <f t="shared" si="770"/>
        <v>NO APLICA</v>
      </c>
      <c r="OC223" s="6"/>
      <c r="OD223" s="6"/>
      <c r="OE223" s="6"/>
      <c r="OF223" s="6"/>
      <c r="OG223" s="5" t="str">
        <f t="shared" si="771"/>
        <v>NO APLICA</v>
      </c>
      <c r="OH223" s="6"/>
      <c r="OI223" s="6"/>
      <c r="OJ223" s="6"/>
      <c r="OK223" s="6"/>
      <c r="OL223" s="5" t="str">
        <f t="shared" si="772"/>
        <v>NO APLICA</v>
      </c>
      <c r="OM223" s="6"/>
      <c r="ON223" s="6"/>
      <c r="OO223" s="6"/>
      <c r="OP223" s="6"/>
      <c r="OQ223" s="5" t="str">
        <f t="shared" si="773"/>
        <v>NO APLICA</v>
      </c>
      <c r="OR223" s="6"/>
      <c r="OS223" s="6"/>
      <c r="OT223" s="6"/>
      <c r="OU223" s="6"/>
      <c r="OV223" s="5" t="str">
        <f t="shared" si="77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75"/>
        <v>NO APLICA</v>
      </c>
      <c r="PG223" s="6"/>
      <c r="PH223" s="6"/>
      <c r="PI223" s="6"/>
      <c r="PJ223" s="6"/>
      <c r="PK223" s="5" t="str">
        <f t="shared" si="776"/>
        <v>NO APLICA</v>
      </c>
      <c r="PL223" s="5"/>
      <c r="PM223" s="6"/>
      <c r="PN223" s="6"/>
      <c r="PO223" s="6"/>
      <c r="PP223" s="5" t="str">
        <f t="shared" si="785"/>
        <v>NO APLICA</v>
      </c>
      <c r="PQ223" s="6"/>
      <c r="PR223" s="6"/>
      <c r="PS223" s="6"/>
      <c r="PT223" s="6"/>
      <c r="PU223" s="5" t="str">
        <f t="shared" si="77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7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673</v>
      </c>
      <c r="D224" s="30" t="s">
        <v>674</v>
      </c>
      <c r="E224" s="31" t="s">
        <v>675</v>
      </c>
      <c r="F224" s="6"/>
      <c r="G224" s="6"/>
      <c r="H224" s="6"/>
      <c r="I224" s="6"/>
      <c r="J224" s="5" t="str">
        <f t="shared" si="710"/>
        <v>NO APLICA</v>
      </c>
      <c r="K224" s="6"/>
      <c r="L224" s="6"/>
      <c r="M224" s="6"/>
      <c r="N224" s="6"/>
      <c r="O224" s="5" t="str">
        <f t="shared" si="713"/>
        <v>NO APLICA</v>
      </c>
      <c r="P224" s="6"/>
      <c r="Q224" s="6"/>
      <c r="R224" s="6"/>
      <c r="S224" s="6"/>
      <c r="T224" s="5" t="str">
        <f t="shared" si="711"/>
        <v>NO APLICA</v>
      </c>
      <c r="U224" s="5"/>
      <c r="V224" s="6"/>
      <c r="W224" s="4"/>
      <c r="X224" s="4"/>
      <c r="Y224" s="8"/>
      <c r="Z224" s="5" t="str">
        <f t="shared" si="619"/>
        <v>NO APLICA</v>
      </c>
      <c r="AA224" s="5"/>
      <c r="AB224" s="6"/>
      <c r="AC224" s="6"/>
      <c r="AD224" s="6"/>
      <c r="AE224" s="6"/>
      <c r="AF224" s="5" t="str">
        <f t="shared" si="714"/>
        <v>NO APLICA</v>
      </c>
      <c r="AG224" s="4"/>
      <c r="AH224" s="4"/>
      <c r="AI224" s="4"/>
      <c r="AJ224" s="6"/>
      <c r="AK224" s="5" t="str">
        <f t="shared" si="616"/>
        <v>NO APLICA</v>
      </c>
      <c r="AL224" s="4"/>
      <c r="AM224" s="4"/>
      <c r="AN224" s="4"/>
      <c r="AO224" s="6"/>
      <c r="AP224" s="5" t="str">
        <f t="shared" si="715"/>
        <v>NO APLICA</v>
      </c>
      <c r="AQ224" s="4"/>
      <c r="AR224" s="4"/>
      <c r="AS224" s="4"/>
      <c r="AT224" s="6"/>
      <c r="AU224" s="5" t="str">
        <f t="shared" si="716"/>
        <v>NO APLICA</v>
      </c>
      <c r="AV224" s="4"/>
      <c r="AW224" s="4"/>
      <c r="AX224" s="4"/>
      <c r="AY224" s="6"/>
      <c r="AZ224" s="5" t="str">
        <f t="shared" si="717"/>
        <v>NO APLICA</v>
      </c>
      <c r="BA224" s="4"/>
      <c r="BB224" s="4"/>
      <c r="BC224" s="4"/>
      <c r="BD224" s="6"/>
      <c r="BE224" s="5" t="str">
        <f t="shared" si="718"/>
        <v>NO APLICA</v>
      </c>
      <c r="BF224" s="4"/>
      <c r="BG224" s="4"/>
      <c r="BH224" s="4"/>
      <c r="BI224" s="6"/>
      <c r="BJ224" s="5" t="str">
        <f t="shared" si="719"/>
        <v>NO APLICA</v>
      </c>
      <c r="BK224" s="4"/>
      <c r="BL224" s="4"/>
      <c r="BM224" s="4"/>
      <c r="BN224" s="6"/>
      <c r="BO224" s="5" t="str">
        <f t="shared" si="720"/>
        <v>NO APLICA</v>
      </c>
      <c r="BP224" s="4"/>
      <c r="BQ224" s="4"/>
      <c r="BR224" s="4"/>
      <c r="BS224" s="6"/>
      <c r="BT224" s="5" t="str">
        <f t="shared" si="721"/>
        <v>NO APLICA</v>
      </c>
      <c r="BU224" s="4"/>
      <c r="BV224" s="4"/>
      <c r="BW224" s="4"/>
      <c r="BX224" s="6"/>
      <c r="BY224" s="5" t="str">
        <f t="shared" si="722"/>
        <v>NO APLICA</v>
      </c>
      <c r="BZ224" s="4"/>
      <c r="CA224" s="4"/>
      <c r="CB224" s="4"/>
      <c r="CC224" s="6"/>
      <c r="CD224" s="5" t="str">
        <f t="shared" si="723"/>
        <v>NO APLICA</v>
      </c>
      <c r="CE224" s="6"/>
      <c r="CF224" s="6"/>
      <c r="CG224" s="6"/>
      <c r="CH224" s="6"/>
      <c r="CI224" s="5" t="str">
        <f t="shared" si="789"/>
        <v>NO APLICA</v>
      </c>
      <c r="CJ224" s="4"/>
      <c r="CK224" s="4"/>
      <c r="CL224" s="4"/>
      <c r="CM224" s="6"/>
      <c r="CN224" s="5" t="str">
        <f t="shared" si="724"/>
        <v>NO APLICA</v>
      </c>
      <c r="CO224" s="4"/>
      <c r="CP224" s="4"/>
      <c r="CQ224" s="4"/>
      <c r="CR224" s="6"/>
      <c r="CS224" s="5" t="str">
        <f t="shared" si="725"/>
        <v>NO APLICA</v>
      </c>
      <c r="CT224" s="4"/>
      <c r="CU224" s="4"/>
      <c r="CV224" s="4"/>
      <c r="CW224" s="6"/>
      <c r="CX224" s="5" t="str">
        <f t="shared" si="726"/>
        <v>NO APLICA</v>
      </c>
      <c r="CY224" s="4"/>
      <c r="CZ224" s="4"/>
      <c r="DA224" s="4"/>
      <c r="DB224" s="6"/>
      <c r="DC224" s="5" t="str">
        <f t="shared" si="727"/>
        <v>NO APLICA</v>
      </c>
      <c r="DD224" s="4"/>
      <c r="DE224" s="4"/>
      <c r="DF224" s="4"/>
      <c r="DG224" s="6"/>
      <c r="DH224" s="5" t="str">
        <f t="shared" si="728"/>
        <v>NO APLICA</v>
      </c>
      <c r="DI224" s="4"/>
      <c r="DJ224" s="4"/>
      <c r="DK224" s="4"/>
      <c r="DL224" s="6"/>
      <c r="DM224" s="5" t="str">
        <f t="shared" si="729"/>
        <v>NO APLICA</v>
      </c>
      <c r="DN224" s="4"/>
      <c r="DO224" s="4"/>
      <c r="DP224" s="4"/>
      <c r="DQ224" s="6"/>
      <c r="DR224" s="5" t="str">
        <f t="shared" si="730"/>
        <v>NO APLICA</v>
      </c>
      <c r="DS224" s="4"/>
      <c r="DT224" s="4"/>
      <c r="DU224" s="4"/>
      <c r="DV224" s="6"/>
      <c r="DW224" s="5" t="str">
        <f t="shared" si="731"/>
        <v>NO APLICA</v>
      </c>
      <c r="DX224" s="4"/>
      <c r="DY224" s="4"/>
      <c r="DZ224" s="4"/>
      <c r="EA224" s="6"/>
      <c r="EB224" s="5" t="str">
        <f t="shared" si="732"/>
        <v>NO APLICA</v>
      </c>
      <c r="EC224" s="4"/>
      <c r="ED224" s="4"/>
      <c r="EE224" s="4"/>
      <c r="EF224" s="6"/>
      <c r="EG224" s="5" t="str">
        <f t="shared" si="733"/>
        <v>NO APLICA</v>
      </c>
      <c r="EH224" s="4"/>
      <c r="EI224" s="4"/>
      <c r="EJ224" s="4"/>
      <c r="EK224" s="8"/>
      <c r="EL224" s="5" t="str">
        <f t="shared" si="734"/>
        <v>NO APLICA</v>
      </c>
      <c r="EM224" s="4"/>
      <c r="EN224" s="4"/>
      <c r="EO224" s="4"/>
      <c r="EP224" s="8"/>
      <c r="EQ224" s="5" t="str">
        <f t="shared" si="735"/>
        <v>NO APLICA</v>
      </c>
      <c r="ER224" s="4"/>
      <c r="ES224" s="4"/>
      <c r="ET224" s="4"/>
      <c r="EU224" s="8"/>
      <c r="EV224" s="5" t="str">
        <f t="shared" si="736"/>
        <v>NO APLICA</v>
      </c>
      <c r="EW224" s="4"/>
      <c r="EX224" s="4"/>
      <c r="EY224" s="4"/>
      <c r="EZ224" s="6"/>
      <c r="FA224" s="5" t="str">
        <f t="shared" si="737"/>
        <v>NO APLICA</v>
      </c>
      <c r="FB224" s="4"/>
      <c r="FC224" s="4"/>
      <c r="FD224" s="4"/>
      <c r="FE224" s="6"/>
      <c r="FF224" s="5" t="str">
        <f t="shared" si="738"/>
        <v>NO APLICA</v>
      </c>
      <c r="FG224" s="4"/>
      <c r="FH224" s="4"/>
      <c r="FI224" s="4"/>
      <c r="FJ224" s="6"/>
      <c r="FK224" s="5" t="str">
        <f t="shared" si="739"/>
        <v>NO APLICA</v>
      </c>
      <c r="FL224" s="4"/>
      <c r="FM224" s="4"/>
      <c r="FN224" s="4"/>
      <c r="FO224" s="6"/>
      <c r="FP224" s="5" t="str">
        <f t="shared" si="740"/>
        <v>NO APLICA</v>
      </c>
      <c r="FQ224" s="4"/>
      <c r="FR224" s="4"/>
      <c r="FS224" s="4"/>
      <c r="FT224" s="6"/>
      <c r="FU224" s="5" t="str">
        <f t="shared" si="741"/>
        <v>NO APLICA</v>
      </c>
      <c r="FV224" s="4"/>
      <c r="FW224" s="4"/>
      <c r="FX224" s="4"/>
      <c r="FY224" s="6"/>
      <c r="FZ224" s="5" t="str">
        <f t="shared" si="742"/>
        <v>NO APLICA</v>
      </c>
      <c r="GA224" s="4"/>
      <c r="GB224" s="4"/>
      <c r="GC224" s="4"/>
      <c r="GD224" s="6"/>
      <c r="GE224" s="5" t="str">
        <f t="shared" si="743"/>
        <v>NO APLICA</v>
      </c>
      <c r="GF224" s="4"/>
      <c r="GG224" s="4"/>
      <c r="GH224" s="4"/>
      <c r="GI224" s="8"/>
      <c r="GJ224" s="5" t="str">
        <f t="shared" si="744"/>
        <v>NO APLICA</v>
      </c>
      <c r="GK224" s="4"/>
      <c r="GL224" s="6"/>
      <c r="GM224" s="6"/>
      <c r="GN224" s="6"/>
      <c r="GO224" s="5" t="str">
        <f t="shared" si="745"/>
        <v>NO APLICA</v>
      </c>
      <c r="GP224" s="4"/>
      <c r="GQ224" s="6"/>
      <c r="GR224" s="6"/>
      <c r="GS224" s="6"/>
      <c r="GT224" s="5" t="str">
        <f t="shared" si="624"/>
        <v>NO APLICA</v>
      </c>
      <c r="GU224" s="4"/>
      <c r="GV224" s="6"/>
      <c r="GW224" s="6"/>
      <c r="GX224" s="6"/>
      <c r="GY224" s="5" t="str">
        <f t="shared" si="625"/>
        <v>NO APLICA</v>
      </c>
      <c r="GZ224" s="6"/>
      <c r="HA224" s="6"/>
      <c r="HB224" s="6"/>
      <c r="HC224" s="6"/>
      <c r="HD224" s="5" t="str">
        <f t="shared" si="626"/>
        <v>NO APLICA</v>
      </c>
      <c r="HE224" s="6"/>
      <c r="HF224" s="6"/>
      <c r="HG224" s="4"/>
      <c r="HH224" s="8"/>
      <c r="HI224" s="5" t="str">
        <f t="shared" si="712"/>
        <v>NO APLICA</v>
      </c>
      <c r="HJ224" s="6"/>
      <c r="HK224" s="6"/>
      <c r="HL224" s="6"/>
      <c r="HM224" s="6"/>
      <c r="HN224" s="5" t="str">
        <f t="shared" si="708"/>
        <v>NO APLICA</v>
      </c>
      <c r="HO224" s="6"/>
      <c r="HP224" s="6"/>
      <c r="HQ224" s="6"/>
      <c r="HR224" s="6"/>
      <c r="HS224" s="5" t="str">
        <f t="shared" si="746"/>
        <v>NO APLICA</v>
      </c>
      <c r="HT224" s="6"/>
      <c r="HU224" s="6"/>
      <c r="HV224" s="6"/>
      <c r="HW224" s="6"/>
      <c r="HX224" s="5" t="str">
        <f t="shared" si="747"/>
        <v>NO APLICA</v>
      </c>
      <c r="HY224" s="6"/>
      <c r="HZ224" s="6"/>
      <c r="IA224" s="6"/>
      <c r="IB224" s="6"/>
      <c r="IC224" s="5" t="str">
        <f t="shared" si="748"/>
        <v>NO APLICA</v>
      </c>
      <c r="ID224" s="6"/>
      <c r="IE224" s="6"/>
      <c r="IF224" s="6"/>
      <c r="IG224" s="6"/>
      <c r="IH224" s="5" t="str">
        <f t="shared" si="749"/>
        <v>NO APLICA</v>
      </c>
      <c r="II224" s="6"/>
      <c r="IJ224" s="6"/>
      <c r="IK224" s="6"/>
      <c r="IL224" s="6"/>
      <c r="IM224" s="5" t="str">
        <f t="shared" si="750"/>
        <v>NO APLICA</v>
      </c>
      <c r="IN224" s="6"/>
      <c r="IO224" s="6"/>
      <c r="IP224" s="6"/>
      <c r="IQ224" s="6"/>
      <c r="IR224" s="5" t="str">
        <f t="shared" si="751"/>
        <v>NO APLICA</v>
      </c>
      <c r="IS224" s="6"/>
      <c r="IT224" s="6"/>
      <c r="IU224" s="6"/>
      <c r="IV224" s="6"/>
      <c r="IW224" s="5" t="str">
        <f t="shared" si="752"/>
        <v>NO APLICA</v>
      </c>
      <c r="IX224" s="6"/>
      <c r="IY224" s="6"/>
      <c r="IZ224" s="6"/>
      <c r="JA224" s="6"/>
      <c r="JB224" s="5" t="str">
        <f t="shared" si="753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56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59"/>
        <v>NO APLICA</v>
      </c>
      <c r="KG224" s="5"/>
      <c r="KH224" s="6"/>
      <c r="KI224" s="6"/>
      <c r="KJ224" s="6"/>
      <c r="KK224" s="5" t="str">
        <f t="shared" si="779"/>
        <v>NO APLICA</v>
      </c>
      <c r="KL224" s="5"/>
      <c r="KM224" s="6"/>
      <c r="KN224" s="6"/>
      <c r="KO224" s="6"/>
      <c r="KP224" s="5" t="str">
        <f t="shared" si="760"/>
        <v>NO APLICA</v>
      </c>
      <c r="KQ224" s="5"/>
      <c r="KR224" s="6"/>
      <c r="KS224" s="6"/>
      <c r="KT224" s="6"/>
      <c r="KU224" s="5" t="str">
        <f t="shared" si="780"/>
        <v>NO APLICA</v>
      </c>
      <c r="KV224" s="6"/>
      <c r="KW224" s="6"/>
      <c r="KX224" s="6"/>
      <c r="KY224" s="6"/>
      <c r="KZ224" s="5" t="str">
        <f t="shared" si="786"/>
        <v>NO APLICA</v>
      </c>
      <c r="LA224" s="5"/>
      <c r="LB224" s="6"/>
      <c r="LC224" s="6"/>
      <c r="LD224" s="6"/>
      <c r="LE224" s="5" t="str">
        <f t="shared" si="781"/>
        <v>NO APLICA</v>
      </c>
      <c r="LF224" s="6"/>
      <c r="LG224" s="6"/>
      <c r="LH224" s="6"/>
      <c r="LI224" s="6"/>
      <c r="LJ224" s="5" t="str">
        <f t="shared" si="614"/>
        <v>NO APLICA</v>
      </c>
      <c r="LK224" s="5"/>
      <c r="LL224" s="5"/>
      <c r="LM224" s="4"/>
      <c r="LN224" s="8"/>
      <c r="LO224" s="5" t="str">
        <f t="shared" si="787"/>
        <v>NO APLICA</v>
      </c>
      <c r="LP224" s="6"/>
      <c r="LQ224" s="6"/>
      <c r="LR224" s="6"/>
      <c r="LS224" s="6"/>
      <c r="LT224" s="5" t="str">
        <f t="shared" si="782"/>
        <v>NO APLICA</v>
      </c>
      <c r="LU224" s="6"/>
      <c r="LV224" s="6"/>
      <c r="LW224" s="6"/>
      <c r="LX224" s="6"/>
      <c r="LY224" s="5" t="str">
        <f t="shared" si="783"/>
        <v>NO APLICA</v>
      </c>
      <c r="LZ224" s="6"/>
      <c r="MA224" s="6"/>
      <c r="MB224" s="6"/>
      <c r="MC224" s="6"/>
      <c r="MD224" s="5" t="str">
        <f t="shared" si="784"/>
        <v>NO APLICA</v>
      </c>
      <c r="ME224" s="6"/>
      <c r="MF224" s="6"/>
      <c r="MG224" s="6"/>
      <c r="MH224" s="6"/>
      <c r="MI224" s="5" t="str">
        <f t="shared" si="761"/>
        <v>NO APLICA</v>
      </c>
      <c r="MJ224" s="6"/>
      <c r="MK224" s="6"/>
      <c r="ML224" s="6"/>
      <c r="MM224" s="6"/>
      <c r="MN224" s="5" t="str">
        <f t="shared" si="762"/>
        <v>NO APLICA</v>
      </c>
      <c r="MO224" s="5"/>
      <c r="MP224" s="6"/>
      <c r="MQ224" s="6"/>
      <c r="MR224" s="6"/>
      <c r="MS224" s="5" t="str">
        <f t="shared" si="763"/>
        <v>NO APLICA</v>
      </c>
      <c r="MT224" s="5"/>
      <c r="MU224" s="6"/>
      <c r="MV224" s="6"/>
      <c r="MW224" s="6"/>
      <c r="MX224" s="5" t="str">
        <f t="shared" si="764"/>
        <v>NO APLICA</v>
      </c>
      <c r="MY224" s="6"/>
      <c r="MZ224" s="6"/>
      <c r="NA224" s="6"/>
      <c r="NB224" s="6"/>
      <c r="NC224" s="5" t="str">
        <f t="shared" si="765"/>
        <v>NO APLICA</v>
      </c>
      <c r="ND224" s="6"/>
      <c r="NE224" s="6"/>
      <c r="NF224" s="6"/>
      <c r="NG224" s="6"/>
      <c r="NH224" s="5" t="str">
        <f t="shared" si="766"/>
        <v>NO APLICA</v>
      </c>
      <c r="NI224" s="6"/>
      <c r="NJ224" s="6"/>
      <c r="NK224" s="6"/>
      <c r="NL224" s="6"/>
      <c r="NM224" s="5" t="str">
        <f t="shared" si="767"/>
        <v>NO APLICA</v>
      </c>
      <c r="NN224" s="6"/>
      <c r="NO224" s="6"/>
      <c r="NP224" s="6"/>
      <c r="NQ224" s="6"/>
      <c r="NR224" s="5" t="str">
        <f t="shared" si="768"/>
        <v>NO APLICA</v>
      </c>
      <c r="NS224" s="6"/>
      <c r="NT224" s="6"/>
      <c r="NU224" s="6"/>
      <c r="NV224" s="6"/>
      <c r="NW224" s="5" t="str">
        <f t="shared" si="769"/>
        <v>NO APLICA</v>
      </c>
      <c r="NX224" s="6"/>
      <c r="NY224" s="6"/>
      <c r="NZ224" s="6"/>
      <c r="OA224" s="6"/>
      <c r="OB224" s="5" t="str">
        <f t="shared" si="770"/>
        <v>NO APLICA</v>
      </c>
      <c r="OC224" s="6"/>
      <c r="OD224" s="6"/>
      <c r="OE224" s="6"/>
      <c r="OF224" s="6"/>
      <c r="OG224" s="5" t="str">
        <f t="shared" si="771"/>
        <v>NO APLICA</v>
      </c>
      <c r="OH224" s="6"/>
      <c r="OI224" s="6"/>
      <c r="OJ224" s="6"/>
      <c r="OK224" s="6"/>
      <c r="OL224" s="5" t="str">
        <f t="shared" si="772"/>
        <v>NO APLICA</v>
      </c>
      <c r="OM224" s="6"/>
      <c r="ON224" s="6"/>
      <c r="OO224" s="6"/>
      <c r="OP224" s="6"/>
      <c r="OQ224" s="5" t="str">
        <f t="shared" si="773"/>
        <v>NO APLICA</v>
      </c>
      <c r="OR224" s="6"/>
      <c r="OS224" s="6"/>
      <c r="OT224" s="6"/>
      <c r="OU224" s="6"/>
      <c r="OV224" s="5" t="str">
        <f t="shared" si="774"/>
        <v>NO APLICA</v>
      </c>
      <c r="OW224" s="6"/>
      <c r="OX224" s="6"/>
      <c r="OY224" s="6"/>
      <c r="OZ224" s="6"/>
      <c r="PA224" s="5" t="str">
        <f t="shared" si="788"/>
        <v>NO APLICA</v>
      </c>
      <c r="PB224" s="6"/>
      <c r="PC224" s="6"/>
      <c r="PD224" s="6"/>
      <c r="PE224" s="6"/>
      <c r="PF224" s="5" t="str">
        <f t="shared" si="775"/>
        <v>NO APLICA</v>
      </c>
      <c r="PG224" s="6"/>
      <c r="PH224" s="6"/>
      <c r="PI224" s="6"/>
      <c r="PJ224" s="6"/>
      <c r="PK224" s="5" t="str">
        <f t="shared" si="776"/>
        <v>NO APLICA</v>
      </c>
      <c r="PL224" s="5"/>
      <c r="PM224" s="6"/>
      <c r="PN224" s="6"/>
      <c r="PO224" s="6"/>
      <c r="PP224" s="5" t="str">
        <f t="shared" si="785"/>
        <v>NO APLICA</v>
      </c>
      <c r="PQ224" s="6"/>
      <c r="PR224" s="6"/>
      <c r="PS224" s="6"/>
      <c r="PT224" s="6"/>
      <c r="PU224" s="5" t="str">
        <f t="shared" si="777"/>
        <v>NO APLICA</v>
      </c>
      <c r="PV224" s="5"/>
      <c r="PW224" s="6"/>
      <c r="PX224" s="6"/>
      <c r="PY224" s="6"/>
      <c r="PZ224" s="5" t="str">
        <f t="shared" si="77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676</v>
      </c>
      <c r="D225" s="30" t="s">
        <v>611</v>
      </c>
      <c r="E225" s="31" t="s">
        <v>612</v>
      </c>
      <c r="F225" s="3"/>
      <c r="G225" s="4"/>
      <c r="H225" s="4"/>
      <c r="I225" s="8"/>
      <c r="J225" s="5" t="str">
        <f t="shared" si="710"/>
        <v>NO APLICA</v>
      </c>
      <c r="K225" s="2"/>
      <c r="L225" s="2"/>
      <c r="M225" s="2"/>
      <c r="N225" s="2"/>
      <c r="O225" s="5" t="str">
        <f t="shared" si="713"/>
        <v>NO APLICA</v>
      </c>
      <c r="P225" s="6"/>
      <c r="Q225" s="6"/>
      <c r="R225" s="4"/>
      <c r="S225" s="8"/>
      <c r="T225" s="5" t="str">
        <f t="shared" si="711"/>
        <v>NO APLICA</v>
      </c>
      <c r="U225" s="5"/>
      <c r="V225" s="2"/>
      <c r="W225" s="4"/>
      <c r="X225" s="4"/>
      <c r="Y225" s="8"/>
      <c r="Z225" s="5" t="str">
        <f t="shared" si="619"/>
        <v>NO APLICA</v>
      </c>
      <c r="AA225" s="5"/>
      <c r="AB225" s="2"/>
      <c r="AC225" s="6"/>
      <c r="AD225" s="4"/>
      <c r="AE225" s="8"/>
      <c r="AF225" s="5" t="str">
        <f t="shared" si="714"/>
        <v>NO APLICA</v>
      </c>
      <c r="AG225" s="2"/>
      <c r="AH225" s="4"/>
      <c r="AI225" s="4"/>
      <c r="AJ225" s="8"/>
      <c r="AK225" s="5" t="str">
        <f t="shared" si="616"/>
        <v>NO APLICA</v>
      </c>
      <c r="AL225" s="2"/>
      <c r="AM225" s="4"/>
      <c r="AN225" s="4"/>
      <c r="AO225" s="8"/>
      <c r="AP225" s="5" t="str">
        <f t="shared" si="715"/>
        <v>NO APLICA</v>
      </c>
      <c r="AQ225" s="2"/>
      <c r="AR225" s="4"/>
      <c r="AS225" s="4"/>
      <c r="AT225" s="8"/>
      <c r="AU225" s="5" t="str">
        <f t="shared" si="716"/>
        <v>NO APLICA</v>
      </c>
      <c r="AV225" s="2"/>
      <c r="AW225" s="4"/>
      <c r="AX225" s="4"/>
      <c r="AY225" s="8"/>
      <c r="AZ225" s="5" t="str">
        <f t="shared" si="717"/>
        <v>NO APLICA</v>
      </c>
      <c r="BA225" s="3"/>
      <c r="BB225" s="4"/>
      <c r="BC225" s="4"/>
      <c r="BD225" s="8"/>
      <c r="BE225" s="5" t="str">
        <f t="shared" si="718"/>
        <v>NO APLICA</v>
      </c>
      <c r="BF225" s="2"/>
      <c r="BG225" s="4"/>
      <c r="BH225" s="4"/>
      <c r="BI225" s="8"/>
      <c r="BJ225" s="5" t="str">
        <f t="shared" si="719"/>
        <v>NO APLICA</v>
      </c>
      <c r="BK225" s="3"/>
      <c r="BL225" s="4"/>
      <c r="BM225" s="4"/>
      <c r="BN225" s="8"/>
      <c r="BO225" s="5" t="str">
        <f t="shared" si="720"/>
        <v>NO APLICA</v>
      </c>
      <c r="BP225" s="3"/>
      <c r="BQ225" s="4"/>
      <c r="BR225" s="4"/>
      <c r="BS225" s="8"/>
      <c r="BT225" s="5" t="str">
        <f t="shared" si="721"/>
        <v>NO APLICA</v>
      </c>
      <c r="BU225" s="2"/>
      <c r="BV225" s="4"/>
      <c r="BW225" s="4"/>
      <c r="BX225" s="8"/>
      <c r="BY225" s="5" t="str">
        <f t="shared" si="722"/>
        <v>NO APLICA</v>
      </c>
      <c r="BZ225" s="2"/>
      <c r="CA225" s="4"/>
      <c r="CB225" s="4"/>
      <c r="CC225" s="8"/>
      <c r="CD225" s="5" t="str">
        <f t="shared" si="723"/>
        <v>NO APLICA</v>
      </c>
      <c r="CE225" s="6"/>
      <c r="CF225" s="4"/>
      <c r="CG225" s="4"/>
      <c r="CH225" s="8"/>
      <c r="CI225" s="5" t="str">
        <f t="shared" si="789"/>
        <v>NO APLICA</v>
      </c>
      <c r="CJ225" s="6"/>
      <c r="CK225" s="4"/>
      <c r="CL225" s="4"/>
      <c r="CM225" s="8"/>
      <c r="CN225" s="5" t="str">
        <f t="shared" si="724"/>
        <v>NO APLICA</v>
      </c>
      <c r="CO225" s="2"/>
      <c r="CP225" s="4"/>
      <c r="CQ225" s="4"/>
      <c r="CR225" s="8"/>
      <c r="CS225" s="5" t="str">
        <f t="shared" si="725"/>
        <v>NO APLICA</v>
      </c>
      <c r="CT225" s="2"/>
      <c r="CU225" s="4"/>
      <c r="CV225" s="4"/>
      <c r="CW225" s="8"/>
      <c r="CX225" s="5" t="str">
        <f t="shared" si="726"/>
        <v>NO APLICA</v>
      </c>
      <c r="CY225" s="3"/>
      <c r="CZ225" s="4"/>
      <c r="DA225" s="4"/>
      <c r="DB225" s="8"/>
      <c r="DC225" s="5" t="str">
        <f t="shared" si="727"/>
        <v>NO APLICA</v>
      </c>
      <c r="DD225" s="3"/>
      <c r="DE225" s="4"/>
      <c r="DF225" s="4"/>
      <c r="DG225" s="8"/>
      <c r="DH225" s="5" t="str">
        <f t="shared" si="728"/>
        <v>NO APLICA</v>
      </c>
      <c r="DI225" s="2"/>
      <c r="DJ225" s="4"/>
      <c r="DK225" s="4"/>
      <c r="DL225" s="8"/>
      <c r="DM225" s="5" t="str">
        <f t="shared" si="729"/>
        <v>NO APLICA</v>
      </c>
      <c r="DN225" s="3"/>
      <c r="DO225" s="4"/>
      <c r="DP225" s="4"/>
      <c r="DQ225" s="8"/>
      <c r="DR225" s="5" t="str">
        <f t="shared" si="730"/>
        <v>NO APLICA</v>
      </c>
      <c r="DS225" s="2"/>
      <c r="DT225" s="4"/>
      <c r="DU225" s="4"/>
      <c r="DV225" s="8"/>
      <c r="DW225" s="5" t="str">
        <f t="shared" si="731"/>
        <v>NO APLICA</v>
      </c>
      <c r="DX225" s="3"/>
      <c r="DY225" s="4"/>
      <c r="DZ225" s="4"/>
      <c r="EA225" s="8"/>
      <c r="EB225" s="5" t="str">
        <f t="shared" si="732"/>
        <v>NO APLICA</v>
      </c>
      <c r="EC225" s="3"/>
      <c r="ED225" s="4"/>
      <c r="EE225" s="4"/>
      <c r="EF225" s="8"/>
      <c r="EG225" s="5" t="str">
        <f t="shared" si="733"/>
        <v>NO APLICA</v>
      </c>
      <c r="EH225" s="2"/>
      <c r="EI225" s="4"/>
      <c r="EJ225" s="4"/>
      <c r="EK225" s="8"/>
      <c r="EL225" s="5" t="str">
        <f t="shared" si="734"/>
        <v>NO APLICA</v>
      </c>
      <c r="EM225" s="3"/>
      <c r="EN225" s="4"/>
      <c r="EO225" s="4"/>
      <c r="EP225" s="8"/>
      <c r="EQ225" s="5" t="str">
        <f t="shared" si="735"/>
        <v>NO APLICA</v>
      </c>
      <c r="ER225" s="2"/>
      <c r="ES225" s="4"/>
      <c r="ET225" s="4"/>
      <c r="EU225" s="8"/>
      <c r="EV225" s="5" t="str">
        <f t="shared" si="736"/>
        <v>NO APLICA</v>
      </c>
      <c r="EW225" s="2"/>
      <c r="EX225" s="4"/>
      <c r="EY225" s="4"/>
      <c r="EZ225" s="8"/>
      <c r="FA225" s="5" t="str">
        <f t="shared" si="737"/>
        <v>NO APLICA</v>
      </c>
      <c r="FB225" s="2"/>
      <c r="FC225" s="4"/>
      <c r="FD225" s="4"/>
      <c r="FE225" s="8"/>
      <c r="FF225" s="5" t="str">
        <f t="shared" si="738"/>
        <v>NO APLICA</v>
      </c>
      <c r="FG225" s="2"/>
      <c r="FH225" s="4"/>
      <c r="FI225" s="4"/>
      <c r="FJ225" s="8"/>
      <c r="FK225" s="5" t="str">
        <f t="shared" si="739"/>
        <v>NO APLICA</v>
      </c>
      <c r="FL225" s="3"/>
      <c r="FM225" s="4"/>
      <c r="FN225" s="4"/>
      <c r="FO225" s="8"/>
      <c r="FP225" s="5" t="str">
        <f t="shared" si="740"/>
        <v>NO APLICA</v>
      </c>
      <c r="FQ225" s="3"/>
      <c r="FR225" s="4"/>
      <c r="FS225" s="4"/>
      <c r="FT225" s="8"/>
      <c r="FU225" s="5" t="str">
        <f t="shared" si="741"/>
        <v>NO APLICA</v>
      </c>
      <c r="FV225" s="3"/>
      <c r="FW225" s="4"/>
      <c r="FX225" s="4"/>
      <c r="FY225" s="8"/>
      <c r="FZ225" s="5" t="str">
        <f t="shared" si="742"/>
        <v>NO APLICA</v>
      </c>
      <c r="GA225" s="3"/>
      <c r="GB225" s="4"/>
      <c r="GC225" s="4"/>
      <c r="GD225" s="8"/>
      <c r="GE225" s="5" t="str">
        <f t="shared" si="743"/>
        <v>NO APLICA</v>
      </c>
      <c r="GF225" s="3"/>
      <c r="GG225" s="4"/>
      <c r="GH225" s="4"/>
      <c r="GI225" s="8"/>
      <c r="GJ225" s="5" t="str">
        <f t="shared" si="744"/>
        <v>NO APLICA</v>
      </c>
      <c r="GK225" s="3"/>
      <c r="GL225" s="4"/>
      <c r="GM225" s="4"/>
      <c r="GN225" s="8"/>
      <c r="GO225" s="5" t="str">
        <f t="shared" si="745"/>
        <v>NO APLICA</v>
      </c>
      <c r="GP225" s="4"/>
      <c r="GQ225" s="4"/>
      <c r="GR225" s="4"/>
      <c r="GS225" s="8"/>
      <c r="GT225" s="5" t="str">
        <f t="shared" si="624"/>
        <v>NO APLICA</v>
      </c>
      <c r="GU225" s="3"/>
      <c r="GV225" s="4"/>
      <c r="GW225" s="4"/>
      <c r="GX225" s="8"/>
      <c r="GY225" s="5" t="str">
        <f t="shared" si="625"/>
        <v>NO APLICA</v>
      </c>
      <c r="GZ225" s="2"/>
      <c r="HA225" s="4"/>
      <c r="HB225" s="4"/>
      <c r="HC225" s="8"/>
      <c r="HD225" s="5" t="str">
        <f t="shared" si="626"/>
        <v>NO APLICA</v>
      </c>
      <c r="HE225" s="6"/>
      <c r="HF225" s="6"/>
      <c r="HG225" s="4"/>
      <c r="HH225" s="8"/>
      <c r="HI225" s="5" t="str">
        <f t="shared" si="712"/>
        <v>NO APLICA</v>
      </c>
      <c r="HJ225" s="2"/>
      <c r="HK225" s="6"/>
      <c r="HL225" s="4"/>
      <c r="HM225" s="8"/>
      <c r="HN225" s="5" t="str">
        <f t="shared" si="708"/>
        <v>NO APLICA</v>
      </c>
      <c r="HO225" s="2"/>
      <c r="HP225" s="2"/>
      <c r="HQ225" s="4"/>
      <c r="HR225" s="2"/>
      <c r="HS225" s="5" t="str">
        <f t="shared" si="746"/>
        <v>NO APLICA</v>
      </c>
      <c r="HT225" s="2"/>
      <c r="HU225" s="6"/>
      <c r="HV225" s="4"/>
      <c r="HW225" s="8"/>
      <c r="HX225" s="5" t="str">
        <f t="shared" si="747"/>
        <v>NO APLICA</v>
      </c>
      <c r="HY225" s="2"/>
      <c r="HZ225" s="6"/>
      <c r="IA225" s="4"/>
      <c r="IB225" s="8"/>
      <c r="IC225" s="5" t="str">
        <f t="shared" si="748"/>
        <v>NO APLICA</v>
      </c>
      <c r="ID225" s="2"/>
      <c r="IE225" s="6"/>
      <c r="IF225" s="4"/>
      <c r="IG225" s="8"/>
      <c r="IH225" s="5" t="str">
        <f t="shared" si="749"/>
        <v>NO APLICA</v>
      </c>
      <c r="II225" s="6"/>
      <c r="IJ225" s="6"/>
      <c r="IK225" s="4"/>
      <c r="IL225" s="8"/>
      <c r="IM225" s="5" t="str">
        <f t="shared" si="750"/>
        <v>NO APLICA</v>
      </c>
      <c r="IN225" s="2"/>
      <c r="IO225" s="6"/>
      <c r="IP225" s="4"/>
      <c r="IQ225" s="8"/>
      <c r="IR225" s="5" t="str">
        <f t="shared" si="751"/>
        <v>NO APLICA</v>
      </c>
      <c r="IS225" s="2"/>
      <c r="IT225" s="6"/>
      <c r="IU225" s="4"/>
      <c r="IV225" s="8"/>
      <c r="IW225" s="5" t="str">
        <f t="shared" si="752"/>
        <v>NO APLICA</v>
      </c>
      <c r="IX225" s="2"/>
      <c r="IY225" s="6"/>
      <c r="IZ225" s="4"/>
      <c r="JA225" s="8"/>
      <c r="JB225" s="5" t="str">
        <f t="shared" si="753"/>
        <v>NO APLICA</v>
      </c>
      <c r="JC225" s="3"/>
      <c r="JD225" s="3"/>
      <c r="JE225" s="4"/>
      <c r="JF225" s="8"/>
      <c r="JG225" s="5" t="str">
        <f t="shared" si="754"/>
        <v>NO APLICA</v>
      </c>
      <c r="JH225" s="6"/>
      <c r="JI225" s="6"/>
      <c r="JJ225" s="6"/>
      <c r="JK225" s="6"/>
      <c r="JL225" s="5" t="str">
        <f t="shared" si="755"/>
        <v>NO APLICA</v>
      </c>
      <c r="JM225" s="6"/>
      <c r="JN225" s="6"/>
      <c r="JO225" s="6"/>
      <c r="JP225" s="6"/>
      <c r="JQ225" s="5" t="str">
        <f t="shared" si="756"/>
        <v>NO APLICA</v>
      </c>
      <c r="JR225" s="6"/>
      <c r="JS225" s="6"/>
      <c r="JT225" s="6"/>
      <c r="JU225" s="6"/>
      <c r="JV225" s="5" t="str">
        <f t="shared" si="757"/>
        <v>NO APLICA</v>
      </c>
      <c r="JW225" s="5"/>
      <c r="JX225" s="5"/>
      <c r="JY225" s="5"/>
      <c r="JZ225" s="5"/>
      <c r="KA225" s="5" t="str">
        <f t="shared" si="758"/>
        <v>NO APLICA</v>
      </c>
      <c r="KB225" s="5"/>
      <c r="KC225" s="2"/>
      <c r="KD225" s="4"/>
      <c r="KE225" s="8"/>
      <c r="KF225" s="5" t="str">
        <f t="shared" si="759"/>
        <v>NO APLICA</v>
      </c>
      <c r="KG225" s="5"/>
      <c r="KH225" s="2"/>
      <c r="KI225" s="4"/>
      <c r="KJ225" s="8"/>
      <c r="KK225" s="5" t="str">
        <f t="shared" si="779"/>
        <v>NO APLICA</v>
      </c>
      <c r="KL225" s="5"/>
      <c r="KM225" s="2"/>
      <c r="KN225" s="4"/>
      <c r="KO225" s="8"/>
      <c r="KP225" s="5" t="str">
        <f t="shared" si="760"/>
        <v>NO APLICA</v>
      </c>
      <c r="KQ225" s="5"/>
      <c r="KR225" s="2"/>
      <c r="KS225" s="4"/>
      <c r="KT225" s="8"/>
      <c r="KU225" s="5" t="str">
        <f t="shared" si="780"/>
        <v>NO APLICA</v>
      </c>
      <c r="KV225" s="2"/>
      <c r="KW225" s="6"/>
      <c r="KX225" s="4"/>
      <c r="KY225" s="8"/>
      <c r="KZ225" s="5" t="str">
        <f t="shared" si="786"/>
        <v>NO APLICA</v>
      </c>
      <c r="LA225" s="5"/>
      <c r="LB225" s="6"/>
      <c r="LC225" s="4"/>
      <c r="LD225" s="8"/>
      <c r="LE225" s="5" t="str">
        <f t="shared" si="781"/>
        <v>NO APLICA</v>
      </c>
      <c r="LF225" s="6"/>
      <c r="LG225" s="6"/>
      <c r="LH225" s="4"/>
      <c r="LI225" s="8"/>
      <c r="LJ225" s="5" t="str">
        <f t="shared" si="614"/>
        <v>NO APLICA</v>
      </c>
      <c r="LK225" s="5"/>
      <c r="LL225" s="5"/>
      <c r="LM225" s="4"/>
      <c r="LN225" s="8"/>
      <c r="LO225" s="5" t="str">
        <f t="shared" si="787"/>
        <v>NO APLICA</v>
      </c>
      <c r="LP225" s="2"/>
      <c r="LQ225" s="6"/>
      <c r="LR225" s="4"/>
      <c r="LS225" s="8"/>
      <c r="LT225" s="5" t="str">
        <f t="shared" si="782"/>
        <v>NO APLICA</v>
      </c>
      <c r="LU225" s="6"/>
      <c r="LV225" s="6"/>
      <c r="LW225" s="4"/>
      <c r="LX225" s="8"/>
      <c r="LY225" s="5" t="str">
        <f t="shared" si="783"/>
        <v>NO APLICA</v>
      </c>
      <c r="LZ225" s="6"/>
      <c r="MA225" s="6"/>
      <c r="MB225" s="4"/>
      <c r="MC225" s="8"/>
      <c r="MD225" s="5" t="str">
        <f t="shared" si="784"/>
        <v>NO APLICA</v>
      </c>
      <c r="ME225" s="2"/>
      <c r="MF225" s="2"/>
      <c r="MG225" s="4"/>
      <c r="MH225" s="8"/>
      <c r="MI225" s="5" t="str">
        <f t="shared" si="761"/>
        <v>NO APLICA</v>
      </c>
      <c r="MJ225" s="2"/>
      <c r="MK225" s="2"/>
      <c r="ML225" s="4"/>
      <c r="MM225" s="8"/>
      <c r="MN225" s="5" t="str">
        <f t="shared" si="762"/>
        <v>NO APLICA</v>
      </c>
      <c r="MO225" s="5"/>
      <c r="MP225" s="2"/>
      <c r="MQ225" s="4"/>
      <c r="MR225" s="8"/>
      <c r="MS225" s="5" t="str">
        <f t="shared" si="763"/>
        <v>NO APLICA</v>
      </c>
      <c r="MT225" s="5"/>
      <c r="MU225" s="2"/>
      <c r="MV225" s="4"/>
      <c r="MW225" s="2"/>
      <c r="MX225" s="5" t="str">
        <f t="shared" si="764"/>
        <v>NO APLICA</v>
      </c>
      <c r="MY225" s="2"/>
      <c r="MZ225" s="6"/>
      <c r="NA225" s="4"/>
      <c r="NB225" s="8"/>
      <c r="NC225" s="5" t="str">
        <f t="shared" si="765"/>
        <v>NO APLICA</v>
      </c>
      <c r="ND225" s="2"/>
      <c r="NE225" s="6"/>
      <c r="NF225" s="4"/>
      <c r="NG225" s="8"/>
      <c r="NH225" s="5" t="str">
        <f t="shared" si="766"/>
        <v>NO APLICA</v>
      </c>
      <c r="NI225" s="2"/>
      <c r="NJ225" s="6"/>
      <c r="NK225" s="4"/>
      <c r="NL225" s="8"/>
      <c r="NM225" s="5" t="str">
        <f t="shared" si="767"/>
        <v>NO APLICA</v>
      </c>
      <c r="NN225" s="2"/>
      <c r="NO225" s="2"/>
      <c r="NP225" s="4"/>
      <c r="NQ225" s="8"/>
      <c r="NR225" s="5" t="str">
        <f t="shared" si="768"/>
        <v>NO APLICA</v>
      </c>
      <c r="NS225" s="2"/>
      <c r="NT225" s="2"/>
      <c r="NU225" s="4"/>
      <c r="NV225" s="2"/>
      <c r="NW225" s="5" t="str">
        <f t="shared" si="769"/>
        <v>NO APLICA</v>
      </c>
      <c r="NX225" s="6"/>
      <c r="NY225" s="6"/>
      <c r="NZ225" s="4"/>
      <c r="OA225" s="8"/>
      <c r="OB225" s="5" t="str">
        <f t="shared" si="770"/>
        <v>NO APLICA</v>
      </c>
      <c r="OC225" s="6"/>
      <c r="OD225" s="6"/>
      <c r="OE225" s="6"/>
      <c r="OF225" s="6"/>
      <c r="OG225" s="5" t="str">
        <f t="shared" si="771"/>
        <v>NO APLICA</v>
      </c>
      <c r="OH225" s="6"/>
      <c r="OI225" s="6"/>
      <c r="OJ225" s="4"/>
      <c r="OK225" s="8"/>
      <c r="OL225" s="5" t="str">
        <f t="shared" si="772"/>
        <v>NO APLICA</v>
      </c>
      <c r="OM225" s="6"/>
      <c r="ON225" s="6"/>
      <c r="OO225" s="6"/>
      <c r="OP225" s="6"/>
      <c r="OQ225" s="5" t="str">
        <f t="shared" si="773"/>
        <v>NO APLICA</v>
      </c>
      <c r="OR225" s="6"/>
      <c r="OS225" s="6"/>
      <c r="OT225" s="6"/>
      <c r="OU225" s="6"/>
      <c r="OV225" s="5" t="str">
        <f t="shared" si="774"/>
        <v>NO APLICA</v>
      </c>
      <c r="OW225" s="6"/>
      <c r="OX225" s="6"/>
      <c r="OY225" s="6"/>
      <c r="OZ225" s="6"/>
      <c r="PA225" s="5" t="str">
        <f t="shared" si="788"/>
        <v>NO APLICA</v>
      </c>
      <c r="PB225" s="6"/>
      <c r="PC225" s="6"/>
      <c r="PD225" s="6"/>
      <c r="PE225" s="6"/>
      <c r="PF225" s="5" t="str">
        <f t="shared" si="775"/>
        <v>NO APLICA</v>
      </c>
      <c r="PG225" s="6"/>
      <c r="PH225" s="6"/>
      <c r="PI225" s="6"/>
      <c r="PJ225" s="6"/>
      <c r="PK225" s="5" t="str">
        <f t="shared" si="776"/>
        <v>NO APLICA</v>
      </c>
      <c r="PL225" s="5"/>
      <c r="PM225" s="6"/>
      <c r="PN225" s="4"/>
      <c r="PO225" s="8"/>
      <c r="PP225" s="5" t="str">
        <f t="shared" si="785"/>
        <v>NO APLICA</v>
      </c>
      <c r="PQ225" s="6"/>
      <c r="PR225" s="6"/>
      <c r="PS225" s="6"/>
      <c r="PT225" s="6"/>
      <c r="PU225" s="5" t="str">
        <f t="shared" si="77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7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677</v>
      </c>
      <c r="D226" s="30" t="s">
        <v>611</v>
      </c>
      <c r="E226" s="31" t="s">
        <v>678</v>
      </c>
      <c r="F226" s="3"/>
      <c r="G226" s="4"/>
      <c r="H226" s="4"/>
      <c r="I226" s="8"/>
      <c r="J226" s="5" t="str">
        <f t="shared" si="710"/>
        <v>NO APLICA</v>
      </c>
      <c r="K226" s="2"/>
      <c r="L226" s="2"/>
      <c r="M226" s="2"/>
      <c r="N226" s="2"/>
      <c r="O226" s="5" t="str">
        <f t="shared" si="713"/>
        <v>NO APLICA</v>
      </c>
      <c r="P226" s="6"/>
      <c r="Q226" s="6"/>
      <c r="R226" s="4"/>
      <c r="S226" s="8"/>
      <c r="T226" s="5" t="str">
        <f t="shared" si="711"/>
        <v>NO APLICA</v>
      </c>
      <c r="U226" s="5"/>
      <c r="V226" s="2"/>
      <c r="W226" s="4"/>
      <c r="X226" s="4"/>
      <c r="Y226" s="8"/>
      <c r="Z226" s="5" t="str">
        <f t="shared" si="619"/>
        <v>NO APLICA</v>
      </c>
      <c r="AA226" s="5"/>
      <c r="AB226" s="2"/>
      <c r="AC226" s="6"/>
      <c r="AD226" s="4"/>
      <c r="AE226" s="8"/>
      <c r="AF226" s="5" t="str">
        <f t="shared" si="714"/>
        <v>NO APLICA</v>
      </c>
      <c r="AG226" s="2"/>
      <c r="AH226" s="4"/>
      <c r="AI226" s="4"/>
      <c r="AJ226" s="8"/>
      <c r="AK226" s="5" t="str">
        <f t="shared" si="616"/>
        <v>NO APLICA</v>
      </c>
      <c r="AL226" s="2"/>
      <c r="AM226" s="4"/>
      <c r="AN226" s="4"/>
      <c r="AO226" s="8"/>
      <c r="AP226" s="5" t="str">
        <f t="shared" si="715"/>
        <v>NO APLICA</v>
      </c>
      <c r="AQ226" s="2"/>
      <c r="AR226" s="4"/>
      <c r="AS226" s="4"/>
      <c r="AT226" s="8"/>
      <c r="AU226" s="5" t="str">
        <f t="shared" si="716"/>
        <v>NO APLICA</v>
      </c>
      <c r="AV226" s="2"/>
      <c r="AW226" s="4"/>
      <c r="AX226" s="4"/>
      <c r="AY226" s="8"/>
      <c r="AZ226" s="5" t="str">
        <f t="shared" si="717"/>
        <v>NO APLICA</v>
      </c>
      <c r="BA226" s="3"/>
      <c r="BB226" s="4"/>
      <c r="BC226" s="4"/>
      <c r="BD226" s="8"/>
      <c r="BE226" s="5" t="str">
        <f t="shared" si="718"/>
        <v>NO APLICA</v>
      </c>
      <c r="BF226" s="2"/>
      <c r="BG226" s="4"/>
      <c r="BH226" s="4"/>
      <c r="BI226" s="8"/>
      <c r="BJ226" s="5" t="str">
        <f t="shared" si="719"/>
        <v>NO APLICA</v>
      </c>
      <c r="BK226" s="3"/>
      <c r="BL226" s="4"/>
      <c r="BM226" s="4"/>
      <c r="BN226" s="8"/>
      <c r="BO226" s="5" t="str">
        <f t="shared" si="720"/>
        <v>NO APLICA</v>
      </c>
      <c r="BP226" s="3"/>
      <c r="BQ226" s="4"/>
      <c r="BR226" s="4"/>
      <c r="BS226" s="8"/>
      <c r="BT226" s="5" t="str">
        <f t="shared" si="721"/>
        <v>NO APLICA</v>
      </c>
      <c r="BU226" s="2"/>
      <c r="BV226" s="4"/>
      <c r="BW226" s="4"/>
      <c r="BX226" s="8"/>
      <c r="BY226" s="5" t="str">
        <f t="shared" si="722"/>
        <v>NO APLICA</v>
      </c>
      <c r="BZ226" s="2"/>
      <c r="CA226" s="4"/>
      <c r="CB226" s="4"/>
      <c r="CC226" s="8"/>
      <c r="CD226" s="5" t="str">
        <f t="shared" si="723"/>
        <v>NO APLICA</v>
      </c>
      <c r="CE226" s="6"/>
      <c r="CF226" s="4"/>
      <c r="CG226" s="4"/>
      <c r="CH226" s="8"/>
      <c r="CI226" s="5" t="str">
        <f t="shared" si="789"/>
        <v>NO APLICA</v>
      </c>
      <c r="CJ226" s="6"/>
      <c r="CK226" s="4"/>
      <c r="CL226" s="4"/>
      <c r="CM226" s="8"/>
      <c r="CN226" s="5" t="str">
        <f t="shared" si="724"/>
        <v>NO APLICA</v>
      </c>
      <c r="CO226" s="2"/>
      <c r="CP226" s="4"/>
      <c r="CQ226" s="4"/>
      <c r="CR226" s="8"/>
      <c r="CS226" s="5" t="str">
        <f t="shared" si="725"/>
        <v>NO APLICA</v>
      </c>
      <c r="CT226" s="2"/>
      <c r="CU226" s="4"/>
      <c r="CV226" s="4"/>
      <c r="CW226" s="8"/>
      <c r="CX226" s="5" t="str">
        <f t="shared" si="726"/>
        <v>NO APLICA</v>
      </c>
      <c r="CY226" s="3"/>
      <c r="CZ226" s="4"/>
      <c r="DA226" s="4"/>
      <c r="DB226" s="8"/>
      <c r="DC226" s="5" t="str">
        <f t="shared" si="727"/>
        <v>NO APLICA</v>
      </c>
      <c r="DD226" s="3"/>
      <c r="DE226" s="4"/>
      <c r="DF226" s="4"/>
      <c r="DG226" s="8"/>
      <c r="DH226" s="5" t="str">
        <f t="shared" si="728"/>
        <v>NO APLICA</v>
      </c>
      <c r="DI226" s="2"/>
      <c r="DJ226" s="4"/>
      <c r="DK226" s="4"/>
      <c r="DL226" s="8"/>
      <c r="DM226" s="5" t="str">
        <f t="shared" si="729"/>
        <v>NO APLICA</v>
      </c>
      <c r="DN226" s="3"/>
      <c r="DO226" s="4"/>
      <c r="DP226" s="4"/>
      <c r="DQ226" s="8"/>
      <c r="DR226" s="5" t="str">
        <f t="shared" si="730"/>
        <v>NO APLICA</v>
      </c>
      <c r="DS226" s="2"/>
      <c r="DT226" s="4"/>
      <c r="DU226" s="4"/>
      <c r="DV226" s="8"/>
      <c r="DW226" s="5" t="str">
        <f t="shared" si="731"/>
        <v>NO APLICA</v>
      </c>
      <c r="DX226" s="3"/>
      <c r="DY226" s="4"/>
      <c r="DZ226" s="4"/>
      <c r="EA226" s="8"/>
      <c r="EB226" s="5" t="str">
        <f t="shared" si="732"/>
        <v>NO APLICA</v>
      </c>
      <c r="EC226" s="3"/>
      <c r="ED226" s="4"/>
      <c r="EE226" s="4"/>
      <c r="EF226" s="8"/>
      <c r="EG226" s="5" t="str">
        <f t="shared" si="733"/>
        <v>NO APLICA</v>
      </c>
      <c r="EH226" s="2"/>
      <c r="EI226" s="4"/>
      <c r="EJ226" s="4"/>
      <c r="EK226" s="8"/>
      <c r="EL226" s="5" t="str">
        <f t="shared" si="734"/>
        <v>NO APLICA</v>
      </c>
      <c r="EM226" s="3"/>
      <c r="EN226" s="4"/>
      <c r="EO226" s="4"/>
      <c r="EP226" s="8"/>
      <c r="EQ226" s="5" t="str">
        <f t="shared" si="735"/>
        <v>NO APLICA</v>
      </c>
      <c r="ER226" s="2"/>
      <c r="ES226" s="4"/>
      <c r="ET226" s="4"/>
      <c r="EU226" s="8"/>
      <c r="EV226" s="5" t="str">
        <f t="shared" si="736"/>
        <v>NO APLICA</v>
      </c>
      <c r="EW226" s="2"/>
      <c r="EX226" s="4"/>
      <c r="EY226" s="4"/>
      <c r="EZ226" s="8"/>
      <c r="FA226" s="5" t="str">
        <f t="shared" si="737"/>
        <v>NO APLICA</v>
      </c>
      <c r="FB226" s="2"/>
      <c r="FC226" s="4"/>
      <c r="FD226" s="4"/>
      <c r="FE226" s="8"/>
      <c r="FF226" s="5" t="str">
        <f t="shared" si="738"/>
        <v>NO APLICA</v>
      </c>
      <c r="FG226" s="2"/>
      <c r="FH226" s="4"/>
      <c r="FI226" s="4"/>
      <c r="FJ226" s="8"/>
      <c r="FK226" s="5" t="str">
        <f t="shared" si="739"/>
        <v>NO APLICA</v>
      </c>
      <c r="FL226" s="3"/>
      <c r="FM226" s="4"/>
      <c r="FN226" s="4"/>
      <c r="FO226" s="8"/>
      <c r="FP226" s="5" t="str">
        <f t="shared" si="740"/>
        <v>NO APLICA</v>
      </c>
      <c r="FQ226" s="3"/>
      <c r="FR226" s="4"/>
      <c r="FS226" s="4"/>
      <c r="FT226" s="8"/>
      <c r="FU226" s="5" t="str">
        <f t="shared" si="741"/>
        <v>NO APLICA</v>
      </c>
      <c r="FV226" s="3"/>
      <c r="FW226" s="4"/>
      <c r="FX226" s="4"/>
      <c r="FY226" s="8"/>
      <c r="FZ226" s="5" t="str">
        <f t="shared" si="742"/>
        <v>NO APLICA</v>
      </c>
      <c r="GA226" s="3"/>
      <c r="GB226" s="4"/>
      <c r="GC226" s="4"/>
      <c r="GD226" s="8"/>
      <c r="GE226" s="5" t="str">
        <f t="shared" si="743"/>
        <v>NO APLICA</v>
      </c>
      <c r="GF226" s="3"/>
      <c r="GG226" s="4"/>
      <c r="GH226" s="4"/>
      <c r="GI226" s="8"/>
      <c r="GJ226" s="5" t="str">
        <f t="shared" si="744"/>
        <v>NO APLICA</v>
      </c>
      <c r="GK226" s="3"/>
      <c r="GL226" s="4"/>
      <c r="GM226" s="4"/>
      <c r="GN226" s="8"/>
      <c r="GO226" s="5" t="str">
        <f t="shared" si="745"/>
        <v>NO APLICA</v>
      </c>
      <c r="GP226" s="4"/>
      <c r="GQ226" s="4"/>
      <c r="GR226" s="4"/>
      <c r="GS226" s="8"/>
      <c r="GT226" s="5" t="str">
        <f t="shared" si="624"/>
        <v>NO APLICA</v>
      </c>
      <c r="GU226" s="3"/>
      <c r="GV226" s="4"/>
      <c r="GW226" s="4"/>
      <c r="GX226" s="8"/>
      <c r="GY226" s="5" t="str">
        <f t="shared" si="625"/>
        <v>NO APLICA</v>
      </c>
      <c r="GZ226" s="2"/>
      <c r="HA226" s="4"/>
      <c r="HB226" s="4"/>
      <c r="HC226" s="8"/>
      <c r="HD226" s="5" t="str">
        <f t="shared" si="626"/>
        <v>NO APLICA</v>
      </c>
      <c r="HE226" s="6"/>
      <c r="HF226" s="6"/>
      <c r="HG226" s="4"/>
      <c r="HH226" s="8"/>
      <c r="HI226" s="5" t="str">
        <f t="shared" si="712"/>
        <v>NO APLICA</v>
      </c>
      <c r="HJ226" s="2"/>
      <c r="HK226" s="6"/>
      <c r="HL226" s="4"/>
      <c r="HM226" s="8"/>
      <c r="HN226" s="5" t="str">
        <f t="shared" si="708"/>
        <v>NO APLICA</v>
      </c>
      <c r="HO226" s="2"/>
      <c r="HP226" s="2"/>
      <c r="HQ226" s="4"/>
      <c r="HR226" s="2"/>
      <c r="HS226" s="5" t="str">
        <f t="shared" si="746"/>
        <v>NO APLICA</v>
      </c>
      <c r="HT226" s="2"/>
      <c r="HU226" s="6"/>
      <c r="HV226" s="4"/>
      <c r="HW226" s="8"/>
      <c r="HX226" s="5" t="str">
        <f t="shared" si="747"/>
        <v>NO APLICA</v>
      </c>
      <c r="HY226" s="2"/>
      <c r="HZ226" s="6"/>
      <c r="IA226" s="4"/>
      <c r="IB226" s="8"/>
      <c r="IC226" s="5" t="str">
        <f t="shared" si="748"/>
        <v>NO APLICA</v>
      </c>
      <c r="ID226" s="2"/>
      <c r="IE226" s="6"/>
      <c r="IF226" s="4"/>
      <c r="IG226" s="8"/>
      <c r="IH226" s="5" t="str">
        <f t="shared" si="749"/>
        <v>NO APLICA</v>
      </c>
      <c r="II226" s="6"/>
      <c r="IJ226" s="6"/>
      <c r="IK226" s="4"/>
      <c r="IL226" s="8"/>
      <c r="IM226" s="5" t="str">
        <f t="shared" si="750"/>
        <v>NO APLICA</v>
      </c>
      <c r="IN226" s="2"/>
      <c r="IO226" s="6"/>
      <c r="IP226" s="4"/>
      <c r="IQ226" s="8"/>
      <c r="IR226" s="5" t="str">
        <f t="shared" si="751"/>
        <v>NO APLICA</v>
      </c>
      <c r="IS226" s="2"/>
      <c r="IT226" s="6"/>
      <c r="IU226" s="4"/>
      <c r="IV226" s="8"/>
      <c r="IW226" s="5" t="str">
        <f t="shared" si="752"/>
        <v>NO APLICA</v>
      </c>
      <c r="IX226" s="2"/>
      <c r="IY226" s="6"/>
      <c r="IZ226" s="4"/>
      <c r="JA226" s="8"/>
      <c r="JB226" s="5" t="str">
        <f t="shared" si="753"/>
        <v>NO APLICA</v>
      </c>
      <c r="JC226" s="3"/>
      <c r="JD226" s="3"/>
      <c r="JE226" s="4"/>
      <c r="JF226" s="8"/>
      <c r="JG226" s="5" t="str">
        <f t="shared" si="754"/>
        <v>NO APLICA</v>
      </c>
      <c r="JH226" s="6"/>
      <c r="JI226" s="6"/>
      <c r="JJ226" s="6"/>
      <c r="JK226" s="6"/>
      <c r="JL226" s="5" t="str">
        <f t="shared" si="755"/>
        <v>NO APLICA</v>
      </c>
      <c r="JM226" s="6"/>
      <c r="JN226" s="6"/>
      <c r="JO226" s="6"/>
      <c r="JP226" s="6"/>
      <c r="JQ226" s="5" t="str">
        <f t="shared" si="756"/>
        <v>NO APLICA</v>
      </c>
      <c r="JR226" s="6"/>
      <c r="JS226" s="6"/>
      <c r="JT226" s="6"/>
      <c r="JU226" s="6"/>
      <c r="JV226" s="5" t="str">
        <f t="shared" si="757"/>
        <v>NO APLICA</v>
      </c>
      <c r="JW226" s="5"/>
      <c r="JX226" s="5"/>
      <c r="JY226" s="5"/>
      <c r="JZ226" s="5"/>
      <c r="KA226" s="5" t="str">
        <f t="shared" si="758"/>
        <v>NO APLICA</v>
      </c>
      <c r="KB226" s="5"/>
      <c r="KC226" s="2"/>
      <c r="KD226" s="4"/>
      <c r="KE226" s="8"/>
      <c r="KF226" s="5" t="str">
        <f t="shared" si="759"/>
        <v>NO APLICA</v>
      </c>
      <c r="KG226" s="5"/>
      <c r="KH226" s="2"/>
      <c r="KI226" s="4"/>
      <c r="KJ226" s="8"/>
      <c r="KK226" s="5" t="str">
        <f t="shared" si="779"/>
        <v>NO APLICA</v>
      </c>
      <c r="KL226" s="5"/>
      <c r="KM226" s="2"/>
      <c r="KN226" s="4"/>
      <c r="KO226" s="8"/>
      <c r="KP226" s="5" t="str">
        <f t="shared" si="760"/>
        <v>NO APLICA</v>
      </c>
      <c r="KQ226" s="5"/>
      <c r="KR226" s="2"/>
      <c r="KS226" s="4"/>
      <c r="KT226" s="8"/>
      <c r="KU226" s="5" t="str">
        <f t="shared" si="780"/>
        <v>NO APLICA</v>
      </c>
      <c r="KV226" s="2"/>
      <c r="KW226" s="6"/>
      <c r="KX226" s="4"/>
      <c r="KY226" s="8"/>
      <c r="KZ226" s="5" t="str">
        <f t="shared" si="786"/>
        <v>NO APLICA</v>
      </c>
      <c r="LA226" s="5"/>
      <c r="LB226" s="6"/>
      <c r="LC226" s="4"/>
      <c r="LD226" s="8"/>
      <c r="LE226" s="5" t="str">
        <f t="shared" si="781"/>
        <v>NO APLICA</v>
      </c>
      <c r="LF226" s="6"/>
      <c r="LG226" s="6"/>
      <c r="LH226" s="4"/>
      <c r="LI226" s="8"/>
      <c r="LJ226" s="5" t="str">
        <f t="shared" si="614"/>
        <v>NO APLICA</v>
      </c>
      <c r="LK226" s="5"/>
      <c r="LL226" s="5"/>
      <c r="LM226" s="4"/>
      <c r="LN226" s="8"/>
      <c r="LO226" s="5" t="str">
        <f t="shared" si="787"/>
        <v>NO APLICA</v>
      </c>
      <c r="LP226" s="2"/>
      <c r="LQ226" s="6"/>
      <c r="LR226" s="4"/>
      <c r="LS226" s="8"/>
      <c r="LT226" s="5" t="str">
        <f t="shared" si="782"/>
        <v>NO APLICA</v>
      </c>
      <c r="LU226" s="6"/>
      <c r="LV226" s="6"/>
      <c r="LW226" s="4"/>
      <c r="LX226" s="8"/>
      <c r="LY226" s="5" t="str">
        <f t="shared" si="783"/>
        <v>NO APLICA</v>
      </c>
      <c r="LZ226" s="6"/>
      <c r="MA226" s="6"/>
      <c r="MB226" s="4"/>
      <c r="MC226" s="8"/>
      <c r="MD226" s="5" t="str">
        <f t="shared" si="784"/>
        <v>NO APLICA</v>
      </c>
      <c r="ME226" s="2"/>
      <c r="MF226" s="2"/>
      <c r="MG226" s="4"/>
      <c r="MH226" s="8"/>
      <c r="MI226" s="5" t="str">
        <f t="shared" si="761"/>
        <v>NO APLICA</v>
      </c>
      <c r="MJ226" s="2"/>
      <c r="MK226" s="2"/>
      <c r="ML226" s="4"/>
      <c r="MM226" s="8"/>
      <c r="MN226" s="5" t="str">
        <f t="shared" si="762"/>
        <v>NO APLICA</v>
      </c>
      <c r="MO226" s="5"/>
      <c r="MP226" s="2"/>
      <c r="MQ226" s="4"/>
      <c r="MR226" s="8"/>
      <c r="MS226" s="5" t="str">
        <f t="shared" si="763"/>
        <v>NO APLICA</v>
      </c>
      <c r="MT226" s="5"/>
      <c r="MU226" s="2"/>
      <c r="MV226" s="4"/>
      <c r="MW226" s="2"/>
      <c r="MX226" s="5" t="str">
        <f t="shared" si="764"/>
        <v>NO APLICA</v>
      </c>
      <c r="MY226" s="2"/>
      <c r="MZ226" s="6"/>
      <c r="NA226" s="4"/>
      <c r="NB226" s="8"/>
      <c r="NC226" s="5" t="str">
        <f t="shared" si="765"/>
        <v>NO APLICA</v>
      </c>
      <c r="ND226" s="2"/>
      <c r="NE226" s="6"/>
      <c r="NF226" s="4"/>
      <c r="NG226" s="8"/>
      <c r="NH226" s="5" t="str">
        <f t="shared" si="766"/>
        <v>NO APLICA</v>
      </c>
      <c r="NI226" s="2"/>
      <c r="NJ226" s="6"/>
      <c r="NK226" s="4"/>
      <c r="NL226" s="8"/>
      <c r="NM226" s="5" t="str">
        <f t="shared" si="767"/>
        <v>NO APLICA</v>
      </c>
      <c r="NN226" s="2"/>
      <c r="NO226" s="2"/>
      <c r="NP226" s="4"/>
      <c r="NQ226" s="8"/>
      <c r="NR226" s="5" t="str">
        <f t="shared" si="768"/>
        <v>NO APLICA</v>
      </c>
      <c r="NS226" s="2"/>
      <c r="NT226" s="2"/>
      <c r="NU226" s="4"/>
      <c r="NV226" s="2"/>
      <c r="NW226" s="5" t="str">
        <f t="shared" si="769"/>
        <v>NO APLICA</v>
      </c>
      <c r="NX226" s="6"/>
      <c r="NY226" s="6"/>
      <c r="NZ226" s="4"/>
      <c r="OA226" s="8"/>
      <c r="OB226" s="5" t="str">
        <f t="shared" si="770"/>
        <v>NO APLICA</v>
      </c>
      <c r="OC226" s="6"/>
      <c r="OD226" s="6"/>
      <c r="OE226" s="6"/>
      <c r="OF226" s="6"/>
      <c r="OG226" s="5" t="str">
        <f t="shared" si="771"/>
        <v>NO APLICA</v>
      </c>
      <c r="OH226" s="6"/>
      <c r="OI226" s="6"/>
      <c r="OJ226" s="4"/>
      <c r="OK226" s="8"/>
      <c r="OL226" s="5" t="str">
        <f t="shared" si="772"/>
        <v>NO APLICA</v>
      </c>
      <c r="OM226" s="6"/>
      <c r="ON226" s="6"/>
      <c r="OO226" s="6"/>
      <c r="OP226" s="6"/>
      <c r="OQ226" s="5" t="str">
        <f t="shared" si="773"/>
        <v>NO APLICA</v>
      </c>
      <c r="OR226" s="6"/>
      <c r="OS226" s="6"/>
      <c r="OT226" s="6"/>
      <c r="OU226" s="6"/>
      <c r="OV226" s="5" t="str">
        <f t="shared" si="77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75"/>
        <v>NO APLICA</v>
      </c>
      <c r="PG226" s="6"/>
      <c r="PH226" s="6"/>
      <c r="PI226" s="6"/>
      <c r="PJ226" s="6"/>
      <c r="PK226" s="5" t="str">
        <f t="shared" si="776"/>
        <v>NO APLICA</v>
      </c>
      <c r="PL226" s="5"/>
      <c r="PM226" s="6"/>
      <c r="PN226" s="4"/>
      <c r="PO226" s="8"/>
      <c r="PP226" s="5" t="str">
        <f t="shared" si="785"/>
        <v>NO APLICA</v>
      </c>
      <c r="PQ226" s="6"/>
      <c r="PR226" s="6"/>
      <c r="PS226" s="6"/>
      <c r="PT226" s="6"/>
      <c r="PU226" s="5" t="str">
        <f t="shared" si="777"/>
        <v>NO APLICA</v>
      </c>
      <c r="PV226" s="5"/>
      <c r="PW226" s="6"/>
      <c r="PX226" s="6"/>
      <c r="PY226" s="6"/>
      <c r="PZ226" s="5" t="str">
        <f t="shared" si="77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679</v>
      </c>
      <c r="D227" s="30" t="s">
        <v>611</v>
      </c>
      <c r="E227" s="31" t="s">
        <v>680</v>
      </c>
      <c r="F227" s="3"/>
      <c r="G227" s="4"/>
      <c r="H227" s="4"/>
      <c r="I227" s="8"/>
      <c r="J227" s="5" t="str">
        <f t="shared" si="710"/>
        <v>NO APLICA</v>
      </c>
      <c r="K227" s="2"/>
      <c r="L227" s="2"/>
      <c r="M227" s="2"/>
      <c r="N227" s="2"/>
      <c r="O227" s="5" t="str">
        <f t="shared" si="713"/>
        <v>NO APLICA</v>
      </c>
      <c r="P227" s="6"/>
      <c r="Q227" s="6"/>
      <c r="R227" s="4"/>
      <c r="S227" s="8"/>
      <c r="T227" s="5" t="str">
        <f t="shared" si="711"/>
        <v>NO APLICA</v>
      </c>
      <c r="U227" s="5"/>
      <c r="V227" s="2"/>
      <c r="W227" s="4"/>
      <c r="X227" s="4"/>
      <c r="Y227" s="8"/>
      <c r="Z227" s="5" t="str">
        <f t="shared" si="619"/>
        <v>NO APLICA</v>
      </c>
      <c r="AA227" s="5"/>
      <c r="AB227" s="2"/>
      <c r="AC227" s="6"/>
      <c r="AD227" s="4"/>
      <c r="AE227" s="8"/>
      <c r="AF227" s="5" t="str">
        <f t="shared" si="714"/>
        <v>NO APLICA</v>
      </c>
      <c r="AG227" s="2"/>
      <c r="AH227" s="4"/>
      <c r="AI227" s="4"/>
      <c r="AJ227" s="8"/>
      <c r="AK227" s="5" t="str">
        <f t="shared" si="616"/>
        <v>NO APLICA</v>
      </c>
      <c r="AL227" s="2"/>
      <c r="AM227" s="4"/>
      <c r="AN227" s="4"/>
      <c r="AO227" s="8"/>
      <c r="AP227" s="5" t="str">
        <f t="shared" si="715"/>
        <v>NO APLICA</v>
      </c>
      <c r="AQ227" s="2"/>
      <c r="AR227" s="4"/>
      <c r="AS227" s="4"/>
      <c r="AT227" s="8"/>
      <c r="AU227" s="5" t="str">
        <f t="shared" si="716"/>
        <v>NO APLICA</v>
      </c>
      <c r="AV227" s="2"/>
      <c r="AW227" s="4"/>
      <c r="AX227" s="4"/>
      <c r="AY227" s="8"/>
      <c r="AZ227" s="5" t="str">
        <f t="shared" si="717"/>
        <v>NO APLICA</v>
      </c>
      <c r="BA227" s="3"/>
      <c r="BB227" s="4"/>
      <c r="BC227" s="4"/>
      <c r="BD227" s="8"/>
      <c r="BE227" s="5" t="str">
        <f t="shared" si="718"/>
        <v>NO APLICA</v>
      </c>
      <c r="BF227" s="2"/>
      <c r="BG227" s="4"/>
      <c r="BH227" s="4"/>
      <c r="BI227" s="8"/>
      <c r="BJ227" s="5" t="str">
        <f t="shared" si="719"/>
        <v>NO APLICA</v>
      </c>
      <c r="BK227" s="3"/>
      <c r="BL227" s="4"/>
      <c r="BM227" s="4"/>
      <c r="BN227" s="8"/>
      <c r="BO227" s="5" t="str">
        <f t="shared" si="720"/>
        <v>NO APLICA</v>
      </c>
      <c r="BP227" s="3"/>
      <c r="BQ227" s="4"/>
      <c r="BR227" s="4"/>
      <c r="BS227" s="8"/>
      <c r="BT227" s="5" t="str">
        <f t="shared" si="721"/>
        <v>NO APLICA</v>
      </c>
      <c r="BU227" s="2"/>
      <c r="BV227" s="4"/>
      <c r="BW227" s="4"/>
      <c r="BX227" s="8"/>
      <c r="BY227" s="5" t="str">
        <f t="shared" si="722"/>
        <v>NO APLICA</v>
      </c>
      <c r="BZ227" s="2"/>
      <c r="CA227" s="4"/>
      <c r="CB227" s="4"/>
      <c r="CC227" s="8"/>
      <c r="CD227" s="5" t="str">
        <f t="shared" si="723"/>
        <v>NO APLICA</v>
      </c>
      <c r="CE227" s="6"/>
      <c r="CF227" s="4"/>
      <c r="CG227" s="4"/>
      <c r="CH227" s="8"/>
      <c r="CI227" s="5" t="str">
        <f t="shared" si="789"/>
        <v>NO APLICA</v>
      </c>
      <c r="CJ227" s="6"/>
      <c r="CK227" s="4"/>
      <c r="CL227" s="4"/>
      <c r="CM227" s="8"/>
      <c r="CN227" s="5" t="str">
        <f t="shared" si="724"/>
        <v>NO APLICA</v>
      </c>
      <c r="CO227" s="2"/>
      <c r="CP227" s="4"/>
      <c r="CQ227" s="4"/>
      <c r="CR227" s="8"/>
      <c r="CS227" s="5" t="str">
        <f t="shared" si="725"/>
        <v>NO APLICA</v>
      </c>
      <c r="CT227" s="2"/>
      <c r="CU227" s="4"/>
      <c r="CV227" s="4"/>
      <c r="CW227" s="8"/>
      <c r="CX227" s="5" t="str">
        <f t="shared" si="726"/>
        <v>NO APLICA</v>
      </c>
      <c r="CY227" s="3"/>
      <c r="CZ227" s="4"/>
      <c r="DA227" s="4"/>
      <c r="DB227" s="8"/>
      <c r="DC227" s="5" t="str">
        <f t="shared" si="727"/>
        <v>NO APLICA</v>
      </c>
      <c r="DD227" s="3"/>
      <c r="DE227" s="4"/>
      <c r="DF227" s="4"/>
      <c r="DG227" s="8"/>
      <c r="DH227" s="5" t="str">
        <f t="shared" si="728"/>
        <v>NO APLICA</v>
      </c>
      <c r="DI227" s="2"/>
      <c r="DJ227" s="4"/>
      <c r="DK227" s="4"/>
      <c r="DL227" s="8"/>
      <c r="DM227" s="5" t="str">
        <f t="shared" si="729"/>
        <v>NO APLICA</v>
      </c>
      <c r="DN227" s="3"/>
      <c r="DO227" s="4"/>
      <c r="DP227" s="4"/>
      <c r="DQ227" s="8"/>
      <c r="DR227" s="5" t="str">
        <f t="shared" si="730"/>
        <v>NO APLICA</v>
      </c>
      <c r="DS227" s="2"/>
      <c r="DT227" s="4"/>
      <c r="DU227" s="4"/>
      <c r="DV227" s="8"/>
      <c r="DW227" s="5" t="str">
        <f t="shared" si="731"/>
        <v>NO APLICA</v>
      </c>
      <c r="DX227" s="3"/>
      <c r="DY227" s="4"/>
      <c r="DZ227" s="4"/>
      <c r="EA227" s="8"/>
      <c r="EB227" s="5" t="str">
        <f t="shared" si="732"/>
        <v>NO APLICA</v>
      </c>
      <c r="EC227" s="3"/>
      <c r="ED227" s="4"/>
      <c r="EE227" s="4"/>
      <c r="EF227" s="8"/>
      <c r="EG227" s="5" t="str">
        <f t="shared" si="733"/>
        <v>NO APLICA</v>
      </c>
      <c r="EH227" s="2"/>
      <c r="EI227" s="4"/>
      <c r="EJ227" s="4"/>
      <c r="EK227" s="8"/>
      <c r="EL227" s="5" t="str">
        <f t="shared" si="734"/>
        <v>NO APLICA</v>
      </c>
      <c r="EM227" s="3"/>
      <c r="EN227" s="4"/>
      <c r="EO227" s="4"/>
      <c r="EP227" s="8"/>
      <c r="EQ227" s="5" t="str">
        <f t="shared" si="735"/>
        <v>NO APLICA</v>
      </c>
      <c r="ER227" s="2"/>
      <c r="ES227" s="4"/>
      <c r="ET227" s="4"/>
      <c r="EU227" s="8"/>
      <c r="EV227" s="5" t="str">
        <f t="shared" si="736"/>
        <v>NO APLICA</v>
      </c>
      <c r="EW227" s="2"/>
      <c r="EX227" s="4"/>
      <c r="EY227" s="4"/>
      <c r="EZ227" s="8"/>
      <c r="FA227" s="5" t="str">
        <f t="shared" si="737"/>
        <v>NO APLICA</v>
      </c>
      <c r="FB227" s="2"/>
      <c r="FC227" s="4"/>
      <c r="FD227" s="4"/>
      <c r="FE227" s="8"/>
      <c r="FF227" s="5" t="str">
        <f t="shared" si="738"/>
        <v>NO APLICA</v>
      </c>
      <c r="FG227" s="2"/>
      <c r="FH227" s="4"/>
      <c r="FI227" s="4"/>
      <c r="FJ227" s="8"/>
      <c r="FK227" s="5" t="str">
        <f t="shared" si="739"/>
        <v>NO APLICA</v>
      </c>
      <c r="FL227" s="3"/>
      <c r="FM227" s="4"/>
      <c r="FN227" s="4"/>
      <c r="FO227" s="8"/>
      <c r="FP227" s="5" t="str">
        <f t="shared" si="740"/>
        <v>NO APLICA</v>
      </c>
      <c r="FQ227" s="3"/>
      <c r="FR227" s="4"/>
      <c r="FS227" s="4"/>
      <c r="FT227" s="8"/>
      <c r="FU227" s="5" t="str">
        <f t="shared" si="741"/>
        <v>NO APLICA</v>
      </c>
      <c r="FV227" s="3"/>
      <c r="FW227" s="4"/>
      <c r="FX227" s="4"/>
      <c r="FY227" s="8"/>
      <c r="FZ227" s="5" t="str">
        <f t="shared" si="742"/>
        <v>NO APLICA</v>
      </c>
      <c r="GA227" s="3"/>
      <c r="GB227" s="4"/>
      <c r="GC227" s="4"/>
      <c r="GD227" s="8"/>
      <c r="GE227" s="5" t="str">
        <f t="shared" si="743"/>
        <v>NO APLICA</v>
      </c>
      <c r="GF227" s="3"/>
      <c r="GG227" s="4"/>
      <c r="GH227" s="4"/>
      <c r="GI227" s="8"/>
      <c r="GJ227" s="5" t="str">
        <f t="shared" si="744"/>
        <v>NO APLICA</v>
      </c>
      <c r="GK227" s="3"/>
      <c r="GL227" s="4"/>
      <c r="GM227" s="4"/>
      <c r="GN227" s="8"/>
      <c r="GO227" s="5" t="str">
        <f t="shared" si="745"/>
        <v>NO APLICA</v>
      </c>
      <c r="GP227" s="4"/>
      <c r="GQ227" s="4"/>
      <c r="GR227" s="4"/>
      <c r="GS227" s="8"/>
      <c r="GT227" s="5" t="str">
        <f t="shared" si="624"/>
        <v>NO APLICA</v>
      </c>
      <c r="GU227" s="3"/>
      <c r="GV227" s="4"/>
      <c r="GW227" s="4"/>
      <c r="GX227" s="8"/>
      <c r="GY227" s="5" t="str">
        <f t="shared" si="625"/>
        <v>NO APLICA</v>
      </c>
      <c r="GZ227" s="2"/>
      <c r="HA227" s="4"/>
      <c r="HB227" s="4"/>
      <c r="HC227" s="8"/>
      <c r="HD227" s="5" t="str">
        <f t="shared" si="626"/>
        <v>NO APLICA</v>
      </c>
      <c r="HE227" s="6"/>
      <c r="HF227" s="6"/>
      <c r="HG227" s="4"/>
      <c r="HH227" s="8"/>
      <c r="HI227" s="5" t="str">
        <f t="shared" si="712"/>
        <v>NO APLICA</v>
      </c>
      <c r="HJ227" s="2"/>
      <c r="HK227" s="6"/>
      <c r="HL227" s="4"/>
      <c r="HM227" s="8"/>
      <c r="HN227" s="5" t="str">
        <f t="shared" si="708"/>
        <v>NO APLICA</v>
      </c>
      <c r="HO227" s="2"/>
      <c r="HP227" s="2"/>
      <c r="HQ227" s="4"/>
      <c r="HR227" s="2"/>
      <c r="HS227" s="5" t="str">
        <f t="shared" si="746"/>
        <v>NO APLICA</v>
      </c>
      <c r="HT227" s="2"/>
      <c r="HU227" s="6"/>
      <c r="HV227" s="4"/>
      <c r="HW227" s="8"/>
      <c r="HX227" s="5" t="str">
        <f t="shared" si="747"/>
        <v>NO APLICA</v>
      </c>
      <c r="HY227" s="2"/>
      <c r="HZ227" s="6"/>
      <c r="IA227" s="4"/>
      <c r="IB227" s="8"/>
      <c r="IC227" s="5" t="str">
        <f t="shared" si="748"/>
        <v>NO APLICA</v>
      </c>
      <c r="ID227" s="2"/>
      <c r="IE227" s="6"/>
      <c r="IF227" s="4"/>
      <c r="IG227" s="8"/>
      <c r="IH227" s="5" t="str">
        <f t="shared" si="749"/>
        <v>NO APLICA</v>
      </c>
      <c r="II227" s="6"/>
      <c r="IJ227" s="6"/>
      <c r="IK227" s="4"/>
      <c r="IL227" s="8"/>
      <c r="IM227" s="5" t="str">
        <f t="shared" si="750"/>
        <v>NO APLICA</v>
      </c>
      <c r="IN227" s="2"/>
      <c r="IO227" s="6"/>
      <c r="IP227" s="4"/>
      <c r="IQ227" s="8"/>
      <c r="IR227" s="5" t="str">
        <f t="shared" si="751"/>
        <v>NO APLICA</v>
      </c>
      <c r="IS227" s="2"/>
      <c r="IT227" s="6"/>
      <c r="IU227" s="4"/>
      <c r="IV227" s="8"/>
      <c r="IW227" s="5" t="str">
        <f t="shared" si="752"/>
        <v>NO APLICA</v>
      </c>
      <c r="IX227" s="2"/>
      <c r="IY227" s="6"/>
      <c r="IZ227" s="4"/>
      <c r="JA227" s="8"/>
      <c r="JB227" s="5" t="str">
        <f t="shared" si="753"/>
        <v>NO APLICA</v>
      </c>
      <c r="JC227" s="3"/>
      <c r="JD227" s="3"/>
      <c r="JE227" s="4"/>
      <c r="JF227" s="8"/>
      <c r="JG227" s="5" t="str">
        <f t="shared" si="754"/>
        <v>NO APLICA</v>
      </c>
      <c r="JH227" s="6"/>
      <c r="JI227" s="6"/>
      <c r="JJ227" s="6"/>
      <c r="JK227" s="6"/>
      <c r="JL227" s="5" t="str">
        <f t="shared" si="755"/>
        <v>NO APLICA</v>
      </c>
      <c r="JM227" s="6"/>
      <c r="JN227" s="6"/>
      <c r="JO227" s="6"/>
      <c r="JP227" s="6"/>
      <c r="JQ227" s="5" t="str">
        <f t="shared" si="756"/>
        <v>NO APLICA</v>
      </c>
      <c r="JR227" s="6"/>
      <c r="JS227" s="6"/>
      <c r="JT227" s="6"/>
      <c r="JU227" s="6"/>
      <c r="JV227" s="5" t="str">
        <f t="shared" si="757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59"/>
        <v>NO APLICA</v>
      </c>
      <c r="KG227" s="5"/>
      <c r="KH227" s="2"/>
      <c r="KI227" s="4"/>
      <c r="KJ227" s="8"/>
      <c r="KK227" s="5" t="str">
        <f t="shared" si="779"/>
        <v>NO APLICA</v>
      </c>
      <c r="KL227" s="5"/>
      <c r="KM227" s="2"/>
      <c r="KN227" s="4"/>
      <c r="KO227" s="8"/>
      <c r="KP227" s="5" t="str">
        <f t="shared" si="760"/>
        <v>NO APLICA</v>
      </c>
      <c r="KQ227" s="5"/>
      <c r="KR227" s="2"/>
      <c r="KS227" s="4"/>
      <c r="KT227" s="8"/>
      <c r="KU227" s="5" t="str">
        <f t="shared" si="780"/>
        <v>NO APLICA</v>
      </c>
      <c r="KV227" s="2"/>
      <c r="KW227" s="6"/>
      <c r="KX227" s="4"/>
      <c r="KY227" s="8"/>
      <c r="KZ227" s="5" t="str">
        <f t="shared" si="786"/>
        <v>NO APLICA</v>
      </c>
      <c r="LA227" s="5"/>
      <c r="LB227" s="6"/>
      <c r="LC227" s="4"/>
      <c r="LD227" s="8"/>
      <c r="LE227" s="5" t="str">
        <f t="shared" si="781"/>
        <v>NO APLICA</v>
      </c>
      <c r="LF227" s="6"/>
      <c r="LG227" s="6"/>
      <c r="LH227" s="4"/>
      <c r="LI227" s="8"/>
      <c r="LJ227" s="5" t="str">
        <f t="shared" si="614"/>
        <v>NO APLICA</v>
      </c>
      <c r="LK227" s="5"/>
      <c r="LL227" s="5"/>
      <c r="LM227" s="4"/>
      <c r="LN227" s="8"/>
      <c r="LO227" s="5" t="str">
        <f t="shared" si="787"/>
        <v>NO APLICA</v>
      </c>
      <c r="LP227" s="2"/>
      <c r="LQ227" s="6"/>
      <c r="LR227" s="4"/>
      <c r="LS227" s="8"/>
      <c r="LT227" s="5" t="str">
        <f t="shared" si="782"/>
        <v>NO APLICA</v>
      </c>
      <c r="LU227" s="6"/>
      <c r="LV227" s="6"/>
      <c r="LW227" s="4"/>
      <c r="LX227" s="8"/>
      <c r="LY227" s="5" t="str">
        <f t="shared" si="783"/>
        <v>NO APLICA</v>
      </c>
      <c r="LZ227" s="6"/>
      <c r="MA227" s="6"/>
      <c r="MB227" s="4"/>
      <c r="MC227" s="8"/>
      <c r="MD227" s="5" t="str">
        <f t="shared" si="784"/>
        <v>NO APLICA</v>
      </c>
      <c r="ME227" s="2"/>
      <c r="MF227" s="2"/>
      <c r="MG227" s="4"/>
      <c r="MH227" s="8"/>
      <c r="MI227" s="5" t="str">
        <f t="shared" si="761"/>
        <v>NO APLICA</v>
      </c>
      <c r="MJ227" s="2"/>
      <c r="MK227" s="2"/>
      <c r="ML227" s="4"/>
      <c r="MM227" s="8"/>
      <c r="MN227" s="5" t="str">
        <f t="shared" si="762"/>
        <v>NO APLICA</v>
      </c>
      <c r="MO227" s="5"/>
      <c r="MP227" s="2"/>
      <c r="MQ227" s="4"/>
      <c r="MR227" s="8"/>
      <c r="MS227" s="5" t="str">
        <f t="shared" si="763"/>
        <v>NO APLICA</v>
      </c>
      <c r="MT227" s="5"/>
      <c r="MU227" s="2"/>
      <c r="MV227" s="4"/>
      <c r="MW227" s="2"/>
      <c r="MX227" s="5" t="str">
        <f t="shared" si="764"/>
        <v>NO APLICA</v>
      </c>
      <c r="MY227" s="2"/>
      <c r="MZ227" s="6"/>
      <c r="NA227" s="4"/>
      <c r="NB227" s="8"/>
      <c r="NC227" s="5" t="str">
        <f t="shared" si="765"/>
        <v>NO APLICA</v>
      </c>
      <c r="ND227" s="2"/>
      <c r="NE227" s="6"/>
      <c r="NF227" s="4"/>
      <c r="NG227" s="8"/>
      <c r="NH227" s="5" t="str">
        <f t="shared" si="766"/>
        <v>NO APLICA</v>
      </c>
      <c r="NI227" s="2"/>
      <c r="NJ227" s="6"/>
      <c r="NK227" s="4"/>
      <c r="NL227" s="8"/>
      <c r="NM227" s="5" t="str">
        <f t="shared" si="767"/>
        <v>NO APLICA</v>
      </c>
      <c r="NN227" s="2"/>
      <c r="NO227" s="2"/>
      <c r="NP227" s="4"/>
      <c r="NQ227" s="8"/>
      <c r="NR227" s="5" t="str">
        <f t="shared" si="768"/>
        <v>NO APLICA</v>
      </c>
      <c r="NS227" s="2"/>
      <c r="NT227" s="2"/>
      <c r="NU227" s="4"/>
      <c r="NV227" s="2"/>
      <c r="NW227" s="5" t="str">
        <f t="shared" si="769"/>
        <v>NO APLICA</v>
      </c>
      <c r="NX227" s="6"/>
      <c r="NY227" s="6"/>
      <c r="NZ227" s="4"/>
      <c r="OA227" s="8"/>
      <c r="OB227" s="5" t="str">
        <f t="shared" si="770"/>
        <v>NO APLICA</v>
      </c>
      <c r="OC227" s="6"/>
      <c r="OD227" s="6"/>
      <c r="OE227" s="6"/>
      <c r="OF227" s="6"/>
      <c r="OG227" s="5" t="str">
        <f t="shared" si="771"/>
        <v>NO APLICA</v>
      </c>
      <c r="OH227" s="6"/>
      <c r="OI227" s="6"/>
      <c r="OJ227" s="4"/>
      <c r="OK227" s="8"/>
      <c r="OL227" s="5" t="str">
        <f t="shared" si="772"/>
        <v>NO APLICA</v>
      </c>
      <c r="OM227" s="6"/>
      <c r="ON227" s="6"/>
      <c r="OO227" s="6"/>
      <c r="OP227" s="6"/>
      <c r="OQ227" s="5" t="str">
        <f t="shared" si="773"/>
        <v>NO APLICA</v>
      </c>
      <c r="OR227" s="6"/>
      <c r="OS227" s="6"/>
      <c r="OT227" s="6"/>
      <c r="OU227" s="6"/>
      <c r="OV227" s="5" t="str">
        <f t="shared" si="774"/>
        <v>NO APLICA</v>
      </c>
      <c r="OW227" s="6"/>
      <c r="OX227" s="6"/>
      <c r="OY227" s="6"/>
      <c r="OZ227" s="6"/>
      <c r="PA227" s="5" t="str">
        <f t="shared" si="788"/>
        <v>NO APLICA</v>
      </c>
      <c r="PB227" s="6"/>
      <c r="PC227" s="6"/>
      <c r="PD227" s="6"/>
      <c r="PE227" s="6"/>
      <c r="PF227" s="5" t="str">
        <f t="shared" si="775"/>
        <v>NO APLICA</v>
      </c>
      <c r="PG227" s="6"/>
      <c r="PH227" s="6"/>
      <c r="PI227" s="6"/>
      <c r="PJ227" s="6"/>
      <c r="PK227" s="5" t="str">
        <f t="shared" si="776"/>
        <v>NO APLICA</v>
      </c>
      <c r="PL227" s="5"/>
      <c r="PM227" s="6"/>
      <c r="PN227" s="4"/>
      <c r="PO227" s="8"/>
      <c r="PP227" s="5" t="str">
        <f t="shared" si="785"/>
        <v>NO APLICA</v>
      </c>
      <c r="PQ227" s="6"/>
      <c r="PR227" s="6"/>
      <c r="PS227" s="6"/>
      <c r="PT227" s="6"/>
      <c r="PU227" s="5" t="str">
        <f t="shared" si="777"/>
        <v>NO APLICA</v>
      </c>
      <c r="PV227" s="5"/>
      <c r="PW227" s="6"/>
      <c r="PX227" s="6"/>
      <c r="PY227" s="6"/>
      <c r="PZ227" s="5" t="str">
        <f t="shared" si="77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681</v>
      </c>
      <c r="D228" s="30" t="s">
        <v>616</v>
      </c>
      <c r="E228" s="31" t="s">
        <v>787</v>
      </c>
      <c r="F228" s="3"/>
      <c r="G228" s="4"/>
      <c r="H228" s="4"/>
      <c r="I228" s="8"/>
      <c r="J228" s="5" t="str">
        <f t="shared" si="710"/>
        <v>NO APLICA</v>
      </c>
      <c r="K228" s="2"/>
      <c r="L228" s="2"/>
      <c r="M228" s="2"/>
      <c r="N228" s="2"/>
      <c r="O228" s="5" t="str">
        <f t="shared" si="713"/>
        <v>NO APLICA</v>
      </c>
      <c r="P228" s="6"/>
      <c r="Q228" s="6"/>
      <c r="R228" s="4"/>
      <c r="S228" s="8"/>
      <c r="T228" s="5" t="str">
        <f t="shared" si="711"/>
        <v>NO APLICA</v>
      </c>
      <c r="U228" s="5"/>
      <c r="V228" s="2"/>
      <c r="W228" s="4"/>
      <c r="X228" s="4"/>
      <c r="Y228" s="8"/>
      <c r="Z228" s="5" t="str">
        <f t="shared" si="619"/>
        <v>NO APLICA</v>
      </c>
      <c r="AA228" s="5"/>
      <c r="AB228" s="2"/>
      <c r="AC228" s="6"/>
      <c r="AD228" s="4"/>
      <c r="AE228" s="8"/>
      <c r="AF228" s="5" t="str">
        <f t="shared" si="714"/>
        <v>NO APLICA</v>
      </c>
      <c r="AG228" s="2"/>
      <c r="AH228" s="4"/>
      <c r="AI228" s="4"/>
      <c r="AJ228" s="8"/>
      <c r="AK228" s="5" t="str">
        <f t="shared" si="616"/>
        <v>NO APLICA</v>
      </c>
      <c r="AL228" s="2"/>
      <c r="AM228" s="4"/>
      <c r="AN228" s="4"/>
      <c r="AO228" s="8"/>
      <c r="AP228" s="5" t="str">
        <f t="shared" si="715"/>
        <v>NO APLICA</v>
      </c>
      <c r="AQ228" s="2"/>
      <c r="AR228" s="4"/>
      <c r="AS228" s="4"/>
      <c r="AT228" s="8"/>
      <c r="AU228" s="5" t="str">
        <f t="shared" si="716"/>
        <v>NO APLICA</v>
      </c>
      <c r="AV228" s="2"/>
      <c r="AW228" s="4"/>
      <c r="AX228" s="4"/>
      <c r="AY228" s="8"/>
      <c r="AZ228" s="5" t="str">
        <f t="shared" si="717"/>
        <v>NO APLICA</v>
      </c>
      <c r="BA228" s="3"/>
      <c r="BB228" s="4"/>
      <c r="BC228" s="4"/>
      <c r="BD228" s="8"/>
      <c r="BE228" s="5" t="str">
        <f t="shared" si="718"/>
        <v>NO APLICA</v>
      </c>
      <c r="BF228" s="2"/>
      <c r="BG228" s="4"/>
      <c r="BH228" s="4"/>
      <c r="BI228" s="8"/>
      <c r="BJ228" s="5" t="str">
        <f t="shared" si="719"/>
        <v>NO APLICA</v>
      </c>
      <c r="BK228" s="3"/>
      <c r="BL228" s="4"/>
      <c r="BM228" s="4"/>
      <c r="BN228" s="8"/>
      <c r="BO228" s="5" t="str">
        <f t="shared" si="720"/>
        <v>NO APLICA</v>
      </c>
      <c r="BP228" s="3"/>
      <c r="BQ228" s="4"/>
      <c r="BR228" s="4"/>
      <c r="BS228" s="8"/>
      <c r="BT228" s="5" t="str">
        <f t="shared" si="721"/>
        <v>NO APLICA</v>
      </c>
      <c r="BU228" s="2"/>
      <c r="BV228" s="4"/>
      <c r="BW228" s="4"/>
      <c r="BX228" s="8"/>
      <c r="BY228" s="5" t="str">
        <f t="shared" si="722"/>
        <v>NO APLICA</v>
      </c>
      <c r="BZ228" s="2"/>
      <c r="CA228" s="4"/>
      <c r="CB228" s="4"/>
      <c r="CC228" s="8"/>
      <c r="CD228" s="5" t="str">
        <f t="shared" si="723"/>
        <v>NO APLICA</v>
      </c>
      <c r="CE228" s="6"/>
      <c r="CF228" s="4"/>
      <c r="CG228" s="4"/>
      <c r="CH228" s="8"/>
      <c r="CI228" s="5" t="str">
        <f t="shared" si="789"/>
        <v>NO APLICA</v>
      </c>
      <c r="CJ228" s="6"/>
      <c r="CK228" s="4"/>
      <c r="CL228" s="4"/>
      <c r="CM228" s="8"/>
      <c r="CN228" s="5" t="str">
        <f t="shared" si="724"/>
        <v>NO APLICA</v>
      </c>
      <c r="CO228" s="2"/>
      <c r="CP228" s="4"/>
      <c r="CQ228" s="4"/>
      <c r="CR228" s="8"/>
      <c r="CS228" s="5" t="str">
        <f t="shared" si="725"/>
        <v>NO APLICA</v>
      </c>
      <c r="CT228" s="2"/>
      <c r="CU228" s="4"/>
      <c r="CV228" s="4"/>
      <c r="CW228" s="8"/>
      <c r="CX228" s="5" t="str">
        <f t="shared" si="726"/>
        <v>NO APLICA</v>
      </c>
      <c r="CY228" s="3"/>
      <c r="CZ228" s="4"/>
      <c r="DA228" s="4"/>
      <c r="DB228" s="8"/>
      <c r="DC228" s="5" t="str">
        <f t="shared" si="727"/>
        <v>NO APLICA</v>
      </c>
      <c r="DD228" s="3"/>
      <c r="DE228" s="4"/>
      <c r="DF228" s="4"/>
      <c r="DG228" s="8"/>
      <c r="DH228" s="5" t="str">
        <f t="shared" si="728"/>
        <v>NO APLICA</v>
      </c>
      <c r="DI228" s="2"/>
      <c r="DJ228" s="4"/>
      <c r="DK228" s="4"/>
      <c r="DL228" s="8"/>
      <c r="DM228" s="5" t="str">
        <f t="shared" si="729"/>
        <v>NO APLICA</v>
      </c>
      <c r="DN228" s="3"/>
      <c r="DO228" s="4"/>
      <c r="DP228" s="4"/>
      <c r="DQ228" s="8"/>
      <c r="DR228" s="5" t="str">
        <f t="shared" si="730"/>
        <v>NO APLICA</v>
      </c>
      <c r="DS228" s="2"/>
      <c r="DT228" s="4"/>
      <c r="DU228" s="4"/>
      <c r="DV228" s="8"/>
      <c r="DW228" s="5" t="str">
        <f t="shared" si="731"/>
        <v>NO APLICA</v>
      </c>
      <c r="DX228" s="3"/>
      <c r="DY228" s="4"/>
      <c r="DZ228" s="4"/>
      <c r="EA228" s="8"/>
      <c r="EB228" s="5" t="str">
        <f t="shared" si="732"/>
        <v>NO APLICA</v>
      </c>
      <c r="EC228" s="3"/>
      <c r="ED228" s="4"/>
      <c r="EE228" s="4"/>
      <c r="EF228" s="8"/>
      <c r="EG228" s="5" t="str">
        <f t="shared" si="733"/>
        <v>NO APLICA</v>
      </c>
      <c r="EH228" s="2"/>
      <c r="EI228" s="4"/>
      <c r="EJ228" s="4"/>
      <c r="EK228" s="8"/>
      <c r="EL228" s="5" t="str">
        <f t="shared" si="734"/>
        <v>NO APLICA</v>
      </c>
      <c r="EM228" s="3"/>
      <c r="EN228" s="4"/>
      <c r="EO228" s="4"/>
      <c r="EP228" s="8"/>
      <c r="EQ228" s="5" t="str">
        <f t="shared" si="735"/>
        <v>NO APLICA</v>
      </c>
      <c r="ER228" s="2"/>
      <c r="ES228" s="4"/>
      <c r="ET228" s="4"/>
      <c r="EU228" s="8"/>
      <c r="EV228" s="5" t="str">
        <f t="shared" si="736"/>
        <v>NO APLICA</v>
      </c>
      <c r="EW228" s="2"/>
      <c r="EX228" s="4"/>
      <c r="EY228" s="4"/>
      <c r="EZ228" s="8"/>
      <c r="FA228" s="5" t="str">
        <f t="shared" si="737"/>
        <v>NO APLICA</v>
      </c>
      <c r="FB228" s="2"/>
      <c r="FC228" s="4"/>
      <c r="FD228" s="4"/>
      <c r="FE228" s="8"/>
      <c r="FF228" s="5" t="str">
        <f t="shared" si="738"/>
        <v>NO APLICA</v>
      </c>
      <c r="FG228" s="2"/>
      <c r="FH228" s="4"/>
      <c r="FI228" s="4"/>
      <c r="FJ228" s="8"/>
      <c r="FK228" s="5" t="str">
        <f t="shared" si="739"/>
        <v>NO APLICA</v>
      </c>
      <c r="FL228" s="3"/>
      <c r="FM228" s="4"/>
      <c r="FN228" s="4"/>
      <c r="FO228" s="8"/>
      <c r="FP228" s="5" t="str">
        <f t="shared" si="740"/>
        <v>NO APLICA</v>
      </c>
      <c r="FQ228" s="3"/>
      <c r="FR228" s="4"/>
      <c r="FS228" s="4"/>
      <c r="FT228" s="8"/>
      <c r="FU228" s="5" t="str">
        <f t="shared" si="741"/>
        <v>NO APLICA</v>
      </c>
      <c r="FV228" s="3"/>
      <c r="FW228" s="4"/>
      <c r="FX228" s="4"/>
      <c r="FY228" s="8"/>
      <c r="FZ228" s="5" t="str">
        <f t="shared" si="742"/>
        <v>NO APLICA</v>
      </c>
      <c r="GA228" s="3"/>
      <c r="GB228" s="4"/>
      <c r="GC228" s="4"/>
      <c r="GD228" s="8"/>
      <c r="GE228" s="5" t="str">
        <f t="shared" si="743"/>
        <v>NO APLICA</v>
      </c>
      <c r="GF228" s="3"/>
      <c r="GG228" s="4"/>
      <c r="GH228" s="4"/>
      <c r="GI228" s="8"/>
      <c r="GJ228" s="5" t="str">
        <f t="shared" si="744"/>
        <v>NO APLICA</v>
      </c>
      <c r="GK228" s="3"/>
      <c r="GL228" s="4"/>
      <c r="GM228" s="4"/>
      <c r="GN228" s="8"/>
      <c r="GO228" s="5" t="str">
        <f t="shared" si="745"/>
        <v>NO APLICA</v>
      </c>
      <c r="GP228" s="4"/>
      <c r="GQ228" s="4"/>
      <c r="GR228" s="4"/>
      <c r="GS228" s="8"/>
      <c r="GT228" s="5" t="str">
        <f t="shared" si="624"/>
        <v>NO APLICA</v>
      </c>
      <c r="GU228" s="3"/>
      <c r="GV228" s="4"/>
      <c r="GW228" s="4"/>
      <c r="GX228" s="8"/>
      <c r="GY228" s="5" t="str">
        <f t="shared" si="625"/>
        <v>NO APLICA</v>
      </c>
      <c r="GZ228" s="2"/>
      <c r="HA228" s="4"/>
      <c r="HB228" s="4"/>
      <c r="HC228" s="8"/>
      <c r="HD228" s="5" t="str">
        <f t="shared" si="626"/>
        <v>NO APLICA</v>
      </c>
      <c r="HE228" s="6"/>
      <c r="HF228" s="6"/>
      <c r="HG228" s="4"/>
      <c r="HH228" s="8"/>
      <c r="HI228" s="5" t="str">
        <f t="shared" si="712"/>
        <v>NO APLICA</v>
      </c>
      <c r="HJ228" s="2"/>
      <c r="HK228" s="6"/>
      <c r="HL228" s="4"/>
      <c r="HM228" s="8"/>
      <c r="HN228" s="5" t="str">
        <f t="shared" si="708"/>
        <v>NO APLICA</v>
      </c>
      <c r="HO228" s="2"/>
      <c r="HP228" s="2"/>
      <c r="HQ228" s="4"/>
      <c r="HR228" s="2"/>
      <c r="HS228" s="5" t="str">
        <f t="shared" si="746"/>
        <v>NO APLICA</v>
      </c>
      <c r="HT228" s="2"/>
      <c r="HU228" s="6"/>
      <c r="HV228" s="4"/>
      <c r="HW228" s="8"/>
      <c r="HX228" s="5" t="str">
        <f t="shared" si="747"/>
        <v>NO APLICA</v>
      </c>
      <c r="HY228" s="2"/>
      <c r="HZ228" s="6"/>
      <c r="IA228" s="4"/>
      <c r="IB228" s="8"/>
      <c r="IC228" s="5" t="str">
        <f t="shared" si="748"/>
        <v>NO APLICA</v>
      </c>
      <c r="ID228" s="2"/>
      <c r="IE228" s="6"/>
      <c r="IF228" s="4"/>
      <c r="IG228" s="8"/>
      <c r="IH228" s="5" t="str">
        <f t="shared" si="749"/>
        <v>NO APLICA</v>
      </c>
      <c r="II228" s="6"/>
      <c r="IJ228" s="6"/>
      <c r="IK228" s="4"/>
      <c r="IL228" s="8"/>
      <c r="IM228" s="5" t="str">
        <f t="shared" si="750"/>
        <v>NO APLICA</v>
      </c>
      <c r="IN228" s="2"/>
      <c r="IO228" s="6"/>
      <c r="IP228" s="4"/>
      <c r="IQ228" s="8"/>
      <c r="IR228" s="5" t="str">
        <f t="shared" si="751"/>
        <v>NO APLICA</v>
      </c>
      <c r="IS228" s="2"/>
      <c r="IT228" s="6"/>
      <c r="IU228" s="4"/>
      <c r="IV228" s="8"/>
      <c r="IW228" s="5" t="str">
        <f t="shared" si="752"/>
        <v>NO APLICA</v>
      </c>
      <c r="IX228" s="2"/>
      <c r="IY228" s="6"/>
      <c r="IZ228" s="4"/>
      <c r="JA228" s="8"/>
      <c r="JB228" s="5" t="str">
        <f t="shared" si="753"/>
        <v>NO APLICA</v>
      </c>
      <c r="JC228" s="6" t="s">
        <v>788</v>
      </c>
      <c r="JD228" s="3"/>
      <c r="JE228" s="4"/>
      <c r="JF228" s="8"/>
      <c r="JG228" s="5" t="str">
        <f t="shared" si="754"/>
        <v>NO APLICA</v>
      </c>
      <c r="JH228" s="6" t="s">
        <v>788</v>
      </c>
      <c r="JI228" s="6"/>
      <c r="JJ228" s="6"/>
      <c r="JK228" s="6"/>
      <c r="JL228" s="5" t="str">
        <f>IF(JK228&gt;=61,"VIGENTE",IF(JK228&gt;=1,"POR VENCER",IF(JK228&lt;=-1,"VENCIDA",IF(JI228=0,"NO APLICA"))))</f>
        <v>NO APLICA</v>
      </c>
      <c r="JM228" s="6" t="s">
        <v>788</v>
      </c>
      <c r="JN228" s="6"/>
      <c r="JO228" s="6"/>
      <c r="JP228" s="6"/>
      <c r="JQ228" s="5" t="str">
        <f>IF(JP228&gt;=61,"VIGENTE",IF(JP228&gt;=1,"POR VENCER",IF(JP228&lt;=-1,"VENCIDA",IF(JN228=0,"NO APLICA"))))</f>
        <v>NO APLICA</v>
      </c>
      <c r="JR228" s="6" t="s">
        <v>788</v>
      </c>
      <c r="JS228" s="6"/>
      <c r="JT228" s="6"/>
      <c r="JU228" s="6"/>
      <c r="JV228" s="5" t="str">
        <f t="shared" si="757"/>
        <v>NO APLICA</v>
      </c>
      <c r="JW228" s="6" t="s">
        <v>788</v>
      </c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59"/>
        <v>NO APLICA</v>
      </c>
      <c r="KG228" s="5"/>
      <c r="KH228" s="2"/>
      <c r="KI228" s="4"/>
      <c r="KJ228" s="8"/>
      <c r="KK228" s="5" t="str">
        <f t="shared" si="779"/>
        <v>NO APLICA</v>
      </c>
      <c r="KL228" s="5"/>
      <c r="KM228" s="2"/>
      <c r="KN228" s="4"/>
      <c r="KO228" s="8"/>
      <c r="KP228" s="5" t="str">
        <f t="shared" si="760"/>
        <v>NO APLICA</v>
      </c>
      <c r="KQ228" s="5"/>
      <c r="KR228" s="2"/>
      <c r="KS228" s="4"/>
      <c r="KT228" s="8"/>
      <c r="KU228" s="5" t="str">
        <f t="shared" si="780"/>
        <v>NO APLICA</v>
      </c>
      <c r="KV228" s="2"/>
      <c r="KW228" s="6"/>
      <c r="KX228" s="4"/>
      <c r="KY228" s="8"/>
      <c r="KZ228" s="5" t="str">
        <f t="shared" si="786"/>
        <v>NO APLICA</v>
      </c>
      <c r="LA228" s="5"/>
      <c r="LB228" s="6"/>
      <c r="LC228" s="4"/>
      <c r="LD228" s="8"/>
      <c r="LE228" s="5" t="str">
        <f t="shared" si="781"/>
        <v>NO APLICA</v>
      </c>
      <c r="LF228" s="6"/>
      <c r="LG228" s="6"/>
      <c r="LH228" s="4"/>
      <c r="LI228" s="8"/>
      <c r="LJ228" s="5" t="str">
        <f t="shared" si="614"/>
        <v>NO APLICA</v>
      </c>
      <c r="LK228" s="5"/>
      <c r="LL228" s="5"/>
      <c r="LM228" s="4"/>
      <c r="LN228" s="8"/>
      <c r="LO228" s="5" t="str">
        <f t="shared" si="787"/>
        <v>NO APLICA</v>
      </c>
      <c r="LP228" s="2"/>
      <c r="LQ228" s="6"/>
      <c r="LR228" s="4"/>
      <c r="LS228" s="8"/>
      <c r="LT228" s="5" t="str">
        <f t="shared" si="782"/>
        <v>NO APLICA</v>
      </c>
      <c r="LU228" s="6"/>
      <c r="LV228" s="6"/>
      <c r="LW228" s="4"/>
      <c r="LX228" s="8"/>
      <c r="LY228" s="5" t="str">
        <f t="shared" si="783"/>
        <v>NO APLICA</v>
      </c>
      <c r="LZ228" s="6"/>
      <c r="MA228" s="6"/>
      <c r="MB228" s="4"/>
      <c r="MC228" s="8"/>
      <c r="MD228" s="5" t="str">
        <f t="shared" si="784"/>
        <v>NO APLICA</v>
      </c>
      <c r="ME228" s="2"/>
      <c r="MF228" s="2"/>
      <c r="MG228" s="4"/>
      <c r="MH228" s="8"/>
      <c r="MI228" s="5" t="str">
        <f t="shared" si="761"/>
        <v>NO APLICA</v>
      </c>
      <c r="MJ228" s="2"/>
      <c r="MK228" s="2"/>
      <c r="ML228" s="4"/>
      <c r="MM228" s="8"/>
      <c r="MN228" s="5" t="str">
        <f t="shared" si="762"/>
        <v>NO APLICA</v>
      </c>
      <c r="MO228" s="5"/>
      <c r="MP228" s="2"/>
      <c r="MQ228" s="4"/>
      <c r="MR228" s="8"/>
      <c r="MS228" s="5" t="str">
        <f t="shared" si="763"/>
        <v>NO APLICA</v>
      </c>
      <c r="MT228" s="5"/>
      <c r="MU228" s="2"/>
      <c r="MV228" s="4"/>
      <c r="MW228" s="2"/>
      <c r="MX228" s="5" t="str">
        <f t="shared" si="764"/>
        <v>NO APLICA</v>
      </c>
      <c r="MY228" s="2"/>
      <c r="MZ228" s="6"/>
      <c r="NA228" s="4"/>
      <c r="NB228" s="8"/>
      <c r="NC228" s="5" t="str">
        <f t="shared" si="765"/>
        <v>NO APLICA</v>
      </c>
      <c r="ND228" s="2"/>
      <c r="NE228" s="6"/>
      <c r="NF228" s="4"/>
      <c r="NG228" s="8"/>
      <c r="NH228" s="5" t="str">
        <f t="shared" si="766"/>
        <v>NO APLICA</v>
      </c>
      <c r="NI228" s="2"/>
      <c r="NJ228" s="6"/>
      <c r="NK228" s="4"/>
      <c r="NL228" s="8"/>
      <c r="NM228" s="5" t="str">
        <f t="shared" si="767"/>
        <v>NO APLICA</v>
      </c>
      <c r="NN228" s="2"/>
      <c r="NO228" s="2"/>
      <c r="NP228" s="4"/>
      <c r="NQ228" s="8"/>
      <c r="NR228" s="5" t="str">
        <f t="shared" si="768"/>
        <v>NO APLICA</v>
      </c>
      <c r="NS228" s="2"/>
      <c r="NT228" s="2"/>
      <c r="NU228" s="4"/>
      <c r="NV228" s="2"/>
      <c r="NW228" s="5" t="str">
        <f t="shared" si="769"/>
        <v>NO APLICA</v>
      </c>
      <c r="NX228" s="6"/>
      <c r="NY228" s="6"/>
      <c r="NZ228" s="4"/>
      <c r="OA228" s="8"/>
      <c r="OB228" s="5" t="str">
        <f t="shared" si="770"/>
        <v>NO APLICA</v>
      </c>
      <c r="OC228" s="6"/>
      <c r="OD228" s="6"/>
      <c r="OE228" s="6"/>
      <c r="OF228" s="6"/>
      <c r="OG228" s="5" t="str">
        <f t="shared" si="771"/>
        <v>NO APLICA</v>
      </c>
      <c r="OH228" s="6"/>
      <c r="OI228" s="6"/>
      <c r="OJ228" s="4"/>
      <c r="OK228" s="8"/>
      <c r="OL228" s="5" t="str">
        <f t="shared" si="772"/>
        <v>NO APLICA</v>
      </c>
      <c r="OM228" s="6"/>
      <c r="ON228" s="6"/>
      <c r="OO228" s="6"/>
      <c r="OP228" s="6"/>
      <c r="OQ228" s="5" t="str">
        <f t="shared" si="773"/>
        <v>NO APLICA</v>
      </c>
      <c r="OR228" s="6"/>
      <c r="OS228" s="6"/>
      <c r="OT228" s="6"/>
      <c r="OU228" s="6"/>
      <c r="OV228" s="5" t="str">
        <f t="shared" si="774"/>
        <v>NO APLICA</v>
      </c>
      <c r="OW228" s="6"/>
      <c r="OX228" s="6"/>
      <c r="OY228" s="6"/>
      <c r="OZ228" s="6"/>
      <c r="PA228" s="5" t="str">
        <f t="shared" si="788"/>
        <v>NO APLICA</v>
      </c>
      <c r="PB228" s="6"/>
      <c r="PC228" s="6"/>
      <c r="PD228" s="6"/>
      <c r="PE228" s="6"/>
      <c r="PF228" s="5" t="str">
        <f t="shared" si="775"/>
        <v>NO APLICA</v>
      </c>
      <c r="PG228" s="6"/>
      <c r="PH228" s="6"/>
      <c r="PI228" s="6"/>
      <c r="PJ228" s="6"/>
      <c r="PK228" s="5" t="str">
        <f t="shared" si="776"/>
        <v>NO APLICA</v>
      </c>
      <c r="PL228" s="5"/>
      <c r="PM228" s="6"/>
      <c r="PN228" s="4"/>
      <c r="PO228" s="8"/>
      <c r="PP228" s="5" t="str">
        <f t="shared" si="785"/>
        <v>NO APLICA</v>
      </c>
      <c r="PQ228" s="6"/>
      <c r="PR228" s="6"/>
      <c r="PS228" s="6"/>
      <c r="PT228" s="6"/>
      <c r="PU228" s="5" t="str">
        <f t="shared" si="777"/>
        <v>NO APLICA</v>
      </c>
      <c r="PV228" s="5"/>
      <c r="PW228" s="6"/>
      <c r="PX228" s="6"/>
      <c r="PY228" s="6"/>
      <c r="PZ228" s="5" t="str">
        <f t="shared" si="77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682</v>
      </c>
      <c r="D229" s="30" t="s">
        <v>69</v>
      </c>
      <c r="E229" s="31" t="s">
        <v>622</v>
      </c>
      <c r="F229" s="6"/>
      <c r="G229" s="6"/>
      <c r="H229" s="6"/>
      <c r="I229" s="6"/>
      <c r="J229" s="5" t="str">
        <f t="shared" si="710"/>
        <v>NO APLICA</v>
      </c>
      <c r="K229" s="6"/>
      <c r="L229" s="6"/>
      <c r="M229" s="6"/>
      <c r="N229" s="6"/>
      <c r="O229" s="5" t="str">
        <f t="shared" si="713"/>
        <v>NO APLICA</v>
      </c>
      <c r="P229" s="6"/>
      <c r="Q229" s="6"/>
      <c r="R229" s="6"/>
      <c r="S229" s="6"/>
      <c r="T229" s="5" t="str">
        <f t="shared" si="711"/>
        <v>NO APLICA</v>
      </c>
      <c r="U229" s="5"/>
      <c r="V229" s="6"/>
      <c r="W229" s="4"/>
      <c r="X229" s="4"/>
      <c r="Y229" s="8"/>
      <c r="Z229" s="5" t="str">
        <f t="shared" si="619"/>
        <v>NO APLICA</v>
      </c>
      <c r="AA229" s="5"/>
      <c r="AB229" s="6"/>
      <c r="AC229" s="6"/>
      <c r="AD229" s="6"/>
      <c r="AE229" s="6"/>
      <c r="AF229" s="5" t="str">
        <f t="shared" si="714"/>
        <v>NO APLICA</v>
      </c>
      <c r="AG229" s="4"/>
      <c r="AH229" s="4"/>
      <c r="AI229" s="4"/>
      <c r="AJ229" s="6"/>
      <c r="AK229" s="5" t="str">
        <f t="shared" si="616"/>
        <v>NO APLICA</v>
      </c>
      <c r="AL229" s="4"/>
      <c r="AM229" s="4"/>
      <c r="AN229" s="4"/>
      <c r="AO229" s="6"/>
      <c r="AP229" s="5" t="str">
        <f t="shared" si="715"/>
        <v>NO APLICA</v>
      </c>
      <c r="AQ229" s="4"/>
      <c r="AR229" s="4"/>
      <c r="AS229" s="4"/>
      <c r="AT229" s="6"/>
      <c r="AU229" s="5" t="str">
        <f t="shared" si="716"/>
        <v>NO APLICA</v>
      </c>
      <c r="AV229" s="4"/>
      <c r="AW229" s="4"/>
      <c r="AX229" s="4"/>
      <c r="AY229" s="6"/>
      <c r="AZ229" s="5" t="str">
        <f t="shared" si="717"/>
        <v>NO APLICA</v>
      </c>
      <c r="BA229" s="4"/>
      <c r="BB229" s="4"/>
      <c r="BC229" s="4"/>
      <c r="BD229" s="6"/>
      <c r="BE229" s="5" t="str">
        <f t="shared" si="718"/>
        <v>NO APLICA</v>
      </c>
      <c r="BF229" s="4"/>
      <c r="BG229" s="4"/>
      <c r="BH229" s="4"/>
      <c r="BI229" s="6"/>
      <c r="BJ229" s="5" t="str">
        <f t="shared" si="719"/>
        <v>NO APLICA</v>
      </c>
      <c r="BK229" s="4"/>
      <c r="BL229" s="4"/>
      <c r="BM229" s="4"/>
      <c r="BN229" s="6"/>
      <c r="BO229" s="5" t="str">
        <f t="shared" si="720"/>
        <v>NO APLICA</v>
      </c>
      <c r="BP229" s="4"/>
      <c r="BQ229" s="4"/>
      <c r="BR229" s="4"/>
      <c r="BS229" s="6"/>
      <c r="BT229" s="5" t="str">
        <f t="shared" si="721"/>
        <v>NO APLICA</v>
      </c>
      <c r="BU229" s="4"/>
      <c r="BV229" s="4"/>
      <c r="BW229" s="4"/>
      <c r="BX229" s="6"/>
      <c r="BY229" s="5" t="str">
        <f t="shared" si="722"/>
        <v>NO APLICA</v>
      </c>
      <c r="BZ229" s="4"/>
      <c r="CA229" s="4"/>
      <c r="CB229" s="4"/>
      <c r="CC229" s="6"/>
      <c r="CD229" s="5" t="str">
        <f t="shared" si="723"/>
        <v>NO APLICA</v>
      </c>
      <c r="CE229" s="6"/>
      <c r="CF229" s="6"/>
      <c r="CG229" s="6"/>
      <c r="CH229" s="6"/>
      <c r="CI229" s="5" t="str">
        <f t="shared" si="789"/>
        <v>NO APLICA</v>
      </c>
      <c r="CJ229" s="4"/>
      <c r="CK229" s="4"/>
      <c r="CL229" s="4"/>
      <c r="CM229" s="6"/>
      <c r="CN229" s="5" t="str">
        <f t="shared" si="724"/>
        <v>NO APLICA</v>
      </c>
      <c r="CO229" s="4"/>
      <c r="CP229" s="4"/>
      <c r="CQ229" s="4"/>
      <c r="CR229" s="6"/>
      <c r="CS229" s="5" t="str">
        <f t="shared" si="725"/>
        <v>NO APLICA</v>
      </c>
      <c r="CT229" s="4"/>
      <c r="CU229" s="4"/>
      <c r="CV229" s="4"/>
      <c r="CW229" s="6"/>
      <c r="CX229" s="5" t="str">
        <f t="shared" si="726"/>
        <v>NO APLICA</v>
      </c>
      <c r="CY229" s="4"/>
      <c r="CZ229" s="4"/>
      <c r="DA229" s="4"/>
      <c r="DB229" s="6"/>
      <c r="DC229" s="5" t="str">
        <f t="shared" si="727"/>
        <v>NO APLICA</v>
      </c>
      <c r="DD229" s="4"/>
      <c r="DE229" s="4"/>
      <c r="DF229" s="4"/>
      <c r="DG229" s="6"/>
      <c r="DH229" s="5" t="str">
        <f t="shared" si="728"/>
        <v>NO APLICA</v>
      </c>
      <c r="DI229" s="4"/>
      <c r="DJ229" s="4"/>
      <c r="DK229" s="4"/>
      <c r="DL229" s="6"/>
      <c r="DM229" s="5" t="str">
        <f t="shared" si="729"/>
        <v>NO APLICA</v>
      </c>
      <c r="DN229" s="4"/>
      <c r="DO229" s="4"/>
      <c r="DP229" s="4"/>
      <c r="DQ229" s="6"/>
      <c r="DR229" s="5" t="str">
        <f t="shared" si="730"/>
        <v>NO APLICA</v>
      </c>
      <c r="DS229" s="4"/>
      <c r="DT229" s="4"/>
      <c r="DU229" s="4"/>
      <c r="DV229" s="6"/>
      <c r="DW229" s="5" t="str">
        <f t="shared" si="731"/>
        <v>NO APLICA</v>
      </c>
      <c r="DX229" s="4"/>
      <c r="DY229" s="4"/>
      <c r="DZ229" s="4"/>
      <c r="EA229" s="6"/>
      <c r="EB229" s="5" t="str">
        <f t="shared" si="732"/>
        <v>NO APLICA</v>
      </c>
      <c r="EC229" s="4"/>
      <c r="ED229" s="4"/>
      <c r="EE229" s="4"/>
      <c r="EF229" s="6"/>
      <c r="EG229" s="5" t="str">
        <f t="shared" si="733"/>
        <v>NO APLICA</v>
      </c>
      <c r="EH229" s="4"/>
      <c r="EI229" s="4"/>
      <c r="EJ229" s="4"/>
      <c r="EK229" s="8"/>
      <c r="EL229" s="5" t="str">
        <f t="shared" si="734"/>
        <v>NO APLICA</v>
      </c>
      <c r="EM229" s="4"/>
      <c r="EN229" s="4"/>
      <c r="EO229" s="4"/>
      <c r="EP229" s="8"/>
      <c r="EQ229" s="5" t="str">
        <f t="shared" si="735"/>
        <v>NO APLICA</v>
      </c>
      <c r="ER229" s="4"/>
      <c r="ES229" s="4"/>
      <c r="ET229" s="4"/>
      <c r="EU229" s="8"/>
      <c r="EV229" s="5" t="str">
        <f t="shared" si="736"/>
        <v>NO APLICA</v>
      </c>
      <c r="EW229" s="4"/>
      <c r="EX229" s="4"/>
      <c r="EY229" s="4"/>
      <c r="EZ229" s="6"/>
      <c r="FA229" s="5" t="str">
        <f t="shared" si="737"/>
        <v>NO APLICA</v>
      </c>
      <c r="FB229" s="4"/>
      <c r="FC229" s="4"/>
      <c r="FD229" s="4"/>
      <c r="FE229" s="6"/>
      <c r="FF229" s="5" t="str">
        <f t="shared" si="738"/>
        <v>NO APLICA</v>
      </c>
      <c r="FG229" s="4"/>
      <c r="FH229" s="4"/>
      <c r="FI229" s="4"/>
      <c r="FJ229" s="6"/>
      <c r="FK229" s="5" t="str">
        <f t="shared" si="739"/>
        <v>NO APLICA</v>
      </c>
      <c r="FL229" s="4"/>
      <c r="FM229" s="4"/>
      <c r="FN229" s="4"/>
      <c r="FO229" s="6"/>
      <c r="FP229" s="5" t="str">
        <f t="shared" si="740"/>
        <v>NO APLICA</v>
      </c>
      <c r="FQ229" s="4"/>
      <c r="FR229" s="4"/>
      <c r="FS229" s="4"/>
      <c r="FT229" s="6"/>
      <c r="FU229" s="5" t="str">
        <f t="shared" si="741"/>
        <v>NO APLICA</v>
      </c>
      <c r="FV229" s="4"/>
      <c r="FW229" s="4"/>
      <c r="FX229" s="4"/>
      <c r="FY229" s="6"/>
      <c r="FZ229" s="5" t="str">
        <f t="shared" si="742"/>
        <v>NO APLICA</v>
      </c>
      <c r="GA229" s="4"/>
      <c r="GB229" s="4"/>
      <c r="GC229" s="4"/>
      <c r="GD229" s="6"/>
      <c r="GE229" s="5" t="str">
        <f t="shared" si="743"/>
        <v>NO APLICA</v>
      </c>
      <c r="GF229" s="4"/>
      <c r="GG229" s="4"/>
      <c r="GH229" s="4"/>
      <c r="GI229" s="8"/>
      <c r="GJ229" s="5" t="str">
        <f t="shared" si="744"/>
        <v>NO APLICA</v>
      </c>
      <c r="GK229" s="4"/>
      <c r="GL229" s="6"/>
      <c r="GM229" s="6"/>
      <c r="GN229" s="6"/>
      <c r="GO229" s="5" t="str">
        <f t="shared" si="745"/>
        <v>NO APLICA</v>
      </c>
      <c r="GP229" s="4"/>
      <c r="GQ229" s="6"/>
      <c r="GR229" s="6"/>
      <c r="GS229" s="6"/>
      <c r="GT229" s="5" t="str">
        <f t="shared" si="624"/>
        <v>NO APLICA</v>
      </c>
      <c r="GU229" s="4"/>
      <c r="GV229" s="6"/>
      <c r="GW229" s="6"/>
      <c r="GX229" s="6"/>
      <c r="GY229" s="5" t="str">
        <f t="shared" si="625"/>
        <v>NO APLICA</v>
      </c>
      <c r="GZ229" s="6"/>
      <c r="HA229" s="6"/>
      <c r="HB229" s="6"/>
      <c r="HC229" s="6"/>
      <c r="HD229" s="5" t="str">
        <f t="shared" si="626"/>
        <v>NO APLICA</v>
      </c>
      <c r="HE229" s="6"/>
      <c r="HF229" s="6"/>
      <c r="HG229" s="4"/>
      <c r="HH229" s="8"/>
      <c r="HI229" s="5" t="str">
        <f t="shared" si="712"/>
        <v>NO APLICA</v>
      </c>
      <c r="HJ229" s="6"/>
      <c r="HK229" s="6"/>
      <c r="HL229" s="6"/>
      <c r="HM229" s="6"/>
      <c r="HN229" s="5" t="str">
        <f t="shared" si="708"/>
        <v>NO APLICA</v>
      </c>
      <c r="HO229" s="6"/>
      <c r="HP229" s="6"/>
      <c r="HQ229" s="6"/>
      <c r="HR229" s="6"/>
      <c r="HS229" s="5" t="str">
        <f t="shared" si="746"/>
        <v>NO APLICA</v>
      </c>
      <c r="HT229" s="6"/>
      <c r="HU229" s="6"/>
      <c r="HV229" s="6"/>
      <c r="HW229" s="6"/>
      <c r="HX229" s="5" t="str">
        <f t="shared" si="747"/>
        <v>NO APLICA</v>
      </c>
      <c r="HY229" s="6"/>
      <c r="HZ229" s="6"/>
      <c r="IA229" s="6"/>
      <c r="IB229" s="6"/>
      <c r="IC229" s="5" t="str">
        <f t="shared" si="748"/>
        <v>NO APLICA</v>
      </c>
      <c r="ID229" s="6"/>
      <c r="IE229" s="6"/>
      <c r="IF229" s="6"/>
      <c r="IG229" s="6"/>
      <c r="IH229" s="5" t="str">
        <f t="shared" si="749"/>
        <v>NO APLICA</v>
      </c>
      <c r="II229" s="6"/>
      <c r="IJ229" s="6"/>
      <c r="IK229" s="6"/>
      <c r="IL229" s="6"/>
      <c r="IM229" s="5" t="str">
        <f t="shared" si="750"/>
        <v>NO APLICA</v>
      </c>
      <c r="IN229" s="6"/>
      <c r="IO229" s="6"/>
      <c r="IP229" s="6"/>
      <c r="IQ229" s="6"/>
      <c r="IR229" s="5" t="str">
        <f t="shared" si="751"/>
        <v>NO APLICA</v>
      </c>
      <c r="IS229" s="6"/>
      <c r="IT229" s="6"/>
      <c r="IU229" s="6"/>
      <c r="IV229" s="6"/>
      <c r="IW229" s="5" t="str">
        <f t="shared" si="752"/>
        <v>NO APLICA</v>
      </c>
      <c r="IX229" s="6"/>
      <c r="IY229" s="6"/>
      <c r="IZ229" s="6"/>
      <c r="JA229" s="6"/>
      <c r="JB229" s="5" t="str">
        <f t="shared" si="753"/>
        <v>NO APLICA</v>
      </c>
      <c r="JC229" s="6"/>
      <c r="JD229" s="6"/>
      <c r="JE229" s="6"/>
      <c r="JF229" s="6"/>
      <c r="JG229" s="5" t="str">
        <f t="shared" si="754"/>
        <v>NO APLICA</v>
      </c>
      <c r="JH229" s="6"/>
      <c r="JI229" s="6"/>
      <c r="JJ229" s="6"/>
      <c r="JK229" s="6"/>
      <c r="JL229" s="5" t="str">
        <f t="shared" si="755"/>
        <v>NO APLICA</v>
      </c>
      <c r="JM229" s="6"/>
      <c r="JN229" s="6"/>
      <c r="JO229" s="6"/>
      <c r="JP229" s="6"/>
      <c r="JQ229" s="5" t="str">
        <f t="shared" si="756"/>
        <v>NO APLICA</v>
      </c>
      <c r="JR229" s="6"/>
      <c r="JS229" s="6"/>
      <c r="JT229" s="6"/>
      <c r="JU229" s="6"/>
      <c r="JV229" s="5" t="str">
        <f t="shared" si="757"/>
        <v>NO APLICA</v>
      </c>
      <c r="JW229" s="5"/>
      <c r="JX229" s="5"/>
      <c r="JY229" s="5"/>
      <c r="JZ229" s="5"/>
      <c r="KA229" s="5" t="str">
        <f t="shared" si="758"/>
        <v>NO APLICA</v>
      </c>
      <c r="KB229" s="5"/>
      <c r="KC229" s="6"/>
      <c r="KD229" s="6"/>
      <c r="KE229" s="6"/>
      <c r="KF229" s="5" t="str">
        <f t="shared" si="759"/>
        <v>NO APLICA</v>
      </c>
      <c r="KG229" s="5"/>
      <c r="KH229" s="6"/>
      <c r="KI229" s="6"/>
      <c r="KJ229" s="6"/>
      <c r="KK229" s="5" t="str">
        <f t="shared" si="779"/>
        <v>NO APLICA</v>
      </c>
      <c r="KL229" s="5"/>
      <c r="KM229" s="6"/>
      <c r="KN229" s="6"/>
      <c r="KO229" s="6"/>
      <c r="KP229" s="5" t="str">
        <f t="shared" si="760"/>
        <v>NO APLICA</v>
      </c>
      <c r="KQ229" s="5"/>
      <c r="KR229" s="6"/>
      <c r="KS229" s="6"/>
      <c r="KT229" s="6"/>
      <c r="KU229" s="5" t="str">
        <f t="shared" si="780"/>
        <v>NO APLICA</v>
      </c>
      <c r="KV229" s="6"/>
      <c r="KW229" s="6"/>
      <c r="KX229" s="6"/>
      <c r="KY229" s="6"/>
      <c r="KZ229" s="5" t="str">
        <f t="shared" si="786"/>
        <v>NO APLICA</v>
      </c>
      <c r="LA229" s="5"/>
      <c r="LB229" s="6"/>
      <c r="LC229" s="6"/>
      <c r="LD229" s="6"/>
      <c r="LE229" s="5" t="str">
        <f t="shared" si="781"/>
        <v>NO APLICA</v>
      </c>
      <c r="LF229" s="6"/>
      <c r="LG229" s="6"/>
      <c r="LH229" s="6"/>
      <c r="LI229" s="6"/>
      <c r="LJ229" s="5" t="str">
        <f t="shared" si="614"/>
        <v>NO APLICA</v>
      </c>
      <c r="LK229" s="5"/>
      <c r="LL229" s="5"/>
      <c r="LM229" s="4"/>
      <c r="LN229" s="8"/>
      <c r="LO229" s="5" t="str">
        <f t="shared" si="787"/>
        <v>NO APLICA</v>
      </c>
      <c r="LP229" s="6"/>
      <c r="LQ229" s="6"/>
      <c r="LR229" s="6"/>
      <c r="LS229" s="6"/>
      <c r="LT229" s="5" t="str">
        <f t="shared" si="782"/>
        <v>NO APLICA</v>
      </c>
      <c r="LU229" s="6"/>
      <c r="LV229" s="6"/>
      <c r="LW229" s="6"/>
      <c r="LX229" s="6"/>
      <c r="LY229" s="5" t="str">
        <f t="shared" si="783"/>
        <v>NO APLICA</v>
      </c>
      <c r="LZ229" s="6"/>
      <c r="MA229" s="6"/>
      <c r="MB229" s="6"/>
      <c r="MC229" s="6"/>
      <c r="MD229" s="5" t="str">
        <f t="shared" si="784"/>
        <v>NO APLICA</v>
      </c>
      <c r="ME229" s="6"/>
      <c r="MF229" s="6"/>
      <c r="MG229" s="6"/>
      <c r="MH229" s="6"/>
      <c r="MI229" s="5" t="str">
        <f t="shared" si="761"/>
        <v>NO APLICA</v>
      </c>
      <c r="MJ229" s="6"/>
      <c r="MK229" s="6"/>
      <c r="ML229" s="6"/>
      <c r="MM229" s="6"/>
      <c r="MN229" s="5" t="str">
        <f t="shared" si="762"/>
        <v>NO APLICA</v>
      </c>
      <c r="MO229" s="5"/>
      <c r="MP229" s="6"/>
      <c r="MQ229" s="6"/>
      <c r="MR229" s="6"/>
      <c r="MS229" s="5" t="str">
        <f t="shared" si="763"/>
        <v>NO APLICA</v>
      </c>
      <c r="MT229" s="5"/>
      <c r="MU229" s="6"/>
      <c r="MV229" s="6"/>
      <c r="MW229" s="6"/>
      <c r="MX229" s="5" t="str">
        <f t="shared" si="764"/>
        <v>NO APLICA</v>
      </c>
      <c r="MY229" s="6"/>
      <c r="MZ229" s="6"/>
      <c r="NA229" s="6"/>
      <c r="NB229" s="6"/>
      <c r="NC229" s="5" t="str">
        <f t="shared" si="765"/>
        <v>NO APLICA</v>
      </c>
      <c r="ND229" s="6"/>
      <c r="NE229" s="6"/>
      <c r="NF229" s="6"/>
      <c r="NG229" s="6"/>
      <c r="NH229" s="5" t="str">
        <f t="shared" si="766"/>
        <v>NO APLICA</v>
      </c>
      <c r="NI229" s="6"/>
      <c r="NJ229" s="6"/>
      <c r="NK229" s="6"/>
      <c r="NL229" s="6"/>
      <c r="NM229" s="5" t="str">
        <f t="shared" si="767"/>
        <v>NO APLICA</v>
      </c>
      <c r="NN229" s="6"/>
      <c r="NO229" s="6"/>
      <c r="NP229" s="6"/>
      <c r="NQ229" s="6"/>
      <c r="NR229" s="5" t="str">
        <f t="shared" si="768"/>
        <v>NO APLICA</v>
      </c>
      <c r="NS229" s="6"/>
      <c r="NT229" s="6"/>
      <c r="NU229" s="6"/>
      <c r="NV229" s="6"/>
      <c r="NW229" s="5" t="str">
        <f t="shared" si="769"/>
        <v>NO APLICA</v>
      </c>
      <c r="NX229" s="6"/>
      <c r="NY229" s="6"/>
      <c r="NZ229" s="6"/>
      <c r="OA229" s="6"/>
      <c r="OB229" s="5" t="str">
        <f t="shared" si="770"/>
        <v>NO APLICA</v>
      </c>
      <c r="OC229" s="6"/>
      <c r="OD229" s="6"/>
      <c r="OE229" s="6"/>
      <c r="OF229" s="6"/>
      <c r="OG229" s="5" t="str">
        <f t="shared" si="771"/>
        <v>NO APLICA</v>
      </c>
      <c r="OH229" s="6"/>
      <c r="OI229" s="6"/>
      <c r="OJ229" s="6"/>
      <c r="OK229" s="6"/>
      <c r="OL229" s="5" t="str">
        <f t="shared" si="772"/>
        <v>NO APLICA</v>
      </c>
      <c r="OM229" s="6"/>
      <c r="ON229" s="6"/>
      <c r="OO229" s="6"/>
      <c r="OP229" s="6"/>
      <c r="OQ229" s="5" t="str">
        <f t="shared" si="773"/>
        <v>NO APLICA</v>
      </c>
      <c r="OR229" s="6"/>
      <c r="OS229" s="6"/>
      <c r="OT229" s="6"/>
      <c r="OU229" s="6"/>
      <c r="OV229" s="5" t="str">
        <f t="shared" si="774"/>
        <v>NO APLICA</v>
      </c>
      <c r="OW229" s="6"/>
      <c r="OX229" s="6"/>
      <c r="OY229" s="6"/>
      <c r="OZ229" s="6"/>
      <c r="PA229" s="5" t="str">
        <f t="shared" si="788"/>
        <v>NO APLICA</v>
      </c>
      <c r="PB229" s="6"/>
      <c r="PC229" s="6"/>
      <c r="PD229" s="6"/>
      <c r="PE229" s="6"/>
      <c r="PF229" s="5" t="str">
        <f t="shared" si="775"/>
        <v>NO APLICA</v>
      </c>
      <c r="PG229" s="6"/>
      <c r="PH229" s="6"/>
      <c r="PI229" s="6"/>
      <c r="PJ229" s="6"/>
      <c r="PK229" s="5" t="str">
        <f t="shared" si="776"/>
        <v>NO APLICA</v>
      </c>
      <c r="PL229" s="5"/>
      <c r="PM229" s="6"/>
      <c r="PN229" s="6"/>
      <c r="PO229" s="6"/>
      <c r="PP229" s="5" t="str">
        <f t="shared" si="785"/>
        <v>NO APLICA</v>
      </c>
      <c r="PQ229" s="6"/>
      <c r="PR229" s="6"/>
      <c r="PS229" s="6"/>
      <c r="PT229" s="6"/>
      <c r="PU229" s="5" t="str">
        <f t="shared" si="777"/>
        <v>NO APLICA</v>
      </c>
      <c r="PV229" s="5"/>
      <c r="PW229" s="6"/>
      <c r="PX229" s="6"/>
      <c r="PY229" s="6"/>
      <c r="PZ229" s="5" t="str">
        <f t="shared" si="77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683</v>
      </c>
      <c r="D230" s="30" t="s">
        <v>115</v>
      </c>
      <c r="E230" s="31" t="s">
        <v>609</v>
      </c>
      <c r="F230" s="6"/>
      <c r="G230" s="6"/>
      <c r="H230" s="6"/>
      <c r="I230" s="6"/>
      <c r="J230" s="5" t="str">
        <f t="shared" si="710"/>
        <v>NO APLICA</v>
      </c>
      <c r="K230" s="6"/>
      <c r="L230" s="6"/>
      <c r="M230" s="6"/>
      <c r="N230" s="6"/>
      <c r="O230" s="5" t="str">
        <f t="shared" si="713"/>
        <v>NO APLICA</v>
      </c>
      <c r="P230" s="6"/>
      <c r="Q230" s="6"/>
      <c r="R230" s="6"/>
      <c r="S230" s="6"/>
      <c r="T230" s="5" t="str">
        <f t="shared" si="711"/>
        <v>NO APLICA</v>
      </c>
      <c r="U230" s="5"/>
      <c r="V230" s="6"/>
      <c r="W230" s="4"/>
      <c r="X230" s="4"/>
      <c r="Y230" s="8"/>
      <c r="Z230" s="5" t="str">
        <f t="shared" si="619"/>
        <v>NO APLICA</v>
      </c>
      <c r="AA230" s="5"/>
      <c r="AB230" s="6"/>
      <c r="AC230" s="6"/>
      <c r="AD230" s="6"/>
      <c r="AE230" s="6"/>
      <c r="AF230" s="5" t="str">
        <f t="shared" si="714"/>
        <v>NO APLICA</v>
      </c>
      <c r="AG230" s="4"/>
      <c r="AH230" s="4"/>
      <c r="AI230" s="4"/>
      <c r="AJ230" s="6"/>
      <c r="AK230" s="5" t="str">
        <f t="shared" si="616"/>
        <v>NO APLICA</v>
      </c>
      <c r="AL230" s="4"/>
      <c r="AM230" s="4"/>
      <c r="AN230" s="4"/>
      <c r="AO230" s="6"/>
      <c r="AP230" s="5" t="str">
        <f t="shared" si="715"/>
        <v>NO APLICA</v>
      </c>
      <c r="AQ230" s="4"/>
      <c r="AR230" s="4"/>
      <c r="AS230" s="4"/>
      <c r="AT230" s="6"/>
      <c r="AU230" s="5" t="str">
        <f t="shared" si="716"/>
        <v>NO APLICA</v>
      </c>
      <c r="AV230" s="4"/>
      <c r="AW230" s="4"/>
      <c r="AX230" s="4"/>
      <c r="AY230" s="6"/>
      <c r="AZ230" s="5" t="str">
        <f t="shared" si="717"/>
        <v>NO APLICA</v>
      </c>
      <c r="BA230" s="4"/>
      <c r="BB230" s="4"/>
      <c r="BC230" s="4"/>
      <c r="BD230" s="6"/>
      <c r="BE230" s="5" t="str">
        <f t="shared" si="718"/>
        <v>NO APLICA</v>
      </c>
      <c r="BF230" s="4"/>
      <c r="BG230" s="4"/>
      <c r="BH230" s="4"/>
      <c r="BI230" s="6"/>
      <c r="BJ230" s="5" t="str">
        <f t="shared" si="719"/>
        <v>NO APLICA</v>
      </c>
      <c r="BK230" s="4"/>
      <c r="BL230" s="4"/>
      <c r="BM230" s="4"/>
      <c r="BN230" s="6"/>
      <c r="BO230" s="5" t="str">
        <f t="shared" si="720"/>
        <v>NO APLICA</v>
      </c>
      <c r="BP230" s="4"/>
      <c r="BQ230" s="4"/>
      <c r="BR230" s="4"/>
      <c r="BS230" s="6"/>
      <c r="BT230" s="5" t="str">
        <f t="shared" si="721"/>
        <v>NO APLICA</v>
      </c>
      <c r="BU230" s="4"/>
      <c r="BV230" s="4"/>
      <c r="BW230" s="4"/>
      <c r="BX230" s="6"/>
      <c r="BY230" s="5" t="str">
        <f t="shared" si="722"/>
        <v>NO APLICA</v>
      </c>
      <c r="BZ230" s="4"/>
      <c r="CA230" s="4"/>
      <c r="CB230" s="4"/>
      <c r="CC230" s="6"/>
      <c r="CD230" s="5" t="str">
        <f t="shared" si="723"/>
        <v>NO APLICA</v>
      </c>
      <c r="CE230" s="6"/>
      <c r="CF230" s="6"/>
      <c r="CG230" s="6"/>
      <c r="CH230" s="6"/>
      <c r="CI230" s="5" t="str">
        <f t="shared" si="789"/>
        <v>NO APLICA</v>
      </c>
      <c r="CJ230" s="4"/>
      <c r="CK230" s="4"/>
      <c r="CL230" s="4"/>
      <c r="CM230" s="6"/>
      <c r="CN230" s="5" t="str">
        <f t="shared" si="724"/>
        <v>NO APLICA</v>
      </c>
      <c r="CO230" s="4"/>
      <c r="CP230" s="4"/>
      <c r="CQ230" s="4"/>
      <c r="CR230" s="6"/>
      <c r="CS230" s="5" t="str">
        <f t="shared" si="725"/>
        <v>NO APLICA</v>
      </c>
      <c r="CT230" s="4"/>
      <c r="CU230" s="4"/>
      <c r="CV230" s="4"/>
      <c r="CW230" s="6"/>
      <c r="CX230" s="5" t="str">
        <f t="shared" si="726"/>
        <v>NO APLICA</v>
      </c>
      <c r="CY230" s="4"/>
      <c r="CZ230" s="4"/>
      <c r="DA230" s="4"/>
      <c r="DB230" s="6"/>
      <c r="DC230" s="5" t="str">
        <f t="shared" si="727"/>
        <v>NO APLICA</v>
      </c>
      <c r="DD230" s="4"/>
      <c r="DE230" s="4"/>
      <c r="DF230" s="4"/>
      <c r="DG230" s="6"/>
      <c r="DH230" s="5" t="str">
        <f t="shared" si="728"/>
        <v>NO APLICA</v>
      </c>
      <c r="DI230" s="4"/>
      <c r="DJ230" s="4"/>
      <c r="DK230" s="4"/>
      <c r="DL230" s="6"/>
      <c r="DM230" s="5" t="str">
        <f t="shared" si="729"/>
        <v>NO APLICA</v>
      </c>
      <c r="DN230" s="4"/>
      <c r="DO230" s="4"/>
      <c r="DP230" s="4"/>
      <c r="DQ230" s="6"/>
      <c r="DR230" s="5" t="str">
        <f t="shared" si="730"/>
        <v>NO APLICA</v>
      </c>
      <c r="DS230" s="4"/>
      <c r="DT230" s="4"/>
      <c r="DU230" s="4"/>
      <c r="DV230" s="6"/>
      <c r="DW230" s="5" t="str">
        <f t="shared" si="731"/>
        <v>NO APLICA</v>
      </c>
      <c r="DX230" s="4"/>
      <c r="DY230" s="4"/>
      <c r="DZ230" s="4"/>
      <c r="EA230" s="6"/>
      <c r="EB230" s="5" t="str">
        <f t="shared" si="732"/>
        <v>NO APLICA</v>
      </c>
      <c r="EC230" s="4"/>
      <c r="ED230" s="4"/>
      <c r="EE230" s="4"/>
      <c r="EF230" s="6"/>
      <c r="EG230" s="5" t="str">
        <f t="shared" si="733"/>
        <v>NO APLICA</v>
      </c>
      <c r="EH230" s="4"/>
      <c r="EI230" s="4"/>
      <c r="EJ230" s="4"/>
      <c r="EK230" s="8"/>
      <c r="EL230" s="5" t="str">
        <f t="shared" si="734"/>
        <v>NO APLICA</v>
      </c>
      <c r="EM230" s="4"/>
      <c r="EN230" s="4"/>
      <c r="EO230" s="4"/>
      <c r="EP230" s="8"/>
      <c r="EQ230" s="5" t="str">
        <f t="shared" si="735"/>
        <v>NO APLICA</v>
      </c>
      <c r="ER230" s="4"/>
      <c r="ES230" s="4"/>
      <c r="ET230" s="4"/>
      <c r="EU230" s="8"/>
      <c r="EV230" s="5" t="str">
        <f t="shared" si="736"/>
        <v>NO APLICA</v>
      </c>
      <c r="EW230" s="4"/>
      <c r="EX230" s="4"/>
      <c r="EY230" s="4"/>
      <c r="EZ230" s="6"/>
      <c r="FA230" s="5" t="str">
        <f t="shared" si="737"/>
        <v>NO APLICA</v>
      </c>
      <c r="FB230" s="4"/>
      <c r="FC230" s="4"/>
      <c r="FD230" s="4"/>
      <c r="FE230" s="6"/>
      <c r="FF230" s="5" t="str">
        <f t="shared" si="738"/>
        <v>NO APLICA</v>
      </c>
      <c r="FG230" s="4"/>
      <c r="FH230" s="4"/>
      <c r="FI230" s="4"/>
      <c r="FJ230" s="6"/>
      <c r="FK230" s="5" t="str">
        <f t="shared" si="739"/>
        <v>NO APLICA</v>
      </c>
      <c r="FL230" s="4"/>
      <c r="FM230" s="4"/>
      <c r="FN230" s="4"/>
      <c r="FO230" s="6"/>
      <c r="FP230" s="5" t="str">
        <f t="shared" si="740"/>
        <v>NO APLICA</v>
      </c>
      <c r="FQ230" s="4"/>
      <c r="FR230" s="4"/>
      <c r="FS230" s="4"/>
      <c r="FT230" s="6"/>
      <c r="FU230" s="5" t="str">
        <f t="shared" si="741"/>
        <v>NO APLICA</v>
      </c>
      <c r="FV230" s="4"/>
      <c r="FW230" s="4"/>
      <c r="FX230" s="4"/>
      <c r="FY230" s="6"/>
      <c r="FZ230" s="5" t="str">
        <f t="shared" si="742"/>
        <v>NO APLICA</v>
      </c>
      <c r="GA230" s="4"/>
      <c r="GB230" s="4"/>
      <c r="GC230" s="4"/>
      <c r="GD230" s="6"/>
      <c r="GE230" s="5" t="str">
        <f t="shared" si="743"/>
        <v>NO APLICA</v>
      </c>
      <c r="GF230" s="4"/>
      <c r="GG230" s="4"/>
      <c r="GH230" s="4"/>
      <c r="GI230" s="8"/>
      <c r="GJ230" s="5" t="str">
        <f t="shared" si="744"/>
        <v>NO APLICA</v>
      </c>
      <c r="GK230" s="4"/>
      <c r="GL230" s="6"/>
      <c r="GM230" s="6"/>
      <c r="GN230" s="6"/>
      <c r="GO230" s="5" t="str">
        <f t="shared" si="745"/>
        <v>NO APLICA</v>
      </c>
      <c r="GP230" s="4"/>
      <c r="GQ230" s="6"/>
      <c r="GR230" s="6"/>
      <c r="GS230" s="6"/>
      <c r="GT230" s="5" t="str">
        <f t="shared" si="624"/>
        <v>NO APLICA</v>
      </c>
      <c r="GU230" s="4"/>
      <c r="GV230" s="6"/>
      <c r="GW230" s="6"/>
      <c r="GX230" s="6"/>
      <c r="GY230" s="5" t="str">
        <f t="shared" si="625"/>
        <v>NO APLICA</v>
      </c>
      <c r="GZ230" s="6"/>
      <c r="HA230" s="6"/>
      <c r="HB230" s="6"/>
      <c r="HC230" s="6"/>
      <c r="HD230" s="5" t="str">
        <f t="shared" si="626"/>
        <v>NO APLICA</v>
      </c>
      <c r="HE230" s="6"/>
      <c r="HF230" s="6"/>
      <c r="HG230" s="4"/>
      <c r="HH230" s="8"/>
      <c r="HI230" s="5" t="str">
        <f t="shared" si="712"/>
        <v>NO APLICA</v>
      </c>
      <c r="HJ230" s="6"/>
      <c r="HK230" s="6"/>
      <c r="HL230" s="6"/>
      <c r="HM230" s="6"/>
      <c r="HN230" s="5" t="str">
        <f t="shared" si="708"/>
        <v>NO APLICA</v>
      </c>
      <c r="HO230" s="6"/>
      <c r="HP230" s="6"/>
      <c r="HQ230" s="6"/>
      <c r="HR230" s="6"/>
      <c r="HS230" s="5" t="str">
        <f t="shared" si="746"/>
        <v>NO APLICA</v>
      </c>
      <c r="HT230" s="6"/>
      <c r="HU230" s="6"/>
      <c r="HV230" s="6"/>
      <c r="HW230" s="6"/>
      <c r="HX230" s="5" t="str">
        <f t="shared" si="747"/>
        <v>NO APLICA</v>
      </c>
      <c r="HY230" s="6"/>
      <c r="HZ230" s="6"/>
      <c r="IA230" s="6"/>
      <c r="IB230" s="6"/>
      <c r="IC230" s="5" t="str">
        <f t="shared" si="748"/>
        <v>NO APLICA</v>
      </c>
      <c r="ID230" s="6"/>
      <c r="IE230" s="6"/>
      <c r="IF230" s="6"/>
      <c r="IG230" s="6"/>
      <c r="IH230" s="5" t="str">
        <f t="shared" si="749"/>
        <v>NO APLICA</v>
      </c>
      <c r="II230" s="6"/>
      <c r="IJ230" s="6"/>
      <c r="IK230" s="6"/>
      <c r="IL230" s="6"/>
      <c r="IM230" s="5" t="str">
        <f t="shared" si="750"/>
        <v>NO APLICA</v>
      </c>
      <c r="IN230" s="6"/>
      <c r="IO230" s="6"/>
      <c r="IP230" s="6"/>
      <c r="IQ230" s="6"/>
      <c r="IR230" s="5" t="str">
        <f t="shared" si="751"/>
        <v>NO APLICA</v>
      </c>
      <c r="IS230" s="6"/>
      <c r="IT230" s="6"/>
      <c r="IU230" s="6"/>
      <c r="IV230" s="6"/>
      <c r="IW230" s="5" t="str">
        <f t="shared" si="752"/>
        <v>NO APLICA</v>
      </c>
      <c r="IX230" s="6"/>
      <c r="IY230" s="6"/>
      <c r="IZ230" s="6"/>
      <c r="JA230" s="6"/>
      <c r="JB230" s="5" t="str">
        <f t="shared" si="753"/>
        <v>NO APLICA</v>
      </c>
      <c r="JC230" s="6"/>
      <c r="JD230" s="6"/>
      <c r="JE230" s="6"/>
      <c r="JF230" s="6"/>
      <c r="JG230" s="5" t="str">
        <f t="shared" si="754"/>
        <v>NO APLICA</v>
      </c>
      <c r="JH230" s="6"/>
      <c r="JI230" s="6"/>
      <c r="JJ230" s="6"/>
      <c r="JK230" s="6"/>
      <c r="JL230" s="5" t="str">
        <f t="shared" si="755"/>
        <v>NO APLICA</v>
      </c>
      <c r="JM230" s="6"/>
      <c r="JN230" s="6"/>
      <c r="JO230" s="6"/>
      <c r="JP230" s="6"/>
      <c r="JQ230" s="5" t="str">
        <f t="shared" si="756"/>
        <v>NO APLICA</v>
      </c>
      <c r="JR230" s="6"/>
      <c r="JS230" s="6"/>
      <c r="JT230" s="6"/>
      <c r="JU230" s="6"/>
      <c r="JV230" s="5" t="str">
        <f t="shared" si="757"/>
        <v>NO APLICA</v>
      </c>
      <c r="JW230" s="5"/>
      <c r="JX230" s="5"/>
      <c r="JY230" s="5"/>
      <c r="JZ230" s="5"/>
      <c r="KA230" s="5" t="str">
        <f t="shared" si="758"/>
        <v>NO APLICA</v>
      </c>
      <c r="KB230" s="5"/>
      <c r="KC230" s="6"/>
      <c r="KD230" s="6"/>
      <c r="KE230" s="6"/>
      <c r="KF230" s="5" t="str">
        <f t="shared" si="759"/>
        <v>NO APLICA</v>
      </c>
      <c r="KG230" s="5"/>
      <c r="KH230" s="6"/>
      <c r="KI230" s="6"/>
      <c r="KJ230" s="6"/>
      <c r="KK230" s="5" t="str">
        <f t="shared" si="779"/>
        <v>NO APLICA</v>
      </c>
      <c r="KL230" s="5"/>
      <c r="KM230" s="6"/>
      <c r="KN230" s="6"/>
      <c r="KO230" s="6"/>
      <c r="KP230" s="5" t="str">
        <f t="shared" si="760"/>
        <v>NO APLICA</v>
      </c>
      <c r="KQ230" s="5"/>
      <c r="KR230" s="6"/>
      <c r="KS230" s="6"/>
      <c r="KT230" s="6"/>
      <c r="KU230" s="5" t="str">
        <f t="shared" si="780"/>
        <v>NO APLICA</v>
      </c>
      <c r="KV230" s="6"/>
      <c r="KW230" s="6"/>
      <c r="KX230" s="6"/>
      <c r="KY230" s="6"/>
      <c r="KZ230" s="5" t="str">
        <f t="shared" si="786"/>
        <v>NO APLICA</v>
      </c>
      <c r="LA230" s="5"/>
      <c r="LB230" s="6"/>
      <c r="LC230" s="6"/>
      <c r="LD230" s="6"/>
      <c r="LE230" s="5" t="str">
        <f t="shared" si="781"/>
        <v>NO APLICA</v>
      </c>
      <c r="LF230" s="6"/>
      <c r="LG230" s="6"/>
      <c r="LH230" s="6"/>
      <c r="LI230" s="6"/>
      <c r="LJ230" s="5" t="str">
        <f t="shared" si="614"/>
        <v>NO APLICA</v>
      </c>
      <c r="LK230" s="5"/>
      <c r="LL230" s="5"/>
      <c r="LM230" s="4"/>
      <c r="LN230" s="8"/>
      <c r="LO230" s="5" t="str">
        <f t="shared" si="787"/>
        <v>NO APLICA</v>
      </c>
      <c r="LP230" s="6"/>
      <c r="LQ230" s="6"/>
      <c r="LR230" s="6"/>
      <c r="LS230" s="6"/>
      <c r="LT230" s="5" t="str">
        <f t="shared" si="782"/>
        <v>NO APLICA</v>
      </c>
      <c r="LU230" s="6"/>
      <c r="LV230" s="6"/>
      <c r="LW230" s="6"/>
      <c r="LX230" s="6"/>
      <c r="LY230" s="5" t="str">
        <f t="shared" si="783"/>
        <v>NO APLICA</v>
      </c>
      <c r="LZ230" s="6"/>
      <c r="MA230" s="6"/>
      <c r="MB230" s="6"/>
      <c r="MC230" s="6"/>
      <c r="MD230" s="5" t="str">
        <f t="shared" si="784"/>
        <v>NO APLICA</v>
      </c>
      <c r="ME230" s="6"/>
      <c r="MF230" s="6"/>
      <c r="MG230" s="6"/>
      <c r="MH230" s="6"/>
      <c r="MI230" s="5" t="str">
        <f t="shared" si="761"/>
        <v>NO APLICA</v>
      </c>
      <c r="MJ230" s="6"/>
      <c r="MK230" s="6"/>
      <c r="ML230" s="6"/>
      <c r="MM230" s="6"/>
      <c r="MN230" s="5" t="str">
        <f t="shared" si="762"/>
        <v>NO APLICA</v>
      </c>
      <c r="MO230" s="5"/>
      <c r="MP230" s="6"/>
      <c r="MQ230" s="6"/>
      <c r="MR230" s="6"/>
      <c r="MS230" s="5" t="str">
        <f t="shared" si="763"/>
        <v>NO APLICA</v>
      </c>
      <c r="MT230" s="5"/>
      <c r="MU230" s="6"/>
      <c r="MV230" s="6"/>
      <c r="MW230" s="6"/>
      <c r="MX230" s="5" t="str">
        <f t="shared" si="764"/>
        <v>NO APLICA</v>
      </c>
      <c r="MY230" s="6"/>
      <c r="MZ230" s="6"/>
      <c r="NA230" s="6"/>
      <c r="NB230" s="6"/>
      <c r="NC230" s="5" t="str">
        <f t="shared" si="765"/>
        <v>NO APLICA</v>
      </c>
      <c r="ND230" s="6"/>
      <c r="NE230" s="6"/>
      <c r="NF230" s="6"/>
      <c r="NG230" s="6"/>
      <c r="NH230" s="5" t="str">
        <f t="shared" si="766"/>
        <v>NO APLICA</v>
      </c>
      <c r="NI230" s="6"/>
      <c r="NJ230" s="6"/>
      <c r="NK230" s="6"/>
      <c r="NL230" s="6"/>
      <c r="NM230" s="5" t="str">
        <f t="shared" si="767"/>
        <v>NO APLICA</v>
      </c>
      <c r="NN230" s="6"/>
      <c r="NO230" s="6"/>
      <c r="NP230" s="6"/>
      <c r="NQ230" s="6"/>
      <c r="NR230" s="5" t="str">
        <f t="shared" si="768"/>
        <v>NO APLICA</v>
      </c>
      <c r="NS230" s="6"/>
      <c r="NT230" s="6"/>
      <c r="NU230" s="6"/>
      <c r="NV230" s="6"/>
      <c r="NW230" s="5" t="str">
        <f t="shared" si="769"/>
        <v>NO APLICA</v>
      </c>
      <c r="NX230" s="6"/>
      <c r="NY230" s="6"/>
      <c r="NZ230" s="6"/>
      <c r="OA230" s="6"/>
      <c r="OB230" s="5" t="str">
        <f t="shared" si="770"/>
        <v>NO APLICA</v>
      </c>
      <c r="OC230" s="6"/>
      <c r="OD230" s="6"/>
      <c r="OE230" s="6"/>
      <c r="OF230" s="6"/>
      <c r="OG230" s="5" t="str">
        <f t="shared" si="771"/>
        <v>NO APLICA</v>
      </c>
      <c r="OH230" s="6"/>
      <c r="OI230" s="6"/>
      <c r="OJ230" s="6"/>
      <c r="OK230" s="6"/>
      <c r="OL230" s="5" t="str">
        <f t="shared" si="772"/>
        <v>NO APLICA</v>
      </c>
      <c r="OM230" s="6"/>
      <c r="ON230" s="6"/>
      <c r="OO230" s="6"/>
      <c r="OP230" s="6"/>
      <c r="OQ230" s="5" t="str">
        <f t="shared" si="773"/>
        <v>NO APLICA</v>
      </c>
      <c r="OR230" s="6"/>
      <c r="OS230" s="6"/>
      <c r="OT230" s="6"/>
      <c r="OU230" s="6"/>
      <c r="OV230" s="5" t="str">
        <f t="shared" si="774"/>
        <v>NO APLICA</v>
      </c>
      <c r="OW230" s="6"/>
      <c r="OX230" s="6"/>
      <c r="OY230" s="6"/>
      <c r="OZ230" s="6"/>
      <c r="PA230" s="5" t="str">
        <f t="shared" si="788"/>
        <v>NO APLICA</v>
      </c>
      <c r="PB230" s="6"/>
      <c r="PC230" s="6"/>
      <c r="PD230" s="6"/>
      <c r="PE230" s="6"/>
      <c r="PF230" s="5" t="str">
        <f t="shared" si="775"/>
        <v>NO APLICA</v>
      </c>
      <c r="PG230" s="6"/>
      <c r="PH230" s="6"/>
      <c r="PI230" s="6"/>
      <c r="PJ230" s="6"/>
      <c r="PK230" s="5" t="str">
        <f t="shared" si="776"/>
        <v>NO APLICA</v>
      </c>
      <c r="PL230" s="5"/>
      <c r="PM230" s="6"/>
      <c r="PN230" s="6"/>
      <c r="PO230" s="6"/>
      <c r="PP230" s="5" t="str">
        <f t="shared" si="785"/>
        <v>NO APLICA</v>
      </c>
      <c r="PQ230" s="6"/>
      <c r="PR230" s="6"/>
      <c r="PS230" s="6"/>
      <c r="PT230" s="6"/>
      <c r="PU230" s="5" t="str">
        <f t="shared" si="77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7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684</v>
      </c>
      <c r="D231" s="30" t="s">
        <v>115</v>
      </c>
      <c r="E231" s="31" t="s">
        <v>685</v>
      </c>
      <c r="F231" s="6"/>
      <c r="G231" s="6"/>
      <c r="H231" s="6"/>
      <c r="I231" s="6"/>
      <c r="J231" s="5" t="str">
        <f t="shared" si="710"/>
        <v>NO APLICA</v>
      </c>
      <c r="K231" s="6"/>
      <c r="L231" s="6"/>
      <c r="M231" s="6"/>
      <c r="N231" s="6"/>
      <c r="O231" s="5" t="str">
        <f t="shared" si="713"/>
        <v>NO APLICA</v>
      </c>
      <c r="P231" s="6"/>
      <c r="Q231" s="6"/>
      <c r="R231" s="6"/>
      <c r="S231" s="6"/>
      <c r="T231" s="5" t="str">
        <f t="shared" si="711"/>
        <v>NO APLICA</v>
      </c>
      <c r="U231" s="5"/>
      <c r="V231" s="6" t="s">
        <v>686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14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 t="s">
        <v>146</v>
      </c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37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38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0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2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3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24"/>
        <v>NO APLICA</v>
      </c>
      <c r="GU231" s="4"/>
      <c r="GV231" s="6"/>
      <c r="GW231" s="6"/>
      <c r="GX231" s="6"/>
      <c r="GY231" s="5" t="str">
        <f t="shared" si="625"/>
        <v>NO APLICA</v>
      </c>
      <c r="GZ231" s="6"/>
      <c r="HA231" s="6"/>
      <c r="HB231" s="6"/>
      <c r="HC231" s="6"/>
      <c r="HD231" s="5" t="str">
        <f t="shared" si="626"/>
        <v>NO APLICA</v>
      </c>
      <c r="HE231" s="6"/>
      <c r="HF231" s="6"/>
      <c r="HG231" s="4"/>
      <c r="HH231" s="8"/>
      <c r="HI231" s="5" t="str">
        <f t="shared" si="712"/>
        <v>NO APLICA</v>
      </c>
      <c r="HJ231" s="6"/>
      <c r="HK231" s="6"/>
      <c r="HL231" s="6"/>
      <c r="HM231" s="6"/>
      <c r="HN231" s="5" t="str">
        <f t="shared" si="708"/>
        <v>NO APLICA</v>
      </c>
      <c r="HO231" s="6"/>
      <c r="HP231" s="6"/>
      <c r="HQ231" s="6"/>
      <c r="HR231" s="6"/>
      <c r="HS231" s="5" t="str">
        <f t="shared" si="746"/>
        <v>NO APLICA</v>
      </c>
      <c r="HT231" s="6"/>
      <c r="HU231" s="6"/>
      <c r="HV231" s="6"/>
      <c r="HW231" s="6"/>
      <c r="HX231" s="5" t="str">
        <f t="shared" si="747"/>
        <v>NO APLICA</v>
      </c>
      <c r="HY231" s="6"/>
      <c r="HZ231" s="6"/>
      <c r="IA231" s="6"/>
      <c r="IB231" s="6"/>
      <c r="IC231" s="5" t="str">
        <f t="shared" si="748"/>
        <v>NO APLICA</v>
      </c>
      <c r="ID231" s="6"/>
      <c r="IE231" s="6"/>
      <c r="IF231" s="6"/>
      <c r="IG231" s="6"/>
      <c r="IH231" s="5" t="str">
        <f t="shared" si="749"/>
        <v>NO APLICA</v>
      </c>
      <c r="II231" s="6"/>
      <c r="IJ231" s="6"/>
      <c r="IK231" s="6"/>
      <c r="IL231" s="6"/>
      <c r="IM231" s="5" t="str">
        <f t="shared" si="750"/>
        <v>NO APLICA</v>
      </c>
      <c r="IN231" s="6"/>
      <c r="IO231" s="6"/>
      <c r="IP231" s="6"/>
      <c r="IQ231" s="6"/>
      <c r="IR231" s="5" t="str">
        <f t="shared" si="751"/>
        <v>NO APLICA</v>
      </c>
      <c r="IS231" s="6"/>
      <c r="IT231" s="6"/>
      <c r="IU231" s="6"/>
      <c r="IV231" s="6"/>
      <c r="IW231" s="5" t="str">
        <f t="shared" si="752"/>
        <v>NO APLICA</v>
      </c>
      <c r="IX231" s="6"/>
      <c r="IY231" s="6"/>
      <c r="IZ231" s="6"/>
      <c r="JA231" s="6"/>
      <c r="JB231" s="5" t="str">
        <f t="shared" si="753"/>
        <v>NO APLICA</v>
      </c>
      <c r="JC231" s="6"/>
      <c r="JD231" s="6"/>
      <c r="JE231" s="6"/>
      <c r="JF231" s="6"/>
      <c r="JG231" s="5" t="str">
        <f t="shared" si="754"/>
        <v>NO APLICA</v>
      </c>
      <c r="JH231" s="6"/>
      <c r="JI231" s="6"/>
      <c r="JJ231" s="6"/>
      <c r="JK231" s="6"/>
      <c r="JL231" s="5" t="str">
        <f t="shared" si="755"/>
        <v>NO APLICA</v>
      </c>
      <c r="JM231" s="6"/>
      <c r="JN231" s="6"/>
      <c r="JO231" s="6"/>
      <c r="JP231" s="6"/>
      <c r="JQ231" s="5" t="str">
        <f t="shared" si="756"/>
        <v>NO APLICA</v>
      </c>
      <c r="JR231" s="6"/>
      <c r="JS231" s="6"/>
      <c r="JT231" s="6"/>
      <c r="JU231" s="6"/>
      <c r="JV231" s="5" t="str">
        <f t="shared" si="757"/>
        <v>NO APLICA</v>
      </c>
      <c r="JW231" s="5"/>
      <c r="JX231" s="5"/>
      <c r="JY231" s="5"/>
      <c r="JZ231" s="5"/>
      <c r="KA231" s="5" t="str">
        <f t="shared" si="758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7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8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4"/>
        <v>NO APLICA</v>
      </c>
      <c r="LK231" s="5"/>
      <c r="LL231" s="5"/>
      <c r="LM231" s="4"/>
      <c r="LN231" s="8"/>
      <c r="LO231" s="5" t="str">
        <f t="shared" si="787"/>
        <v>NO APLICA</v>
      </c>
      <c r="LP231" s="6"/>
      <c r="LQ231" s="6"/>
      <c r="LR231" s="6"/>
      <c r="LS231" s="6"/>
      <c r="LT231" s="5" t="str">
        <f t="shared" si="782"/>
        <v>NO APLICA</v>
      </c>
      <c r="LU231" s="6"/>
      <c r="LV231" s="6"/>
      <c r="LW231" s="6"/>
      <c r="LX231" s="6"/>
      <c r="LY231" s="5" t="str">
        <f t="shared" si="783"/>
        <v>NO APLICA</v>
      </c>
      <c r="LZ231" s="6"/>
      <c r="MA231" s="6"/>
      <c r="MB231" s="6"/>
      <c r="MC231" s="6"/>
      <c r="MD231" s="5" t="str">
        <f t="shared" si="784"/>
        <v>NO APLICA</v>
      </c>
      <c r="ME231" s="6"/>
      <c r="MF231" s="6"/>
      <c r="MG231" s="6"/>
      <c r="MH231" s="6"/>
      <c r="MI231" s="5" t="str">
        <f t="shared" si="761"/>
        <v>NO APLICA</v>
      </c>
      <c r="MJ231" s="6"/>
      <c r="MK231" s="6"/>
      <c r="ML231" s="6"/>
      <c r="MM231" s="6"/>
      <c r="MN231" s="5" t="str">
        <f t="shared" si="762"/>
        <v>NO APLICA</v>
      </c>
      <c r="MO231" s="5"/>
      <c r="MP231" s="6"/>
      <c r="MQ231" s="6"/>
      <c r="MR231" s="6"/>
      <c r="MS231" s="5" t="str">
        <f t="shared" si="763"/>
        <v>NO APLICA</v>
      </c>
      <c r="MT231" s="5"/>
      <c r="MU231" s="6"/>
      <c r="MV231" s="6"/>
      <c r="MW231" s="6"/>
      <c r="MX231" s="5" t="str">
        <f t="shared" si="76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69"/>
        <v>NO APLICA</v>
      </c>
      <c r="NX231" s="6"/>
      <c r="NY231" s="6"/>
      <c r="NZ231" s="6"/>
      <c r="OA231" s="6"/>
      <c r="OB231" s="5" t="str">
        <f t="shared" si="770"/>
        <v>NO APLICA</v>
      </c>
      <c r="OC231" s="6"/>
      <c r="OD231" s="6"/>
      <c r="OE231" s="6"/>
      <c r="OF231" s="6"/>
      <c r="OG231" s="5" t="str">
        <f t="shared" si="771"/>
        <v>NO APLICA</v>
      </c>
      <c r="OH231" s="6"/>
      <c r="OI231" s="6"/>
      <c r="OJ231" s="6"/>
      <c r="OK231" s="6"/>
      <c r="OL231" s="5" t="str">
        <f t="shared" si="772"/>
        <v>NO APLICA</v>
      </c>
      <c r="OM231" s="6"/>
      <c r="ON231" s="6"/>
      <c r="OO231" s="6"/>
      <c r="OP231" s="6"/>
      <c r="OQ231" s="5" t="str">
        <f t="shared" si="773"/>
        <v>NO APLICA</v>
      </c>
      <c r="OR231" s="4"/>
      <c r="OS231" s="4"/>
      <c r="OT231" s="4"/>
      <c r="OU231" s="8"/>
      <c r="OV231" s="5" t="str">
        <f t="shared" si="77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7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687</v>
      </c>
      <c r="D232" s="30" t="s">
        <v>115</v>
      </c>
      <c r="E232" s="31" t="s">
        <v>650</v>
      </c>
      <c r="F232" s="3"/>
      <c r="G232" s="4"/>
      <c r="H232" s="4"/>
      <c r="I232" s="8"/>
      <c r="J232" s="5" t="str">
        <f t="shared" si="710"/>
        <v>NO APLICA</v>
      </c>
      <c r="K232" s="2"/>
      <c r="L232" s="2"/>
      <c r="M232" s="2"/>
      <c r="N232" s="2"/>
      <c r="O232" s="5" t="str">
        <f t="shared" si="713"/>
        <v>NO APLICA</v>
      </c>
      <c r="P232" s="6"/>
      <c r="Q232" s="6"/>
      <c r="R232" s="4"/>
      <c r="S232" s="8"/>
      <c r="T232" s="5" t="str">
        <f t="shared" si="711"/>
        <v>NO APLICA</v>
      </c>
      <c r="U232" s="5"/>
      <c r="V232" s="2"/>
      <c r="W232" s="4"/>
      <c r="X232" s="4"/>
      <c r="Y232" s="8"/>
      <c r="Z232" s="5" t="str">
        <f t="shared" si="619"/>
        <v>NO APLICA</v>
      </c>
      <c r="AA232" s="5"/>
      <c r="AB232" s="2"/>
      <c r="AC232" s="6"/>
      <c r="AD232" s="4"/>
      <c r="AE232" s="8"/>
      <c r="AF232" s="5" t="str">
        <f t="shared" si="714"/>
        <v>NO APLICA</v>
      </c>
      <c r="AG232" s="2"/>
      <c r="AH232" s="4"/>
      <c r="AI232" s="4"/>
      <c r="AJ232" s="8"/>
      <c r="AK232" s="5" t="str">
        <f t="shared" ref="AK232:AK239" si="79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15"/>
        <v>NO APLICA</v>
      </c>
      <c r="AQ232" s="2"/>
      <c r="AR232" s="4"/>
      <c r="AS232" s="4"/>
      <c r="AT232" s="8"/>
      <c r="AU232" s="5" t="str">
        <f t="shared" si="716"/>
        <v>NO APLICA</v>
      </c>
      <c r="AV232" s="2"/>
      <c r="AW232" s="4"/>
      <c r="AX232" s="4"/>
      <c r="AY232" s="8"/>
      <c r="AZ232" s="5" t="str">
        <f t="shared" si="717"/>
        <v>NO APLICA</v>
      </c>
      <c r="BA232" s="3"/>
      <c r="BB232" s="4"/>
      <c r="BC232" s="4"/>
      <c r="BD232" s="8"/>
      <c r="BE232" s="5" t="str">
        <f t="shared" si="718"/>
        <v>NO APLICA</v>
      </c>
      <c r="BF232" s="2"/>
      <c r="BG232" s="4"/>
      <c r="BH232" s="4"/>
      <c r="BI232" s="8"/>
      <c r="BJ232" s="5" t="str">
        <f t="shared" si="719"/>
        <v>NO APLICA</v>
      </c>
      <c r="BK232" s="3"/>
      <c r="BL232" s="4"/>
      <c r="BM232" s="4"/>
      <c r="BN232" s="8"/>
      <c r="BO232" s="5" t="str">
        <f t="shared" si="720"/>
        <v>NO APLICA</v>
      </c>
      <c r="BP232" s="3"/>
      <c r="BQ232" s="4"/>
      <c r="BR232" s="4"/>
      <c r="BS232" s="8"/>
      <c r="BT232" s="5" t="str">
        <f t="shared" si="721"/>
        <v>NO APLICA</v>
      </c>
      <c r="BU232" s="2"/>
      <c r="BV232" s="4"/>
      <c r="BW232" s="4"/>
      <c r="BX232" s="8"/>
      <c r="BY232" s="5" t="str">
        <f t="shared" si="722"/>
        <v>NO APLICA</v>
      </c>
      <c r="BZ232" s="2"/>
      <c r="CA232" s="4"/>
      <c r="CB232" s="4"/>
      <c r="CC232" s="8"/>
      <c r="CD232" s="5" t="str">
        <f t="shared" si="723"/>
        <v>NO APLICA</v>
      </c>
      <c r="CE232" s="6"/>
      <c r="CF232" s="4"/>
      <c r="CG232" s="4"/>
      <c r="CH232" s="8"/>
      <c r="CI232" s="5" t="str">
        <f t="shared" si="789"/>
        <v>NO APLICA</v>
      </c>
      <c r="CJ232" s="6"/>
      <c r="CK232" s="4"/>
      <c r="CL232" s="4"/>
      <c r="CM232" s="8"/>
      <c r="CN232" s="5" t="str">
        <f t="shared" si="724"/>
        <v>NO APLICA</v>
      </c>
      <c r="CO232" s="2"/>
      <c r="CP232" s="4"/>
      <c r="CQ232" s="4"/>
      <c r="CR232" s="8"/>
      <c r="CS232" s="5" t="str">
        <f t="shared" si="725"/>
        <v>NO APLICA</v>
      </c>
      <c r="CT232" s="2"/>
      <c r="CU232" s="4"/>
      <c r="CV232" s="4"/>
      <c r="CW232" s="8"/>
      <c r="CX232" s="5" t="str">
        <f t="shared" si="726"/>
        <v>NO APLICA</v>
      </c>
      <c r="CY232" s="3"/>
      <c r="CZ232" s="4"/>
      <c r="DA232" s="4"/>
      <c r="DB232" s="8"/>
      <c r="DC232" s="5" t="str">
        <f t="shared" si="727"/>
        <v>NO APLICA</v>
      </c>
      <c r="DD232" s="3"/>
      <c r="DE232" s="4"/>
      <c r="DF232" s="4"/>
      <c r="DG232" s="8"/>
      <c r="DH232" s="5" t="str">
        <f t="shared" si="728"/>
        <v>NO APLICA</v>
      </c>
      <c r="DI232" s="2"/>
      <c r="DJ232" s="4"/>
      <c r="DK232" s="4"/>
      <c r="DL232" s="8"/>
      <c r="DM232" s="5" t="str">
        <f t="shared" si="729"/>
        <v>NO APLICA</v>
      </c>
      <c r="DN232" s="3"/>
      <c r="DO232" s="4"/>
      <c r="DP232" s="4"/>
      <c r="DQ232" s="8"/>
      <c r="DR232" s="5" t="str">
        <f t="shared" si="730"/>
        <v>NO APLICA</v>
      </c>
      <c r="DS232" s="2"/>
      <c r="DT232" s="4"/>
      <c r="DU232" s="4"/>
      <c r="DV232" s="8"/>
      <c r="DW232" s="5" t="str">
        <f t="shared" si="731"/>
        <v>NO APLICA</v>
      </c>
      <c r="DX232" s="3"/>
      <c r="DY232" s="4"/>
      <c r="DZ232" s="4"/>
      <c r="EA232" s="8"/>
      <c r="EB232" s="5" t="str">
        <f t="shared" si="732"/>
        <v>NO APLICA</v>
      </c>
      <c r="EC232" s="3"/>
      <c r="ED232" s="4"/>
      <c r="EE232" s="4"/>
      <c r="EF232" s="8"/>
      <c r="EG232" s="5" t="str">
        <f t="shared" si="733"/>
        <v>NO APLICA</v>
      </c>
      <c r="EH232" s="2"/>
      <c r="EI232" s="4"/>
      <c r="EJ232" s="4"/>
      <c r="EK232" s="8"/>
      <c r="EL232" s="5" t="str">
        <f t="shared" si="734"/>
        <v>NO APLICA</v>
      </c>
      <c r="EM232" s="3"/>
      <c r="EN232" s="4"/>
      <c r="EO232" s="4"/>
      <c r="EP232" s="8"/>
      <c r="EQ232" s="5" t="str">
        <f t="shared" si="735"/>
        <v>NO APLICA</v>
      </c>
      <c r="ER232" s="2"/>
      <c r="ES232" s="4"/>
      <c r="ET232" s="4"/>
      <c r="EU232" s="8"/>
      <c r="EV232" s="5" t="str">
        <f t="shared" si="736"/>
        <v>NO APLICA</v>
      </c>
      <c r="EW232" s="2"/>
      <c r="EX232" s="4"/>
      <c r="EY232" s="4"/>
      <c r="EZ232" s="8"/>
      <c r="FA232" s="5" t="str">
        <f t="shared" si="737"/>
        <v>NO APLICA</v>
      </c>
      <c r="FB232" s="2"/>
      <c r="FC232" s="4"/>
      <c r="FD232" s="4"/>
      <c r="FE232" s="8"/>
      <c r="FF232" s="5" t="str">
        <f t="shared" si="738"/>
        <v>NO APLICA</v>
      </c>
      <c r="FG232" s="2"/>
      <c r="FH232" s="4"/>
      <c r="FI232" s="4"/>
      <c r="FJ232" s="8"/>
      <c r="FK232" s="5" t="str">
        <f t="shared" si="739"/>
        <v>NO APLICA</v>
      </c>
      <c r="FL232" s="3"/>
      <c r="FM232" s="4"/>
      <c r="FN232" s="4"/>
      <c r="FO232" s="8"/>
      <c r="FP232" s="5" t="str">
        <f t="shared" si="740"/>
        <v>NO APLICA</v>
      </c>
      <c r="FQ232" s="3"/>
      <c r="FR232" s="4"/>
      <c r="FS232" s="4"/>
      <c r="FT232" s="8"/>
      <c r="FU232" s="5" t="str">
        <f t="shared" si="741"/>
        <v>NO APLICA</v>
      </c>
      <c r="FV232" s="3"/>
      <c r="FW232" s="4"/>
      <c r="FX232" s="4"/>
      <c r="FY232" s="8"/>
      <c r="FZ232" s="5" t="str">
        <f t="shared" si="742"/>
        <v>NO APLICA</v>
      </c>
      <c r="GA232" s="3"/>
      <c r="GB232" s="4"/>
      <c r="GC232" s="4"/>
      <c r="GD232" s="8"/>
      <c r="GE232" s="5" t="str">
        <f t="shared" si="743"/>
        <v>NO APLICA</v>
      </c>
      <c r="GF232" s="3"/>
      <c r="GG232" s="4"/>
      <c r="GH232" s="4"/>
      <c r="GI232" s="8"/>
      <c r="GJ232" s="5" t="str">
        <f t="shared" si="744"/>
        <v>NO APLICA</v>
      </c>
      <c r="GK232" s="3"/>
      <c r="GL232" s="4"/>
      <c r="GM232" s="4"/>
      <c r="GN232" s="8"/>
      <c r="GO232" s="5" t="str">
        <f t="shared" si="745"/>
        <v>NO APLICA</v>
      </c>
      <c r="GP232" s="4"/>
      <c r="GQ232" s="4"/>
      <c r="GR232" s="4"/>
      <c r="GS232" s="8"/>
      <c r="GT232" s="5" t="str">
        <f t="shared" si="624"/>
        <v>NO APLICA</v>
      </c>
      <c r="GU232" s="3"/>
      <c r="GV232" s="4"/>
      <c r="GW232" s="4"/>
      <c r="GX232" s="8"/>
      <c r="GY232" s="5" t="str">
        <f t="shared" si="625"/>
        <v>NO APLICA</v>
      </c>
      <c r="GZ232" s="2"/>
      <c r="HA232" s="4"/>
      <c r="HB232" s="4"/>
      <c r="HC232" s="8"/>
      <c r="HD232" s="5" t="str">
        <f t="shared" si="626"/>
        <v>NO APLICA</v>
      </c>
      <c r="HE232" s="6"/>
      <c r="HF232" s="6"/>
      <c r="HG232" s="4"/>
      <c r="HH232" s="8"/>
      <c r="HI232" s="5" t="str">
        <f t="shared" si="712"/>
        <v>NO APLICA</v>
      </c>
      <c r="HJ232" s="2"/>
      <c r="HK232" s="6"/>
      <c r="HL232" s="4"/>
      <c r="HM232" s="8"/>
      <c r="HN232" s="5" t="str">
        <f t="shared" si="708"/>
        <v>NO APLICA</v>
      </c>
      <c r="HO232" s="2"/>
      <c r="HP232" s="2"/>
      <c r="HQ232" s="4"/>
      <c r="HR232" s="2"/>
      <c r="HS232" s="5" t="str">
        <f t="shared" si="746"/>
        <v>NO APLICA</v>
      </c>
      <c r="HT232" s="2"/>
      <c r="HU232" s="6"/>
      <c r="HV232" s="4"/>
      <c r="HW232" s="8"/>
      <c r="HX232" s="5" t="str">
        <f t="shared" si="747"/>
        <v>NO APLICA</v>
      </c>
      <c r="HY232" s="2"/>
      <c r="HZ232" s="6"/>
      <c r="IA232" s="4"/>
      <c r="IB232" s="8"/>
      <c r="IC232" s="5" t="str">
        <f t="shared" si="748"/>
        <v>NO APLICA</v>
      </c>
      <c r="ID232" s="2"/>
      <c r="IE232" s="6"/>
      <c r="IF232" s="4"/>
      <c r="IG232" s="8"/>
      <c r="IH232" s="5" t="str">
        <f t="shared" si="749"/>
        <v>NO APLICA</v>
      </c>
      <c r="II232" s="6"/>
      <c r="IJ232" s="6"/>
      <c r="IK232" s="4"/>
      <c r="IL232" s="8"/>
      <c r="IM232" s="5" t="str">
        <f t="shared" si="750"/>
        <v>NO APLICA</v>
      </c>
      <c r="IN232" s="2"/>
      <c r="IO232" s="6"/>
      <c r="IP232" s="4"/>
      <c r="IQ232" s="8"/>
      <c r="IR232" s="5" t="str">
        <f t="shared" si="751"/>
        <v>NO APLICA</v>
      </c>
      <c r="IS232" s="2"/>
      <c r="IT232" s="6"/>
      <c r="IU232" s="4"/>
      <c r="IV232" s="8"/>
      <c r="IW232" s="5" t="str">
        <f t="shared" si="752"/>
        <v>NO APLICA</v>
      </c>
      <c r="IX232" s="2"/>
      <c r="IY232" s="6"/>
      <c r="IZ232" s="4"/>
      <c r="JA232" s="8"/>
      <c r="JB232" s="5" t="str">
        <f t="shared" si="753"/>
        <v>NO APLICA</v>
      </c>
      <c r="JC232" s="3"/>
      <c r="JD232" s="3"/>
      <c r="JE232" s="4"/>
      <c r="JF232" s="8"/>
      <c r="JG232" s="5" t="str">
        <f t="shared" si="754"/>
        <v>NO APLICA</v>
      </c>
      <c r="JH232" s="6"/>
      <c r="JI232" s="6"/>
      <c r="JJ232" s="6"/>
      <c r="JK232" s="6"/>
      <c r="JL232" s="5" t="str">
        <f t="shared" si="755"/>
        <v>NO APLICA</v>
      </c>
      <c r="JM232" s="6"/>
      <c r="JN232" s="6"/>
      <c r="JO232" s="6"/>
      <c r="JP232" s="6"/>
      <c r="JQ232" s="5" t="str">
        <f t="shared" si="756"/>
        <v>NO APLICA</v>
      </c>
      <c r="JR232" s="6"/>
      <c r="JS232" s="6"/>
      <c r="JT232" s="6"/>
      <c r="JU232" s="6"/>
      <c r="JV232" s="5" t="str">
        <f t="shared" si="757"/>
        <v>NO APLICA</v>
      </c>
      <c r="JW232" s="5"/>
      <c r="JX232" s="5"/>
      <c r="JY232" s="5"/>
      <c r="JZ232" s="5"/>
      <c r="KA232" s="5" t="str">
        <f t="shared" si="758"/>
        <v>NO APLICA</v>
      </c>
      <c r="KB232" s="5"/>
      <c r="KC232" s="2"/>
      <c r="KD232" s="4"/>
      <c r="KE232" s="8"/>
      <c r="KF232" s="5" t="str">
        <f t="shared" si="759"/>
        <v>NO APLICA</v>
      </c>
      <c r="KG232" s="5"/>
      <c r="KH232" s="2"/>
      <c r="KI232" s="4"/>
      <c r="KJ232" s="8"/>
      <c r="KK232" s="5" t="str">
        <f t="shared" si="779"/>
        <v>NO APLICA</v>
      </c>
      <c r="KL232" s="5"/>
      <c r="KM232" s="2"/>
      <c r="KN232" s="4"/>
      <c r="KO232" s="8"/>
      <c r="KP232" s="5" t="str">
        <f t="shared" si="760"/>
        <v>NO APLICA</v>
      </c>
      <c r="KQ232" s="5"/>
      <c r="KR232" s="2"/>
      <c r="KS232" s="4"/>
      <c r="KT232" s="8"/>
      <c r="KU232" s="5" t="str">
        <f t="shared" si="780"/>
        <v>NO APLICA</v>
      </c>
      <c r="KV232" s="2"/>
      <c r="KW232" s="6"/>
      <c r="KX232" s="4"/>
      <c r="KY232" s="8"/>
      <c r="KZ232" s="5" t="str">
        <f t="shared" si="786"/>
        <v>NO APLICA</v>
      </c>
      <c r="LA232" s="5"/>
      <c r="LB232" s="6"/>
      <c r="LC232" s="4"/>
      <c r="LD232" s="8"/>
      <c r="LE232" s="5" t="str">
        <f t="shared" si="781"/>
        <v>NO APLICA</v>
      </c>
      <c r="LF232" s="6"/>
      <c r="LG232" s="6"/>
      <c r="LH232" s="4"/>
      <c r="LI232" s="8"/>
      <c r="LJ232" s="5" t="str">
        <f t="shared" ref="LJ232:LJ240" si="79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87"/>
        <v>NO APLICA</v>
      </c>
      <c r="LP232" s="2"/>
      <c r="LQ232" s="6"/>
      <c r="LR232" s="4"/>
      <c r="LS232" s="8"/>
      <c r="LT232" s="5" t="str">
        <f t="shared" si="782"/>
        <v>NO APLICA</v>
      </c>
      <c r="LU232" s="6"/>
      <c r="LV232" s="6"/>
      <c r="LW232" s="4"/>
      <c r="LX232" s="8"/>
      <c r="LY232" s="5" t="str">
        <f t="shared" si="783"/>
        <v>NO APLICA</v>
      </c>
      <c r="LZ232" s="6"/>
      <c r="MA232" s="6"/>
      <c r="MB232" s="4"/>
      <c r="MC232" s="8"/>
      <c r="MD232" s="5" t="str">
        <f t="shared" si="784"/>
        <v>NO APLICA</v>
      </c>
      <c r="ME232" s="2"/>
      <c r="MF232" s="2"/>
      <c r="MG232" s="4"/>
      <c r="MH232" s="8"/>
      <c r="MI232" s="5" t="str">
        <f t="shared" si="761"/>
        <v>NO APLICA</v>
      </c>
      <c r="MJ232" s="2"/>
      <c r="MK232" s="2"/>
      <c r="ML232" s="4"/>
      <c r="MM232" s="8"/>
      <c r="MN232" s="5" t="str">
        <f t="shared" si="762"/>
        <v>NO APLICA</v>
      </c>
      <c r="MO232" s="5"/>
      <c r="MP232" s="2"/>
      <c r="MQ232" s="4"/>
      <c r="MR232" s="8"/>
      <c r="MS232" s="5" t="str">
        <f t="shared" si="763"/>
        <v>NO APLICA</v>
      </c>
      <c r="MT232" s="5"/>
      <c r="MU232" s="2"/>
      <c r="MV232" s="4"/>
      <c r="MW232" s="2"/>
      <c r="MX232" s="5" t="str">
        <f t="shared" si="764"/>
        <v>NO APLICA</v>
      </c>
      <c r="MY232" s="2"/>
      <c r="MZ232" s="6"/>
      <c r="NA232" s="4"/>
      <c r="NB232" s="8"/>
      <c r="NC232" s="5" t="str">
        <f t="shared" si="765"/>
        <v>NO APLICA</v>
      </c>
      <c r="ND232" s="2"/>
      <c r="NE232" s="6"/>
      <c r="NF232" s="4"/>
      <c r="NG232" s="8"/>
      <c r="NH232" s="5" t="str">
        <f t="shared" si="766"/>
        <v>NO APLICA</v>
      </c>
      <c r="NI232" s="2"/>
      <c r="NJ232" s="6"/>
      <c r="NK232" s="4"/>
      <c r="NL232" s="8"/>
      <c r="NM232" s="5" t="str">
        <f t="shared" si="767"/>
        <v>NO APLICA</v>
      </c>
      <c r="NN232" s="2"/>
      <c r="NO232" s="2"/>
      <c r="NP232" s="4"/>
      <c r="NQ232" s="8"/>
      <c r="NR232" s="5" t="str">
        <f t="shared" si="768"/>
        <v>NO APLICA</v>
      </c>
      <c r="NS232" s="2"/>
      <c r="NT232" s="2"/>
      <c r="NU232" s="4"/>
      <c r="NV232" s="2"/>
      <c r="NW232" s="5" t="str">
        <f t="shared" si="769"/>
        <v>NO APLICA</v>
      </c>
      <c r="NX232" s="6"/>
      <c r="NY232" s="6"/>
      <c r="NZ232" s="4"/>
      <c r="OA232" s="8"/>
      <c r="OB232" s="5" t="str">
        <f t="shared" si="770"/>
        <v>NO APLICA</v>
      </c>
      <c r="OC232" s="6"/>
      <c r="OD232" s="6"/>
      <c r="OE232" s="6"/>
      <c r="OF232" s="6"/>
      <c r="OG232" s="5" t="str">
        <f t="shared" si="771"/>
        <v>NO APLICA</v>
      </c>
      <c r="OH232" s="6"/>
      <c r="OI232" s="6"/>
      <c r="OJ232" s="4"/>
      <c r="OK232" s="8"/>
      <c r="OL232" s="5" t="str">
        <f t="shared" si="772"/>
        <v>NO APLICA</v>
      </c>
      <c r="OM232" s="6"/>
      <c r="ON232" s="6"/>
      <c r="OO232" s="6"/>
      <c r="OP232" s="6"/>
      <c r="OQ232" s="5" t="str">
        <f t="shared" si="773"/>
        <v>NO APLICA</v>
      </c>
      <c r="OR232" s="6"/>
      <c r="OS232" s="6"/>
      <c r="OT232" s="6"/>
      <c r="OU232" s="6"/>
      <c r="OV232" s="5" t="str">
        <f t="shared" si="774"/>
        <v>NO APLICA</v>
      </c>
      <c r="OW232" s="6"/>
      <c r="OX232" s="6"/>
      <c r="OY232" s="6"/>
      <c r="OZ232" s="6"/>
      <c r="PA232" s="5" t="str">
        <f t="shared" si="788"/>
        <v>NO APLICA</v>
      </c>
      <c r="PB232" s="6"/>
      <c r="PC232" s="6"/>
      <c r="PD232" s="6"/>
      <c r="PE232" s="6"/>
      <c r="PF232" s="5" t="str">
        <f t="shared" si="775"/>
        <v>NO APLICA</v>
      </c>
      <c r="PG232" s="6"/>
      <c r="PH232" s="6"/>
      <c r="PI232" s="6"/>
      <c r="PJ232" s="6"/>
      <c r="PK232" s="5" t="str">
        <f t="shared" si="776"/>
        <v>NO APLICA</v>
      </c>
      <c r="PL232" s="5"/>
      <c r="PM232" s="6"/>
      <c r="PN232" s="4"/>
      <c r="PO232" s="8"/>
      <c r="PP232" s="5" t="str">
        <f t="shared" si="785"/>
        <v>NO APLICA</v>
      </c>
      <c r="PQ232" s="6"/>
      <c r="PR232" s="6"/>
      <c r="PS232" s="6"/>
      <c r="PT232" s="6"/>
      <c r="PU232" s="5" t="str">
        <f t="shared" si="777"/>
        <v>NO APLICA</v>
      </c>
      <c r="PV232" s="5"/>
      <c r="PW232" s="6"/>
      <c r="PX232" s="6"/>
      <c r="PY232" s="6"/>
      <c r="PZ232" s="5" t="str">
        <f t="shared" si="77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688</v>
      </c>
      <c r="D233" s="30" t="s">
        <v>64</v>
      </c>
      <c r="E233" s="31" t="s">
        <v>83</v>
      </c>
      <c r="F233" s="6"/>
      <c r="G233" s="6"/>
      <c r="H233" s="6"/>
      <c r="I233" s="6"/>
      <c r="J233" s="5" t="str">
        <f t="shared" si="710"/>
        <v>NO APLICA</v>
      </c>
      <c r="K233" s="6"/>
      <c r="L233" s="6"/>
      <c r="M233" s="6"/>
      <c r="N233" s="6"/>
      <c r="O233" s="5" t="str">
        <f t="shared" si="713"/>
        <v>NO APLICA</v>
      </c>
      <c r="P233" s="4"/>
      <c r="Q233" s="4">
        <v>45597</v>
      </c>
      <c r="R233" s="6"/>
      <c r="S233" s="6"/>
      <c r="T233" s="5" t="str">
        <f t="shared" si="711"/>
        <v>NO APLICA</v>
      </c>
      <c r="U233" s="5"/>
      <c r="V233" s="6" t="s">
        <v>689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14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 t="s">
        <v>471</v>
      </c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35"/>
        <v>NO APLICA</v>
      </c>
      <c r="ER233" s="4"/>
      <c r="ES233" s="4"/>
      <c r="ET233" s="4"/>
      <c r="EU233" s="8"/>
      <c r="EV233" s="5" t="str">
        <f t="shared" si="736"/>
        <v>NO APLICA</v>
      </c>
      <c r="EW233" s="4"/>
      <c r="EX233" s="4"/>
      <c r="EY233" s="4"/>
      <c r="EZ233" s="6"/>
      <c r="FA233" s="5" t="str">
        <f t="shared" si="737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39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1"/>
        <v>NO APLICA</v>
      </c>
      <c r="FV233" s="4"/>
      <c r="FW233" s="4"/>
      <c r="FX233" s="4"/>
      <c r="FY233" s="6"/>
      <c r="FZ233" s="5" t="str">
        <f t="shared" si="742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45"/>
        <v>NO APLICA</v>
      </c>
      <c r="GP233" s="4"/>
      <c r="GQ233" s="6"/>
      <c r="GR233" s="6"/>
      <c r="GS233" s="6"/>
      <c r="GT233" s="5" t="str">
        <f t="shared" si="624"/>
        <v>NO APLICA</v>
      </c>
      <c r="GU233" s="4"/>
      <c r="GV233" s="6"/>
      <c r="GW233" s="6"/>
      <c r="GX233" s="6"/>
      <c r="GY233" s="5" t="str">
        <f t="shared" si="625"/>
        <v>NO APLICA</v>
      </c>
      <c r="GZ233" s="6"/>
      <c r="HA233" s="6"/>
      <c r="HB233" s="6"/>
      <c r="HC233" s="6"/>
      <c r="HD233" s="5" t="str">
        <f t="shared" si="626"/>
        <v>NO APLICA</v>
      </c>
      <c r="HE233" s="6"/>
      <c r="HF233" s="6"/>
      <c r="HG233" s="4"/>
      <c r="HH233" s="8"/>
      <c r="HI233" s="5" t="str">
        <f t="shared" si="712"/>
        <v>NO APLICA</v>
      </c>
      <c r="HJ233" s="6"/>
      <c r="HK233" s="6"/>
      <c r="HL233" s="6"/>
      <c r="HM233" s="6"/>
      <c r="HN233" s="5" t="str">
        <f t="shared" si="708"/>
        <v>NO APLICA</v>
      </c>
      <c r="HO233" s="6"/>
      <c r="HP233" s="6"/>
      <c r="HQ233" s="6"/>
      <c r="HR233" s="6"/>
      <c r="HS233" s="5" t="str">
        <f t="shared" si="746"/>
        <v>NO APLICA</v>
      </c>
      <c r="HT233" s="6"/>
      <c r="HU233" s="6"/>
      <c r="HV233" s="6"/>
      <c r="HW233" s="6"/>
      <c r="HX233" s="5" t="str">
        <f t="shared" si="747"/>
        <v>NO APLICA</v>
      </c>
      <c r="HY233" s="6"/>
      <c r="HZ233" s="6"/>
      <c r="IA233" s="6"/>
      <c r="IB233" s="6"/>
      <c r="IC233" s="5" t="str">
        <f t="shared" si="748"/>
        <v>NO APLICA</v>
      </c>
      <c r="ID233" s="6"/>
      <c r="IE233" s="6"/>
      <c r="IF233" s="6"/>
      <c r="IG233" s="6"/>
      <c r="IH233" s="5" t="str">
        <f t="shared" si="749"/>
        <v>NO APLICA</v>
      </c>
      <c r="II233" s="6"/>
      <c r="IJ233" s="6"/>
      <c r="IK233" s="6"/>
      <c r="IL233" s="6"/>
      <c r="IM233" s="5" t="str">
        <f t="shared" si="750"/>
        <v>NO APLICA</v>
      </c>
      <c r="IN233" s="6"/>
      <c r="IO233" s="6"/>
      <c r="IP233" s="6"/>
      <c r="IQ233" s="6"/>
      <c r="IR233" s="5" t="str">
        <f t="shared" si="751"/>
        <v>NO APLICA</v>
      </c>
      <c r="IS233" s="6"/>
      <c r="IT233" s="6"/>
      <c r="IU233" s="6"/>
      <c r="IV233" s="6"/>
      <c r="IW233" s="5" t="str">
        <f t="shared" si="752"/>
        <v>NO APLICA</v>
      </c>
      <c r="IX233" s="6"/>
      <c r="IY233" s="6"/>
      <c r="IZ233" s="6"/>
      <c r="JA233" s="6"/>
      <c r="JB233" s="5" t="str">
        <f t="shared" si="753"/>
        <v>NO APLICA</v>
      </c>
      <c r="JC233" s="6"/>
      <c r="JD233" s="6"/>
      <c r="JE233" s="6"/>
      <c r="JF233" s="6"/>
      <c r="JG233" s="5" t="str">
        <f t="shared" si="754"/>
        <v>NO APLICA</v>
      </c>
      <c r="JH233" s="6"/>
      <c r="JI233" s="6"/>
      <c r="JJ233" s="6"/>
      <c r="JK233" s="6"/>
      <c r="JL233" s="5" t="str">
        <f t="shared" si="755"/>
        <v>NO APLICA</v>
      </c>
      <c r="JM233" s="6"/>
      <c r="JN233" s="6"/>
      <c r="JO233" s="6"/>
      <c r="JP233" s="6"/>
      <c r="JQ233" s="5" t="str">
        <f t="shared" si="756"/>
        <v>NO APLICA</v>
      </c>
      <c r="JR233" s="6"/>
      <c r="JS233" s="6"/>
      <c r="JT233" s="6"/>
      <c r="JU233" s="6"/>
      <c r="JV233" s="5" t="str">
        <f t="shared" si="757"/>
        <v>NO APLICA</v>
      </c>
      <c r="JW233" s="5"/>
      <c r="JX233" s="5"/>
      <c r="JY233" s="5"/>
      <c r="JZ233" s="5"/>
      <c r="KA233" s="5" t="str">
        <f t="shared" si="758"/>
        <v>NO APLICA</v>
      </c>
      <c r="KB233" s="5"/>
      <c r="KC233" s="6"/>
      <c r="KD233" s="6"/>
      <c r="KE233" s="6"/>
      <c r="KF233" s="5" t="str">
        <f t="shared" si="759"/>
        <v>NO APLICA</v>
      </c>
      <c r="KG233" s="5"/>
      <c r="KH233" s="6"/>
      <c r="KI233" s="6"/>
      <c r="KJ233" s="6"/>
      <c r="KK233" s="5" t="str">
        <f t="shared" si="779"/>
        <v>NO APLICA</v>
      </c>
      <c r="KL233" s="5"/>
      <c r="KM233" s="6"/>
      <c r="KN233" s="6"/>
      <c r="KO233" s="6"/>
      <c r="KP233" s="5" t="str">
        <f t="shared" si="760"/>
        <v>NO APLICA</v>
      </c>
      <c r="KQ233" s="5"/>
      <c r="KR233" s="6"/>
      <c r="KS233" s="6"/>
      <c r="KT233" s="6"/>
      <c r="KU233" s="5" t="str">
        <f t="shared" si="780"/>
        <v>NO APLICA</v>
      </c>
      <c r="KV233" s="6"/>
      <c r="KW233" s="6"/>
      <c r="KX233" s="6"/>
      <c r="KY233" s="6"/>
      <c r="KZ233" s="5" t="str">
        <f t="shared" si="786"/>
        <v>NO APLICA</v>
      </c>
      <c r="LA233" s="5"/>
      <c r="LB233" s="6"/>
      <c r="LC233" s="6"/>
      <c r="LD233" s="6"/>
      <c r="LE233" s="5" t="str">
        <f t="shared" si="781"/>
        <v>NO APLICA</v>
      </c>
      <c r="LF233" s="6"/>
      <c r="LG233" s="6"/>
      <c r="LH233" s="6"/>
      <c r="LI233" s="6"/>
      <c r="LJ233" s="5" t="str">
        <f t="shared" si="792"/>
        <v>NO APLICA</v>
      </c>
      <c r="LK233" s="5"/>
      <c r="LL233" s="5"/>
      <c r="LM233" s="4"/>
      <c r="LN233" s="8"/>
      <c r="LO233" s="5" t="str">
        <f t="shared" si="787"/>
        <v>NO APLICA</v>
      </c>
      <c r="LP233" s="6"/>
      <c r="LQ233" s="6"/>
      <c r="LR233" s="6"/>
      <c r="LS233" s="6"/>
      <c r="LT233" s="5" t="str">
        <f t="shared" si="782"/>
        <v>NO APLICA</v>
      </c>
      <c r="LU233" s="6"/>
      <c r="LV233" s="6"/>
      <c r="LW233" s="6"/>
      <c r="LX233" s="6"/>
      <c r="LY233" s="5" t="str">
        <f t="shared" si="783"/>
        <v>NO APLICA</v>
      </c>
      <c r="LZ233" s="6"/>
      <c r="MA233" s="6"/>
      <c r="MB233" s="6"/>
      <c r="MC233" s="6"/>
      <c r="MD233" s="5" t="str">
        <f t="shared" si="784"/>
        <v>NO APLICA</v>
      </c>
      <c r="ME233" s="6"/>
      <c r="MF233" s="6"/>
      <c r="MG233" s="6"/>
      <c r="MH233" s="6"/>
      <c r="MI233" s="5" t="str">
        <f t="shared" si="761"/>
        <v>NO APLICA</v>
      </c>
      <c r="MJ233" s="6"/>
      <c r="MK233" s="6"/>
      <c r="ML233" s="6"/>
      <c r="MM233" s="6"/>
      <c r="MN233" s="5" t="str">
        <f t="shared" si="762"/>
        <v>NO APLICA</v>
      </c>
      <c r="MO233" s="5"/>
      <c r="MP233" s="6"/>
      <c r="MQ233" s="6"/>
      <c r="MR233" s="6"/>
      <c r="MS233" s="5" t="str">
        <f t="shared" si="763"/>
        <v>NO APLICA</v>
      </c>
      <c r="MT233" s="5"/>
      <c r="MU233" s="6"/>
      <c r="MV233" s="6"/>
      <c r="MW233" s="6"/>
      <c r="MX233" s="5" t="str">
        <f t="shared" si="764"/>
        <v>NO APLICA</v>
      </c>
      <c r="MY233" s="6"/>
      <c r="MZ233" s="6"/>
      <c r="NA233" s="6"/>
      <c r="NB233" s="6"/>
      <c r="NC233" s="5" t="str">
        <f t="shared" si="765"/>
        <v>NO APLICA</v>
      </c>
      <c r="ND233" s="6"/>
      <c r="NE233" s="6"/>
      <c r="NF233" s="6"/>
      <c r="NG233" s="6"/>
      <c r="NH233" s="5" t="str">
        <f t="shared" si="766"/>
        <v>NO APLICA</v>
      </c>
      <c r="NI233" s="6"/>
      <c r="NJ233" s="6"/>
      <c r="NK233" s="6"/>
      <c r="NL233" s="6"/>
      <c r="NM233" s="5" t="str">
        <f t="shared" si="767"/>
        <v>NO APLICA</v>
      </c>
      <c r="NN233" s="6"/>
      <c r="NO233" s="6"/>
      <c r="NP233" s="6"/>
      <c r="NQ233" s="6"/>
      <c r="NR233" s="5" t="str">
        <f t="shared" si="768"/>
        <v>NO APLICA</v>
      </c>
      <c r="NS233" s="6"/>
      <c r="NT233" s="6"/>
      <c r="NU233" s="6"/>
      <c r="NV233" s="6"/>
      <c r="NW233" s="5" t="str">
        <f t="shared" si="769"/>
        <v>NO APLICA</v>
      </c>
      <c r="NX233" s="6"/>
      <c r="NY233" s="6"/>
      <c r="NZ233" s="6"/>
      <c r="OA233" s="6"/>
      <c r="OB233" s="5" t="str">
        <f t="shared" si="770"/>
        <v>NO APLICA</v>
      </c>
      <c r="OC233" s="6"/>
      <c r="OD233" s="6"/>
      <c r="OE233" s="6"/>
      <c r="OF233" s="6"/>
      <c r="OG233" s="5" t="str">
        <f t="shared" si="771"/>
        <v>NO APLICA</v>
      </c>
      <c r="OH233" s="6"/>
      <c r="OI233" s="6"/>
      <c r="OJ233" s="6"/>
      <c r="OK233" s="6"/>
      <c r="OL233" s="5" t="str">
        <f t="shared" si="772"/>
        <v>NO APLICA</v>
      </c>
      <c r="OM233" s="6"/>
      <c r="ON233" s="6"/>
      <c r="OO233" s="6"/>
      <c r="OP233" s="6"/>
      <c r="OQ233" s="5" t="str">
        <f t="shared" si="773"/>
        <v>NO APLICA</v>
      </c>
      <c r="OR233" s="6"/>
      <c r="OS233" s="6"/>
      <c r="OT233" s="6"/>
      <c r="OU233" s="6"/>
      <c r="OV233" s="5" t="str">
        <f t="shared" si="774"/>
        <v>NO APLICA</v>
      </c>
      <c r="OW233" s="6"/>
      <c r="OX233" s="6"/>
      <c r="OY233" s="6"/>
      <c r="OZ233" s="6"/>
      <c r="PA233" s="5" t="str">
        <f t="shared" si="788"/>
        <v>NO APLICA</v>
      </c>
      <c r="PB233" s="6"/>
      <c r="PC233" s="6"/>
      <c r="PD233" s="6"/>
      <c r="PE233" s="6"/>
      <c r="PF233" s="5" t="str">
        <f t="shared" si="775"/>
        <v>NO APLICA</v>
      </c>
      <c r="PG233" s="6"/>
      <c r="PH233" s="6"/>
      <c r="PI233" s="6"/>
      <c r="PJ233" s="6"/>
      <c r="PK233" s="5" t="str">
        <f t="shared" si="776"/>
        <v>NO APLICA</v>
      </c>
      <c r="PL233" s="5"/>
      <c r="PM233" s="6"/>
      <c r="PN233" s="6"/>
      <c r="PO233" s="6"/>
      <c r="PP233" s="5" t="str">
        <f t="shared" si="785"/>
        <v>NO APLICA</v>
      </c>
      <c r="PQ233" s="6"/>
      <c r="PR233" s="6"/>
      <c r="PS233" s="6"/>
      <c r="PT233" s="6"/>
      <c r="PU233" s="5" t="str">
        <f t="shared" si="777"/>
        <v>NO APLICA</v>
      </c>
      <c r="PV233" s="5"/>
      <c r="PW233" s="6"/>
      <c r="PX233" s="6"/>
      <c r="PY233" s="6"/>
      <c r="PZ233" s="5" t="str">
        <f t="shared" si="77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690</v>
      </c>
      <c r="D234" s="30" t="s">
        <v>674</v>
      </c>
      <c r="E234" s="31" t="s">
        <v>691</v>
      </c>
      <c r="F234" s="6"/>
      <c r="G234" s="6"/>
      <c r="H234" s="6"/>
      <c r="I234" s="6"/>
      <c r="J234" s="5" t="str">
        <f t="shared" si="710"/>
        <v>NO APLICA</v>
      </c>
      <c r="K234" s="6"/>
      <c r="L234" s="6"/>
      <c r="M234" s="6"/>
      <c r="N234" s="6"/>
      <c r="O234" s="5" t="str">
        <f t="shared" si="713"/>
        <v>NO APLICA</v>
      </c>
      <c r="P234" s="6"/>
      <c r="Q234" s="6"/>
      <c r="R234" s="6"/>
      <c r="S234" s="6"/>
      <c r="T234" s="5" t="str">
        <f t="shared" si="711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14"/>
        <v>NO APLICA</v>
      </c>
      <c r="AG234" s="4"/>
      <c r="AH234" s="4"/>
      <c r="AI234" s="4"/>
      <c r="AJ234" s="6"/>
      <c r="AK234" s="5" t="str">
        <f t="shared" si="791"/>
        <v>NO APLICA</v>
      </c>
      <c r="AL234" s="4"/>
      <c r="AM234" s="4"/>
      <c r="AN234" s="4"/>
      <c r="AO234" s="6"/>
      <c r="AP234" s="5" t="str">
        <f t="shared" si="715"/>
        <v>NO APLICA</v>
      </c>
      <c r="AQ234" s="4"/>
      <c r="AR234" s="4"/>
      <c r="AS234" s="4"/>
      <c r="AT234" s="6"/>
      <c r="AU234" s="5" t="str">
        <f t="shared" si="716"/>
        <v>NO APLICA</v>
      </c>
      <c r="AV234" s="4"/>
      <c r="AW234" s="4"/>
      <c r="AX234" s="4"/>
      <c r="AY234" s="6"/>
      <c r="AZ234" s="5" t="str">
        <f t="shared" si="717"/>
        <v>NO APLICA</v>
      </c>
      <c r="BA234" s="4"/>
      <c r="BB234" s="4"/>
      <c r="BC234" s="4"/>
      <c r="BD234" s="6"/>
      <c r="BE234" s="5" t="str">
        <f t="shared" si="718"/>
        <v>NO APLICA</v>
      </c>
      <c r="BF234" s="4"/>
      <c r="BG234" s="4"/>
      <c r="BH234" s="4"/>
      <c r="BI234" s="6"/>
      <c r="BJ234" s="5" t="str">
        <f t="shared" si="719"/>
        <v>NO APLICA</v>
      </c>
      <c r="BK234" s="4"/>
      <c r="BL234" s="4"/>
      <c r="BM234" s="4"/>
      <c r="BN234" s="6"/>
      <c r="BO234" s="5" t="str">
        <f t="shared" si="720"/>
        <v>NO APLICA</v>
      </c>
      <c r="BP234" s="4"/>
      <c r="BQ234" s="4"/>
      <c r="BR234" s="4"/>
      <c r="BS234" s="6"/>
      <c r="BT234" s="5" t="str">
        <f t="shared" si="721"/>
        <v>NO APLICA</v>
      </c>
      <c r="BU234" s="4"/>
      <c r="BV234" s="4"/>
      <c r="BW234" s="4"/>
      <c r="BX234" s="6"/>
      <c r="BY234" s="5" t="str">
        <f t="shared" si="722"/>
        <v>NO APLICA</v>
      </c>
      <c r="BZ234" s="4"/>
      <c r="CA234" s="4"/>
      <c r="CB234" s="4"/>
      <c r="CC234" s="6"/>
      <c r="CD234" s="5" t="str">
        <f t="shared" si="723"/>
        <v>NO APLICA</v>
      </c>
      <c r="CE234" s="6"/>
      <c r="CF234" s="6"/>
      <c r="CG234" s="6"/>
      <c r="CH234" s="6"/>
      <c r="CI234" s="5" t="str">
        <f t="shared" si="789"/>
        <v>NO APLICA</v>
      </c>
      <c r="CJ234" s="4"/>
      <c r="CK234" s="4"/>
      <c r="CL234" s="4"/>
      <c r="CM234" s="6"/>
      <c r="CN234" s="5" t="str">
        <f t="shared" si="724"/>
        <v>NO APLICA</v>
      </c>
      <c r="CO234" s="4"/>
      <c r="CP234" s="4"/>
      <c r="CQ234" s="4"/>
      <c r="CR234" s="6"/>
      <c r="CS234" s="5" t="str">
        <f t="shared" si="725"/>
        <v>NO APLICA</v>
      </c>
      <c r="CT234" s="4"/>
      <c r="CU234" s="4"/>
      <c r="CV234" s="4"/>
      <c r="CW234" s="6"/>
      <c r="CX234" s="5" t="str">
        <f t="shared" si="726"/>
        <v>NO APLICA</v>
      </c>
      <c r="CY234" s="4"/>
      <c r="CZ234" s="4"/>
      <c r="DA234" s="4"/>
      <c r="DB234" s="6"/>
      <c r="DC234" s="5" t="str">
        <f t="shared" si="727"/>
        <v>NO APLICA</v>
      </c>
      <c r="DD234" s="4"/>
      <c r="DE234" s="4"/>
      <c r="DF234" s="4"/>
      <c r="DG234" s="6"/>
      <c r="DH234" s="5" t="str">
        <f t="shared" si="728"/>
        <v>NO APLICA</v>
      </c>
      <c r="DI234" s="4"/>
      <c r="DJ234" s="4"/>
      <c r="DK234" s="4"/>
      <c r="DL234" s="6"/>
      <c r="DM234" s="5" t="str">
        <f t="shared" si="729"/>
        <v>NO APLICA</v>
      </c>
      <c r="DN234" s="4"/>
      <c r="DO234" s="4"/>
      <c r="DP234" s="4"/>
      <c r="DQ234" s="6"/>
      <c r="DR234" s="5" t="str">
        <f t="shared" si="730"/>
        <v>NO APLICA</v>
      </c>
      <c r="DS234" s="4"/>
      <c r="DT234" s="4"/>
      <c r="DU234" s="4"/>
      <c r="DV234" s="6"/>
      <c r="DW234" s="5" t="str">
        <f t="shared" si="731"/>
        <v>NO APLICA</v>
      </c>
      <c r="DX234" s="4"/>
      <c r="DY234" s="4"/>
      <c r="DZ234" s="4"/>
      <c r="EA234" s="6"/>
      <c r="EB234" s="5" t="str">
        <f t="shared" si="732"/>
        <v>NO APLICA</v>
      </c>
      <c r="EC234" s="4"/>
      <c r="ED234" s="4"/>
      <c r="EE234" s="4"/>
      <c r="EF234" s="6"/>
      <c r="EG234" s="5" t="str">
        <f t="shared" si="733"/>
        <v>NO APLICA</v>
      </c>
      <c r="EH234" s="4"/>
      <c r="EI234" s="4"/>
      <c r="EJ234" s="4"/>
      <c r="EK234" s="8"/>
      <c r="EL234" s="5" t="str">
        <f t="shared" si="734"/>
        <v>NO APLICA</v>
      </c>
      <c r="EM234" s="4"/>
      <c r="EN234" s="4"/>
      <c r="EO234" s="4"/>
      <c r="EP234" s="8"/>
      <c r="EQ234" s="5" t="str">
        <f t="shared" si="735"/>
        <v>NO APLICA</v>
      </c>
      <c r="ER234" s="4"/>
      <c r="ES234" s="4"/>
      <c r="ET234" s="4"/>
      <c r="EU234" s="8"/>
      <c r="EV234" s="5" t="str">
        <f t="shared" si="736"/>
        <v>NO APLICA</v>
      </c>
      <c r="EW234" s="4"/>
      <c r="EX234" s="4"/>
      <c r="EY234" s="4"/>
      <c r="EZ234" s="6"/>
      <c r="FA234" s="5" t="str">
        <f t="shared" si="737"/>
        <v>NO APLICA</v>
      </c>
      <c r="FB234" s="4"/>
      <c r="FC234" s="4"/>
      <c r="FD234" s="4"/>
      <c r="FE234" s="6"/>
      <c r="FF234" s="5" t="str">
        <f t="shared" si="738"/>
        <v>NO APLICA</v>
      </c>
      <c r="FG234" s="4"/>
      <c r="FH234" s="4"/>
      <c r="FI234" s="4"/>
      <c r="FJ234" s="6"/>
      <c r="FK234" s="5" t="str">
        <f t="shared" si="739"/>
        <v>NO APLICA</v>
      </c>
      <c r="FL234" s="4"/>
      <c r="FM234" s="4"/>
      <c r="FN234" s="4"/>
      <c r="FO234" s="6"/>
      <c r="FP234" s="5" t="str">
        <f t="shared" si="740"/>
        <v>NO APLICA</v>
      </c>
      <c r="FQ234" s="4"/>
      <c r="FR234" s="4"/>
      <c r="FS234" s="4"/>
      <c r="FT234" s="6"/>
      <c r="FU234" s="5" t="str">
        <f t="shared" si="741"/>
        <v>NO APLICA</v>
      </c>
      <c r="FV234" s="4"/>
      <c r="FW234" s="4"/>
      <c r="FX234" s="4"/>
      <c r="FY234" s="6"/>
      <c r="FZ234" s="5" t="str">
        <f t="shared" si="742"/>
        <v>NO APLICA</v>
      </c>
      <c r="GA234" s="4"/>
      <c r="GB234" s="4"/>
      <c r="GC234" s="4"/>
      <c r="GD234" s="6"/>
      <c r="GE234" s="5" t="str">
        <f t="shared" si="743"/>
        <v>NO APLICA</v>
      </c>
      <c r="GF234" s="4"/>
      <c r="GG234" s="4"/>
      <c r="GH234" s="4"/>
      <c r="GI234" s="8"/>
      <c r="GJ234" s="5" t="str">
        <f t="shared" si="744"/>
        <v>NO APLICA</v>
      </c>
      <c r="GK234" s="4"/>
      <c r="GL234" s="6"/>
      <c r="GM234" s="6"/>
      <c r="GN234" s="6"/>
      <c r="GO234" s="5" t="str">
        <f t="shared" si="745"/>
        <v>NO APLICA</v>
      </c>
      <c r="GP234" s="4"/>
      <c r="GQ234" s="6"/>
      <c r="GR234" s="6"/>
      <c r="GS234" s="6"/>
      <c r="GT234" s="5" t="str">
        <f t="shared" si="624"/>
        <v>NO APLICA</v>
      </c>
      <c r="GU234" s="4"/>
      <c r="GV234" s="6"/>
      <c r="GW234" s="6"/>
      <c r="GX234" s="6"/>
      <c r="GY234" s="5" t="str">
        <f t="shared" si="625"/>
        <v>NO APLICA</v>
      </c>
      <c r="GZ234" s="6"/>
      <c r="HA234" s="6"/>
      <c r="HB234" s="6"/>
      <c r="HC234" s="6"/>
      <c r="HD234" s="5" t="str">
        <f t="shared" si="626"/>
        <v>NO APLICA</v>
      </c>
      <c r="HE234" s="6"/>
      <c r="HF234" s="6"/>
      <c r="HG234" s="4"/>
      <c r="HH234" s="8"/>
      <c r="HI234" s="5" t="str">
        <f t="shared" si="712"/>
        <v>NO APLICA</v>
      </c>
      <c r="HJ234" s="6"/>
      <c r="HK234" s="6"/>
      <c r="HL234" s="6"/>
      <c r="HM234" s="6"/>
      <c r="HN234" s="5" t="str">
        <f t="shared" si="708"/>
        <v>NO APLICA</v>
      </c>
      <c r="HO234" s="6"/>
      <c r="HP234" s="6"/>
      <c r="HQ234" s="6"/>
      <c r="HR234" s="6"/>
      <c r="HS234" s="5" t="str">
        <f t="shared" si="746"/>
        <v>NO APLICA</v>
      </c>
      <c r="HT234" s="6"/>
      <c r="HU234" s="6"/>
      <c r="HV234" s="6"/>
      <c r="HW234" s="6"/>
      <c r="HX234" s="5" t="str">
        <f t="shared" si="747"/>
        <v>NO APLICA</v>
      </c>
      <c r="HY234" s="6"/>
      <c r="HZ234" s="6"/>
      <c r="IA234" s="6"/>
      <c r="IB234" s="6"/>
      <c r="IC234" s="5" t="str">
        <f t="shared" si="748"/>
        <v>NO APLICA</v>
      </c>
      <c r="ID234" s="6"/>
      <c r="IE234" s="6"/>
      <c r="IF234" s="6"/>
      <c r="IG234" s="6"/>
      <c r="IH234" s="5" t="str">
        <f t="shared" si="749"/>
        <v>NO APLICA</v>
      </c>
      <c r="II234" s="6"/>
      <c r="IJ234" s="6"/>
      <c r="IK234" s="6"/>
      <c r="IL234" s="6"/>
      <c r="IM234" s="5" t="str">
        <f t="shared" si="750"/>
        <v>NO APLICA</v>
      </c>
      <c r="IN234" s="6"/>
      <c r="IO234" s="6"/>
      <c r="IP234" s="6"/>
      <c r="IQ234" s="6"/>
      <c r="IR234" s="5" t="str">
        <f t="shared" si="751"/>
        <v>NO APLICA</v>
      </c>
      <c r="IS234" s="6"/>
      <c r="IT234" s="6"/>
      <c r="IU234" s="6"/>
      <c r="IV234" s="6"/>
      <c r="IW234" s="5" t="str">
        <f t="shared" si="752"/>
        <v>NO APLICA</v>
      </c>
      <c r="IX234" s="6"/>
      <c r="IY234" s="6"/>
      <c r="IZ234" s="6"/>
      <c r="JA234" s="6"/>
      <c r="JB234" s="5" t="str">
        <f t="shared" si="753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56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59"/>
        <v>NO APLICA</v>
      </c>
      <c r="KG234" s="5"/>
      <c r="KH234" s="6"/>
      <c r="KI234" s="6"/>
      <c r="KJ234" s="6"/>
      <c r="KK234" s="5" t="str">
        <f t="shared" si="779"/>
        <v>NO APLICA</v>
      </c>
      <c r="KL234" s="5"/>
      <c r="KM234" s="6"/>
      <c r="KN234" s="6"/>
      <c r="KO234" s="6"/>
      <c r="KP234" s="5" t="str">
        <f t="shared" si="760"/>
        <v>NO APLICA</v>
      </c>
      <c r="KQ234" s="5"/>
      <c r="KR234" s="6"/>
      <c r="KS234" s="6"/>
      <c r="KT234" s="6"/>
      <c r="KU234" s="5" t="str">
        <f t="shared" si="780"/>
        <v>NO APLICA</v>
      </c>
      <c r="KV234" s="6"/>
      <c r="KW234" s="6"/>
      <c r="KX234" s="6"/>
      <c r="KY234" s="6"/>
      <c r="KZ234" s="5" t="str">
        <f t="shared" si="786"/>
        <v>NO APLICA</v>
      </c>
      <c r="LA234" s="5"/>
      <c r="LB234" s="6"/>
      <c r="LC234" s="6"/>
      <c r="LD234" s="6"/>
      <c r="LE234" s="5" t="str">
        <f t="shared" si="781"/>
        <v>NO APLICA</v>
      </c>
      <c r="LF234" s="6"/>
      <c r="LG234" s="6"/>
      <c r="LH234" s="6"/>
      <c r="LI234" s="6"/>
      <c r="LJ234" s="5" t="str">
        <f t="shared" si="792"/>
        <v>NO APLICA</v>
      </c>
      <c r="LK234" s="5"/>
      <c r="LL234" s="5"/>
      <c r="LM234" s="4"/>
      <c r="LN234" s="8"/>
      <c r="LO234" s="5" t="str">
        <f t="shared" si="787"/>
        <v>NO APLICA</v>
      </c>
      <c r="LP234" s="6"/>
      <c r="LQ234" s="6"/>
      <c r="LR234" s="6"/>
      <c r="LS234" s="6"/>
      <c r="LT234" s="5" t="str">
        <f t="shared" si="782"/>
        <v>NO APLICA</v>
      </c>
      <c r="LU234" s="6"/>
      <c r="LV234" s="6"/>
      <c r="LW234" s="6"/>
      <c r="LX234" s="6"/>
      <c r="LY234" s="5" t="str">
        <f t="shared" si="783"/>
        <v>NO APLICA</v>
      </c>
      <c r="LZ234" s="6"/>
      <c r="MA234" s="6"/>
      <c r="MB234" s="6"/>
      <c r="MC234" s="6"/>
      <c r="MD234" s="5" t="str">
        <f t="shared" si="784"/>
        <v>NO APLICA</v>
      </c>
      <c r="ME234" s="6"/>
      <c r="MF234" s="6"/>
      <c r="MG234" s="6"/>
      <c r="MH234" s="6"/>
      <c r="MI234" s="5" t="str">
        <f t="shared" si="761"/>
        <v>NO APLICA</v>
      </c>
      <c r="MJ234" s="6"/>
      <c r="MK234" s="6"/>
      <c r="ML234" s="6"/>
      <c r="MM234" s="6"/>
      <c r="MN234" s="5" t="str">
        <f t="shared" si="762"/>
        <v>NO APLICA</v>
      </c>
      <c r="MO234" s="5"/>
      <c r="MP234" s="6"/>
      <c r="MQ234" s="6"/>
      <c r="MR234" s="6"/>
      <c r="MS234" s="5" t="str">
        <f t="shared" si="763"/>
        <v>NO APLICA</v>
      </c>
      <c r="MT234" s="5"/>
      <c r="MU234" s="6"/>
      <c r="MV234" s="6"/>
      <c r="MW234" s="6"/>
      <c r="MX234" s="5" t="str">
        <f t="shared" si="764"/>
        <v>NO APLICA</v>
      </c>
      <c r="MY234" s="6"/>
      <c r="MZ234" s="6"/>
      <c r="NA234" s="6"/>
      <c r="NB234" s="6"/>
      <c r="NC234" s="5" t="str">
        <f t="shared" si="765"/>
        <v>NO APLICA</v>
      </c>
      <c r="ND234" s="6"/>
      <c r="NE234" s="6"/>
      <c r="NF234" s="6"/>
      <c r="NG234" s="6"/>
      <c r="NH234" s="5" t="str">
        <f t="shared" si="766"/>
        <v>NO APLICA</v>
      </c>
      <c r="NI234" s="6"/>
      <c r="NJ234" s="6"/>
      <c r="NK234" s="6"/>
      <c r="NL234" s="6"/>
      <c r="NM234" s="5" t="str">
        <f t="shared" si="767"/>
        <v>NO APLICA</v>
      </c>
      <c r="NN234" s="6"/>
      <c r="NO234" s="6"/>
      <c r="NP234" s="6"/>
      <c r="NQ234" s="6"/>
      <c r="NR234" s="5" t="str">
        <f t="shared" si="768"/>
        <v>NO APLICA</v>
      </c>
      <c r="NS234" s="6"/>
      <c r="NT234" s="6"/>
      <c r="NU234" s="6"/>
      <c r="NV234" s="6"/>
      <c r="NW234" s="5" t="str">
        <f t="shared" si="769"/>
        <v>NO APLICA</v>
      </c>
      <c r="NX234" s="6"/>
      <c r="NY234" s="6"/>
      <c r="NZ234" s="6"/>
      <c r="OA234" s="6"/>
      <c r="OB234" s="5" t="str">
        <f t="shared" si="770"/>
        <v>NO APLICA</v>
      </c>
      <c r="OC234" s="6"/>
      <c r="OD234" s="6"/>
      <c r="OE234" s="6"/>
      <c r="OF234" s="6"/>
      <c r="OG234" s="5" t="str">
        <f t="shared" si="771"/>
        <v>NO APLICA</v>
      </c>
      <c r="OH234" s="6"/>
      <c r="OI234" s="6"/>
      <c r="OJ234" s="6"/>
      <c r="OK234" s="6"/>
      <c r="OL234" s="5" t="str">
        <f t="shared" si="772"/>
        <v>NO APLICA</v>
      </c>
      <c r="OM234" s="6"/>
      <c r="ON234" s="6"/>
      <c r="OO234" s="6"/>
      <c r="OP234" s="6"/>
      <c r="OQ234" s="5" t="str">
        <f t="shared" si="773"/>
        <v>NO APLICA</v>
      </c>
      <c r="OR234" s="6"/>
      <c r="OS234" s="6"/>
      <c r="OT234" s="6"/>
      <c r="OU234" s="6"/>
      <c r="OV234" s="5" t="str">
        <f t="shared" si="774"/>
        <v>NO APLICA</v>
      </c>
      <c r="OW234" s="6"/>
      <c r="OX234" s="6"/>
      <c r="OY234" s="6"/>
      <c r="OZ234" s="6"/>
      <c r="PA234" s="5" t="str">
        <f t="shared" si="788"/>
        <v>NO APLICA</v>
      </c>
      <c r="PB234" s="6"/>
      <c r="PC234" s="6"/>
      <c r="PD234" s="6"/>
      <c r="PE234" s="6"/>
      <c r="PF234" s="5" t="str">
        <f t="shared" si="775"/>
        <v>NO APLICA</v>
      </c>
      <c r="PG234" s="6"/>
      <c r="PH234" s="6"/>
      <c r="PI234" s="6"/>
      <c r="PJ234" s="6"/>
      <c r="PK234" s="5" t="str">
        <f t="shared" si="77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77"/>
        <v>NO APLICA</v>
      </c>
      <c r="PV234" s="5"/>
      <c r="PW234" s="6"/>
      <c r="PX234" s="6"/>
      <c r="PY234" s="6"/>
      <c r="PZ234" s="5" t="str">
        <f t="shared" si="77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692</v>
      </c>
      <c r="D235" s="30" t="s">
        <v>616</v>
      </c>
      <c r="E235" s="31" t="s">
        <v>787</v>
      </c>
      <c r="F235" s="6"/>
      <c r="G235" s="6"/>
      <c r="H235" s="6"/>
      <c r="I235" s="6"/>
      <c r="J235" s="5" t="str">
        <f t="shared" si="710"/>
        <v>NO APLICA</v>
      </c>
      <c r="K235" s="6"/>
      <c r="L235" s="6"/>
      <c r="M235" s="6"/>
      <c r="N235" s="6"/>
      <c r="O235" s="5" t="str">
        <f t="shared" si="713"/>
        <v>NO APLICA</v>
      </c>
      <c r="P235" s="6"/>
      <c r="Q235" s="6"/>
      <c r="R235" s="6"/>
      <c r="S235" s="6"/>
      <c r="T235" s="5" t="str">
        <f t="shared" si="711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14"/>
        <v>NO APLICA</v>
      </c>
      <c r="AG235" s="4"/>
      <c r="AH235" s="4"/>
      <c r="AI235" s="4"/>
      <c r="AJ235" s="6"/>
      <c r="AK235" s="5" t="str">
        <f t="shared" si="791"/>
        <v>NO APLICA</v>
      </c>
      <c r="AL235" s="4"/>
      <c r="AM235" s="4"/>
      <c r="AN235" s="4"/>
      <c r="AO235" s="8"/>
      <c r="AP235" s="5" t="str">
        <f t="shared" si="715"/>
        <v>NO APLICA</v>
      </c>
      <c r="AQ235" s="4"/>
      <c r="AR235" s="4"/>
      <c r="AS235" s="4"/>
      <c r="AT235" s="8"/>
      <c r="AU235" s="5" t="str">
        <f t="shared" si="716"/>
        <v>NO APLICA</v>
      </c>
      <c r="AV235" s="4"/>
      <c r="AW235" s="4"/>
      <c r="AX235" s="4"/>
      <c r="AY235" s="8"/>
      <c r="AZ235" s="5" t="str">
        <f t="shared" si="717"/>
        <v>NO APLICA</v>
      </c>
      <c r="BA235" s="4"/>
      <c r="BB235" s="4"/>
      <c r="BC235" s="4"/>
      <c r="BD235" s="8"/>
      <c r="BE235" s="5" t="str">
        <f t="shared" si="718"/>
        <v>NO APLICA</v>
      </c>
      <c r="BF235" s="4"/>
      <c r="BG235" s="4"/>
      <c r="BH235" s="4"/>
      <c r="BI235" s="8"/>
      <c r="BJ235" s="5" t="str">
        <f t="shared" si="719"/>
        <v>NO APLICA</v>
      </c>
      <c r="BK235" s="4"/>
      <c r="BL235" s="4"/>
      <c r="BM235" s="4"/>
      <c r="BN235" s="8"/>
      <c r="BO235" s="5" t="str">
        <f t="shared" si="720"/>
        <v>NO APLICA</v>
      </c>
      <c r="BP235" s="4"/>
      <c r="BQ235" s="4"/>
      <c r="BR235" s="4"/>
      <c r="BS235" s="8"/>
      <c r="BT235" s="5" t="str">
        <f t="shared" si="721"/>
        <v>NO APLICA</v>
      </c>
      <c r="BU235" s="4"/>
      <c r="BV235" s="4"/>
      <c r="BW235" s="4"/>
      <c r="BX235" s="8"/>
      <c r="BY235" s="5" t="str">
        <f t="shared" si="722"/>
        <v>NO APLICA</v>
      </c>
      <c r="BZ235" s="4"/>
      <c r="CA235" s="4"/>
      <c r="CB235" s="4"/>
      <c r="CC235" s="8"/>
      <c r="CD235" s="5" t="str">
        <f t="shared" si="723"/>
        <v>NO APLICA</v>
      </c>
      <c r="CE235" s="2"/>
      <c r="CF235" s="2"/>
      <c r="CG235" s="2"/>
      <c r="CH235" s="2"/>
      <c r="CI235" s="5" t="str">
        <f t="shared" si="789"/>
        <v>NO APLICA</v>
      </c>
      <c r="CJ235" s="4"/>
      <c r="CK235" s="4"/>
      <c r="CL235" s="4"/>
      <c r="CM235" s="8"/>
      <c r="CN235" s="5" t="str">
        <f t="shared" si="724"/>
        <v>NO APLICA</v>
      </c>
      <c r="CO235" s="4"/>
      <c r="CP235" s="4"/>
      <c r="CQ235" s="4"/>
      <c r="CR235" s="8"/>
      <c r="CS235" s="5" t="str">
        <f t="shared" si="725"/>
        <v>NO APLICA</v>
      </c>
      <c r="CT235" s="4"/>
      <c r="CU235" s="4"/>
      <c r="CV235" s="4"/>
      <c r="CW235" s="8"/>
      <c r="CX235" s="5" t="str">
        <f t="shared" si="726"/>
        <v>NO APLICA</v>
      </c>
      <c r="CY235" s="4"/>
      <c r="CZ235" s="4"/>
      <c r="DA235" s="4"/>
      <c r="DB235" s="8"/>
      <c r="DC235" s="5" t="str">
        <f t="shared" si="727"/>
        <v>NO APLICA</v>
      </c>
      <c r="DD235" s="4"/>
      <c r="DE235" s="4"/>
      <c r="DF235" s="4"/>
      <c r="DG235" s="8"/>
      <c r="DH235" s="5" t="str">
        <f t="shared" si="728"/>
        <v>NO APLICA</v>
      </c>
      <c r="DI235" s="4"/>
      <c r="DJ235" s="4"/>
      <c r="DK235" s="4"/>
      <c r="DL235" s="8"/>
      <c r="DM235" s="5" t="str">
        <f t="shared" si="729"/>
        <v>NO APLICA</v>
      </c>
      <c r="DN235" s="4"/>
      <c r="DO235" s="4"/>
      <c r="DP235" s="4"/>
      <c r="DQ235" s="8"/>
      <c r="DR235" s="5" t="str">
        <f t="shared" si="730"/>
        <v>NO APLICA</v>
      </c>
      <c r="DS235" s="4"/>
      <c r="DT235" s="4"/>
      <c r="DU235" s="4"/>
      <c r="DV235" s="8"/>
      <c r="DW235" s="5" t="str">
        <f t="shared" si="731"/>
        <v>NO APLICA</v>
      </c>
      <c r="DX235" s="4"/>
      <c r="DY235" s="4"/>
      <c r="DZ235" s="4"/>
      <c r="EA235" s="8"/>
      <c r="EB235" s="5" t="str">
        <f t="shared" si="732"/>
        <v>NO APLICA</v>
      </c>
      <c r="EC235" s="4"/>
      <c r="ED235" s="4"/>
      <c r="EE235" s="4"/>
      <c r="EF235" s="8"/>
      <c r="EG235" s="5" t="str">
        <f t="shared" si="733"/>
        <v>NO APLICA</v>
      </c>
      <c r="EH235" s="4"/>
      <c r="EI235" s="4"/>
      <c r="EJ235" s="4"/>
      <c r="EK235" s="8"/>
      <c r="EL235" s="5" t="str">
        <f t="shared" si="734"/>
        <v>NO APLICA</v>
      </c>
      <c r="EM235" s="4"/>
      <c r="EN235" s="6"/>
      <c r="EO235" s="4"/>
      <c r="EP235" s="8"/>
      <c r="EQ235" s="5" t="str">
        <f t="shared" si="735"/>
        <v>NO APLICA</v>
      </c>
      <c r="ER235" s="4"/>
      <c r="ES235" s="4"/>
      <c r="ET235" s="4"/>
      <c r="EU235" s="8"/>
      <c r="EV235" s="5" t="str">
        <f t="shared" si="736"/>
        <v>NO APLICA</v>
      </c>
      <c r="EW235" s="4"/>
      <c r="EX235" s="4"/>
      <c r="EY235" s="4"/>
      <c r="EZ235" s="8"/>
      <c r="FA235" s="5" t="str">
        <f t="shared" si="737"/>
        <v>NO APLICA</v>
      </c>
      <c r="FB235" s="4"/>
      <c r="FC235" s="4"/>
      <c r="FD235" s="4"/>
      <c r="FE235" s="8"/>
      <c r="FF235" s="5" t="str">
        <f t="shared" si="738"/>
        <v>NO APLICA</v>
      </c>
      <c r="FG235" s="4"/>
      <c r="FH235" s="4"/>
      <c r="FI235" s="4"/>
      <c r="FJ235" s="8"/>
      <c r="FK235" s="5" t="str">
        <f t="shared" si="739"/>
        <v>NO APLICA</v>
      </c>
      <c r="FL235" s="4"/>
      <c r="FM235" s="4"/>
      <c r="FN235" s="4"/>
      <c r="FO235" s="8"/>
      <c r="FP235" s="5" t="str">
        <f t="shared" si="740"/>
        <v>NO APLICA</v>
      </c>
      <c r="FQ235" s="4"/>
      <c r="FR235" s="4"/>
      <c r="FS235" s="4"/>
      <c r="FT235" s="8"/>
      <c r="FU235" s="5" t="str">
        <f t="shared" si="741"/>
        <v>NO APLICA</v>
      </c>
      <c r="FV235" s="4"/>
      <c r="FW235" s="4"/>
      <c r="FX235" s="4"/>
      <c r="FY235" s="8"/>
      <c r="FZ235" s="5" t="str">
        <f t="shared" si="742"/>
        <v>NO APLICA</v>
      </c>
      <c r="GA235" s="4"/>
      <c r="GB235" s="4"/>
      <c r="GC235" s="4"/>
      <c r="GD235" s="8"/>
      <c r="GE235" s="5" t="str">
        <f t="shared" si="743"/>
        <v>NO APLICA</v>
      </c>
      <c r="GF235" s="4"/>
      <c r="GG235" s="4"/>
      <c r="GH235" s="4"/>
      <c r="GI235" s="8"/>
      <c r="GJ235" s="5" t="str">
        <f t="shared" si="744"/>
        <v>NO APLICA</v>
      </c>
      <c r="GK235" s="4"/>
      <c r="GL235" s="6"/>
      <c r="GM235" s="4"/>
      <c r="GN235" s="8"/>
      <c r="GO235" s="5" t="str">
        <f t="shared" si="745"/>
        <v>NO APLICA</v>
      </c>
      <c r="GP235" s="4"/>
      <c r="GQ235" s="6"/>
      <c r="GR235" s="4"/>
      <c r="GS235" s="8"/>
      <c r="GT235" s="5" t="str">
        <f t="shared" si="624"/>
        <v>NO APLICA</v>
      </c>
      <c r="GU235" s="4"/>
      <c r="GV235" s="6"/>
      <c r="GW235" s="4"/>
      <c r="GX235" s="8"/>
      <c r="GY235" s="5" t="str">
        <f t="shared" si="625"/>
        <v>NO APLICA</v>
      </c>
      <c r="GZ235" s="6"/>
      <c r="HA235" s="6"/>
      <c r="HB235" s="4"/>
      <c r="HC235" s="8"/>
      <c r="HD235" s="5" t="str">
        <f t="shared" si="626"/>
        <v>NO APLICA</v>
      </c>
      <c r="HE235" s="6"/>
      <c r="HF235" s="6"/>
      <c r="HG235" s="4"/>
      <c r="HH235" s="8"/>
      <c r="HI235" s="5" t="str">
        <f t="shared" si="712"/>
        <v>NO APLICA</v>
      </c>
      <c r="HJ235" s="6"/>
      <c r="HK235" s="6"/>
      <c r="HL235" s="6"/>
      <c r="HM235" s="6"/>
      <c r="HN235" s="5" t="str">
        <f t="shared" si="708"/>
        <v>NO APLICA</v>
      </c>
      <c r="HO235" s="6"/>
      <c r="HP235" s="6"/>
      <c r="HQ235" s="6"/>
      <c r="HR235" s="6"/>
      <c r="HS235" s="5" t="str">
        <f t="shared" si="746"/>
        <v>NO APLICA</v>
      </c>
      <c r="HT235" s="6"/>
      <c r="HU235" s="6"/>
      <c r="HV235" s="6"/>
      <c r="HW235" s="6"/>
      <c r="HX235" s="5" t="str">
        <f t="shared" si="747"/>
        <v>NO APLICA</v>
      </c>
      <c r="HY235" s="6"/>
      <c r="HZ235" s="6"/>
      <c r="IA235" s="6"/>
      <c r="IB235" s="6"/>
      <c r="IC235" s="5" t="str">
        <f t="shared" si="748"/>
        <v>NO APLICA</v>
      </c>
      <c r="ID235" s="6"/>
      <c r="IE235" s="6"/>
      <c r="IF235" s="6"/>
      <c r="IG235" s="6"/>
      <c r="IH235" s="5" t="str">
        <f t="shared" si="749"/>
        <v>NO APLICA</v>
      </c>
      <c r="II235" s="6"/>
      <c r="IJ235" s="6"/>
      <c r="IK235" s="6"/>
      <c r="IL235" s="6"/>
      <c r="IM235" s="5" t="str">
        <f t="shared" si="750"/>
        <v>NO APLICA</v>
      </c>
      <c r="IN235" s="6"/>
      <c r="IO235" s="6"/>
      <c r="IP235" s="6"/>
      <c r="IQ235" s="6"/>
      <c r="IR235" s="5" t="str">
        <f t="shared" si="751"/>
        <v>NO APLICA</v>
      </c>
      <c r="IS235" s="6"/>
      <c r="IT235" s="6"/>
      <c r="IU235" s="6"/>
      <c r="IV235" s="6"/>
      <c r="IW235" s="5" t="str">
        <f t="shared" si="752"/>
        <v>NO APLICA</v>
      </c>
      <c r="IX235" s="6"/>
      <c r="IY235" s="6"/>
      <c r="IZ235" s="6"/>
      <c r="JA235" s="6"/>
      <c r="JB235" s="5" t="str">
        <f t="shared" si="753"/>
        <v>NO APLICA</v>
      </c>
      <c r="JC235" s="6" t="s">
        <v>788</v>
      </c>
      <c r="JD235" s="6"/>
      <c r="JE235" s="6"/>
      <c r="JF235" s="6"/>
      <c r="JG235" s="5" t="str">
        <f t="shared" si="754"/>
        <v>NO APLICA</v>
      </c>
      <c r="JH235" s="6" t="s">
        <v>788</v>
      </c>
      <c r="JI235" s="6"/>
      <c r="JJ235" s="6"/>
      <c r="JK235" s="6"/>
      <c r="JL235" s="5" t="str">
        <f>IF(JK235&gt;=61,"VIGENTE",IF(JK235&gt;=1,"POR VENCER",IF(JK235&lt;=-1,"VENCIDA",IF(JI235=0,"NO APLICA"))))</f>
        <v>NO APLICA</v>
      </c>
      <c r="JM235" s="6" t="s">
        <v>788</v>
      </c>
      <c r="JN235" s="6"/>
      <c r="JO235" s="6"/>
      <c r="JP235" s="6"/>
      <c r="JQ235" s="5" t="str">
        <f>IF(JP235&gt;=61,"VIGENTE",IF(JP235&gt;=1,"POR VENCER",IF(JP235&lt;=-1,"VENCIDA",IF(JN235=0,"NO APLICA"))))</f>
        <v>NO APLICA</v>
      </c>
      <c r="JR235" s="6" t="s">
        <v>788</v>
      </c>
      <c r="JS235" s="6"/>
      <c r="JT235" s="6"/>
      <c r="JU235" s="6"/>
      <c r="JV235" s="5" t="str">
        <f t="shared" si="757"/>
        <v>NO APLICA</v>
      </c>
      <c r="JW235" s="6" t="s">
        <v>788</v>
      </c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59"/>
        <v>NO APLICA</v>
      </c>
      <c r="KG235" s="5"/>
      <c r="KH235" s="6"/>
      <c r="KI235" s="6"/>
      <c r="KJ235" s="6"/>
      <c r="KK235" s="5" t="str">
        <f t="shared" si="779"/>
        <v>NO APLICA</v>
      </c>
      <c r="KL235" s="5"/>
      <c r="KM235" s="6"/>
      <c r="KN235" s="6"/>
      <c r="KO235" s="6"/>
      <c r="KP235" s="5" t="str">
        <f t="shared" si="760"/>
        <v>NO APLICA</v>
      </c>
      <c r="KQ235" s="5"/>
      <c r="KR235" s="2"/>
      <c r="KS235" s="2"/>
      <c r="KT235" s="2"/>
      <c r="KU235" s="5" t="str">
        <f t="shared" si="780"/>
        <v>NO APLICA</v>
      </c>
      <c r="KV235" s="6"/>
      <c r="KW235" s="6"/>
      <c r="KX235" s="6"/>
      <c r="KY235" s="6"/>
      <c r="KZ235" s="5" t="str">
        <f t="shared" si="786"/>
        <v>NO APLICA</v>
      </c>
      <c r="LA235" s="5"/>
      <c r="LB235" s="6"/>
      <c r="LC235" s="6"/>
      <c r="LD235" s="6"/>
      <c r="LE235" s="5" t="str">
        <f t="shared" si="781"/>
        <v>NO APLICA</v>
      </c>
      <c r="LF235" s="2"/>
      <c r="LG235" s="6"/>
      <c r="LH235" s="6"/>
      <c r="LI235" s="6"/>
      <c r="LJ235" s="5" t="str">
        <f t="shared" si="792"/>
        <v>NO APLICA</v>
      </c>
      <c r="LK235" s="5"/>
      <c r="LL235" s="5"/>
      <c r="LM235" s="4"/>
      <c r="LN235" s="8"/>
      <c r="LO235" s="5" t="str">
        <f t="shared" si="787"/>
        <v>NO APLICA</v>
      </c>
      <c r="LP235" s="6"/>
      <c r="LQ235" s="6"/>
      <c r="LR235" s="6"/>
      <c r="LS235" s="6"/>
      <c r="LT235" s="5" t="str">
        <f t="shared" si="782"/>
        <v>NO APLICA</v>
      </c>
      <c r="LU235" s="6"/>
      <c r="LV235" s="6"/>
      <c r="LW235" s="6"/>
      <c r="LX235" s="6"/>
      <c r="LY235" s="5" t="str">
        <f t="shared" si="783"/>
        <v>NO APLICA</v>
      </c>
      <c r="LZ235" s="6"/>
      <c r="MA235" s="6"/>
      <c r="MB235" s="6"/>
      <c r="MC235" s="6"/>
      <c r="MD235" s="5" t="str">
        <f t="shared" si="784"/>
        <v>NO APLICA</v>
      </c>
      <c r="ME235" s="6"/>
      <c r="MF235" s="6"/>
      <c r="MG235" s="6"/>
      <c r="MH235" s="6"/>
      <c r="MI235" s="5" t="str">
        <f t="shared" si="761"/>
        <v>NO APLICA</v>
      </c>
      <c r="MJ235" s="6"/>
      <c r="MK235" s="6"/>
      <c r="ML235" s="6"/>
      <c r="MM235" s="6"/>
      <c r="MN235" s="5" t="str">
        <f t="shared" si="762"/>
        <v>NO APLICA</v>
      </c>
      <c r="MO235" s="5"/>
      <c r="MP235" s="6"/>
      <c r="MQ235" s="6"/>
      <c r="MR235" s="6"/>
      <c r="MS235" s="5" t="str">
        <f t="shared" si="763"/>
        <v>NO APLICA</v>
      </c>
      <c r="MT235" s="5"/>
      <c r="MU235" s="6"/>
      <c r="MV235" s="6"/>
      <c r="MW235" s="6"/>
      <c r="MX235" s="5" t="str">
        <f t="shared" si="764"/>
        <v>NO APLICA</v>
      </c>
      <c r="MY235" s="6"/>
      <c r="MZ235" s="6"/>
      <c r="NA235" s="6"/>
      <c r="NB235" s="6"/>
      <c r="NC235" s="5" t="str">
        <f t="shared" si="765"/>
        <v>NO APLICA</v>
      </c>
      <c r="ND235" s="6"/>
      <c r="NE235" s="6"/>
      <c r="NF235" s="6"/>
      <c r="NG235" s="6"/>
      <c r="NH235" s="5" t="str">
        <f t="shared" si="766"/>
        <v>NO APLICA</v>
      </c>
      <c r="NI235" s="6"/>
      <c r="NJ235" s="6"/>
      <c r="NK235" s="6"/>
      <c r="NL235" s="6"/>
      <c r="NM235" s="5" t="str">
        <f t="shared" si="767"/>
        <v>NO APLICA</v>
      </c>
      <c r="NN235" s="6"/>
      <c r="NO235" s="6"/>
      <c r="NP235" s="6"/>
      <c r="NQ235" s="6"/>
      <c r="NR235" s="5" t="str">
        <f t="shared" si="768"/>
        <v>NO APLICA</v>
      </c>
      <c r="NS235" s="6"/>
      <c r="NT235" s="6"/>
      <c r="NU235" s="6"/>
      <c r="NV235" s="6"/>
      <c r="NW235" s="5" t="str">
        <f t="shared" si="769"/>
        <v>NO APLICA</v>
      </c>
      <c r="NX235" s="6"/>
      <c r="NY235" s="6"/>
      <c r="NZ235" s="6"/>
      <c r="OA235" s="6"/>
      <c r="OB235" s="5" t="str">
        <f t="shared" si="770"/>
        <v>NO APLICA</v>
      </c>
      <c r="OC235" s="6"/>
      <c r="OD235" s="6"/>
      <c r="OE235" s="6"/>
      <c r="OF235" s="6"/>
      <c r="OG235" s="5" t="str">
        <f t="shared" si="771"/>
        <v>NO APLICA</v>
      </c>
      <c r="OH235" s="6"/>
      <c r="OI235" s="6"/>
      <c r="OJ235" s="6"/>
      <c r="OK235" s="6"/>
      <c r="OL235" s="5" t="str">
        <f t="shared" si="772"/>
        <v>NO APLICA</v>
      </c>
      <c r="OM235" s="6"/>
      <c r="ON235" s="6"/>
      <c r="OO235" s="6"/>
      <c r="OP235" s="6"/>
      <c r="OQ235" s="5" t="str">
        <f t="shared" si="773"/>
        <v>NO APLICA</v>
      </c>
      <c r="OR235" s="4"/>
      <c r="OS235" s="4"/>
      <c r="OT235" s="4"/>
      <c r="OU235" s="8"/>
      <c r="OV235" s="5" t="str">
        <f t="shared" si="774"/>
        <v>NO APLICA</v>
      </c>
      <c r="OW235" s="6"/>
      <c r="OX235" s="6"/>
      <c r="OY235" s="6"/>
      <c r="OZ235" s="6"/>
      <c r="PA235" s="5" t="str">
        <f t="shared" si="788"/>
        <v>NO APLICA</v>
      </c>
      <c r="PB235" s="6"/>
      <c r="PC235" s="6"/>
      <c r="PD235" s="6"/>
      <c r="PE235" s="6"/>
      <c r="PF235" s="5" t="str">
        <f t="shared" si="775"/>
        <v>NO APLICA</v>
      </c>
      <c r="PG235" s="6"/>
      <c r="PH235" s="6"/>
      <c r="PI235" s="6"/>
      <c r="PJ235" s="6"/>
      <c r="PK235" s="5" t="str">
        <f t="shared" si="77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77"/>
        <v>NO APLICA</v>
      </c>
      <c r="PV235" s="5"/>
      <c r="PW235" s="6"/>
      <c r="PX235" s="6"/>
      <c r="PY235" s="6"/>
      <c r="PZ235" s="5" t="str">
        <f t="shared" si="77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693</v>
      </c>
      <c r="D236" s="30" t="s">
        <v>64</v>
      </c>
      <c r="E236" s="31" t="s">
        <v>694</v>
      </c>
      <c r="F236" s="6"/>
      <c r="G236" s="6"/>
      <c r="H236" s="6"/>
      <c r="I236" s="6"/>
      <c r="J236" s="5" t="str">
        <f t="shared" si="710"/>
        <v>NO APLICA</v>
      </c>
      <c r="K236" s="6"/>
      <c r="L236" s="6"/>
      <c r="M236" s="6"/>
      <c r="N236" s="6"/>
      <c r="O236" s="5" t="str">
        <f t="shared" si="713"/>
        <v>NO APLICA</v>
      </c>
      <c r="P236" s="6"/>
      <c r="Q236" s="6"/>
      <c r="R236" s="6"/>
      <c r="S236" s="6"/>
      <c r="T236" s="5" t="str">
        <f t="shared" si="711"/>
        <v>NO APLICA</v>
      </c>
      <c r="U236" s="5"/>
      <c r="V236" s="6" t="s">
        <v>695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14"/>
        <v>NO APLICA</v>
      </c>
      <c r="AG236" s="4"/>
      <c r="AH236" s="4"/>
      <c r="AI236" s="4"/>
      <c r="AJ236" s="6"/>
      <c r="AK236" s="5" t="str">
        <f t="shared" si="791"/>
        <v>NO APLICA</v>
      </c>
      <c r="AL236" s="4"/>
      <c r="AM236" s="4"/>
      <c r="AN236" s="4"/>
      <c r="AO236" s="6"/>
      <c r="AP236" s="5" t="str">
        <f t="shared" si="715"/>
        <v>NO APLICA</v>
      </c>
      <c r="AQ236" s="4"/>
      <c r="AR236" s="4"/>
      <c r="AS236" s="4"/>
      <c r="AT236" s="6"/>
      <c r="AU236" s="5" t="str">
        <f t="shared" si="716"/>
        <v>NO APLICA</v>
      </c>
      <c r="AV236" s="4"/>
      <c r="AW236" s="4"/>
      <c r="AX236" s="4"/>
      <c r="AY236" s="6"/>
      <c r="AZ236" s="5" t="str">
        <f t="shared" si="717"/>
        <v>NO APLICA</v>
      </c>
      <c r="BA236" s="4"/>
      <c r="BB236" s="4"/>
      <c r="BC236" s="4"/>
      <c r="BD236" s="6"/>
      <c r="BE236" s="5" t="str">
        <f t="shared" si="718"/>
        <v>NO APLICA</v>
      </c>
      <c r="BF236" s="4"/>
      <c r="BG236" s="4"/>
      <c r="BH236" s="4"/>
      <c r="BI236" s="6"/>
      <c r="BJ236" s="5" t="str">
        <f t="shared" si="719"/>
        <v>NO APLICA</v>
      </c>
      <c r="BK236" s="4"/>
      <c r="BL236" s="4"/>
      <c r="BM236" s="4"/>
      <c r="BN236" s="6"/>
      <c r="BO236" s="5" t="str">
        <f t="shared" si="720"/>
        <v>NO APLICA</v>
      </c>
      <c r="BP236" s="4"/>
      <c r="BQ236" s="4"/>
      <c r="BR236" s="4"/>
      <c r="BS236" s="6"/>
      <c r="BT236" s="5" t="str">
        <f t="shared" si="721"/>
        <v>NO APLICA</v>
      </c>
      <c r="BU236" s="4"/>
      <c r="BV236" s="4"/>
      <c r="BW236" s="4"/>
      <c r="BX236" s="6"/>
      <c r="BY236" s="5" t="str">
        <f t="shared" si="722"/>
        <v>NO APLICA</v>
      </c>
      <c r="BZ236" s="4"/>
      <c r="CA236" s="4"/>
      <c r="CB236" s="4"/>
      <c r="CC236" s="6"/>
      <c r="CD236" s="5" t="str">
        <f t="shared" si="723"/>
        <v>NO APLICA</v>
      </c>
      <c r="CE236" s="6"/>
      <c r="CF236" s="6"/>
      <c r="CG236" s="6"/>
      <c r="CH236" s="6"/>
      <c r="CI236" s="5" t="str">
        <f t="shared" si="789"/>
        <v>NO APLICA</v>
      </c>
      <c r="CJ236" s="4"/>
      <c r="CK236" s="4"/>
      <c r="CL236" s="4"/>
      <c r="CM236" s="6"/>
      <c r="CN236" s="5" t="str">
        <f t="shared" si="724"/>
        <v>NO APLICA</v>
      </c>
      <c r="CO236" s="4"/>
      <c r="CP236" s="4"/>
      <c r="CQ236" s="4"/>
      <c r="CR236" s="6"/>
      <c r="CS236" s="5" t="str">
        <f t="shared" si="725"/>
        <v>NO APLICA</v>
      </c>
      <c r="CT236" s="4"/>
      <c r="CU236" s="4"/>
      <c r="CV236" s="4"/>
      <c r="CW236" s="6"/>
      <c r="CX236" s="5" t="str">
        <f t="shared" si="726"/>
        <v>NO APLICA</v>
      </c>
      <c r="CY236" s="4"/>
      <c r="CZ236" s="4"/>
      <c r="DA236" s="4"/>
      <c r="DB236" s="6"/>
      <c r="DC236" s="5" t="str">
        <f t="shared" si="727"/>
        <v>NO APLICA</v>
      </c>
      <c r="DD236" s="4"/>
      <c r="DE236" s="4"/>
      <c r="DF236" s="4"/>
      <c r="DG236" s="6"/>
      <c r="DH236" s="5" t="str">
        <f t="shared" si="728"/>
        <v>NO APLICA</v>
      </c>
      <c r="DI236" s="4"/>
      <c r="DJ236" s="4"/>
      <c r="DK236" s="4"/>
      <c r="DL236" s="6"/>
      <c r="DM236" s="5" t="str">
        <f t="shared" si="729"/>
        <v>NO APLICA</v>
      </c>
      <c r="DN236" s="4"/>
      <c r="DO236" s="4"/>
      <c r="DP236" s="4"/>
      <c r="DQ236" s="6"/>
      <c r="DR236" s="5" t="str">
        <f t="shared" si="730"/>
        <v>NO APLICA</v>
      </c>
      <c r="DS236" s="4"/>
      <c r="DT236" s="4"/>
      <c r="DU236" s="4"/>
      <c r="DV236" s="6"/>
      <c r="DW236" s="5" t="str">
        <f t="shared" si="731"/>
        <v>NO APLICA</v>
      </c>
      <c r="DX236" s="4"/>
      <c r="DY236" s="4"/>
      <c r="DZ236" s="4"/>
      <c r="EA236" s="6"/>
      <c r="EB236" s="5" t="str">
        <f t="shared" si="732"/>
        <v>NO APLICA</v>
      </c>
      <c r="EC236" s="4"/>
      <c r="ED236" s="4"/>
      <c r="EE236" s="4"/>
      <c r="EF236" s="6"/>
      <c r="EG236" s="5" t="str">
        <f t="shared" si="733"/>
        <v>NO APLICA</v>
      </c>
      <c r="EH236" s="4"/>
      <c r="EI236" s="4"/>
      <c r="EJ236" s="4"/>
      <c r="EK236" s="8"/>
      <c r="EL236" s="5" t="str">
        <f t="shared" si="734"/>
        <v>NO APLICA</v>
      </c>
      <c r="EM236" s="4"/>
      <c r="EN236" s="4"/>
      <c r="EO236" s="4"/>
      <c r="EP236" s="8"/>
      <c r="EQ236" s="5" t="str">
        <f t="shared" si="735"/>
        <v>NO APLICA</v>
      </c>
      <c r="ER236" s="4"/>
      <c r="ES236" s="4"/>
      <c r="ET236" s="4"/>
      <c r="EU236" s="8"/>
      <c r="EV236" s="5" t="str">
        <f t="shared" si="736"/>
        <v>NO APLICA</v>
      </c>
      <c r="EW236" s="4"/>
      <c r="EX236" s="4"/>
      <c r="EY236" s="4"/>
      <c r="EZ236" s="6"/>
      <c r="FA236" s="5" t="str">
        <f t="shared" si="737"/>
        <v>NO APLICA</v>
      </c>
      <c r="FB236" s="4"/>
      <c r="FC236" s="4"/>
      <c r="FD236" s="4"/>
      <c r="FE236" s="6"/>
      <c r="FF236" s="5" t="str">
        <f t="shared" si="738"/>
        <v>NO APLICA</v>
      </c>
      <c r="FG236" s="4"/>
      <c r="FH236" s="4"/>
      <c r="FI236" s="4"/>
      <c r="FJ236" s="6"/>
      <c r="FK236" s="5" t="str">
        <f t="shared" si="739"/>
        <v>NO APLICA</v>
      </c>
      <c r="FL236" s="4"/>
      <c r="FM236" s="4"/>
      <c r="FN236" s="4"/>
      <c r="FO236" s="6"/>
      <c r="FP236" s="5" t="str">
        <f t="shared" si="740"/>
        <v>NO APLICA</v>
      </c>
      <c r="FQ236" s="4"/>
      <c r="FR236" s="4"/>
      <c r="FS236" s="4"/>
      <c r="FT236" s="6"/>
      <c r="FU236" s="5" t="str">
        <f t="shared" si="741"/>
        <v>NO APLICA</v>
      </c>
      <c r="FV236" s="4"/>
      <c r="FW236" s="4"/>
      <c r="FX236" s="4"/>
      <c r="FY236" s="6"/>
      <c r="FZ236" s="5" t="str">
        <f t="shared" si="742"/>
        <v>NO APLICA</v>
      </c>
      <c r="GA236" s="4"/>
      <c r="GB236" s="4"/>
      <c r="GC236" s="4"/>
      <c r="GD236" s="6"/>
      <c r="GE236" s="5" t="str">
        <f t="shared" si="743"/>
        <v>NO APLICA</v>
      </c>
      <c r="GF236" s="4"/>
      <c r="GG236" s="4"/>
      <c r="GH236" s="4"/>
      <c r="GI236" s="8"/>
      <c r="GJ236" s="5" t="str">
        <f t="shared" si="744"/>
        <v>NO APLICA</v>
      </c>
      <c r="GK236" s="4"/>
      <c r="GL236" s="6"/>
      <c r="GM236" s="6"/>
      <c r="GN236" s="6"/>
      <c r="GO236" s="5" t="str">
        <f t="shared" si="745"/>
        <v>NO APLICA</v>
      </c>
      <c r="GP236" s="4"/>
      <c r="GQ236" s="6"/>
      <c r="GR236" s="6"/>
      <c r="GS236" s="6"/>
      <c r="GT236" s="5" t="str">
        <f t="shared" si="624"/>
        <v>NO APLICA</v>
      </c>
      <c r="GU236" s="4"/>
      <c r="GV236" s="6"/>
      <c r="GW236" s="6"/>
      <c r="GX236" s="6"/>
      <c r="GY236" s="5" t="str">
        <f t="shared" si="625"/>
        <v>NO APLICA</v>
      </c>
      <c r="GZ236" s="6"/>
      <c r="HA236" s="6"/>
      <c r="HB236" s="6"/>
      <c r="HC236" s="6"/>
      <c r="HD236" s="5" t="str">
        <f t="shared" si="626"/>
        <v>NO APLICA</v>
      </c>
      <c r="HE236" s="6"/>
      <c r="HF236" s="6"/>
      <c r="HG236" s="4"/>
      <c r="HH236" s="8"/>
      <c r="HI236" s="5" t="str">
        <f t="shared" si="712"/>
        <v>NO APLICA</v>
      </c>
      <c r="HJ236" s="6"/>
      <c r="HK236" s="6"/>
      <c r="HL236" s="6"/>
      <c r="HM236" s="6"/>
      <c r="HN236" s="5" t="str">
        <f t="shared" si="708"/>
        <v>NO APLICA</v>
      </c>
      <c r="HO236" s="6"/>
      <c r="HP236" s="6"/>
      <c r="HQ236" s="6"/>
      <c r="HR236" s="6"/>
      <c r="HS236" s="5" t="str">
        <f t="shared" si="746"/>
        <v>NO APLICA</v>
      </c>
      <c r="HT236" s="6"/>
      <c r="HU236" s="6"/>
      <c r="HV236" s="6"/>
      <c r="HW236" s="6"/>
      <c r="HX236" s="5" t="str">
        <f t="shared" si="747"/>
        <v>NO APLICA</v>
      </c>
      <c r="HY236" s="6"/>
      <c r="HZ236" s="6"/>
      <c r="IA236" s="6"/>
      <c r="IB236" s="6"/>
      <c r="IC236" s="5" t="str">
        <f t="shared" si="748"/>
        <v>NO APLICA</v>
      </c>
      <c r="ID236" s="6"/>
      <c r="IE236" s="6"/>
      <c r="IF236" s="6"/>
      <c r="IG236" s="6"/>
      <c r="IH236" s="5" t="str">
        <f t="shared" si="749"/>
        <v>NO APLICA</v>
      </c>
      <c r="II236" s="6"/>
      <c r="IJ236" s="6"/>
      <c r="IK236" s="6"/>
      <c r="IL236" s="6"/>
      <c r="IM236" s="5" t="str">
        <f t="shared" si="750"/>
        <v>NO APLICA</v>
      </c>
      <c r="IN236" s="6"/>
      <c r="IO236" s="6"/>
      <c r="IP236" s="6"/>
      <c r="IQ236" s="6"/>
      <c r="IR236" s="5" t="str">
        <f t="shared" si="751"/>
        <v>NO APLICA</v>
      </c>
      <c r="IS236" s="6"/>
      <c r="IT236" s="6"/>
      <c r="IU236" s="6"/>
      <c r="IV236" s="6"/>
      <c r="IW236" s="5" t="str">
        <f t="shared" si="752"/>
        <v>NO APLICA</v>
      </c>
      <c r="IX236" s="6"/>
      <c r="IY236" s="6"/>
      <c r="IZ236" s="6"/>
      <c r="JA236" s="6"/>
      <c r="JB236" s="5" t="str">
        <f t="shared" si="753"/>
        <v>NO APLICA</v>
      </c>
      <c r="JC236" s="6"/>
      <c r="JD236" s="6"/>
      <c r="JE236" s="6"/>
      <c r="JF236" s="6"/>
      <c r="JG236" s="5" t="str">
        <f t="shared" si="754"/>
        <v>NO APLICA</v>
      </c>
      <c r="JH236" s="6"/>
      <c r="JI236" s="6"/>
      <c r="JJ236" s="6"/>
      <c r="JK236" s="6"/>
      <c r="JL236" s="5" t="str">
        <f t="shared" si="755"/>
        <v>NO APLICA</v>
      </c>
      <c r="JM236" s="6"/>
      <c r="JN236" s="6"/>
      <c r="JO236" s="6"/>
      <c r="JP236" s="6"/>
      <c r="JQ236" s="5" t="str">
        <f t="shared" si="756"/>
        <v>NO APLICA</v>
      </c>
      <c r="JR236" s="6"/>
      <c r="JS236" s="6"/>
      <c r="JT236" s="6"/>
      <c r="JU236" s="6"/>
      <c r="JV236" s="5" t="str">
        <f t="shared" si="757"/>
        <v>NO APLICA</v>
      </c>
      <c r="JW236" s="5"/>
      <c r="JX236" s="5"/>
      <c r="JY236" s="5"/>
      <c r="JZ236" s="5"/>
      <c r="KA236" s="5" t="str">
        <f t="shared" si="758"/>
        <v>NO APLICA</v>
      </c>
      <c r="KB236" s="5"/>
      <c r="KC236" s="6"/>
      <c r="KD236" s="6"/>
      <c r="KE236" s="6"/>
      <c r="KF236" s="5" t="str">
        <f t="shared" si="759"/>
        <v>NO APLICA</v>
      </c>
      <c r="KG236" s="5"/>
      <c r="KH236" s="6"/>
      <c r="KI236" s="6"/>
      <c r="KJ236" s="6"/>
      <c r="KK236" s="5" t="str">
        <f t="shared" si="779"/>
        <v>NO APLICA</v>
      </c>
      <c r="KL236" s="5"/>
      <c r="KM236" s="6"/>
      <c r="KN236" s="6"/>
      <c r="KO236" s="6"/>
      <c r="KP236" s="5" t="str">
        <f t="shared" si="760"/>
        <v>NO APLICA</v>
      </c>
      <c r="KQ236" s="5"/>
      <c r="KR236" s="6"/>
      <c r="KS236" s="6"/>
      <c r="KT236" s="6"/>
      <c r="KU236" s="5" t="str">
        <f t="shared" si="780"/>
        <v>NO APLICA</v>
      </c>
      <c r="KV236" s="6"/>
      <c r="KW236" s="6"/>
      <c r="KX236" s="6"/>
      <c r="KY236" s="6"/>
      <c r="KZ236" s="5" t="str">
        <f t="shared" si="786"/>
        <v>NO APLICA</v>
      </c>
      <c r="LA236" s="5"/>
      <c r="LB236" s="6"/>
      <c r="LC236" s="6"/>
      <c r="LD236" s="6"/>
      <c r="LE236" s="5" t="str">
        <f t="shared" si="781"/>
        <v>NO APLICA</v>
      </c>
      <c r="LF236" s="6"/>
      <c r="LG236" s="6"/>
      <c r="LH236" s="6"/>
      <c r="LI236" s="6"/>
      <c r="LJ236" s="5" t="str">
        <f t="shared" si="792"/>
        <v>NO APLICA</v>
      </c>
      <c r="LK236" s="5"/>
      <c r="LL236" s="5"/>
      <c r="LM236" s="4"/>
      <c r="LN236" s="8"/>
      <c r="LO236" s="5" t="str">
        <f t="shared" si="787"/>
        <v>NO APLICA</v>
      </c>
      <c r="LP236" s="6"/>
      <c r="LQ236" s="6"/>
      <c r="LR236" s="6"/>
      <c r="LS236" s="6"/>
      <c r="LT236" s="5" t="str">
        <f t="shared" si="782"/>
        <v>NO APLICA</v>
      </c>
      <c r="LU236" s="6"/>
      <c r="LV236" s="6"/>
      <c r="LW236" s="6"/>
      <c r="LX236" s="6"/>
      <c r="LY236" s="5" t="str">
        <f t="shared" si="783"/>
        <v>NO APLICA</v>
      </c>
      <c r="LZ236" s="6"/>
      <c r="MA236" s="6"/>
      <c r="MB236" s="6"/>
      <c r="MC236" s="6"/>
      <c r="MD236" s="5" t="str">
        <f t="shared" si="784"/>
        <v>NO APLICA</v>
      </c>
      <c r="ME236" s="6"/>
      <c r="MF236" s="6"/>
      <c r="MG236" s="6"/>
      <c r="MH236" s="6"/>
      <c r="MI236" s="5" t="str">
        <f t="shared" si="761"/>
        <v>NO APLICA</v>
      </c>
      <c r="MJ236" s="6"/>
      <c r="MK236" s="6"/>
      <c r="ML236" s="6"/>
      <c r="MM236" s="6"/>
      <c r="MN236" s="5" t="str">
        <f t="shared" si="762"/>
        <v>NO APLICA</v>
      </c>
      <c r="MO236" s="5"/>
      <c r="MP236" s="6"/>
      <c r="MQ236" s="6"/>
      <c r="MR236" s="6"/>
      <c r="MS236" s="5" t="str">
        <f t="shared" si="763"/>
        <v>NO APLICA</v>
      </c>
      <c r="MT236" s="5"/>
      <c r="MU236" s="6"/>
      <c r="MV236" s="6"/>
      <c r="MW236" s="6"/>
      <c r="MX236" s="5" t="str">
        <f t="shared" si="764"/>
        <v>NO APLICA</v>
      </c>
      <c r="MY236" s="6"/>
      <c r="MZ236" s="6"/>
      <c r="NA236" s="6"/>
      <c r="NB236" s="6"/>
      <c r="NC236" s="5" t="str">
        <f t="shared" si="765"/>
        <v>NO APLICA</v>
      </c>
      <c r="ND236" s="6"/>
      <c r="NE236" s="6"/>
      <c r="NF236" s="6"/>
      <c r="NG236" s="6"/>
      <c r="NH236" s="5" t="str">
        <f t="shared" si="766"/>
        <v>NO APLICA</v>
      </c>
      <c r="NI236" s="6"/>
      <c r="NJ236" s="6"/>
      <c r="NK236" s="6"/>
      <c r="NL236" s="6"/>
      <c r="NM236" s="5" t="str">
        <f t="shared" si="767"/>
        <v>NO APLICA</v>
      </c>
      <c r="NN236" s="6"/>
      <c r="NO236" s="6"/>
      <c r="NP236" s="6"/>
      <c r="NQ236" s="6"/>
      <c r="NR236" s="5" t="str">
        <f t="shared" si="768"/>
        <v>NO APLICA</v>
      </c>
      <c r="NS236" s="6"/>
      <c r="NT236" s="6"/>
      <c r="NU236" s="6"/>
      <c r="NV236" s="6"/>
      <c r="NW236" s="5" t="str">
        <f t="shared" si="769"/>
        <v>NO APLICA</v>
      </c>
      <c r="NX236" s="6"/>
      <c r="NY236" s="6"/>
      <c r="NZ236" s="6"/>
      <c r="OA236" s="6"/>
      <c r="OB236" s="5" t="str">
        <f t="shared" si="770"/>
        <v>NO APLICA</v>
      </c>
      <c r="OC236" s="6"/>
      <c r="OD236" s="6"/>
      <c r="OE236" s="6"/>
      <c r="OF236" s="6"/>
      <c r="OG236" s="5" t="str">
        <f t="shared" si="771"/>
        <v>NO APLICA</v>
      </c>
      <c r="OH236" s="6"/>
      <c r="OI236" s="6"/>
      <c r="OJ236" s="6"/>
      <c r="OK236" s="6"/>
      <c r="OL236" s="5" t="str">
        <f t="shared" si="772"/>
        <v>NO APLICA</v>
      </c>
      <c r="OM236" s="6"/>
      <c r="ON236" s="6"/>
      <c r="OO236" s="6"/>
      <c r="OP236" s="6"/>
      <c r="OQ236" s="5" t="str">
        <f t="shared" si="773"/>
        <v>NO APLICA</v>
      </c>
      <c r="OR236" s="6"/>
      <c r="OS236" s="6"/>
      <c r="OT236" s="6"/>
      <c r="OU236" s="6"/>
      <c r="OV236" s="5" t="str">
        <f t="shared" si="774"/>
        <v>NO APLICA</v>
      </c>
      <c r="OW236" s="6"/>
      <c r="OX236" s="6"/>
      <c r="OY236" s="6"/>
      <c r="OZ236" s="6"/>
      <c r="PA236" s="5" t="str">
        <f t="shared" si="788"/>
        <v>NO APLICA</v>
      </c>
      <c r="PB236" s="6"/>
      <c r="PC236" s="6"/>
      <c r="PD236" s="6"/>
      <c r="PE236" s="6"/>
      <c r="PF236" s="5" t="str">
        <f t="shared" si="775"/>
        <v>NO APLICA</v>
      </c>
      <c r="PG236" s="6"/>
      <c r="PH236" s="6"/>
      <c r="PI236" s="6"/>
      <c r="PJ236" s="6"/>
      <c r="PK236" s="5" t="str">
        <f t="shared" si="776"/>
        <v>NO APLICA</v>
      </c>
      <c r="PL236" s="5"/>
      <c r="PM236" s="6"/>
      <c r="PN236" s="6"/>
      <c r="PO236" s="6"/>
      <c r="PP236" s="5" t="str">
        <f t="shared" si="785"/>
        <v>NO APLICA</v>
      </c>
      <c r="PQ236" s="6"/>
      <c r="PR236" s="6"/>
      <c r="PS236" s="6"/>
      <c r="PT236" s="6"/>
      <c r="PU236" s="5" t="str">
        <f t="shared" si="777"/>
        <v>NO APLICA</v>
      </c>
      <c r="PV236" s="5"/>
      <c r="PW236" s="6"/>
      <c r="PX236" s="6"/>
      <c r="PY236" s="6"/>
      <c r="PZ236" s="5" t="str">
        <f t="shared" si="77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696</v>
      </c>
      <c r="D237" s="30" t="s">
        <v>616</v>
      </c>
      <c r="E237" s="31" t="s">
        <v>786</v>
      </c>
      <c r="F237" s="3"/>
      <c r="G237" s="4"/>
      <c r="H237" s="4"/>
      <c r="I237" s="8"/>
      <c r="J237" s="5" t="str">
        <f t="shared" si="710"/>
        <v>NO APLICA</v>
      </c>
      <c r="K237" s="2"/>
      <c r="L237" s="2"/>
      <c r="M237" s="2"/>
      <c r="N237" s="2"/>
      <c r="O237" s="5" t="str">
        <f t="shared" si="713"/>
        <v>NO APLICA</v>
      </c>
      <c r="P237" s="6"/>
      <c r="Q237" s="6"/>
      <c r="R237" s="4"/>
      <c r="S237" s="8"/>
      <c r="T237" s="5" t="str">
        <f t="shared" si="711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14"/>
        <v>NO APLICA</v>
      </c>
      <c r="AG237" s="2"/>
      <c r="AH237" s="4"/>
      <c r="AI237" s="4"/>
      <c r="AJ237" s="6"/>
      <c r="AK237" s="5" t="str">
        <f t="shared" si="791"/>
        <v>NO APLICA</v>
      </c>
      <c r="AL237" s="2"/>
      <c r="AM237" s="4"/>
      <c r="AN237" s="4"/>
      <c r="AO237" s="8"/>
      <c r="AP237" s="5" t="str">
        <f t="shared" si="715"/>
        <v>NO APLICA</v>
      </c>
      <c r="AQ237" s="2"/>
      <c r="AR237" s="4"/>
      <c r="AS237" s="4"/>
      <c r="AT237" s="8"/>
      <c r="AU237" s="5" t="str">
        <f t="shared" si="716"/>
        <v>NO APLICA</v>
      </c>
      <c r="AV237" s="2"/>
      <c r="AW237" s="4"/>
      <c r="AX237" s="4"/>
      <c r="AY237" s="8"/>
      <c r="AZ237" s="5" t="str">
        <f t="shared" si="717"/>
        <v>NO APLICA</v>
      </c>
      <c r="BA237" s="3"/>
      <c r="BB237" s="4"/>
      <c r="BC237" s="4"/>
      <c r="BD237" s="8"/>
      <c r="BE237" s="5" t="str">
        <f t="shared" si="718"/>
        <v>NO APLICA</v>
      </c>
      <c r="BF237" s="2"/>
      <c r="BG237" s="4"/>
      <c r="BH237" s="4"/>
      <c r="BI237" s="8"/>
      <c r="BJ237" s="5" t="str">
        <f t="shared" si="719"/>
        <v>NO APLICA</v>
      </c>
      <c r="BK237" s="3"/>
      <c r="BL237" s="4"/>
      <c r="BM237" s="4"/>
      <c r="BN237" s="8"/>
      <c r="BO237" s="5" t="str">
        <f t="shared" si="720"/>
        <v>NO APLICA</v>
      </c>
      <c r="BP237" s="3"/>
      <c r="BQ237" s="4"/>
      <c r="BR237" s="4"/>
      <c r="BS237" s="8"/>
      <c r="BT237" s="5" t="str">
        <f t="shared" si="721"/>
        <v>NO APLICA</v>
      </c>
      <c r="BU237" s="2"/>
      <c r="BV237" s="4"/>
      <c r="BW237" s="4"/>
      <c r="BX237" s="8"/>
      <c r="BY237" s="5" t="str">
        <f t="shared" si="722"/>
        <v>NO APLICA</v>
      </c>
      <c r="BZ237" s="2"/>
      <c r="CA237" s="4"/>
      <c r="CB237" s="4"/>
      <c r="CC237" s="8"/>
      <c r="CD237" s="5" t="str">
        <f t="shared" si="723"/>
        <v>NO APLICA</v>
      </c>
      <c r="CE237" s="6"/>
      <c r="CF237" s="4"/>
      <c r="CG237" s="4"/>
      <c r="CH237" s="8"/>
      <c r="CI237" s="5" t="str">
        <f t="shared" si="789"/>
        <v>NO APLICA</v>
      </c>
      <c r="CJ237" s="6"/>
      <c r="CK237" s="4"/>
      <c r="CL237" s="4"/>
      <c r="CM237" s="8"/>
      <c r="CN237" s="5" t="str">
        <f t="shared" si="724"/>
        <v>NO APLICA</v>
      </c>
      <c r="CO237" s="2"/>
      <c r="CP237" s="4"/>
      <c r="CQ237" s="4"/>
      <c r="CR237" s="8"/>
      <c r="CS237" s="5" t="str">
        <f t="shared" si="725"/>
        <v>NO APLICA</v>
      </c>
      <c r="CT237" s="2"/>
      <c r="CU237" s="4"/>
      <c r="CV237" s="4"/>
      <c r="CW237" s="8"/>
      <c r="CX237" s="5" t="str">
        <f t="shared" si="726"/>
        <v>NO APLICA</v>
      </c>
      <c r="CY237" s="3"/>
      <c r="CZ237" s="4"/>
      <c r="DA237" s="4"/>
      <c r="DB237" s="8"/>
      <c r="DC237" s="5" t="str">
        <f t="shared" si="727"/>
        <v>NO APLICA</v>
      </c>
      <c r="DD237" s="3"/>
      <c r="DE237" s="4"/>
      <c r="DF237" s="4"/>
      <c r="DG237" s="8"/>
      <c r="DH237" s="5" t="str">
        <f t="shared" si="728"/>
        <v>NO APLICA</v>
      </c>
      <c r="DI237" s="2"/>
      <c r="DJ237" s="4"/>
      <c r="DK237" s="4"/>
      <c r="DL237" s="8"/>
      <c r="DM237" s="5" t="str">
        <f t="shared" si="729"/>
        <v>NO APLICA</v>
      </c>
      <c r="DN237" s="3"/>
      <c r="DO237" s="4"/>
      <c r="DP237" s="4"/>
      <c r="DQ237" s="8"/>
      <c r="DR237" s="5" t="str">
        <f t="shared" si="730"/>
        <v>NO APLICA</v>
      </c>
      <c r="DS237" s="2"/>
      <c r="DT237" s="4"/>
      <c r="DU237" s="4"/>
      <c r="DV237" s="8"/>
      <c r="DW237" s="5" t="str">
        <f t="shared" si="731"/>
        <v>NO APLICA</v>
      </c>
      <c r="DX237" s="3"/>
      <c r="DY237" s="4"/>
      <c r="DZ237" s="4"/>
      <c r="EA237" s="8"/>
      <c r="EB237" s="5" t="str">
        <f t="shared" si="732"/>
        <v>NO APLICA</v>
      </c>
      <c r="EC237" s="3"/>
      <c r="ED237" s="4"/>
      <c r="EE237" s="4"/>
      <c r="EF237" s="8"/>
      <c r="EG237" s="5" t="str">
        <f t="shared" si="733"/>
        <v>NO APLICA</v>
      </c>
      <c r="EH237" s="2"/>
      <c r="EI237" s="4"/>
      <c r="EJ237" s="4"/>
      <c r="EK237" s="8"/>
      <c r="EL237" s="5" t="str">
        <f t="shared" si="734"/>
        <v>NO APLICA</v>
      </c>
      <c r="EM237" s="3"/>
      <c r="EN237" s="4"/>
      <c r="EO237" s="4"/>
      <c r="EP237" s="8"/>
      <c r="EQ237" s="5" t="str">
        <f t="shared" si="735"/>
        <v>NO APLICA</v>
      </c>
      <c r="ER237" s="2"/>
      <c r="ES237" s="4"/>
      <c r="ET237" s="4"/>
      <c r="EU237" s="8"/>
      <c r="EV237" s="5" t="str">
        <f t="shared" si="736"/>
        <v>NO APLICA</v>
      </c>
      <c r="EW237" s="2"/>
      <c r="EX237" s="4"/>
      <c r="EY237" s="4"/>
      <c r="EZ237" s="8"/>
      <c r="FA237" s="5" t="str">
        <f t="shared" si="737"/>
        <v>NO APLICA</v>
      </c>
      <c r="FB237" s="2"/>
      <c r="FC237" s="4"/>
      <c r="FD237" s="4"/>
      <c r="FE237" s="8"/>
      <c r="FF237" s="5" t="str">
        <f t="shared" si="738"/>
        <v>NO APLICA</v>
      </c>
      <c r="FG237" s="2"/>
      <c r="FH237" s="4"/>
      <c r="FI237" s="4"/>
      <c r="FJ237" s="8"/>
      <c r="FK237" s="5" t="str">
        <f t="shared" si="739"/>
        <v>NO APLICA</v>
      </c>
      <c r="FL237" s="3"/>
      <c r="FM237" s="4"/>
      <c r="FN237" s="4"/>
      <c r="FO237" s="8"/>
      <c r="FP237" s="5" t="str">
        <f t="shared" si="740"/>
        <v>NO APLICA</v>
      </c>
      <c r="FQ237" s="3"/>
      <c r="FR237" s="4"/>
      <c r="FS237" s="4"/>
      <c r="FT237" s="8"/>
      <c r="FU237" s="5" t="str">
        <f t="shared" si="741"/>
        <v>NO APLICA</v>
      </c>
      <c r="FV237" s="3"/>
      <c r="FW237" s="4"/>
      <c r="FX237" s="4"/>
      <c r="FY237" s="8"/>
      <c r="FZ237" s="5" t="str">
        <f t="shared" si="742"/>
        <v>NO APLICA</v>
      </c>
      <c r="GA237" s="3"/>
      <c r="GB237" s="4"/>
      <c r="GC237" s="4"/>
      <c r="GD237" s="8"/>
      <c r="GE237" s="5" t="str">
        <f t="shared" si="743"/>
        <v>NO APLICA</v>
      </c>
      <c r="GF237" s="3"/>
      <c r="GG237" s="4"/>
      <c r="GH237" s="4"/>
      <c r="GI237" s="8"/>
      <c r="GJ237" s="5" t="str">
        <f t="shared" si="744"/>
        <v>NO APLICA</v>
      </c>
      <c r="GK237" s="3"/>
      <c r="GL237" s="4"/>
      <c r="GM237" s="4"/>
      <c r="GN237" s="8"/>
      <c r="GO237" s="5" t="str">
        <f t="shared" si="745"/>
        <v>NO APLICA</v>
      </c>
      <c r="GP237" s="4"/>
      <c r="GQ237" s="4"/>
      <c r="GR237" s="4"/>
      <c r="GS237" s="8"/>
      <c r="GT237" s="5" t="str">
        <f t="shared" si="624"/>
        <v>NO APLICA</v>
      </c>
      <c r="GU237" s="3"/>
      <c r="GV237" s="4"/>
      <c r="GW237" s="4"/>
      <c r="GX237" s="8"/>
      <c r="GY237" s="5" t="str">
        <f t="shared" si="625"/>
        <v>NO APLICA</v>
      </c>
      <c r="GZ237" s="2"/>
      <c r="HA237" s="4"/>
      <c r="HB237" s="4"/>
      <c r="HC237" s="8"/>
      <c r="HD237" s="5" t="str">
        <f t="shared" si="626"/>
        <v>NO APLICA</v>
      </c>
      <c r="HE237" s="6"/>
      <c r="HF237" s="6"/>
      <c r="HG237" s="4"/>
      <c r="HH237" s="8"/>
      <c r="HI237" s="5" t="str">
        <f t="shared" si="712"/>
        <v>NO APLICA</v>
      </c>
      <c r="HJ237" s="2"/>
      <c r="HK237" s="6"/>
      <c r="HL237" s="4"/>
      <c r="HM237" s="8"/>
      <c r="HN237" s="5" t="str">
        <f t="shared" si="708"/>
        <v>NO APLICA</v>
      </c>
      <c r="HO237" s="2"/>
      <c r="HP237" s="2"/>
      <c r="HQ237" s="4"/>
      <c r="HR237" s="2"/>
      <c r="HS237" s="5" t="str">
        <f t="shared" si="746"/>
        <v>NO APLICA</v>
      </c>
      <c r="HT237" s="2"/>
      <c r="HU237" s="6"/>
      <c r="HV237" s="4"/>
      <c r="HW237" s="8"/>
      <c r="HX237" s="5" t="str">
        <f t="shared" si="747"/>
        <v>NO APLICA</v>
      </c>
      <c r="HY237" s="2"/>
      <c r="HZ237" s="6"/>
      <c r="IA237" s="4"/>
      <c r="IB237" s="8"/>
      <c r="IC237" s="5" t="str">
        <f t="shared" si="748"/>
        <v>NO APLICA</v>
      </c>
      <c r="ID237" s="2"/>
      <c r="IE237" s="6"/>
      <c r="IF237" s="4"/>
      <c r="IG237" s="8"/>
      <c r="IH237" s="5" t="str">
        <f t="shared" si="749"/>
        <v>NO APLICA</v>
      </c>
      <c r="II237" s="6"/>
      <c r="IJ237" s="6"/>
      <c r="IK237" s="4"/>
      <c r="IL237" s="8"/>
      <c r="IM237" s="5" t="str">
        <f t="shared" si="750"/>
        <v>NO APLICA</v>
      </c>
      <c r="IN237" s="2"/>
      <c r="IO237" s="6"/>
      <c r="IP237" s="4"/>
      <c r="IQ237" s="8"/>
      <c r="IR237" s="5" t="str">
        <f t="shared" si="751"/>
        <v>NO APLICA</v>
      </c>
      <c r="IS237" s="2"/>
      <c r="IT237" s="6"/>
      <c r="IU237" s="4"/>
      <c r="IV237" s="8"/>
      <c r="IW237" s="5" t="str">
        <f t="shared" si="752"/>
        <v>NO APLICA</v>
      </c>
      <c r="IX237" s="2"/>
      <c r="IY237" s="6"/>
      <c r="IZ237" s="4"/>
      <c r="JA237" s="8"/>
      <c r="JB237" s="5" t="str">
        <f t="shared" si="753"/>
        <v>NO APLICA</v>
      </c>
      <c r="JC237" s="6" t="s">
        <v>788</v>
      </c>
      <c r="JD237" s="3"/>
      <c r="JE237" s="4"/>
      <c r="JF237" s="8"/>
      <c r="JG237" s="5" t="str">
        <f t="shared" si="754"/>
        <v>NO APLICA</v>
      </c>
      <c r="JH237" s="6" t="s">
        <v>788</v>
      </c>
      <c r="JI237" s="6"/>
      <c r="JJ237" s="6"/>
      <c r="JK237" s="6"/>
      <c r="JL237" s="5" t="str">
        <f>IF(JK237&gt;=61,"VIGENTE",IF(JK237&gt;=1,"POR VENCER",IF(JK237&lt;=-1,"VENCIDA",IF(JI237=0,"NO APLICA"))))</f>
        <v>NO APLICA</v>
      </c>
      <c r="JM237" s="6" t="s">
        <v>788</v>
      </c>
      <c r="JN237" s="6"/>
      <c r="JO237" s="6"/>
      <c r="JP237" s="6"/>
      <c r="JQ237" s="5" t="str">
        <f>IF(JP237&gt;=61,"VIGENTE",IF(JP237&gt;=1,"POR VENCER",IF(JP237&lt;=-1,"VENCIDA",IF(JN237=0,"NO APLICA"))))</f>
        <v>NO APLICA</v>
      </c>
      <c r="JR237" s="6" t="s">
        <v>788</v>
      </c>
      <c r="JS237" s="6"/>
      <c r="JT237" s="6"/>
      <c r="JU237" s="6"/>
      <c r="JV237" s="5" t="str">
        <f t="shared" si="757"/>
        <v>NO APLICA</v>
      </c>
      <c r="JW237" s="6" t="s">
        <v>788</v>
      </c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59"/>
        <v>NO APLICA</v>
      </c>
      <c r="KG237" s="5"/>
      <c r="KH237" s="2"/>
      <c r="KI237" s="4"/>
      <c r="KJ237" s="8"/>
      <c r="KK237" s="5" t="str">
        <f t="shared" si="779"/>
        <v>NO APLICA</v>
      </c>
      <c r="KL237" s="5"/>
      <c r="KM237" s="2"/>
      <c r="KN237" s="4"/>
      <c r="KO237" s="8"/>
      <c r="KP237" s="5" t="str">
        <f t="shared" si="760"/>
        <v>NO APLICA</v>
      </c>
      <c r="KQ237" s="5"/>
      <c r="KR237" s="2"/>
      <c r="KS237" s="4"/>
      <c r="KT237" s="8"/>
      <c r="KU237" s="5" t="str">
        <f t="shared" si="780"/>
        <v>NO APLICA</v>
      </c>
      <c r="KV237" s="2"/>
      <c r="KW237" s="6"/>
      <c r="KX237" s="4"/>
      <c r="KY237" s="8"/>
      <c r="KZ237" s="5" t="str">
        <f t="shared" si="786"/>
        <v>NO APLICA</v>
      </c>
      <c r="LA237" s="5"/>
      <c r="LB237" s="6"/>
      <c r="LC237" s="4"/>
      <c r="LD237" s="8"/>
      <c r="LE237" s="5" t="str">
        <f t="shared" si="781"/>
        <v>NO APLICA</v>
      </c>
      <c r="LF237" s="6"/>
      <c r="LG237" s="6"/>
      <c r="LH237" s="4"/>
      <c r="LI237" s="8"/>
      <c r="LJ237" s="5" t="str">
        <f t="shared" si="792"/>
        <v>NO APLICA</v>
      </c>
      <c r="LK237" s="5"/>
      <c r="LL237" s="5"/>
      <c r="LM237" s="4"/>
      <c r="LN237" s="8"/>
      <c r="LO237" s="5" t="str">
        <f t="shared" si="787"/>
        <v>NO APLICA</v>
      </c>
      <c r="LP237" s="2"/>
      <c r="LQ237" s="6"/>
      <c r="LR237" s="4"/>
      <c r="LS237" s="8"/>
      <c r="LT237" s="5" t="str">
        <f t="shared" si="782"/>
        <v>NO APLICA</v>
      </c>
      <c r="LU237" s="6"/>
      <c r="LV237" s="6"/>
      <c r="LW237" s="4"/>
      <c r="LX237" s="8"/>
      <c r="LY237" s="5" t="str">
        <f t="shared" si="783"/>
        <v>NO APLICA</v>
      </c>
      <c r="LZ237" s="6"/>
      <c r="MA237" s="6"/>
      <c r="MB237" s="4"/>
      <c r="MC237" s="8"/>
      <c r="MD237" s="5" t="str">
        <f t="shared" si="784"/>
        <v>NO APLICA</v>
      </c>
      <c r="ME237" s="2"/>
      <c r="MF237" s="2"/>
      <c r="MG237" s="4"/>
      <c r="MH237" s="8"/>
      <c r="MI237" s="5" t="str">
        <f t="shared" si="761"/>
        <v>NO APLICA</v>
      </c>
      <c r="MJ237" s="2"/>
      <c r="MK237" s="2"/>
      <c r="ML237" s="4"/>
      <c r="MM237" s="8"/>
      <c r="MN237" s="5" t="str">
        <f t="shared" si="762"/>
        <v>NO APLICA</v>
      </c>
      <c r="MO237" s="5"/>
      <c r="MP237" s="2"/>
      <c r="MQ237" s="4"/>
      <c r="MR237" s="8"/>
      <c r="MS237" s="5" t="str">
        <f t="shared" si="763"/>
        <v>NO APLICA</v>
      </c>
      <c r="MT237" s="5"/>
      <c r="MU237" s="2"/>
      <c r="MV237" s="4"/>
      <c r="MW237" s="2"/>
      <c r="MX237" s="5" t="str">
        <f t="shared" si="764"/>
        <v>NO APLICA</v>
      </c>
      <c r="MY237" s="2"/>
      <c r="MZ237" s="6"/>
      <c r="NA237" s="4"/>
      <c r="NB237" s="8"/>
      <c r="NC237" s="5" t="str">
        <f t="shared" si="765"/>
        <v>NO APLICA</v>
      </c>
      <c r="ND237" s="2"/>
      <c r="NE237" s="6"/>
      <c r="NF237" s="4"/>
      <c r="NG237" s="8"/>
      <c r="NH237" s="5" t="str">
        <f t="shared" si="766"/>
        <v>NO APLICA</v>
      </c>
      <c r="NI237" s="2"/>
      <c r="NJ237" s="6"/>
      <c r="NK237" s="4"/>
      <c r="NL237" s="8"/>
      <c r="NM237" s="5" t="str">
        <f t="shared" si="767"/>
        <v>NO APLICA</v>
      </c>
      <c r="NN237" s="2"/>
      <c r="NO237" s="2"/>
      <c r="NP237" s="4"/>
      <c r="NQ237" s="8"/>
      <c r="NR237" s="5" t="str">
        <f t="shared" si="768"/>
        <v>NO APLICA</v>
      </c>
      <c r="NS237" s="2"/>
      <c r="NT237" s="2"/>
      <c r="NU237" s="4"/>
      <c r="NV237" s="2"/>
      <c r="NW237" s="5" t="str">
        <f t="shared" si="769"/>
        <v>NO APLICA</v>
      </c>
      <c r="NX237" s="6"/>
      <c r="NY237" s="6"/>
      <c r="NZ237" s="4"/>
      <c r="OA237" s="8"/>
      <c r="OB237" s="5" t="str">
        <f t="shared" si="770"/>
        <v>NO APLICA</v>
      </c>
      <c r="OC237" s="6"/>
      <c r="OD237" s="6"/>
      <c r="OE237" s="6"/>
      <c r="OF237" s="6"/>
      <c r="OG237" s="5" t="str">
        <f t="shared" si="771"/>
        <v>NO APLICA</v>
      </c>
      <c r="OH237" s="6"/>
      <c r="OI237" s="6"/>
      <c r="OJ237" s="4"/>
      <c r="OK237" s="8"/>
      <c r="OL237" s="5" t="str">
        <f t="shared" si="772"/>
        <v>NO APLICA</v>
      </c>
      <c r="OM237" s="6"/>
      <c r="ON237" s="6"/>
      <c r="OO237" s="6"/>
      <c r="OP237" s="6"/>
      <c r="OQ237" s="5" t="str">
        <f t="shared" si="773"/>
        <v>NO APLICA</v>
      </c>
      <c r="OR237" s="6"/>
      <c r="OS237" s="6"/>
      <c r="OT237" s="6"/>
      <c r="OU237" s="6"/>
      <c r="OV237" s="5" t="str">
        <f t="shared" si="774"/>
        <v>NO APLICA</v>
      </c>
      <c r="OW237" s="6"/>
      <c r="OX237" s="6"/>
      <c r="OY237" s="6"/>
      <c r="OZ237" s="6"/>
      <c r="PA237" s="5" t="str">
        <f t="shared" si="788"/>
        <v>NO APLICA</v>
      </c>
      <c r="PB237" s="6"/>
      <c r="PC237" s="6"/>
      <c r="PD237" s="6"/>
      <c r="PE237" s="6"/>
      <c r="PF237" s="5" t="str">
        <f t="shared" si="775"/>
        <v>NO APLICA</v>
      </c>
      <c r="PG237" s="6"/>
      <c r="PH237" s="6"/>
      <c r="PI237" s="6"/>
      <c r="PJ237" s="6"/>
      <c r="PK237" s="5" t="str">
        <f t="shared" si="776"/>
        <v>NO APLICA</v>
      </c>
      <c r="PL237" s="5"/>
      <c r="PM237" s="6"/>
      <c r="PN237" s="4"/>
      <c r="PO237" s="8"/>
      <c r="PP237" s="5" t="str">
        <f t="shared" si="785"/>
        <v>NO APLICA</v>
      </c>
      <c r="PQ237" s="6"/>
      <c r="PR237" s="6"/>
      <c r="PS237" s="6"/>
      <c r="PT237" s="6"/>
      <c r="PU237" s="5" t="str">
        <f t="shared" si="77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7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697</v>
      </c>
      <c r="D238" s="30" t="s">
        <v>115</v>
      </c>
      <c r="E238" s="31" t="s">
        <v>698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710"/>
        <v>VIGENTE</v>
      </c>
      <c r="K238" s="2"/>
      <c r="L238" s="2"/>
      <c r="M238" s="2"/>
      <c r="N238" s="2"/>
      <c r="O238" s="5" t="str">
        <f t="shared" si="713"/>
        <v>NO APLICA</v>
      </c>
      <c r="P238" s="6"/>
      <c r="Q238" s="6"/>
      <c r="R238" s="4"/>
      <c r="S238" s="8"/>
      <c r="T238" s="5" t="str">
        <f t="shared" si="711"/>
        <v>NO APLICA</v>
      </c>
      <c r="U238" s="5"/>
      <c r="V238" s="2" t="s">
        <v>699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14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24"/>
        <v>NO APLICA</v>
      </c>
      <c r="GU238" s="3"/>
      <c r="GV238" s="4"/>
      <c r="GW238" s="4"/>
      <c r="GX238" s="8"/>
      <c r="GY238" s="5" t="str">
        <f t="shared" si="625"/>
        <v>NO APLICA</v>
      </c>
      <c r="GZ238" s="2"/>
      <c r="HA238" s="4"/>
      <c r="HB238" s="4"/>
      <c r="HC238" s="8"/>
      <c r="HD238" s="5" t="str">
        <f t="shared" si="626"/>
        <v>NO APLICA</v>
      </c>
      <c r="HE238" s="6"/>
      <c r="HF238" s="6"/>
      <c r="HG238" s="4"/>
      <c r="HH238" s="8"/>
      <c r="HI238" s="5" t="str">
        <f t="shared" si="712"/>
        <v>NO APLICA</v>
      </c>
      <c r="HJ238" s="2"/>
      <c r="HK238" s="6"/>
      <c r="HL238" s="4"/>
      <c r="HM238" s="8"/>
      <c r="HN238" s="5" t="str">
        <f t="shared" si="708"/>
        <v>NO APLICA</v>
      </c>
      <c r="HO238" s="2"/>
      <c r="HP238" s="2"/>
      <c r="HQ238" s="4"/>
      <c r="HR238" s="2"/>
      <c r="HS238" s="5" t="str">
        <f t="shared" si="746"/>
        <v>NO APLICA</v>
      </c>
      <c r="HT238" s="2"/>
      <c r="HU238" s="6"/>
      <c r="HV238" s="4"/>
      <c r="HW238" s="8"/>
      <c r="HX238" s="5" t="str">
        <f t="shared" si="747"/>
        <v>NO APLICA</v>
      </c>
      <c r="HY238" s="2"/>
      <c r="HZ238" s="6"/>
      <c r="IA238" s="4"/>
      <c r="IB238" s="8"/>
      <c r="IC238" s="5" t="str">
        <f t="shared" si="748"/>
        <v>NO APLICA</v>
      </c>
      <c r="ID238" s="2"/>
      <c r="IE238" s="6"/>
      <c r="IF238" s="4"/>
      <c r="IG238" s="8"/>
      <c r="IH238" s="5" t="str">
        <f t="shared" si="749"/>
        <v>NO APLICA</v>
      </c>
      <c r="II238" s="6"/>
      <c r="IJ238" s="6"/>
      <c r="IK238" s="4"/>
      <c r="IL238" s="8"/>
      <c r="IM238" s="5" t="str">
        <f t="shared" si="750"/>
        <v>NO APLICA</v>
      </c>
      <c r="IN238" s="2"/>
      <c r="IO238" s="6"/>
      <c r="IP238" s="4"/>
      <c r="IQ238" s="8"/>
      <c r="IR238" s="5" t="str">
        <f t="shared" si="751"/>
        <v>NO APLICA</v>
      </c>
      <c r="IS238" s="2"/>
      <c r="IT238" s="6"/>
      <c r="IU238" s="4"/>
      <c r="IV238" s="8"/>
      <c r="IW238" s="5" t="str">
        <f t="shared" si="752"/>
        <v>NO APLICA</v>
      </c>
      <c r="IX238" s="2"/>
      <c r="IY238" s="6"/>
      <c r="IZ238" s="4"/>
      <c r="JA238" s="8"/>
      <c r="JB238" s="5" t="str">
        <f t="shared" si="753"/>
        <v>NO APLICA</v>
      </c>
      <c r="JC238" s="3"/>
      <c r="JD238" s="3"/>
      <c r="JE238" s="4"/>
      <c r="JF238" s="8"/>
      <c r="JG238" s="5" t="str">
        <f t="shared" si="754"/>
        <v>NO APLICA</v>
      </c>
      <c r="JH238" s="6"/>
      <c r="JI238" s="6"/>
      <c r="JJ238" s="6"/>
      <c r="JK238" s="6"/>
      <c r="JL238" s="5" t="str">
        <f t="shared" si="755"/>
        <v>NO APLICA</v>
      </c>
      <c r="JM238" s="6"/>
      <c r="JN238" s="6"/>
      <c r="JO238" s="6"/>
      <c r="JP238" s="6"/>
      <c r="JQ238" s="5" t="str">
        <f t="shared" si="756"/>
        <v>NO APLICA</v>
      </c>
      <c r="JR238" s="6"/>
      <c r="JS238" s="6"/>
      <c r="JT238" s="6"/>
      <c r="JU238" s="6"/>
      <c r="JV238" s="5" t="str">
        <f t="shared" si="757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59"/>
        <v>NO APLICA</v>
      </c>
      <c r="KG238" s="5"/>
      <c r="KH238" s="2"/>
      <c r="KI238" s="4"/>
      <c r="KJ238" s="8"/>
      <c r="KK238" s="5" t="str">
        <f t="shared" si="779"/>
        <v>NO APLICA</v>
      </c>
      <c r="KL238" s="5"/>
      <c r="KM238" s="2"/>
      <c r="KN238" s="4"/>
      <c r="KO238" s="8"/>
      <c r="KP238" s="5" t="str">
        <f t="shared" si="760"/>
        <v>NO APLICA</v>
      </c>
      <c r="KQ238" s="5"/>
      <c r="KR238" s="2"/>
      <c r="KS238" s="4"/>
      <c r="KT238" s="8"/>
      <c r="KU238" s="5" t="str">
        <f t="shared" si="780"/>
        <v>NO APLICA</v>
      </c>
      <c r="KV238" s="2"/>
      <c r="KW238" s="6"/>
      <c r="KX238" s="4"/>
      <c r="KY238" s="8"/>
      <c r="KZ238" s="5" t="str">
        <f t="shared" si="786"/>
        <v>NO APLICA</v>
      </c>
      <c r="LA238" s="5"/>
      <c r="LB238" s="6"/>
      <c r="LC238" s="4"/>
      <c r="LD238" s="8"/>
      <c r="LE238" s="5" t="str">
        <f t="shared" si="781"/>
        <v>NO APLICA</v>
      </c>
      <c r="LF238" s="6"/>
      <c r="LG238" s="6"/>
      <c r="LH238" s="4"/>
      <c r="LI238" s="8"/>
      <c r="LJ238" s="5" t="str">
        <f t="shared" si="792"/>
        <v>NO APLICA</v>
      </c>
      <c r="LK238" s="5"/>
      <c r="LL238" s="5"/>
      <c r="LM238" s="4"/>
      <c r="LN238" s="8"/>
      <c r="LO238" s="5" t="str">
        <f t="shared" si="787"/>
        <v>NO APLICA</v>
      </c>
      <c r="LP238" s="2"/>
      <c r="LQ238" s="6"/>
      <c r="LR238" s="4"/>
      <c r="LS238" s="8"/>
      <c r="LT238" s="5" t="str">
        <f t="shared" si="782"/>
        <v>NO APLICA</v>
      </c>
      <c r="LU238" s="6"/>
      <c r="LV238" s="6"/>
      <c r="LW238" s="4"/>
      <c r="LX238" s="8"/>
      <c r="LY238" s="5" t="str">
        <f t="shared" si="783"/>
        <v>NO APLICA</v>
      </c>
      <c r="LZ238" s="6"/>
      <c r="MA238" s="6"/>
      <c r="MB238" s="4"/>
      <c r="MC238" s="8"/>
      <c r="MD238" s="5" t="str">
        <f t="shared" si="784"/>
        <v>NO APLICA</v>
      </c>
      <c r="ME238" s="2"/>
      <c r="MF238" s="2"/>
      <c r="MG238" s="4"/>
      <c r="MH238" s="8"/>
      <c r="MI238" s="5" t="str">
        <f t="shared" si="761"/>
        <v>NO APLICA</v>
      </c>
      <c r="MJ238" s="2"/>
      <c r="MK238" s="2"/>
      <c r="ML238" s="4"/>
      <c r="MM238" s="8"/>
      <c r="MN238" s="5" t="str">
        <f t="shared" si="762"/>
        <v>NO APLICA</v>
      </c>
      <c r="MO238" s="5"/>
      <c r="MP238" s="2"/>
      <c r="MQ238" s="4"/>
      <c r="MR238" s="8"/>
      <c r="MS238" s="5" t="str">
        <f t="shared" si="763"/>
        <v>NO APLICA</v>
      </c>
      <c r="MT238" s="5"/>
      <c r="MU238" s="2"/>
      <c r="MV238" s="4"/>
      <c r="MW238" s="2"/>
      <c r="MX238" s="5" t="str">
        <f t="shared" si="764"/>
        <v>NO APLICA</v>
      </c>
      <c r="MY238" s="2"/>
      <c r="MZ238" s="6"/>
      <c r="NA238" s="4"/>
      <c r="NB238" s="8"/>
      <c r="NC238" s="5" t="str">
        <f t="shared" si="765"/>
        <v>NO APLICA</v>
      </c>
      <c r="ND238" s="2"/>
      <c r="NE238" s="6"/>
      <c r="NF238" s="4"/>
      <c r="NG238" s="8"/>
      <c r="NH238" s="5" t="str">
        <f t="shared" si="766"/>
        <v>NO APLICA</v>
      </c>
      <c r="NI238" s="2"/>
      <c r="NJ238" s="6"/>
      <c r="NK238" s="4"/>
      <c r="NL238" s="8"/>
      <c r="NM238" s="5" t="str">
        <f t="shared" si="767"/>
        <v>NO APLICA</v>
      </c>
      <c r="NN238" s="2"/>
      <c r="NO238" s="2"/>
      <c r="NP238" s="4"/>
      <c r="NQ238" s="8"/>
      <c r="NR238" s="5" t="str">
        <f t="shared" si="768"/>
        <v>NO APLICA</v>
      </c>
      <c r="NS238" s="2"/>
      <c r="NT238" s="2"/>
      <c r="NU238" s="4"/>
      <c r="NV238" s="2"/>
      <c r="NW238" s="5" t="str">
        <f t="shared" si="769"/>
        <v>NO APLICA</v>
      </c>
      <c r="NX238" s="6"/>
      <c r="NY238" s="6"/>
      <c r="NZ238" s="4"/>
      <c r="OA238" s="8"/>
      <c r="OB238" s="5" t="str">
        <f t="shared" si="770"/>
        <v>NO APLICA</v>
      </c>
      <c r="OC238" s="6"/>
      <c r="OD238" s="6"/>
      <c r="OE238" s="6"/>
      <c r="OF238" s="6"/>
      <c r="OG238" s="5" t="str">
        <f t="shared" si="771"/>
        <v>NO APLICA</v>
      </c>
      <c r="OH238" s="6"/>
      <c r="OI238" s="6"/>
      <c r="OJ238" s="4"/>
      <c r="OK238" s="8"/>
      <c r="OL238" s="5" t="str">
        <f t="shared" si="772"/>
        <v>NO APLICA</v>
      </c>
      <c r="OM238" s="6"/>
      <c r="ON238" s="6"/>
      <c r="OO238" s="6"/>
      <c r="OP238" s="6"/>
      <c r="OQ238" s="5" t="str">
        <f t="shared" si="773"/>
        <v>NO APLICA</v>
      </c>
      <c r="OR238" s="6"/>
      <c r="OS238" s="6"/>
      <c r="OT238" s="6"/>
      <c r="OU238" s="6"/>
      <c r="OV238" s="5" t="str">
        <f t="shared" si="774"/>
        <v>NO APLICA</v>
      </c>
      <c r="OW238" s="6"/>
      <c r="OX238" s="6"/>
      <c r="OY238" s="6"/>
      <c r="OZ238" s="6"/>
      <c r="PA238" s="5" t="str">
        <f t="shared" si="788"/>
        <v>NO APLICA</v>
      </c>
      <c r="PB238" s="6"/>
      <c r="PC238" s="6"/>
      <c r="PD238" s="6"/>
      <c r="PE238" s="6"/>
      <c r="PF238" s="5" t="str">
        <f t="shared" si="775"/>
        <v>NO APLICA</v>
      </c>
      <c r="PG238" s="6"/>
      <c r="PH238" s="6"/>
      <c r="PI238" s="6"/>
      <c r="PJ238" s="6"/>
      <c r="PK238" s="5" t="str">
        <f t="shared" si="776"/>
        <v>NO APLICA</v>
      </c>
      <c r="PL238" s="5"/>
      <c r="PM238" s="6"/>
      <c r="PN238" s="4"/>
      <c r="PO238" s="8"/>
      <c r="PP238" s="5" t="str">
        <f t="shared" si="785"/>
        <v>NO APLICA</v>
      </c>
      <c r="PQ238" s="6"/>
      <c r="PR238" s="6"/>
      <c r="PS238" s="6"/>
      <c r="PT238" s="6"/>
      <c r="PU238" s="5" t="str">
        <f t="shared" si="777"/>
        <v>NO APLICA</v>
      </c>
      <c r="PV238" s="5"/>
      <c r="PW238" s="6"/>
      <c r="PX238" s="6"/>
      <c r="PY238" s="6"/>
      <c r="PZ238" s="5" t="str">
        <f t="shared" si="77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700</v>
      </c>
      <c r="D239" s="30" t="s">
        <v>69</v>
      </c>
      <c r="E239" s="31" t="s">
        <v>75</v>
      </c>
      <c r="F239" s="6"/>
      <c r="G239" s="6"/>
      <c r="H239" s="4"/>
      <c r="I239" s="8"/>
      <c r="J239" s="5" t="str">
        <f t="shared" si="710"/>
        <v>NO APLICA</v>
      </c>
      <c r="K239" s="2"/>
      <c r="L239" s="3"/>
      <c r="M239" s="4"/>
      <c r="N239" s="4"/>
      <c r="O239" s="5" t="str">
        <f t="shared" si="713"/>
        <v>NO APLICA</v>
      </c>
      <c r="P239" s="5"/>
      <c r="Q239" s="2"/>
      <c r="R239" s="3"/>
      <c r="S239" s="4"/>
      <c r="T239" s="5" t="str">
        <f t="shared" si="711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93">IF(Y239&gt;=90,"VIGENTE",IF(Y239&gt;=1,"POR VENCER",IF(Y239&lt;=-1,"VENCIDA",IF(W239=0,"NO APLICA"))))</f>
        <v>VIGENTE</v>
      </c>
      <c r="AA239" s="5"/>
      <c r="AB239" s="5" t="s">
        <v>701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714"/>
        <v>VIGENTE</v>
      </c>
      <c r="AG239" s="3"/>
      <c r="AH239" s="4"/>
      <c r="AI239" s="4"/>
      <c r="AJ239" s="8"/>
      <c r="AK239" s="5" t="str">
        <f t="shared" si="791"/>
        <v>NO APLICA</v>
      </c>
      <c r="AL239" s="3"/>
      <c r="AM239" s="4"/>
      <c r="AN239" s="4"/>
      <c r="AO239" s="8"/>
      <c r="AP239" s="5" t="str">
        <f t="shared" si="715"/>
        <v>NO APLICA</v>
      </c>
      <c r="AQ239" s="3"/>
      <c r="AR239" s="4"/>
      <c r="AS239" s="4"/>
      <c r="AT239" s="8"/>
      <c r="AU239" s="5" t="str">
        <f t="shared" ref="AU239:AU240" si="79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9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9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9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9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9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80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0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0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0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0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0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1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1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1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1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1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24"/>
        <v>NO APLICA</v>
      </c>
      <c r="GU239" s="4"/>
      <c r="GV239" s="4"/>
      <c r="GW239" s="8"/>
      <c r="GX239" s="5"/>
      <c r="GY239" s="5" t="str">
        <f t="shared" si="625"/>
        <v>NO APLICA</v>
      </c>
      <c r="GZ239" s="6"/>
      <c r="HA239" s="4"/>
      <c r="HB239" s="8"/>
      <c r="HC239" s="5"/>
      <c r="HD239" s="5" t="str">
        <f t="shared" si="626"/>
        <v>NO APLICA</v>
      </c>
      <c r="HE239" s="2"/>
      <c r="HF239" s="4"/>
      <c r="HG239" s="2"/>
      <c r="HH239" s="5"/>
      <c r="HI239" s="5" t="str">
        <f t="shared" si="712"/>
        <v>NO APLICA</v>
      </c>
      <c r="HJ239" s="4"/>
      <c r="HK239" s="4"/>
      <c r="HL239" s="8"/>
      <c r="HM239" s="5"/>
      <c r="HN239" s="5" t="str">
        <f t="shared" si="708"/>
        <v>NO APLICA</v>
      </c>
      <c r="HO239" s="4"/>
      <c r="HP239" s="4"/>
      <c r="HQ239" s="8"/>
      <c r="HR239" s="5"/>
      <c r="HS239" s="5" t="str">
        <f t="shared" si="746"/>
        <v>NO APLICA</v>
      </c>
      <c r="HT239" s="4"/>
      <c r="HU239" s="4"/>
      <c r="HV239" s="8"/>
      <c r="HW239" s="5"/>
      <c r="HX239" s="5" t="str">
        <f t="shared" si="747"/>
        <v>NO APLICA</v>
      </c>
      <c r="HY239" s="4"/>
      <c r="HZ239" s="4"/>
      <c r="IA239" s="8"/>
      <c r="IB239" s="5"/>
      <c r="IC239" s="5" t="str">
        <f t="shared" si="748"/>
        <v>NO APLICA</v>
      </c>
      <c r="ID239" s="4"/>
      <c r="IE239" s="4"/>
      <c r="IF239" s="8"/>
      <c r="IG239" s="5"/>
      <c r="IH239" s="5" t="str">
        <f t="shared" si="749"/>
        <v>NO APLICA</v>
      </c>
      <c r="II239" s="4"/>
      <c r="IJ239" s="4"/>
      <c r="IK239" s="8"/>
      <c r="IL239" s="5"/>
      <c r="IM239" s="5" t="str">
        <f t="shared" si="750"/>
        <v>NO APLICA</v>
      </c>
      <c r="IN239" s="4"/>
      <c r="IO239" s="4"/>
      <c r="IP239" s="8"/>
      <c r="IQ239" s="5"/>
      <c r="IR239" s="5" t="str">
        <f t="shared" si="751"/>
        <v>NO APLICA</v>
      </c>
      <c r="IS239" s="3"/>
      <c r="IT239" s="4"/>
      <c r="IU239" s="8"/>
      <c r="IV239" s="5"/>
      <c r="IW239" s="5" t="str">
        <f t="shared" si="752"/>
        <v>NO APLICA</v>
      </c>
      <c r="IX239" s="6"/>
      <c r="IY239" s="6"/>
      <c r="IZ239" s="5"/>
      <c r="JA239" s="6"/>
      <c r="JB239" s="5" t="str">
        <f t="shared" si="753"/>
        <v>NO APLICA</v>
      </c>
      <c r="JC239" s="6"/>
      <c r="JD239" s="5"/>
      <c r="JE239" s="6"/>
      <c r="JF239" s="6"/>
      <c r="JG239" s="5" t="str">
        <f t="shared" si="754"/>
        <v>NO APLICA</v>
      </c>
      <c r="JH239" s="6"/>
      <c r="JI239" s="6"/>
      <c r="JJ239" s="5"/>
      <c r="JK239" s="2"/>
      <c r="JL239" s="5" t="str">
        <f t="shared" si="755"/>
        <v>NO APLICA</v>
      </c>
      <c r="JM239" s="8"/>
      <c r="JN239" s="8"/>
      <c r="JO239" s="5"/>
      <c r="JP239" s="2"/>
      <c r="JQ239" s="5" t="str">
        <f t="shared" si="756"/>
        <v>NO APLICA</v>
      </c>
      <c r="JR239" s="8"/>
      <c r="JS239" s="5"/>
      <c r="JT239" s="2"/>
      <c r="JU239" s="4"/>
      <c r="JV239" s="5" t="str">
        <f t="shared" si="757"/>
        <v>NO APLICA</v>
      </c>
      <c r="JW239" s="5"/>
      <c r="JX239" s="2"/>
      <c r="JY239" s="4"/>
      <c r="JZ239" s="8"/>
      <c r="KA239" s="5" t="str">
        <f t="shared" ref="KA239:KA240" si="825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59"/>
        <v>NO APLICA</v>
      </c>
      <c r="KG239" s="5"/>
      <c r="KH239" s="5"/>
      <c r="KI239" s="4"/>
      <c r="KJ239" s="4"/>
      <c r="KK239" s="5" t="str">
        <f t="shared" si="779"/>
        <v>NO APLICA</v>
      </c>
      <c r="KL239" s="5"/>
      <c r="KM239" s="5"/>
      <c r="KN239" s="6"/>
      <c r="KO239" s="6"/>
      <c r="KP239" s="5" t="str">
        <f t="shared" si="760"/>
        <v>NO APLICA</v>
      </c>
      <c r="KQ239" s="5"/>
      <c r="KR239" s="8"/>
      <c r="KS239" s="5"/>
      <c r="KT239" s="5"/>
      <c r="KU239" s="5" t="str">
        <f t="shared" si="780"/>
        <v>NO APLICA</v>
      </c>
      <c r="KV239" s="5"/>
      <c r="KW239" s="5"/>
      <c r="KX239" s="5"/>
      <c r="KY239" s="2"/>
      <c r="KZ239" s="5" t="str">
        <f t="shared" si="786"/>
        <v>NO APLICA</v>
      </c>
      <c r="LA239" s="5"/>
      <c r="LB239" s="4"/>
      <c r="LC239" s="8"/>
      <c r="LD239" s="5"/>
      <c r="LE239" s="5" t="str">
        <f t="shared" si="781"/>
        <v>NO APLICA</v>
      </c>
      <c r="LF239" s="6"/>
      <c r="LG239" s="4"/>
      <c r="LH239" s="8"/>
      <c r="LI239" s="5"/>
      <c r="LJ239" s="5" t="str">
        <f t="shared" si="792"/>
        <v>NO APLICA</v>
      </c>
      <c r="LK239" s="6"/>
      <c r="LL239" s="4"/>
      <c r="LM239" s="8"/>
      <c r="LN239" s="5"/>
      <c r="LO239" s="5" t="str">
        <f t="shared" si="787"/>
        <v>NO APLICA</v>
      </c>
      <c r="LP239" s="2"/>
      <c r="LQ239" s="4"/>
      <c r="LR239" s="8"/>
      <c r="LS239" s="5"/>
      <c r="LT239" s="5" t="str">
        <f t="shared" si="782"/>
        <v>NO APLICA</v>
      </c>
      <c r="LU239" s="2"/>
      <c r="LV239" s="4"/>
      <c r="LW239" s="8"/>
      <c r="LX239" s="5"/>
      <c r="LY239" s="5" t="str">
        <f t="shared" si="783"/>
        <v>NO APLICA</v>
      </c>
      <c r="LZ239" s="4"/>
      <c r="MA239" s="8"/>
      <c r="MB239" s="5"/>
      <c r="MC239" s="2"/>
      <c r="MD239" s="5" t="str">
        <f t="shared" si="784"/>
        <v>NO APLICA</v>
      </c>
      <c r="ME239" s="2"/>
      <c r="MF239" s="5"/>
      <c r="MG239" s="2"/>
      <c r="MH239" s="6"/>
      <c r="MI239" s="5" t="str">
        <f t="shared" si="761"/>
        <v>NO APLICA</v>
      </c>
      <c r="MJ239" s="8"/>
      <c r="MK239" s="5"/>
      <c r="ML239" s="2"/>
      <c r="MM239" s="6"/>
      <c r="MN239" s="5" t="str">
        <f t="shared" si="762"/>
        <v>NO APLICA</v>
      </c>
      <c r="MO239" s="5"/>
      <c r="MP239" s="8"/>
      <c r="MQ239" s="5"/>
      <c r="MR239" s="2"/>
      <c r="MS239" s="5" t="str">
        <f t="shared" si="763"/>
        <v>NO APLICA</v>
      </c>
      <c r="MT239" s="5"/>
      <c r="MU239" s="4"/>
      <c r="MV239" s="8"/>
      <c r="MW239" s="5"/>
      <c r="MX239" s="5" t="str">
        <f t="shared" si="764"/>
        <v>NO APLICA</v>
      </c>
      <c r="MY239" s="2"/>
      <c r="MZ239" s="4"/>
      <c r="NA239" s="2"/>
      <c r="NB239" s="5"/>
      <c r="NC239" s="5" t="str">
        <f t="shared" si="765"/>
        <v>NO APLICA</v>
      </c>
      <c r="ND239" s="2"/>
      <c r="NE239" s="4"/>
      <c r="NF239" s="2"/>
      <c r="NG239" s="5"/>
      <c r="NH239" s="5" t="str">
        <f t="shared" si="766"/>
        <v>NO APLICA</v>
      </c>
      <c r="NI239" s="6"/>
      <c r="NJ239" s="4"/>
      <c r="NK239" s="8"/>
      <c r="NL239" s="5"/>
      <c r="NM239" s="5" t="str">
        <f t="shared" si="767"/>
        <v>NO APLICA</v>
      </c>
      <c r="NN239" s="6"/>
      <c r="NO239" s="6"/>
      <c r="NP239" s="6"/>
      <c r="NQ239" s="5"/>
      <c r="NR239" s="5" t="str">
        <f t="shared" si="768"/>
        <v>NO APLICA</v>
      </c>
      <c r="NS239" s="6"/>
      <c r="NT239" s="4"/>
      <c r="NU239" s="8"/>
      <c r="NV239" s="5"/>
      <c r="NW239" s="5" t="str">
        <f t="shared" si="769"/>
        <v>NO APLICA</v>
      </c>
      <c r="NX239" s="6"/>
      <c r="NY239" s="6"/>
      <c r="NZ239" s="6"/>
      <c r="OA239" s="5"/>
      <c r="OB239" s="5" t="str">
        <f t="shared" si="770"/>
        <v>NO APLICA</v>
      </c>
      <c r="OC239" s="6"/>
      <c r="OD239" s="6"/>
      <c r="OE239" s="6"/>
      <c r="OF239" s="5"/>
      <c r="OG239" s="5" t="str">
        <f t="shared" si="771"/>
        <v>NO APLICA</v>
      </c>
      <c r="OH239" s="6"/>
      <c r="OI239" s="6"/>
      <c r="OJ239" s="6"/>
      <c r="OK239" s="5"/>
      <c r="OL239" s="5" t="str">
        <f t="shared" si="772"/>
        <v>NO APLICA</v>
      </c>
      <c r="OM239" s="6"/>
      <c r="ON239" s="6"/>
      <c r="OO239" s="6"/>
      <c r="OP239" s="5"/>
      <c r="OQ239" s="5" t="str">
        <f t="shared" si="773"/>
        <v>NO APLICA</v>
      </c>
      <c r="OR239" s="6"/>
      <c r="OS239" s="6"/>
      <c r="OT239" s="6"/>
      <c r="OU239" s="5"/>
      <c r="OV239" s="5" t="str">
        <f t="shared" si="774"/>
        <v>NO APLICA</v>
      </c>
      <c r="OW239" s="4"/>
      <c r="OX239" s="8"/>
      <c r="OY239" s="5"/>
      <c r="OZ239" s="6"/>
      <c r="PA239" s="5" t="str">
        <f t="shared" si="788"/>
        <v>NO APLICA</v>
      </c>
      <c r="PB239" s="6"/>
      <c r="PC239" s="6"/>
      <c r="PD239" s="5"/>
      <c r="PE239" s="6"/>
      <c r="PF239" s="5" t="str">
        <f t="shared" si="775"/>
        <v>NO APLICA</v>
      </c>
      <c r="PG239" s="6"/>
      <c r="PH239" s="5"/>
      <c r="PI239" s="6"/>
      <c r="PJ239" s="4"/>
      <c r="PK239" s="5" t="str">
        <f t="shared" si="776"/>
        <v>NO APLICA</v>
      </c>
      <c r="PL239" s="5"/>
      <c r="PM239" s="6"/>
      <c r="PN239" s="6"/>
      <c r="PO239" s="6"/>
      <c r="PP239" s="5" t="str">
        <f t="shared" si="785"/>
        <v>NO APLICA</v>
      </c>
      <c r="PQ239" s="6"/>
      <c r="PR239" s="6"/>
      <c r="PS239" s="6"/>
      <c r="PT239" s="6"/>
      <c r="PU239" s="5" t="str">
        <f t="shared" si="77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7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702</v>
      </c>
      <c r="D240" s="30" t="s">
        <v>115</v>
      </c>
      <c r="E240" s="31" t="s">
        <v>703</v>
      </c>
      <c r="F240" s="6"/>
      <c r="G240" s="6"/>
      <c r="H240" s="4"/>
      <c r="I240" s="8"/>
      <c r="J240" s="5" t="str">
        <f t="shared" si="710"/>
        <v>NO APLICA</v>
      </c>
      <c r="K240" s="2"/>
      <c r="L240" s="3"/>
      <c r="M240" s="4"/>
      <c r="N240" s="4"/>
      <c r="O240" s="5" t="str">
        <f t="shared" si="713"/>
        <v>NO APLICA</v>
      </c>
      <c r="P240" s="5"/>
      <c r="Q240" s="2"/>
      <c r="R240" s="3"/>
      <c r="S240" s="4"/>
      <c r="T240" s="5" t="str">
        <f t="shared" si="711"/>
        <v>NO APLICA</v>
      </c>
      <c r="U240" s="5"/>
      <c r="V240" s="8"/>
      <c r="W240" s="4"/>
      <c r="X240" s="4"/>
      <c r="Y240" s="4"/>
      <c r="Z240" s="5" t="str">
        <f t="shared" si="793"/>
        <v>NO APLICA</v>
      </c>
      <c r="AA240" s="5"/>
      <c r="AB240" s="5"/>
      <c r="AC240" s="4"/>
      <c r="AD240" s="4"/>
      <c r="AE240" s="8"/>
      <c r="AF240" s="5" t="str">
        <f t="shared" si="714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4"/>
        <v>NO APLICA</v>
      </c>
      <c r="AV240" s="3"/>
      <c r="AW240" s="4"/>
      <c r="AX240" s="4"/>
      <c r="AY240" s="8"/>
      <c r="AZ240" s="5" t="str">
        <f t="shared" si="795"/>
        <v>NO APLICA</v>
      </c>
      <c r="BA240" s="3"/>
      <c r="BB240" s="4"/>
      <c r="BC240" s="4"/>
      <c r="BD240" s="8"/>
      <c r="BE240" s="5" t="str">
        <f t="shared" si="796"/>
        <v>NO APLICA</v>
      </c>
      <c r="BF240" s="3"/>
      <c r="BG240" s="4"/>
      <c r="BH240" s="4"/>
      <c r="BI240" s="8"/>
      <c r="BJ240" s="5" t="str">
        <f t="shared" si="797"/>
        <v>NO APLICA</v>
      </c>
      <c r="BK240" s="3"/>
      <c r="BL240" s="4"/>
      <c r="BM240" s="4"/>
      <c r="BN240" s="8"/>
      <c r="BO240" s="5" t="str">
        <f t="shared" si="798"/>
        <v>NO APLICA</v>
      </c>
      <c r="BP240" s="3"/>
      <c r="BQ240" s="4"/>
      <c r="BR240" s="4"/>
      <c r="BS240" s="8"/>
      <c r="BT240" s="5" t="str">
        <f t="shared" si="799"/>
        <v>NO APLICA</v>
      </c>
      <c r="BU240" s="4"/>
      <c r="BV240" s="4"/>
      <c r="BW240" s="4"/>
      <c r="BX240" s="8"/>
      <c r="BY240" s="5" t="str">
        <f t="shared" si="800"/>
        <v>NO APLICA</v>
      </c>
      <c r="BZ240" s="4"/>
      <c r="CA240" s="4"/>
      <c r="CB240" s="4"/>
      <c r="CC240" s="8"/>
      <c r="CD240" s="5" t="str">
        <f t="shared" si="801"/>
        <v>NO APLICA</v>
      </c>
      <c r="CE240" s="3"/>
      <c r="CF240" s="4"/>
      <c r="CG240" s="8"/>
      <c r="CH240" s="5"/>
      <c r="CI240" s="5" t="str">
        <f t="shared" si="802"/>
        <v>NO APLICA</v>
      </c>
      <c r="CJ240" s="4"/>
      <c r="CK240" s="4"/>
      <c r="CL240" s="8"/>
      <c r="CM240" s="5"/>
      <c r="CN240" s="5" t="str">
        <f t="shared" si="803"/>
        <v>NO APLICA</v>
      </c>
      <c r="CO240" s="4"/>
      <c r="CP240" s="4"/>
      <c r="CQ240" s="8"/>
      <c r="CR240" s="5"/>
      <c r="CS240" s="5" t="str">
        <f t="shared" si="804"/>
        <v>NO APLICA</v>
      </c>
      <c r="CT240" s="4"/>
      <c r="CU240" s="4"/>
      <c r="CV240" s="8"/>
      <c r="CW240" s="5"/>
      <c r="CX240" s="5" t="str">
        <f t="shared" si="805"/>
        <v>NO APLICA</v>
      </c>
      <c r="CY240" s="4"/>
      <c r="CZ240" s="4"/>
      <c r="DA240" s="8"/>
      <c r="DB240" s="5"/>
      <c r="DC240" s="5" t="str">
        <f t="shared" si="806"/>
        <v>NO APLICA</v>
      </c>
      <c r="DD240" s="4"/>
      <c r="DE240" s="4"/>
      <c r="DF240" s="8"/>
      <c r="DG240" s="5"/>
      <c r="DH240" s="5" t="str">
        <f t="shared" si="807"/>
        <v>NO APLICA</v>
      </c>
      <c r="DI240" s="4"/>
      <c r="DJ240" s="4"/>
      <c r="DK240" s="8"/>
      <c r="DL240" s="5"/>
      <c r="DM240" s="5" t="str">
        <f t="shared" si="808"/>
        <v>NO APLICA</v>
      </c>
      <c r="DN240" s="4"/>
      <c r="DO240" s="4"/>
      <c r="DP240" s="8"/>
      <c r="DQ240" s="5"/>
      <c r="DR240" s="5" t="str">
        <f t="shared" si="809"/>
        <v>NO APLICA</v>
      </c>
      <c r="DS240" s="4"/>
      <c r="DT240" s="4"/>
      <c r="DU240" s="8"/>
      <c r="DV240" s="5"/>
      <c r="DW240" s="5" t="str">
        <f t="shared" si="810"/>
        <v>NO APLICA</v>
      </c>
      <c r="DX240" s="3"/>
      <c r="DY240" s="3"/>
      <c r="DZ240" s="4"/>
      <c r="EA240" s="4"/>
      <c r="EB240" s="5" t="str">
        <f t="shared" si="811"/>
        <v>NO APLICA</v>
      </c>
      <c r="EC240" s="5"/>
      <c r="ED240" s="3"/>
      <c r="EE240" s="4"/>
      <c r="EF240" s="4"/>
      <c r="EG240" s="5" t="str">
        <f t="shared" si="812"/>
        <v>NO APLICA</v>
      </c>
      <c r="EH240" s="4"/>
      <c r="EI240" s="4"/>
      <c r="EJ240" s="8"/>
      <c r="EK240" s="5"/>
      <c r="EL240" s="5" t="str">
        <f t="shared" si="813"/>
        <v>NO APLICA</v>
      </c>
      <c r="EM240" s="4"/>
      <c r="EN240" s="4"/>
      <c r="EO240" s="8"/>
      <c r="EP240" s="5"/>
      <c r="EQ240" s="5" t="str">
        <f t="shared" si="814"/>
        <v>NO APLICA</v>
      </c>
      <c r="ER240" s="4"/>
      <c r="ES240" s="4"/>
      <c r="ET240" s="8"/>
      <c r="EU240" s="5"/>
      <c r="EV240" s="5" t="str">
        <f t="shared" si="815"/>
        <v>NO APLICA</v>
      </c>
      <c r="EW240" s="4"/>
      <c r="EX240" s="4"/>
      <c r="EY240" s="8"/>
      <c r="EZ240" s="5"/>
      <c r="FA240" s="5" t="str">
        <f t="shared" si="816"/>
        <v>NO APLICA</v>
      </c>
      <c r="FB240" s="4"/>
      <c r="FC240" s="4"/>
      <c r="FD240" s="8"/>
      <c r="FE240" s="5"/>
      <c r="FF240" s="5" t="str">
        <f t="shared" si="817"/>
        <v>NO APLICA</v>
      </c>
      <c r="FG240" s="4"/>
      <c r="FH240" s="4"/>
      <c r="FI240" s="8"/>
      <c r="FJ240" s="5"/>
      <c r="FK240" s="5" t="str">
        <f t="shared" si="818"/>
        <v>NO APLICA</v>
      </c>
      <c r="FL240" s="4"/>
      <c r="FM240" s="4"/>
      <c r="FN240" s="8"/>
      <c r="FO240" s="5"/>
      <c r="FP240" s="5" t="str">
        <f t="shared" si="819"/>
        <v>NO APLICA</v>
      </c>
      <c r="FQ240" s="4"/>
      <c r="FR240" s="4"/>
      <c r="FS240" s="8"/>
      <c r="FT240" s="5"/>
      <c r="FU240" s="5" t="str">
        <f t="shared" si="820"/>
        <v>NO APLICA</v>
      </c>
      <c r="FV240" s="4"/>
      <c r="FW240" s="4"/>
      <c r="FX240" s="8"/>
      <c r="FY240" s="5"/>
      <c r="FZ240" s="5" t="str">
        <f t="shared" si="821"/>
        <v>NO APLICA</v>
      </c>
      <c r="GA240" s="4"/>
      <c r="GB240" s="4"/>
      <c r="GC240" s="8"/>
      <c r="GD240" s="5"/>
      <c r="GE240" s="5" t="str">
        <f t="shared" si="822"/>
        <v>NO APLICA</v>
      </c>
      <c r="GF240" s="4"/>
      <c r="GG240" s="4"/>
      <c r="GH240" s="8"/>
      <c r="GI240" s="5"/>
      <c r="GJ240" s="5" t="str">
        <f t="shared" si="823"/>
        <v>NO APLICA</v>
      </c>
      <c r="GK240" s="4"/>
      <c r="GL240" s="4"/>
      <c r="GM240" s="8"/>
      <c r="GN240" s="5"/>
      <c r="GO240" s="5" t="str">
        <f t="shared" si="824"/>
        <v>NO APLICA</v>
      </c>
      <c r="GP240" s="4"/>
      <c r="GQ240" s="4"/>
      <c r="GR240" s="8"/>
      <c r="GS240" s="5"/>
      <c r="GT240" s="5" t="str">
        <f t="shared" si="624"/>
        <v>NO APLICA</v>
      </c>
      <c r="GU240" s="4"/>
      <c r="GV240" s="4"/>
      <c r="GW240" s="8"/>
      <c r="GX240" s="5"/>
      <c r="GY240" s="5" t="str">
        <f t="shared" si="625"/>
        <v>NO APLICA</v>
      </c>
      <c r="GZ240" s="6"/>
      <c r="HA240" s="4"/>
      <c r="HB240" s="8"/>
      <c r="HC240" s="5"/>
      <c r="HD240" s="5" t="str">
        <f t="shared" si="626"/>
        <v>NO APLICA</v>
      </c>
      <c r="HE240" s="2"/>
      <c r="HF240" s="4"/>
      <c r="HG240" s="2"/>
      <c r="HH240" s="5"/>
      <c r="HI240" s="5" t="str">
        <f t="shared" si="712"/>
        <v>NO APLICA</v>
      </c>
      <c r="HJ240" s="4"/>
      <c r="HK240" s="4"/>
      <c r="HL240" s="8"/>
      <c r="HM240" s="5"/>
      <c r="HN240" s="5" t="str">
        <f t="shared" si="708"/>
        <v>NO APLICA</v>
      </c>
      <c r="HO240" s="4"/>
      <c r="HP240" s="4"/>
      <c r="HQ240" s="8"/>
      <c r="HR240" s="5"/>
      <c r="HS240" s="5" t="str">
        <f t="shared" si="746"/>
        <v>NO APLICA</v>
      </c>
      <c r="HT240" s="4"/>
      <c r="HU240" s="4"/>
      <c r="HV240" s="8"/>
      <c r="HW240" s="5"/>
      <c r="HX240" s="5" t="str">
        <f t="shared" si="747"/>
        <v>NO APLICA</v>
      </c>
      <c r="HY240" s="4"/>
      <c r="HZ240" s="4"/>
      <c r="IA240" s="8"/>
      <c r="IB240" s="5"/>
      <c r="IC240" s="5" t="str">
        <f t="shared" si="748"/>
        <v>NO APLICA</v>
      </c>
      <c r="ID240" s="4"/>
      <c r="IE240" s="4"/>
      <c r="IF240" s="8"/>
      <c r="IG240" s="5"/>
      <c r="IH240" s="5" t="str">
        <f t="shared" si="749"/>
        <v>NO APLICA</v>
      </c>
      <c r="II240" s="4"/>
      <c r="IJ240" s="4"/>
      <c r="IK240" s="8"/>
      <c r="IL240" s="5"/>
      <c r="IM240" s="5" t="str">
        <f t="shared" si="750"/>
        <v>NO APLICA</v>
      </c>
      <c r="IN240" s="4"/>
      <c r="IO240" s="4"/>
      <c r="IP240" s="8"/>
      <c r="IQ240" s="5"/>
      <c r="IR240" s="5" t="str">
        <f t="shared" si="751"/>
        <v>NO APLICA</v>
      </c>
      <c r="IS240" s="3"/>
      <c r="IT240" s="4"/>
      <c r="IU240" s="8"/>
      <c r="IV240" s="5"/>
      <c r="IW240" s="5" t="str">
        <f t="shared" si="752"/>
        <v>NO APLICA</v>
      </c>
      <c r="IX240" s="6"/>
      <c r="IY240" s="6"/>
      <c r="IZ240" s="5"/>
      <c r="JA240" s="6"/>
      <c r="JB240" s="5" t="str">
        <f t="shared" si="753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55"/>
        <v>NO APLICA</v>
      </c>
      <c r="JM240" s="8"/>
      <c r="JN240" s="8"/>
      <c r="JO240" s="5"/>
      <c r="JP240" s="2"/>
      <c r="JQ240" s="5" t="str">
        <f t="shared" si="756"/>
        <v>NO APLICA</v>
      </c>
      <c r="JR240" s="8"/>
      <c r="JS240" s="5"/>
      <c r="JT240" s="2"/>
      <c r="JU240" s="4"/>
      <c r="JV240" s="5" t="str">
        <f t="shared" si="757"/>
        <v>NO APLICA</v>
      </c>
      <c r="JW240" s="5"/>
      <c r="JX240" s="2"/>
      <c r="JY240" s="4"/>
      <c r="JZ240" s="8"/>
      <c r="KA240" s="5" t="str">
        <f t="shared" si="825"/>
        <v>NO APLICA</v>
      </c>
      <c r="KB240" s="5"/>
      <c r="KC240" s="2"/>
      <c r="KD240" s="6"/>
      <c r="KE240" s="4"/>
      <c r="KF240" s="5" t="str">
        <f t="shared" si="759"/>
        <v>NO APLICA</v>
      </c>
      <c r="KG240" s="5"/>
      <c r="KH240" s="5"/>
      <c r="KI240" s="4"/>
      <c r="KJ240" s="4"/>
      <c r="KK240" s="5" t="str">
        <f t="shared" si="779"/>
        <v>NO APLICA</v>
      </c>
      <c r="KL240" s="5"/>
      <c r="KM240" s="5"/>
      <c r="KN240" s="6"/>
      <c r="KO240" s="6"/>
      <c r="KP240" s="5" t="str">
        <f t="shared" si="760"/>
        <v>NO APLICA</v>
      </c>
      <c r="KQ240" s="5"/>
      <c r="KR240" s="8"/>
      <c r="KS240" s="5"/>
      <c r="KT240" s="5"/>
      <c r="KU240" s="5" t="str">
        <f t="shared" si="780"/>
        <v>NO APLICA</v>
      </c>
      <c r="KV240" s="5"/>
      <c r="KW240" s="5"/>
      <c r="KX240" s="5"/>
      <c r="KY240" s="2"/>
      <c r="KZ240" s="5" t="str">
        <f t="shared" si="786"/>
        <v>NO APLICA</v>
      </c>
      <c r="LA240" s="5"/>
      <c r="LB240" s="4"/>
      <c r="LC240" s="8"/>
      <c r="LD240" s="5"/>
      <c r="LE240" s="5" t="str">
        <f t="shared" si="781"/>
        <v>NO APLICA</v>
      </c>
      <c r="LF240" s="6"/>
      <c r="LG240" s="4"/>
      <c r="LH240" s="8"/>
      <c r="LI240" s="5"/>
      <c r="LJ240" s="5" t="str">
        <f t="shared" si="792"/>
        <v>NO APLICA</v>
      </c>
      <c r="LK240" s="6"/>
      <c r="LL240" s="4"/>
      <c r="LM240" s="8"/>
      <c r="LN240" s="5"/>
      <c r="LO240" s="5" t="str">
        <f t="shared" si="787"/>
        <v>NO APLICA</v>
      </c>
      <c r="LP240" s="2"/>
      <c r="LQ240" s="4"/>
      <c r="LR240" s="8"/>
      <c r="LS240" s="5"/>
      <c r="LT240" s="5" t="str">
        <f t="shared" si="782"/>
        <v>NO APLICA</v>
      </c>
      <c r="LU240" s="2"/>
      <c r="LV240" s="4"/>
      <c r="LW240" s="8"/>
      <c r="LX240" s="5"/>
      <c r="LY240" s="5" t="str">
        <f t="shared" si="783"/>
        <v>NO APLICA</v>
      </c>
      <c r="LZ240" s="4"/>
      <c r="MA240" s="8"/>
      <c r="MB240" s="5"/>
      <c r="MC240" s="2"/>
      <c r="MD240" s="5" t="str">
        <f t="shared" si="784"/>
        <v>NO APLICA</v>
      </c>
      <c r="ME240" s="2"/>
      <c r="MF240" s="5"/>
      <c r="MG240" s="2"/>
      <c r="MH240" s="6"/>
      <c r="MI240" s="5" t="str">
        <f t="shared" si="761"/>
        <v>NO APLICA</v>
      </c>
      <c r="MJ240" s="8"/>
      <c r="MK240" s="5"/>
      <c r="ML240" s="2"/>
      <c r="MM240" s="6"/>
      <c r="MN240" s="5" t="str">
        <f t="shared" si="762"/>
        <v>NO APLICA</v>
      </c>
      <c r="MO240" s="5"/>
      <c r="MP240" s="8"/>
      <c r="MQ240" s="5"/>
      <c r="MR240" s="2"/>
      <c r="MS240" s="5" t="str">
        <f t="shared" si="763"/>
        <v>NO APLICA</v>
      </c>
      <c r="MT240" s="5"/>
      <c r="MU240" s="4"/>
      <c r="MV240" s="8"/>
      <c r="MW240" s="5"/>
      <c r="MX240" s="5" t="str">
        <f t="shared" si="764"/>
        <v>NO APLICA</v>
      </c>
      <c r="MY240" s="2"/>
      <c r="MZ240" s="4"/>
      <c r="NA240" s="2"/>
      <c r="NB240" s="5"/>
      <c r="NC240" s="5" t="str">
        <f t="shared" si="765"/>
        <v>NO APLICA</v>
      </c>
      <c r="ND240" s="2"/>
      <c r="NE240" s="4"/>
      <c r="NF240" s="2"/>
      <c r="NG240" s="5"/>
      <c r="NH240" s="5" t="str">
        <f t="shared" si="766"/>
        <v>NO APLICA</v>
      </c>
      <c r="NI240" s="6"/>
      <c r="NJ240" s="4"/>
      <c r="NK240" s="8"/>
      <c r="NL240" s="5"/>
      <c r="NM240" s="5" t="str">
        <f t="shared" si="767"/>
        <v>NO APLICA</v>
      </c>
      <c r="NN240" s="6"/>
      <c r="NO240" s="6"/>
      <c r="NP240" s="6"/>
      <c r="NQ240" s="5"/>
      <c r="NR240" s="5" t="str">
        <f t="shared" si="768"/>
        <v>NO APLICA</v>
      </c>
      <c r="NS240" s="6"/>
      <c r="NT240" s="4"/>
      <c r="NU240" s="8"/>
      <c r="NV240" s="5"/>
      <c r="NW240" s="5" t="str">
        <f t="shared" si="769"/>
        <v>NO APLICA</v>
      </c>
      <c r="NX240" s="6"/>
      <c r="NY240" s="6"/>
      <c r="NZ240" s="6"/>
      <c r="OA240" s="5"/>
      <c r="OB240" s="5" t="str">
        <f t="shared" si="770"/>
        <v>NO APLICA</v>
      </c>
      <c r="OC240" s="6"/>
      <c r="OD240" s="6"/>
      <c r="OE240" s="6"/>
      <c r="OF240" s="5"/>
      <c r="OG240" s="5" t="str">
        <f t="shared" si="771"/>
        <v>NO APLICA</v>
      </c>
      <c r="OH240" s="6"/>
      <c r="OI240" s="6"/>
      <c r="OJ240" s="6"/>
      <c r="OK240" s="5"/>
      <c r="OL240" s="5" t="str">
        <f t="shared" si="772"/>
        <v>NO APLICA</v>
      </c>
      <c r="OM240" s="6"/>
      <c r="ON240" s="6"/>
      <c r="OO240" s="6"/>
      <c r="OP240" s="5"/>
      <c r="OQ240" s="5" t="str">
        <f t="shared" si="773"/>
        <v>NO APLICA</v>
      </c>
      <c r="OR240" s="6"/>
      <c r="OS240" s="6"/>
      <c r="OT240" s="6"/>
      <c r="OU240" s="5"/>
      <c r="OV240" s="5" t="str">
        <f t="shared" si="774"/>
        <v>NO APLICA</v>
      </c>
      <c r="OW240" s="4"/>
      <c r="OX240" s="8"/>
      <c r="OY240" s="5"/>
      <c r="OZ240" s="6"/>
      <c r="PA240" s="5" t="str">
        <f t="shared" si="788"/>
        <v>NO APLICA</v>
      </c>
      <c r="PB240" s="6"/>
      <c r="PC240" s="6"/>
      <c r="PD240" s="5"/>
      <c r="PE240" s="6"/>
      <c r="PF240" s="5" t="str">
        <f t="shared" si="775"/>
        <v>NO APLICA</v>
      </c>
      <c r="PG240" s="6"/>
      <c r="PH240" s="5"/>
      <c r="PI240" s="6"/>
      <c r="PJ240" s="4"/>
      <c r="PK240" s="5" t="str">
        <f t="shared" si="776"/>
        <v>NO APLICA</v>
      </c>
      <c r="PL240" s="5"/>
      <c r="PM240" s="6"/>
      <c r="PN240" s="6"/>
      <c r="PO240" s="6"/>
      <c r="PP240" s="5" t="str">
        <f t="shared" si="785"/>
        <v>NO APLICA</v>
      </c>
      <c r="PQ240" s="6"/>
      <c r="PR240" s="6"/>
      <c r="PS240" s="6"/>
      <c r="PT240" s="6"/>
      <c r="PU240" s="5" t="str">
        <f t="shared" si="77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7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49" priority="1064"/>
  </conditionalFormatting>
  <conditionalFormatting sqref="B175">
    <cfRule type="duplicateValues" dxfId="848" priority="1063"/>
  </conditionalFormatting>
  <conditionalFormatting sqref="B188:B214">
    <cfRule type="duplicateValues" dxfId="847" priority="1062"/>
  </conditionalFormatting>
  <conditionalFormatting sqref="B215:B237">
    <cfRule type="duplicateValues" dxfId="846" priority="540"/>
  </conditionalFormatting>
  <conditionalFormatting sqref="B238">
    <cfRule type="duplicateValues" dxfId="845" priority="398"/>
  </conditionalFormatting>
  <conditionalFormatting sqref="E2:E3">
    <cfRule type="duplicateValues" dxfId="844" priority="1065"/>
  </conditionalFormatting>
  <conditionalFormatting sqref="F4:F134">
    <cfRule type="containsText" dxfId="843" priority="1046" operator="containsText" text="NO APLICA">
      <formula>NOT(ISERROR(SEARCH("NO APLICA",F4)))</formula>
    </cfRule>
    <cfRule type="containsText" dxfId="842" priority="1043" operator="containsText" text="VIGENTE">
      <formula>NOT(ISERROR(SEARCH("VIGENTE",F4)))</formula>
    </cfRule>
    <cfRule type="containsText" dxfId="841" priority="1044" operator="containsText" text="POR VENCER">
      <formula>NOT(ISERROR(SEARCH("POR VENCER",F4)))</formula>
    </cfRule>
    <cfRule type="containsText" dxfId="840" priority="1045" operator="containsText" text="VENCIDA">
      <formula>NOT(ISERROR(SEARCH("VENCIDA",F4)))</formula>
    </cfRule>
  </conditionalFormatting>
  <conditionalFormatting sqref="F136">
    <cfRule type="containsText" dxfId="839" priority="131" operator="containsText" text="VENCIDA">
      <formula>NOT(ISERROR(SEARCH("VENCIDA",F136)))</formula>
    </cfRule>
    <cfRule type="containsText" dxfId="838" priority="130" operator="containsText" text="POR VENCER">
      <formula>NOT(ISERROR(SEARCH("POR VENCER",F136)))</formula>
    </cfRule>
    <cfRule type="containsText" dxfId="837" priority="132" operator="containsText" text="NO APLICA">
      <formula>NOT(ISERROR(SEARCH("NO APLICA",F136)))</formula>
    </cfRule>
    <cfRule type="containsText" dxfId="836" priority="129" operator="containsText" text="VIGENTE">
      <formula>NOT(ISERROR(SEARCH("VIGENTE",F136)))</formula>
    </cfRule>
  </conditionalFormatting>
  <conditionalFormatting sqref="F141">
    <cfRule type="containsText" dxfId="835" priority="156" operator="containsText" text="NO APLICA">
      <formula>NOT(ISERROR(SEARCH("NO APLICA",F141)))</formula>
    </cfRule>
    <cfRule type="containsText" dxfId="834" priority="155" operator="containsText" text="VENCIDA">
      <formula>NOT(ISERROR(SEARCH("VENCIDA",F141)))</formula>
    </cfRule>
    <cfRule type="containsText" dxfId="833" priority="154" operator="containsText" text="POR VENCER">
      <formula>NOT(ISERROR(SEARCH("POR VENCER",F141)))</formula>
    </cfRule>
    <cfRule type="containsText" dxfId="832" priority="153" operator="containsText" text="VIGENTE">
      <formula>NOT(ISERROR(SEARCH("VIGENTE",F141)))</formula>
    </cfRule>
  </conditionalFormatting>
  <conditionalFormatting sqref="F146">
    <cfRule type="containsText" dxfId="831" priority="135" operator="containsText" text="VENCIDA">
      <formula>NOT(ISERROR(SEARCH("VENCIDA",F146)))</formula>
    </cfRule>
    <cfRule type="containsText" dxfId="830" priority="134" operator="containsText" text="POR VENCER">
      <formula>NOT(ISERROR(SEARCH("POR VENCER",F146)))</formula>
    </cfRule>
    <cfRule type="containsText" dxfId="829" priority="136" operator="containsText" text="NO APLICA">
      <formula>NOT(ISERROR(SEARCH("NO APLICA",F146)))</formula>
    </cfRule>
    <cfRule type="containsText" dxfId="828" priority="133" operator="containsText" text="VIGENTE">
      <formula>NOT(ISERROR(SEARCH("VIGENTE",F146)))</formula>
    </cfRule>
  </conditionalFormatting>
  <conditionalFormatting sqref="F153">
    <cfRule type="containsText" dxfId="827" priority="10" operator="containsText" text="NO APLICA">
      <formula>NOT(ISERROR(SEARCH("NO APLICA",F153)))</formula>
    </cfRule>
    <cfRule type="containsText" dxfId="826" priority="7" operator="containsText" text="VIGENTE">
      <formula>NOT(ISERROR(SEARCH("VIGENTE",F153)))</formula>
    </cfRule>
    <cfRule type="containsText" dxfId="825" priority="8" operator="containsText" text="POR VENCER">
      <formula>NOT(ISERROR(SEARCH("POR VENCER",F153)))</formula>
    </cfRule>
    <cfRule type="containsText" dxfId="824" priority="9" operator="containsText" text="VENCIDA">
      <formula>NOT(ISERROR(SEARCH("VENCIDA",F153)))</formula>
    </cfRule>
  </conditionalFormatting>
  <conditionalFormatting sqref="F163">
    <cfRule type="containsText" dxfId="823" priority="149" operator="containsText" text="VIGENTE">
      <formula>NOT(ISERROR(SEARCH("VIGENTE",F163)))</formula>
    </cfRule>
    <cfRule type="containsText" dxfId="822" priority="150" operator="containsText" text="POR VENCER">
      <formula>NOT(ISERROR(SEARCH("POR VENCER",F163)))</formula>
    </cfRule>
    <cfRule type="containsText" dxfId="821" priority="152" operator="containsText" text="NO APLICA">
      <formula>NOT(ISERROR(SEARCH("NO APLICA",F163)))</formula>
    </cfRule>
    <cfRule type="containsText" dxfId="820" priority="151" operator="containsText" text="VENCIDA">
      <formula>NOT(ISERROR(SEARCH("VENCIDA",F163)))</formula>
    </cfRule>
  </conditionalFormatting>
  <conditionalFormatting sqref="F165">
    <cfRule type="containsText" dxfId="819" priority="145" operator="containsText" text="VIGENTE">
      <formula>NOT(ISERROR(SEARCH("VIGENTE",F165)))</formula>
    </cfRule>
    <cfRule type="containsText" dxfId="818" priority="146" operator="containsText" text="POR VENCER">
      <formula>NOT(ISERROR(SEARCH("POR VENCER",F165)))</formula>
    </cfRule>
    <cfRule type="containsText" dxfId="817" priority="148" operator="containsText" text="NO APLICA">
      <formula>NOT(ISERROR(SEARCH("NO APLICA",F165)))</formula>
    </cfRule>
    <cfRule type="containsText" dxfId="816" priority="147" operator="containsText" text="VENCIDA">
      <formula>NOT(ISERROR(SEARCH("VENCIDA",F165)))</formula>
    </cfRule>
  </conditionalFormatting>
  <conditionalFormatting sqref="F179">
    <cfRule type="containsText" dxfId="815" priority="143" operator="containsText" text="VENCIDA">
      <formula>NOT(ISERROR(SEARCH("VENCIDA",F179)))</formula>
    </cfRule>
    <cfRule type="containsText" dxfId="814" priority="142" operator="containsText" text="POR VENCER">
      <formula>NOT(ISERROR(SEARCH("POR VENCER",F179)))</formula>
    </cfRule>
    <cfRule type="containsText" dxfId="813" priority="144" operator="containsText" text="NO APLICA">
      <formula>NOT(ISERROR(SEARCH("NO APLICA",F179)))</formula>
    </cfRule>
    <cfRule type="containsText" dxfId="812" priority="141" operator="containsText" text="VIGENTE">
      <formula>NOT(ISERROR(SEARCH("VIGENTE",F179)))</formula>
    </cfRule>
  </conditionalFormatting>
  <conditionalFormatting sqref="F186">
    <cfRule type="containsText" dxfId="811" priority="1039" operator="containsText" text="POR VENCER">
      <formula>NOT(ISERROR(SEARCH("POR VENCER",F186)))</formula>
    </cfRule>
    <cfRule type="containsText" dxfId="810" priority="1040" operator="containsText" text="VENCIDA">
      <formula>NOT(ISERROR(SEARCH("VENCIDA",F186)))</formula>
    </cfRule>
    <cfRule type="containsText" dxfId="809" priority="1041" operator="containsText" text="NO APLICA">
      <formula>NOT(ISERROR(SEARCH("NO APLICA",F186)))</formula>
    </cfRule>
    <cfRule type="containsText" dxfId="808" priority="1038" operator="containsText" text="VIGENTE">
      <formula>NOT(ISERROR(SEARCH("VIGENTE",F186)))</formula>
    </cfRule>
  </conditionalFormatting>
  <conditionalFormatting sqref="F190">
    <cfRule type="containsText" dxfId="807" priority="140" operator="containsText" text="NO APLICA">
      <formula>NOT(ISERROR(SEARCH("NO APLICA",F190)))</formula>
    </cfRule>
    <cfRule type="containsText" dxfId="806" priority="139" operator="containsText" text="VENCIDA">
      <formula>NOT(ISERROR(SEARCH("VENCIDA",F190)))</formula>
    </cfRule>
    <cfRule type="containsText" dxfId="805" priority="138" operator="containsText" text="POR VENCER">
      <formula>NOT(ISERROR(SEARCH("POR VENCER",F190)))</formula>
    </cfRule>
    <cfRule type="containsText" dxfId="804" priority="137" operator="containsText" text="VIGENTE">
      <formula>NOT(ISERROR(SEARCH("VIGENTE",F190)))</formula>
    </cfRule>
  </conditionalFormatting>
  <conditionalFormatting sqref="G72">
    <cfRule type="containsText" dxfId="803" priority="1037" operator="containsText" text="NO APLICA">
      <formula>NOT(ISERROR(SEARCH("NO APLICA",G72)))</formula>
    </cfRule>
    <cfRule type="containsText" dxfId="802" priority="1036" operator="containsText" text="VENCIDA">
      <formula>NOT(ISERROR(SEARCH("VENCIDA",G72)))</formula>
    </cfRule>
    <cfRule type="containsText" dxfId="801" priority="1035" operator="containsText" text="POR VENCER">
      <formula>NOT(ISERROR(SEARCH("POR VENCER",G72)))</formula>
    </cfRule>
    <cfRule type="containsText" dxfId="800" priority="1034" operator="containsText" text="VIGENTE">
      <formula>NOT(ISERROR(SEARCH("VIGENTE",G72)))</formula>
    </cfRule>
  </conditionalFormatting>
  <conditionalFormatting sqref="J4:J240">
    <cfRule type="containsText" dxfId="799" priority="1033" operator="containsText" text="POR VENCER">
      <formula>NOT(ISERROR(SEARCH("POR VENCER",J4)))</formula>
    </cfRule>
    <cfRule type="containsText" dxfId="798" priority="1031" operator="containsText" text="NO APLICA">
      <formula>NOT(ISERROR(SEARCH("NO APLICA",J4)))</formula>
    </cfRule>
    <cfRule type="containsText" dxfId="797" priority="1032" operator="containsText" text="VIGENTE">
      <formula>NOT(ISERROR(SEARCH("VIGENTE",J4)))</formula>
    </cfRule>
  </conditionalFormatting>
  <conditionalFormatting sqref="J4:K129 AF4:AF240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198 EH184:EH185 CD188:CD240 EH190:EI191 JV199 JV200:KB200 JV201:JX201 KA201:KB201 JV202 JX202:KB202 JV203:KB203 JV204 JX204:KB204 JV205:JX206 KA205:KB206 JV207 JX207:KB207 JV208:JX208 KA208:KB209 JV209 JX209 JV210:KB216 JV217:JX217 KA217:KB217 JV218:KB218 JV219:JX219 KA219:KB219 JV220:KB220 EH221:EI221 JV221:JX222 KA221:KB222 JV223:KB223 JV224:JX224 KA224:KB224 JV225:KB226 JV227:JX227 KA227:KB228 JV228 JX228 JV229:KB233 EH231:EI231 EH233:EI233 JV234:JX234 KA234:KB235 JV235 JX235 JV236:KB236 JV237 JX237 KA237:KB240 EH238:EI238 LK238:LL238 JV238:JX240 LJ238:LJ240 EH107 EH152 EH174 EH180:EH181 EH188:EH189 EH193 EH202 EH208 EH219 EH223 EH227 EH232 EH237 EH16:EI18 EH23:EI24 EH167:EI171 EH173:EI173 EH187:EI187 EH133:EI134 EH136:EI138 EH179:EI179 J181:J240 KA199:KB199">
    <cfRule type="containsText" dxfId="796" priority="103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5" priority="1029" operator="containsText" text="VENCIDA">
      <formula>NOT(ISERROR(SEARCH("VENCIDA",J4)))</formula>
    </cfRule>
  </conditionalFormatting>
  <conditionalFormatting sqref="K4:K129">
    <cfRule type="containsText" dxfId="794" priority="1026" operator="containsText" text="POR VENCER">
      <formula>NOT(ISERROR(SEARCH("POR VENCER",K4)))</formula>
    </cfRule>
    <cfRule type="containsText" dxfId="793" priority="1027" operator="containsText" text="VIGENTE">
      <formula>NOT(ISERROR(SEARCH("VIGENTE",K4)))</formula>
    </cfRule>
    <cfRule type="containsText" dxfId="792" priority="1028" operator="containsText" text="NO APLICA">
      <formula>NOT(ISERROR(SEARCH("NO APLICA",K4)))</formula>
    </cfRule>
  </conditionalFormatting>
  <conditionalFormatting sqref="K141 K165 K221">
    <cfRule type="containsText" dxfId="791" priority="158" operator="containsText" text="POR VENCER">
      <formula>NOT(ISERROR(SEARCH("POR VENCER",K141)))</formula>
    </cfRule>
    <cfRule type="containsText" dxfId="790" priority="159" operator="containsText" text="VIGENTE">
      <formula>NOT(ISERROR(SEARCH("VIGENTE",K141)))</formula>
    </cfRule>
    <cfRule type="containsText" dxfId="789" priority="160" operator="containsText" text="NO APLICA">
      <formula>NOT(ISERROR(SEARCH("NO APLICA",K141)))</formula>
    </cfRule>
    <cfRule type="containsText" dxfId="788" priority="161" operator="containsText" text="VENCIDA">
      <formula>NOT(ISERROR(SEARCH("VENCIDA",K141)))</formula>
    </cfRule>
  </conditionalFormatting>
  <conditionalFormatting sqref="K180">
    <cfRule type="containsText" dxfId="787" priority="1023" operator="containsText" text="POR VENCER">
      <formula>NOT(ISERROR(SEARCH("POR VENCER",K180)))</formula>
    </cfRule>
    <cfRule type="containsText" dxfId="786" priority="1024" operator="containsText" text="VIGENTE">
      <formula>NOT(ISERROR(SEARCH("VIGENTE",K180)))</formula>
    </cfRule>
    <cfRule type="containsText" dxfId="785" priority="1025" operator="containsText" text="NO APLICA">
      <formula>NOT(ISERROR(SEARCH("NO APLICA",K180)))</formula>
    </cfRule>
  </conditionalFormatting>
  <conditionalFormatting sqref="K239:K240">
    <cfRule type="containsText" dxfId="784" priority="79" operator="containsText" text="POR VENCER">
      <formula>NOT(ISERROR(SEARCH("POR VENCER",K239)))</formula>
    </cfRule>
    <cfRule type="containsText" dxfId="783" priority="78" operator="containsText" text="NO APLICA">
      <formula>NOT(ISERROR(SEARCH("NO APLICA",K239)))</formula>
    </cfRule>
  </conditionalFormatting>
  <conditionalFormatting sqref="K239:L239">
    <cfRule type="containsText" dxfId="782" priority="77" operator="containsText" text="VENCIDA">
      <formula>NOT(ISERROR(SEARCH("VENCIDA",K239)))</formula>
    </cfRule>
    <cfRule type="containsText" dxfId="781" priority="76" operator="containsText" text="VIGENTE">
      <formula>NOT(ISERROR(SEARCH("VIGENTE",K239)))</formula>
    </cfRule>
  </conditionalFormatting>
  <conditionalFormatting sqref="K240:L240">
    <cfRule type="containsText" dxfId="780" priority="24" operator="containsText" text="VIGENTE">
      <formula>NOT(ISERROR(SEARCH("VIGENTE",K240)))</formula>
    </cfRule>
    <cfRule type="containsText" dxfId="779" priority="25" operator="containsText" text="VENCIDA">
      <formula>NOT(ISERROR(SEARCH("VENCIDA",K240)))</formula>
    </cfRule>
  </conditionalFormatting>
  <conditionalFormatting sqref="L239:L240">
    <cfRule type="containsText" dxfId="778" priority="74" operator="containsText" text="NO APLICA">
      <formula>NOT(ISERROR(SEARCH("NO APLICA",L239)))</formula>
    </cfRule>
    <cfRule type="containsText" dxfId="777" priority="7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6" priority="9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5" priority="87" operator="containsText" text="POR VENCER">
      <formula>NOT(ISERROR(SEARCH("POR VENCER",P239)))</formula>
    </cfRule>
  </conditionalFormatting>
  <conditionalFormatting sqref="Q239:R240 AB183:AF187 CD185:CH185">
    <cfRule type="containsText" dxfId="774" priority="23" operator="containsText" text="POR VENCER">
      <formula>NOT(ISERROR(SEARCH("POR VENCER",Q183)))</formula>
    </cfRule>
  </conditionalFormatting>
  <conditionalFormatting sqref="Q239:R240">
    <cfRule type="containsText" dxfId="773" priority="21" operator="containsText" text="VENCIDA">
      <formula>NOT(ISERROR(SEARCH("VENCIDA",Q239)))</formula>
    </cfRule>
    <cfRule type="containsText" dxfId="772" priority="22" operator="containsText" text="NO APLICA">
      <formula>NOT(ISERROR(SEARCH("NO APLICA",Q239)))</formula>
    </cfRule>
  </conditionalFormatting>
  <conditionalFormatting sqref="T4:U240">
    <cfRule type="containsText" dxfId="771" priority="1022" operator="containsText" text="VENCIDA">
      <formula>NOT(ISERROR(SEARCH("VENCIDA",T4)))</formula>
    </cfRule>
    <cfRule type="containsText" dxfId="770" priority="1021" operator="containsText" text="NO APLICA">
      <formula>NOT(ISERROR(SEARCH("NO APLICA",T4)))</formula>
    </cfRule>
    <cfRule type="containsText" dxfId="769" priority="1020" operator="containsText" text="VIGENTE">
      <formula>NOT(ISERROR(SEARCH("VIGENTE",T4)))</formula>
    </cfRule>
    <cfRule type="containsText" dxfId="768" priority="1019" operator="containsText" text="POR VENCER">
      <formula>NOT(ISERROR(SEARCH("POR VENCER",T4)))</formula>
    </cfRule>
  </conditionalFormatting>
  <conditionalFormatting sqref="V4:V96 O4:O240 V98:V158">
    <cfRule type="containsText" dxfId="767" priority="1017" operator="containsText" text="NO APLICA">
      <formula>NOT(ISERROR(SEARCH("NO APLICA",O4)))</formula>
    </cfRule>
    <cfRule type="containsText" dxfId="766" priority="1014" operator="containsText" text="VENCIDA">
      <formula>NOT(ISERROR(SEARCH("VENCIDA",O4)))</formula>
    </cfRule>
    <cfRule type="containsText" dxfId="765" priority="1018" operator="containsText" text="POR VENCER">
      <formula>NOT(ISERROR(SEARCH("POR VENCER",O4)))</formula>
    </cfRule>
  </conditionalFormatting>
  <conditionalFormatting sqref="V180">
    <cfRule type="containsText" dxfId="764" priority="1015" operator="containsText" text="NO APLICA">
      <formula>NOT(ISERROR(SEARCH("NO APLICA",V180)))</formula>
    </cfRule>
    <cfRule type="containsText" dxfId="763" priority="1016" operator="containsText" text="POR VENCER">
      <formula>NOT(ISERROR(SEARCH("POR VENCER",V180)))</formula>
    </cfRule>
    <cfRule type="containsText" dxfId="762" priority="1012" operator="containsText" text="VENCIDA">
      <formula>NOT(ISERROR(SEARCH("VENCIDA",V180)))</formula>
    </cfRule>
    <cfRule type="containsText" dxfId="761" priority="1011" operator="containsText" text="VIGENTE">
      <formula>NOT(ISERROR(SEARCH("VIGENTE",V180)))</formula>
    </cfRule>
  </conditionalFormatting>
  <conditionalFormatting sqref="W239">
    <cfRule type="containsText" dxfId="760" priority="65" operator="containsText" text="VIGENTE">
      <formula>NOT(ISERROR(SEARCH("VIGENTE",W239)))</formula>
    </cfRule>
    <cfRule type="containsText" dxfId="759" priority="64" operator="containsText" text="POR VENCER">
      <formula>NOT(ISERROR(SEARCH("POR VENCER",W239)))</formula>
    </cfRule>
    <cfRule type="containsText" dxfId="758" priority="63" operator="containsText" text="NO APLICA">
      <formula>NOT(ISERROR(SEARCH("NO APLICA",W239)))</formula>
    </cfRule>
  </conditionalFormatting>
  <conditionalFormatting sqref="W239:W240">
    <cfRule type="containsText" dxfId="757" priority="66" operator="containsText" text="VENCIDA">
      <formula>NOT(ISERROR(SEARCH("VENCIDA",W239)))</formula>
    </cfRule>
  </conditionalFormatting>
  <conditionalFormatting sqref="W240:X240">
    <cfRule type="containsText" dxfId="756" priority="19" operator="containsText" text="POR VENCER">
      <formula>NOT(ISERROR(SEARCH("POR VENCER",W240)))</formula>
    </cfRule>
    <cfRule type="containsText" dxfId="755" priority="18" operator="containsText" text="NO APLICA">
      <formula>NOT(ISERROR(SEARCH("NO APLICA",W240)))</formula>
    </cfRule>
    <cfRule type="containsText" dxfId="754" priority="20" operator="containsText" text="VIGENTE">
      <formula>NOT(ISERROR(SEARCH("VIGENTE",W240)))</formula>
    </cfRule>
  </conditionalFormatting>
  <conditionalFormatting sqref="X240">
    <cfRule type="containsText" dxfId="753" priority="6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198 EH184:EH185 EH190:EI191 JV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V238:JX240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KA199:KB199">
    <cfRule type="containsText" dxfId="752" priority="100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51" priority="100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JV238:JX240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198 EH184:EH185 EH190:EI191 JV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LT15:LT240 GA43:GA45 IW138:IW240 JB4:JB132 JB138:JB240 GK39:GK44 GK46:GK78 KA199:KB199">
    <cfRule type="containsText" dxfId="750" priority="100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9" priority="1005" operator="containsText" text="VENCIDA">
      <formula>NOT(ISERROR(SEARCH("VENCIDA",AB20)))</formula>
    </cfRule>
  </conditionalFormatting>
  <conditionalFormatting sqref="AB72">
    <cfRule type="containsText" dxfId="748" priority="1004" operator="containsText" text="POR VENCER">
      <formula>NOT(ISERROR(SEARCH("POR VENCER",AB72)))</formula>
    </cfRule>
  </conditionalFormatting>
  <conditionalFormatting sqref="AB180">
    <cfRule type="containsText" dxfId="747" priority="999" operator="containsText" text="VENCIDA">
      <formula>NOT(ISERROR(SEARCH("VENCIDA",AB180)))</formula>
    </cfRule>
    <cfRule type="containsText" dxfId="746" priority="998" operator="containsText" text="NO APLICA">
      <formula>NOT(ISERROR(SEARCH("NO APLICA",AB180)))</formula>
    </cfRule>
    <cfRule type="containsText" dxfId="745" priority="997" operator="containsText" text="VIGENTE">
      <formula>NOT(ISERROR(SEARCH("VIGENTE",AB180)))</formula>
    </cfRule>
    <cfRule type="containsText" dxfId="744" priority="996" operator="containsText" text="POR VENCER">
      <formula>NOT(ISERROR(SEARCH("POR VENCER",AB180)))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3" priority="6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2" priority="60" operator="containsText" text="NO APLICA">
      <formula>NOT(ISERROR(SEARCH("NO APLICA",AB239)))</formula>
    </cfRule>
  </conditionalFormatting>
  <conditionalFormatting sqref="AB183:AF187 CD185:CH185 V4:V96 O4:O240 V98:V158">
    <cfRule type="containsText" dxfId="741" priority="1013" operator="containsText" text="VIGENTE">
      <formula>NOT(ISERROR(SEARCH("VIGENTE",O4)))</formula>
    </cfRule>
  </conditionalFormatting>
  <conditionalFormatting sqref="AG4:AG37 AG80:AG129">
    <cfRule type="containsText" dxfId="740" priority="981" operator="containsText" text="POR VENCER">
      <formula>NOT(ISERROR(SEARCH("POR VENCER",AG4)))</formula>
    </cfRule>
    <cfRule type="containsText" dxfId="739" priority="982" operator="containsText" text="VIGENTE">
      <formula>NOT(ISERROR(SEARCH("VIGENTE",AG4)))</formula>
    </cfRule>
    <cfRule type="containsText" dxfId="738" priority="983" operator="containsText" text="VENCIDA">
      <formula>NOT(ISERROR(SEARCH("VENCIDA",AG4)))</formula>
    </cfRule>
  </conditionalFormatting>
  <conditionalFormatting sqref="AG180">
    <cfRule type="containsText" dxfId="737" priority="979" operator="containsText" text="VENCIDA">
      <formula>NOT(ISERROR(SEARCH("VENCIDA",AG180)))</formula>
    </cfRule>
  </conditionalFormatting>
  <conditionalFormatting sqref="AH11:AH12">
    <cfRule type="containsText" dxfId="736" priority="977" operator="containsText" text="VIGENTE">
      <formula>NOT(ISERROR(SEARCH("VIGENTE",AH11)))</formula>
    </cfRule>
    <cfRule type="containsText" dxfId="735" priority="975" operator="containsText" text="NO APLICA">
      <formula>NOT(ISERROR(SEARCH("NO APLICA",AH11)))</formula>
    </cfRule>
    <cfRule type="containsText" dxfId="734" priority="976" operator="containsText" text="POR VENCER">
      <formula>NOT(ISERROR(SEARCH("POR VENCER",AH11)))</formula>
    </cfRule>
    <cfRule type="containsText" dxfId="733" priority="978" operator="containsText" text="VENCIDA">
      <formula>NOT(ISERROR(SEARCH("VENCIDA",AH11)))</formula>
    </cfRule>
  </conditionalFormatting>
  <conditionalFormatting sqref="AH15">
    <cfRule type="containsText" dxfId="732" priority="974" operator="containsText" text="VENCIDA">
      <formula>NOT(ISERROR(SEARCH("VENCIDA",AH15)))</formula>
    </cfRule>
    <cfRule type="containsText" dxfId="731" priority="972" operator="containsText" text="POR VENCER">
      <formula>NOT(ISERROR(SEARCH("POR VENCER",AH15)))</formula>
    </cfRule>
    <cfRule type="containsText" dxfId="730" priority="971" operator="containsText" text="NO APLICA">
      <formula>NOT(ISERROR(SEARCH("NO APLICA",AH15)))</formula>
    </cfRule>
    <cfRule type="containsText" dxfId="729" priority="973" operator="containsText" text="VIGENTE">
      <formula>NOT(ISERROR(SEARCH("VIGENTE",AH15)))</formula>
    </cfRule>
  </conditionalFormatting>
  <conditionalFormatting sqref="AH19">
    <cfRule type="containsText" dxfId="728" priority="970" operator="containsText" text="VENCIDA">
      <formula>NOT(ISERROR(SEARCH("VENCIDA",AH19)))</formula>
    </cfRule>
    <cfRule type="containsText" dxfId="727" priority="969" operator="containsText" text="VIGENTE">
      <formula>NOT(ISERROR(SEARCH("VIGENTE",AH19)))</formula>
    </cfRule>
    <cfRule type="containsText" dxfId="726" priority="968" operator="containsText" text="POR VENCER">
      <formula>NOT(ISERROR(SEARCH("POR VENCER",AH19)))</formula>
    </cfRule>
    <cfRule type="containsText" dxfId="725" priority="967" operator="containsText" text="NO APLICA">
      <formula>NOT(ISERROR(SEARCH("NO APLICA",AH19)))</formula>
    </cfRule>
  </conditionalFormatting>
  <conditionalFormatting sqref="AH23">
    <cfRule type="containsText" dxfId="724" priority="966" operator="containsText" text="VENCIDA">
      <formula>NOT(ISERROR(SEARCH("VENCIDA",AH23)))</formula>
    </cfRule>
    <cfRule type="containsText" dxfId="723" priority="965" operator="containsText" text="VIGENTE">
      <formula>NOT(ISERROR(SEARCH("VIGENTE",AH23)))</formula>
    </cfRule>
    <cfRule type="containsText" dxfId="722" priority="964" operator="containsText" text="POR VENCER">
      <formula>NOT(ISERROR(SEARCH("POR VENCER",AH23)))</formula>
    </cfRule>
    <cfRule type="containsText" dxfId="721" priority="963" operator="containsText" text="NO APLICA">
      <formula>NOT(ISERROR(SEARCH("NO APLICA",AH23)))</formula>
    </cfRule>
  </conditionalFormatting>
  <conditionalFormatting sqref="AH25:AH26">
    <cfRule type="containsText" dxfId="720" priority="959" operator="containsText" text="NO APLICA">
      <formula>NOT(ISERROR(SEARCH("NO APLICA",AH25)))</formula>
    </cfRule>
    <cfRule type="containsText" dxfId="719" priority="960" operator="containsText" text="POR VENCER">
      <formula>NOT(ISERROR(SEARCH("POR VENCER",AH25)))</formula>
    </cfRule>
    <cfRule type="containsText" dxfId="718" priority="961" operator="containsText" text="VIGENTE">
      <formula>NOT(ISERROR(SEARCH("VIGENTE",AH25)))</formula>
    </cfRule>
    <cfRule type="containsText" dxfId="717" priority="962" operator="containsText" text="VENCIDA">
      <formula>NOT(ISERROR(SEARCH("VENCIDA",AH25)))</formula>
    </cfRule>
  </conditionalFormatting>
  <conditionalFormatting sqref="AH32">
    <cfRule type="containsText" dxfId="716" priority="956" operator="containsText" text="POR VENCER">
      <formula>NOT(ISERROR(SEARCH("POR VENCER",AH32)))</formula>
    </cfRule>
    <cfRule type="containsText" dxfId="715" priority="957" operator="containsText" text="VIGENTE">
      <formula>NOT(ISERROR(SEARCH("VIGENTE",AH32)))</formula>
    </cfRule>
    <cfRule type="containsText" dxfId="714" priority="958" operator="containsText" text="VENCIDA">
      <formula>NOT(ISERROR(SEARCH("VENCIDA",AH32)))</formula>
    </cfRule>
    <cfRule type="containsText" dxfId="713" priority="955" operator="containsText" text="NO APLICA">
      <formula>NOT(ISERROR(SEARCH("NO APLICA",AH32)))</formula>
    </cfRule>
  </conditionalFormatting>
  <conditionalFormatting sqref="AH36:AH37">
    <cfRule type="containsText" dxfId="712" priority="954" operator="containsText" text="VENCIDA">
      <formula>NOT(ISERROR(SEARCH("VENCIDA",AH36)))</formula>
    </cfRule>
    <cfRule type="containsText" dxfId="711" priority="952" operator="containsText" text="POR VENCER">
      <formula>NOT(ISERROR(SEARCH("POR VENCER",AH36)))</formula>
    </cfRule>
    <cfRule type="containsText" dxfId="710" priority="953" operator="containsText" text="VIGENTE">
      <formula>NOT(ISERROR(SEARCH("VIGENTE",AH36)))</formula>
    </cfRule>
    <cfRule type="containsText" dxfId="709" priority="951" operator="containsText" text="NO APLICA">
      <formula>NOT(ISERROR(SEARCH("NO APLICA",AH36)))</formula>
    </cfRule>
  </conditionalFormatting>
  <conditionalFormatting sqref="AH43">
    <cfRule type="containsText" dxfId="708" priority="950" operator="containsText" text="VENCIDA">
      <formula>NOT(ISERROR(SEARCH("VENCIDA",AH43)))</formula>
    </cfRule>
    <cfRule type="containsText" dxfId="707" priority="948" operator="containsText" text="POR VENCER">
      <formula>NOT(ISERROR(SEARCH("POR VENCER",AH43)))</formula>
    </cfRule>
    <cfRule type="containsText" dxfId="706" priority="947" operator="containsText" text="NO APLICA">
      <formula>NOT(ISERROR(SEARCH("NO APLICA",AH43)))</formula>
    </cfRule>
    <cfRule type="containsText" dxfId="705" priority="949" operator="containsText" text="VIGENTE">
      <formula>NOT(ISERROR(SEARCH("VIGENTE",AH43)))</formula>
    </cfRule>
  </conditionalFormatting>
  <conditionalFormatting sqref="AH48:AH49 AH144 AH147 AH196 AH233 AH238">
    <cfRule type="containsText" dxfId="704" priority="125" operator="containsText" text="VENCIDA">
      <formula>NOT(ISERROR(SEARCH("VENCIDA",AH48)))</formula>
    </cfRule>
    <cfRule type="containsText" dxfId="703" priority="122" operator="containsText" text="NO APLICA">
      <formula>NOT(ISERROR(SEARCH("NO APLICA",AH48)))</formula>
    </cfRule>
    <cfRule type="containsText" dxfId="702" priority="123" operator="containsText" text="POR VENCER">
      <formula>NOT(ISERROR(SEARCH("POR VENCER",AH48)))</formula>
    </cfRule>
    <cfRule type="containsText" dxfId="701" priority="124" operator="containsText" text="VIGENTE">
      <formula>NOT(ISERROR(SEARCH("VIGENTE",AH48)))</formula>
    </cfRule>
  </conditionalFormatting>
  <conditionalFormatting sqref="AH52">
    <cfRule type="containsText" dxfId="700" priority="941" operator="containsText" text="VIGENTE">
      <formula>NOT(ISERROR(SEARCH("VIGENTE",AH52)))</formula>
    </cfRule>
    <cfRule type="containsText" dxfId="699" priority="942" operator="containsText" text="VENCIDA">
      <formula>NOT(ISERROR(SEARCH("VENCIDA",AH52)))</formula>
    </cfRule>
    <cfRule type="containsText" dxfId="698" priority="939" operator="containsText" text="NO APLICA">
      <formula>NOT(ISERROR(SEARCH("NO APLICA",AH52)))</formula>
    </cfRule>
    <cfRule type="containsText" dxfId="697" priority="940" operator="containsText" text="POR VENCER">
      <formula>NOT(ISERROR(SEARCH("POR VENCER",AH52)))</formula>
    </cfRule>
  </conditionalFormatting>
  <conditionalFormatting sqref="AH64">
    <cfRule type="containsText" dxfId="696" priority="936" operator="containsText" text="POR VENCER">
      <formula>NOT(ISERROR(SEARCH("POR VENCER",AH64)))</formula>
    </cfRule>
    <cfRule type="containsText" dxfId="695" priority="938" operator="containsText" text="VENCIDA">
      <formula>NOT(ISERROR(SEARCH("VENCIDA",AH64)))</formula>
    </cfRule>
    <cfRule type="containsText" dxfId="694" priority="937" operator="containsText" text="VIGENTE">
      <formula>NOT(ISERROR(SEARCH("VIGENTE",AH64)))</formula>
    </cfRule>
    <cfRule type="containsText" dxfId="693" priority="935" operator="containsText" text="NO APLICA">
      <formula>NOT(ISERROR(SEARCH("NO APLICA",AH64)))</formula>
    </cfRule>
  </conditionalFormatting>
  <conditionalFormatting sqref="AH69">
    <cfRule type="containsText" dxfId="692" priority="931" operator="containsText" text="NO APLICA">
      <formula>NOT(ISERROR(SEARCH("NO APLICA",AH69)))</formula>
    </cfRule>
    <cfRule type="containsText" dxfId="691" priority="932" operator="containsText" text="POR VENCER">
      <formula>NOT(ISERROR(SEARCH("POR VENCER",AH69)))</formula>
    </cfRule>
    <cfRule type="containsText" dxfId="690" priority="933" operator="containsText" text="VIGENTE">
      <formula>NOT(ISERROR(SEARCH("VIGENTE",AH69)))</formula>
    </cfRule>
    <cfRule type="containsText" dxfId="689" priority="934" operator="containsText" text="VENCIDA">
      <formula>NOT(ISERROR(SEARCH("VENCIDA",AH69)))</formula>
    </cfRule>
  </conditionalFormatting>
  <conditionalFormatting sqref="AH77:AH78">
    <cfRule type="containsText" dxfId="688" priority="929" operator="containsText" text="VIGENTE">
      <formula>NOT(ISERROR(SEARCH("VIGENTE",AH77)))</formula>
    </cfRule>
    <cfRule type="containsText" dxfId="687" priority="930" operator="containsText" text="VENCIDA">
      <formula>NOT(ISERROR(SEARCH("VENCIDA",AH77)))</formula>
    </cfRule>
    <cfRule type="containsText" dxfId="686" priority="927" operator="containsText" text="NO APLICA">
      <formula>NOT(ISERROR(SEARCH("NO APLICA",AH77)))</formula>
    </cfRule>
    <cfRule type="containsText" dxfId="685" priority="928" operator="containsText" text="POR VENCER">
      <formula>NOT(ISERROR(SEARCH("POR VENCER",AH77)))</formula>
    </cfRule>
  </conditionalFormatting>
  <conditionalFormatting sqref="AH90">
    <cfRule type="containsText" dxfId="684" priority="925" operator="containsText" text="VIGENTE">
      <formula>NOT(ISERROR(SEARCH("VIGENTE",AH90)))</formula>
    </cfRule>
    <cfRule type="containsText" dxfId="683" priority="926" operator="containsText" text="VENCIDA">
      <formula>NOT(ISERROR(SEARCH("VENCIDA",AH90)))</formula>
    </cfRule>
    <cfRule type="containsText" dxfId="682" priority="923" operator="containsText" text="NO APLICA">
      <formula>NOT(ISERROR(SEARCH("NO APLICA",AH90)))</formula>
    </cfRule>
    <cfRule type="containsText" dxfId="681" priority="924" operator="containsText" text="POR VENCER">
      <formula>NOT(ISERROR(SEARCH("POR VENCER",AH90)))</formula>
    </cfRule>
  </conditionalFormatting>
  <conditionalFormatting sqref="AQ239:AQ240 BF239:BF240 BK239:BK240 CE239:CE240 DX239:DY240 EC239:ED240">
    <cfRule type="containsText" dxfId="680" priority="59" operator="containsText" text="NO APLICA">
      <formula>NOT(ISERROR(SEARCH("NO APLICA",AQ239)))</formula>
    </cfRule>
  </conditionalFormatting>
  <conditionalFormatting sqref="AQ239:AQ240">
    <cfRule type="containsText" dxfId="679" priority="58" operator="containsText" text="VIGENTE">
      <formula>NOT(ISERROR(SEARCH("VIGENTE",AQ239)))</formula>
    </cfRule>
    <cfRule type="containsText" dxfId="678" priority="57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7" priority="922" operator="containsText" text="VENCIDA">
      <formula>NOT(ISERROR(SEARCH("VENCIDA",AK4)))</formula>
    </cfRule>
  </conditionalFormatting>
  <conditionalFormatting sqref="AV36:AV37 AV4:AV6 BA4:BA6">
    <cfRule type="containsText" dxfId="676" priority="921" operator="containsText" text="VIGENTE">
      <formula>NOT(ISERROR(SEARCH("VIGENTE",AV4)))</formula>
    </cfRule>
  </conditionalFormatting>
  <conditionalFormatting sqref="AV36:AV37 DX52:DX73 GF52:GF73 EM65:EM73 FV69:FV72">
    <cfRule type="containsText" dxfId="675" priority="901" operator="containsText" text="POR VENCER">
      <formula>NOT(ISERROR(SEARCH("POR VENCER",AV36)))</formula>
    </cfRule>
  </conditionalFormatting>
  <conditionalFormatting sqref="BA90">
    <cfRule type="containsText" dxfId="674" priority="229" operator="containsText" text="POR VENCER">
      <formula>NOT(ISERROR(SEARCH("POR VENCER",BA90)))</formula>
    </cfRule>
    <cfRule type="containsText" dxfId="673" priority="230" operator="containsText" text="VENCIDA">
      <formula>NOT(ISERROR(SEARCH("VENCIDA",BA90)))</formula>
    </cfRule>
    <cfRule type="containsText" dxfId="672" priority="228" operator="containsText" text="NO APLICA">
      <formula>NOT(ISERROR(SEARCH("NO APLICA",BA90)))</formula>
    </cfRule>
  </conditionalFormatting>
  <conditionalFormatting sqref="BA123:BA125 BA127">
    <cfRule type="containsText" dxfId="671" priority="222" operator="containsText" text="NO APLICA">
      <formula>NOT(ISERROR(SEARCH("NO APLICA",BA123)))</formula>
    </cfRule>
    <cfRule type="containsText" dxfId="670" priority="224" operator="containsText" text="VENCIDA">
      <formula>NOT(ISERROR(SEARCH("VENCIDA",BA123)))</formula>
    </cfRule>
    <cfRule type="containsText" dxfId="669" priority="223" operator="containsText" text="POR VENCER">
      <formula>NOT(ISERROR(SEARCH("POR VENCER",BA123)))</formula>
    </cfRule>
  </conditionalFormatting>
  <conditionalFormatting sqref="BA133">
    <cfRule type="containsText" dxfId="668" priority="205" operator="containsText" text="VENCIDA">
      <formula>NOT(ISERROR(SEARCH("VENCIDA",BA133)))</formula>
    </cfRule>
    <cfRule type="containsText" dxfId="667" priority="203" operator="containsText" text="POR VENCER">
      <formula>NOT(ISERROR(SEARCH("POR VENCER",BA133)))</formula>
    </cfRule>
  </conditionalFormatting>
  <conditionalFormatting sqref="BA133:BA134">
    <cfRule type="containsText" dxfId="666" priority="204" operator="containsText" text="VIGENTE">
      <formula>NOT(ISERROR(SEARCH("VIGENTE",BA133)))</formula>
    </cfRule>
    <cfRule type="containsText" dxfId="665" priority="202" operator="containsText" text="NO APLICA">
      <formula>NOT(ISERROR(SEARCH("NO APLICA",BA133)))</formula>
    </cfRule>
  </conditionalFormatting>
  <conditionalFormatting sqref="BA134">
    <cfRule type="containsText" dxfId="664" priority="221" operator="containsText" text="VENCIDA">
      <formula>NOT(ISERROR(SEARCH("VENCIDA",BA134)))</formula>
    </cfRule>
    <cfRule type="containsText" dxfId="663" priority="220" operator="containsText" text="POR VENCER">
      <formula>NOT(ISERROR(SEARCH("POR VENCER",BA134)))</formula>
    </cfRule>
  </conditionalFormatting>
  <conditionalFormatting sqref="BA142">
    <cfRule type="containsText" dxfId="662" priority="201" operator="containsText" text="VENCIDA">
      <formula>NOT(ISERROR(SEARCH("VENCIDA",BA142)))</formula>
    </cfRule>
    <cfRule type="containsText" dxfId="661" priority="200" operator="containsText" text="VIGENTE">
      <formula>NOT(ISERROR(SEARCH("VIGENTE",BA142)))</formula>
    </cfRule>
    <cfRule type="containsText" dxfId="660" priority="199" operator="containsText" text="POR VENCER">
      <formula>NOT(ISERROR(SEARCH("POR VENCER",BA142)))</formula>
    </cfRule>
    <cfRule type="containsText" dxfId="659" priority="198" operator="containsText" text="NO APLICA">
      <formula>NOT(ISERROR(SEARCH("NO APLICA",BA142)))</formula>
    </cfRule>
  </conditionalFormatting>
  <conditionalFormatting sqref="BA147 BA150">
    <cfRule type="containsText" dxfId="658" priority="195" operator="containsText" text="POR VENCER">
      <formula>NOT(ISERROR(SEARCH("POR VENCER",BA147)))</formula>
    </cfRule>
    <cfRule type="containsText" dxfId="657" priority="196" operator="containsText" text="VIGENTE">
      <formula>NOT(ISERROR(SEARCH("VIGENTE",BA147)))</formula>
    </cfRule>
    <cfRule type="containsText" dxfId="656" priority="197" operator="containsText" text="VENCIDA">
      <formula>NOT(ISERROR(SEARCH("VENCIDA",BA147)))</formula>
    </cfRule>
    <cfRule type="containsText" dxfId="655" priority="194" operator="containsText" text="NO APLICA">
      <formula>NOT(ISERROR(SEARCH("NO APLICA",BA147)))</formula>
    </cfRule>
  </conditionalFormatting>
  <conditionalFormatting sqref="BA152">
    <cfRule type="containsText" dxfId="654" priority="215" operator="containsText" text="VIGENTE">
      <formula>NOT(ISERROR(SEARCH("VIGENTE",BA152)))</formula>
    </cfRule>
    <cfRule type="containsText" dxfId="653" priority="216" operator="containsText" text="POR VENCER">
      <formula>NOT(ISERROR(SEARCH("POR VENCER",BA152)))</formula>
    </cfRule>
    <cfRule type="containsText" dxfId="652" priority="217" operator="containsText" text="VENCIDA">
      <formula>NOT(ISERROR(SEARCH("VENCIDA",BA152)))</formula>
    </cfRule>
    <cfRule type="containsText" dxfId="651" priority="214" operator="containsText" text="NO APLICA">
      <formula>NOT(ISERROR(SEARCH("NO APLICA",BA152)))</formula>
    </cfRule>
  </conditionalFormatting>
  <conditionalFormatting sqref="BA155">
    <cfRule type="containsText" dxfId="650" priority="193" operator="containsText" text="VENCIDA">
      <formula>NOT(ISERROR(SEARCH("VENCIDA",BA155)))</formula>
    </cfRule>
    <cfRule type="containsText" dxfId="649" priority="192" operator="containsText" text="VIGENTE">
      <formula>NOT(ISERROR(SEARCH("VIGENTE",BA155)))</formula>
    </cfRule>
    <cfRule type="containsText" dxfId="648" priority="191" operator="containsText" text="POR VENCER">
      <formula>NOT(ISERROR(SEARCH("POR VENCER",BA155)))</formula>
    </cfRule>
    <cfRule type="containsText" dxfId="647" priority="190" operator="containsText" text="NO APLICA">
      <formula>NOT(ISERROR(SEARCH("NO APLICA",BA155)))</formula>
    </cfRule>
  </conditionalFormatting>
  <conditionalFormatting sqref="BA166">
    <cfRule type="containsText" dxfId="646" priority="213" operator="containsText" text="VENCIDA">
      <formula>NOT(ISERROR(SEARCH("VENCIDA",BA166)))</formula>
    </cfRule>
    <cfRule type="containsText" dxfId="645" priority="212" operator="containsText" text="POR VENCER">
      <formula>NOT(ISERROR(SEARCH("POR VENCER",BA166)))</formula>
    </cfRule>
    <cfRule type="containsText" dxfId="644" priority="211" operator="containsText" text="VIGENTE">
      <formula>NOT(ISERROR(SEARCH("VIGENTE",BA166)))</formula>
    </cfRule>
    <cfRule type="containsText" dxfId="643" priority="210" operator="containsText" text="NO APLICA">
      <formula>NOT(ISERROR(SEARCH("NO APLICA",BA166)))</formula>
    </cfRule>
  </conditionalFormatting>
  <conditionalFormatting sqref="BA177">
    <cfRule type="containsText" dxfId="642" priority="182" operator="containsText" text="NO APLICA">
      <formula>NOT(ISERROR(SEARCH("NO APLICA",BA177)))</formula>
    </cfRule>
    <cfRule type="containsText" dxfId="641" priority="183" operator="containsText" text="POR VENCER">
      <formula>NOT(ISERROR(SEARCH("POR VENCER",BA177)))</formula>
    </cfRule>
    <cfRule type="containsText" dxfId="640" priority="184" operator="containsText" text="VIGENTE">
      <formula>NOT(ISERROR(SEARCH("VIGENTE",BA177)))</formula>
    </cfRule>
    <cfRule type="containsText" dxfId="639" priority="185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38" priority="919" operator="containsText" text="POR VENCER">
      <formula>NOT(ISERROR(SEARCH("POR VENCER",BA180)))</formula>
    </cfRule>
  </conditionalFormatting>
  <conditionalFormatting sqref="BA180">
    <cfRule type="containsText" dxfId="637" priority="918" operator="containsText" text="VIGENTE">
      <formula>NOT(ISERROR(SEARCH("VIGENTE",BA180)))</formula>
    </cfRule>
  </conditionalFormatting>
  <conditionalFormatting sqref="BA182">
    <cfRule type="containsText" dxfId="636" priority="208" operator="containsText" text="POR VENCER">
      <formula>NOT(ISERROR(SEARCH("POR VENCER",BA182)))</formula>
    </cfRule>
    <cfRule type="containsText" dxfId="635" priority="207" operator="containsText" text="VIGENTE">
      <formula>NOT(ISERROR(SEARCH("VIGENTE",BA182)))</formula>
    </cfRule>
    <cfRule type="containsText" dxfId="634" priority="206" operator="containsText" text="NO APLICA">
      <formula>NOT(ISERROR(SEARCH("NO APLICA",BA182)))</formula>
    </cfRule>
    <cfRule type="containsText" dxfId="633" priority="209" operator="containsText" text="VENCIDA">
      <formula>NOT(ISERROR(SEARCH("VENCIDA",BA182)))</formula>
    </cfRule>
  </conditionalFormatting>
  <conditionalFormatting sqref="BA189 BA191 BA233">
    <cfRule type="containsText" dxfId="632" priority="187" operator="containsText" text="POR VENCER">
      <formula>NOT(ISERROR(SEARCH("POR VENCER",BA189)))</formula>
    </cfRule>
    <cfRule type="containsText" dxfId="631" priority="186" operator="containsText" text="NO APLICA">
      <formula>NOT(ISERROR(SEARCH("NO APLICA",BA189)))</formula>
    </cfRule>
    <cfRule type="containsText" dxfId="630" priority="189" operator="containsText" text="VENCIDA">
      <formula>NOT(ISERROR(SEARCH("VENCIDA",BA189)))</formula>
    </cfRule>
    <cfRule type="containsText" dxfId="629" priority="188" operator="containsText" text="VIGENTE">
      <formula>NOT(ISERROR(SEARCH("VIGENTE",BA189)))</formula>
    </cfRule>
  </conditionalFormatting>
  <conditionalFormatting sqref="BF180 BK180 BZ180 CT180 CY180 DN180 DS180 DX180 EC180 FB180 FG180">
    <cfRule type="containsText" dxfId="628" priority="916" operator="containsText" text="POR VENCER">
      <formula>NOT(ISERROR(SEARCH("POR VENCER",BF180)))</formula>
    </cfRule>
    <cfRule type="containsText" dxfId="627" priority="91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6" priority="5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5" priority="5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4" priority="332" operator="containsText" text="VENCIDA">
      <formula>NOT(ISERROR(SEARCH("VENCIDA",BK67)))</formula>
    </cfRule>
    <cfRule type="containsText" dxfId="623" priority="331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2" priority="330" operator="containsText" text="NO APLICA">
      <formula>NOT(ISERROR(SEARCH("NO APLICA",BK67)))</formula>
    </cfRule>
  </conditionalFormatting>
  <conditionalFormatting sqref="BK131:BK132 BK135 BK137 BK139 BK164 BK172">
    <cfRule type="containsText" dxfId="621" priority="32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20" priority="73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9" priority="915" operator="containsText" text="NO APLICA">
      <formula>NOT(ISERROR(SEARCH("NO APLICA",AK4)))</formula>
    </cfRule>
  </conditionalFormatting>
  <conditionalFormatting sqref="BP180 DI180 EM180 ER180">
    <cfRule type="containsText" dxfId="618" priority="914" operator="containsText" text="POR VENCER">
      <formula>NOT(ISERROR(SEARCH("POR VENCER",BP180)))</formula>
    </cfRule>
  </conditionalFormatting>
  <conditionalFormatting sqref="BU30:BU35">
    <cfRule type="containsText" dxfId="617" priority="244" operator="containsText" text="NO APLICA">
      <formula>NOT(ISERROR(SEARCH("NO APLICA",BU30)))</formula>
    </cfRule>
    <cfRule type="containsText" dxfId="616" priority="245" operator="containsText" text="POR VENCER">
      <formula>NOT(ISERROR(SEARCH("POR VENCER",BU30)))</formula>
    </cfRule>
  </conditionalFormatting>
  <conditionalFormatting sqref="BU35">
    <cfRule type="containsText" dxfId="615" priority="24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4" priority="91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3" priority="241" operator="containsText" text="NO APLICA">
      <formula>NOT(ISERROR(SEARCH("NO APLICA",BU65)))</formula>
    </cfRule>
    <cfRule type="containsText" dxfId="612" priority="24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11" priority="243" operator="containsText" text="VENCIDA">
      <formula>NOT(ISERROR(SEARCH("VENCIDA",BU83)))</formula>
    </cfRule>
    <cfRule type="containsText" dxfId="610" priority="240" operator="containsText" text="VIGENTE">
      <formula>NOT(ISERROR(SEARCH("VIGENTE",BU83)))</formula>
    </cfRule>
  </conditionalFormatting>
  <conditionalFormatting sqref="CI4:CI240">
    <cfRule type="containsText" dxfId="609" priority="904" operator="containsText" text="VIGENTE">
      <formula>NOT(ISERROR(SEARCH("VIGENTE",CI4)))</formula>
    </cfRule>
    <cfRule type="containsText" dxfId="608" priority="903" operator="containsText" text="VENCIDA">
      <formula>NOT(ISERROR(SEARCH("VENCIDA",CI4)))</formula>
    </cfRule>
  </conditionalFormatting>
  <conditionalFormatting sqref="CJ180">
    <cfRule type="expression" dxfId="607" priority="90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06" priority="86" operator="containsText" text="NO APLICA">
      <formula>NOT(ISERROR(SEARCH("NO APLICA",P183)))</formula>
    </cfRule>
  </conditionalFormatting>
  <conditionalFormatting sqref="CO8 BU8:BU19 CO10:CO19 IW4:IW42 AV36:AV37">
    <cfRule type="containsText" dxfId="605" priority="893" operator="containsText" text="NO APLICA">
      <formula>NOT(ISERROR(SEARCH("NO APLICA",AV4)))</formula>
    </cfRule>
  </conditionalFormatting>
  <conditionalFormatting sqref="CT47">
    <cfRule type="containsText" dxfId="604" priority="347" operator="containsText" text="VENCIDA">
      <formula>NOT(ISERROR(SEARCH("VENCIDA",CT47)))</formula>
    </cfRule>
    <cfRule type="containsText" dxfId="603" priority="345" operator="containsText" text="NO APLICA">
      <formula>NOT(ISERROR(SEARCH("NO APLICA",CT47)))</formula>
    </cfRule>
    <cfRule type="containsText" dxfId="602" priority="346" operator="containsText" text="POR VENCER">
      <formula>NOT(ISERROR(SEARCH("POR VENCER",CT47)))</formula>
    </cfRule>
  </conditionalFormatting>
  <conditionalFormatting sqref="CT164">
    <cfRule type="containsText" dxfId="601" priority="342" operator="containsText" text="POR VENCER">
      <formula>NOT(ISERROR(SEARCH("POR VENCER",CT164)))</formula>
    </cfRule>
    <cfRule type="containsText" dxfId="600" priority="341" operator="containsText" text="NO APLICA">
      <formula>NOT(ISERROR(SEARCH("NO APLICA",CT164)))</formula>
    </cfRule>
    <cfRule type="containsText" dxfId="599" priority="343" operator="containsText" text="VIGENTE">
      <formula>NOT(ISERROR(SEARCH("VIGENTE",CT164)))</formula>
    </cfRule>
    <cfRule type="containsText" dxfId="598" priority="344" operator="containsText" text="VENCIDA">
      <formula>NOT(ISERROR(SEARCH("VENCIDA",CT164)))</formula>
    </cfRule>
  </conditionalFormatting>
  <conditionalFormatting sqref="CT172">
    <cfRule type="containsText" dxfId="597" priority="337" operator="containsText" text="NO APLICA">
      <formula>NOT(ISERROR(SEARCH("NO APLICA",CT172)))</formula>
    </cfRule>
    <cfRule type="containsText" dxfId="596" priority="340" operator="containsText" text="VENCIDA">
      <formula>NOT(ISERROR(SEARCH("VENCIDA",CT172)))</formula>
    </cfRule>
    <cfRule type="containsText" dxfId="595" priority="339" operator="containsText" text="VIGENTE">
      <formula>NOT(ISERROR(SEARCH("VIGENTE",CT172)))</formula>
    </cfRule>
    <cfRule type="containsText" dxfId="594" priority="338" operator="containsText" text="POR VENCER">
      <formula>NOT(ISERROR(SEARCH("POR VENCER",CT172)))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3" priority="90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2" priority="911" operator="containsText" text="POR VENCER">
      <formula>NOT(ISERROR(SEARCH("POR VENCER",AB4)))</formula>
    </cfRule>
  </conditionalFormatting>
  <conditionalFormatting sqref="DD131 DD133 DD135 DD150 DD155 DD172 DD191">
    <cfRule type="containsText" dxfId="591" priority="283" operator="containsText" text="POR VENCER">
      <formula>NOT(ISERROR(SEARCH("POR VENCER",DD131)))</formula>
    </cfRule>
    <cfRule type="containsText" dxfId="590" priority="282" operator="containsText" text="NO APLICA">
      <formula>NOT(ISERROR(SEARCH("NO APLICA",DD131)))</formula>
    </cfRule>
    <cfRule type="containsText" dxfId="589" priority="284" operator="containsText" text="VIGENTE">
      <formula>NOT(ISERROR(SEARCH("VIGENTE",DD131)))</formula>
    </cfRule>
    <cfRule type="containsText" dxfId="588" priority="285" operator="containsText" text="VENCIDA">
      <formula>NOT(ISERROR(SEARCH("VENCIDA",DD131)))</formula>
    </cfRule>
  </conditionalFormatting>
  <conditionalFormatting sqref="DI133 DI150 DI155">
    <cfRule type="containsText" dxfId="587" priority="327" operator="containsText" text="VIGENTE">
      <formula>NOT(ISERROR(SEARCH("VIGENTE",DI133)))</formula>
    </cfRule>
    <cfRule type="containsText" dxfId="586" priority="328" operator="containsText" text="VENCIDA">
      <formula>NOT(ISERROR(SEARCH("VENCIDA",DI133)))</formula>
    </cfRule>
    <cfRule type="containsText" dxfId="585" priority="325" operator="containsText" text="NO APLICA">
      <formula>NOT(ISERROR(SEARCH("NO APLICA",DI133)))</formula>
    </cfRule>
    <cfRule type="containsText" dxfId="584" priority="326" operator="containsText" text="POR VENCER">
      <formula>NOT(ISERROR(SEARCH("POR VENCER",DI133)))</formula>
    </cfRule>
  </conditionalFormatting>
  <conditionalFormatting sqref="DN38">
    <cfRule type="containsText" dxfId="583" priority="323" operator="containsText" text="POR VENCER">
      <formula>NOT(ISERROR(SEARCH("POR VENCER",DN38)))</formula>
    </cfRule>
    <cfRule type="containsText" dxfId="582" priority="324" operator="containsText" text="VENCIDA">
      <formula>NOT(ISERROR(SEARCH("VENCIDA",DN38)))</formula>
    </cfRule>
  </conditionalFormatting>
  <conditionalFormatting sqref="DN38:DN46">
    <cfRule type="containsText" dxfId="581" priority="322" operator="containsText" text="NO APLICA">
      <formula>NOT(ISERROR(SEARCH("NO APLICA",DN38)))</formula>
    </cfRule>
  </conditionalFormatting>
  <conditionalFormatting sqref="DN42">
    <cfRule type="containsText" dxfId="580" priority="303" operator="containsText" text="POR VENCER">
      <formula>NOT(ISERROR(SEARCH("POR VENCER",DN42)))</formula>
    </cfRule>
    <cfRule type="containsText" dxfId="579" priority="304" operator="containsText" text="VENCIDA">
      <formula>NOT(ISERROR(SEARCH("VENCIDA",DN42)))</formula>
    </cfRule>
    <cfRule type="containsText" dxfId="578" priority="302" operator="containsText" text="NO APLICA">
      <formula>NOT(ISERROR(SEARCH("NO APLICA",DN42)))</formula>
    </cfRule>
    <cfRule type="containsText" dxfId="577" priority="305" operator="containsText" text="NO APLICA">
      <formula>NOT(ISERROR(SEARCH("NO APLICA",DN42)))</formula>
    </cfRule>
    <cfRule type="containsText" dxfId="576" priority="306" operator="containsText" text="POR VENCER">
      <formula>NOT(ISERROR(SEARCH("POR VENCER",DN42)))</formula>
    </cfRule>
    <cfRule type="containsText" dxfId="575" priority="307" operator="containsText" text="VENCIDA">
      <formula>NOT(ISERROR(SEARCH("VENCIDA",DN42)))</formula>
    </cfRule>
  </conditionalFormatting>
  <conditionalFormatting sqref="DN64">
    <cfRule type="containsText" dxfId="574" priority="321" operator="containsText" text="VENCIDA">
      <formula>NOT(ISERROR(SEARCH("VENCIDA",DN64)))</formula>
    </cfRule>
    <cfRule type="containsText" dxfId="573" priority="320" operator="containsText" text="POR VENCER">
      <formula>NOT(ISERROR(SEARCH("POR VENCER",DN64)))</formula>
    </cfRule>
    <cfRule type="containsText" dxfId="572" priority="319" operator="containsText" text="NO APLICA">
      <formula>NOT(ISERROR(SEARCH("NO APLICA",DN64)))</formula>
    </cfRule>
  </conditionalFormatting>
  <conditionalFormatting sqref="DN72">
    <cfRule type="containsText" dxfId="571" priority="318" operator="containsText" text="VENCIDA">
      <formula>NOT(ISERROR(SEARCH("VENCIDA",DN72)))</formula>
    </cfRule>
    <cfRule type="containsText" dxfId="570" priority="317" operator="containsText" text="POR VENCER">
      <formula>NOT(ISERROR(SEARCH("POR VENCER",DN72)))</formula>
    </cfRule>
    <cfRule type="containsText" dxfId="569" priority="316" operator="containsText" text="NO APLICA">
      <formula>NOT(ISERROR(SEARCH("NO APLICA",DN72)))</formula>
    </cfRule>
  </conditionalFormatting>
  <conditionalFormatting sqref="DN152">
    <cfRule type="containsText" dxfId="568" priority="312" operator="containsText" text="NO APLICA">
      <formula>NOT(ISERROR(SEARCH("NO APLICA",DN152)))</formula>
    </cfRule>
    <cfRule type="containsText" dxfId="567" priority="313" operator="containsText" text="POR VENCER">
      <formula>NOT(ISERROR(SEARCH("POR VENCER",DN152)))</formula>
    </cfRule>
    <cfRule type="containsText" dxfId="566" priority="315" operator="containsText" text="VENCIDA">
      <formula>NOT(ISERROR(SEARCH("VENCIDA",DN152)))</formula>
    </cfRule>
    <cfRule type="containsText" dxfId="565" priority="314" operator="containsText" text="VIGENTE">
      <formula>NOT(ISERROR(SEARCH("VIGENTE",DN152)))</formula>
    </cfRule>
  </conditionalFormatting>
  <conditionalFormatting sqref="DN173">
    <cfRule type="containsText" dxfId="564" priority="311" operator="containsText" text="VENCIDA">
      <formula>NOT(ISERROR(SEARCH("VENCIDA",DN173)))</formula>
    </cfRule>
    <cfRule type="containsText" dxfId="563" priority="309" operator="containsText" text="POR VENCER">
      <formula>NOT(ISERROR(SEARCH("POR VENCER",DN173)))</formula>
    </cfRule>
    <cfRule type="containsText" dxfId="562" priority="308" operator="containsText" text="NO APLICA">
      <formula>NOT(ISERROR(SEARCH("NO APLICA",DN173)))</formula>
    </cfRule>
    <cfRule type="containsText" dxfId="561" priority="310" operator="containsText" text="VIGENTE">
      <formula>NOT(ISERROR(SEARCH("VIGENTE",DN173)))</formula>
    </cfRule>
  </conditionalFormatting>
  <conditionalFormatting sqref="DT9">
    <cfRule type="containsText" dxfId="560" priority="278" operator="containsText" text="NO APLICA">
      <formula>NOT(ISERROR(SEARCH("NO APLICA",DT9)))</formula>
    </cfRule>
    <cfRule type="containsText" dxfId="559" priority="280" operator="containsText" text="VIGENTE">
      <formula>NOT(ISERROR(SEARCH("VIGENTE",DT9)))</formula>
    </cfRule>
    <cfRule type="containsText" dxfId="558" priority="281" operator="containsText" text="VENCIDA">
      <formula>NOT(ISERROR(SEARCH("VENCIDA",DT9)))</formula>
    </cfRule>
    <cfRule type="containsText" dxfId="557" priority="279" operator="containsText" text="POR VENCER">
      <formula>NOT(ISERROR(SEARCH("POR VENCER",DT9)))</formula>
    </cfRule>
  </conditionalFormatting>
  <conditionalFormatting sqref="DT35 DT83 DT94 DT104 DT112 DT120 DT133 DT150 DT155 DT191 DT221">
    <cfRule type="containsText" dxfId="556" priority="275" operator="containsText" text="POR VENCER">
      <formula>NOT(ISERROR(SEARCH("POR VENCER",DT35)))</formula>
    </cfRule>
    <cfRule type="containsText" dxfId="555" priority="277" operator="containsText" text="VENCIDA">
      <formula>NOT(ISERROR(SEARCH("VENCIDA",DT35)))</formula>
    </cfRule>
    <cfRule type="containsText" dxfId="554" priority="276" operator="containsText" text="VIGENTE">
      <formula>NOT(ISERROR(SEARCH("VIGENTE",DT35)))</formula>
    </cfRule>
    <cfRule type="containsText" dxfId="553" priority="274" operator="containsText" text="NO APLICA">
      <formula>NOT(ISERROR(SEARCH("NO APLICA",DT35)))</formula>
    </cfRule>
  </conditionalFormatting>
  <conditionalFormatting sqref="DX9 DX11 DX35">
    <cfRule type="expression" dxfId="552" priority="238">
      <formula>"O7&gt;=91"</formula>
    </cfRule>
  </conditionalFormatting>
  <conditionalFormatting sqref="DX82:DX83 DX94 DX99 DX104 DX107 DX112 DX115 DX120">
    <cfRule type="expression" dxfId="551" priority="237">
      <formula>"O7&gt;=91"</formula>
    </cfRule>
  </conditionalFormatting>
  <conditionalFormatting sqref="DX189 DX191">
    <cfRule type="expression" dxfId="550" priority="239">
      <formula>"O7&gt;=91"</formula>
    </cfRule>
  </conditionalFormatting>
  <conditionalFormatting sqref="DY53">
    <cfRule type="containsText" dxfId="549" priority="900" operator="containsText" text="VIGENTE">
      <formula>NOT(ISERROR(SEARCH("VIGENTE",DY53)))</formula>
    </cfRule>
    <cfRule type="containsText" dxfId="548" priority="899" operator="containsText" text="POR VENCER">
      <formula>NOT(ISERROR(SEARCH("POR VENCER",DY53)))</formula>
    </cfRule>
    <cfRule type="containsText" dxfId="547" priority="898" operator="containsText" text="NO APLICA">
      <formula>NOT(ISERROR(SEARCH("NO APLICA",DY53)))</formula>
    </cfRule>
    <cfRule type="containsText" dxfId="546" priority="897" operator="containsText" text="VENCIDA">
      <formula>NOT(ISERROR(SEARCH("VENCIDA",DY53)))</formula>
    </cfRule>
  </conditionalFormatting>
  <conditionalFormatting sqref="EH89 EH114 EH116 EH126">
    <cfRule type="containsText" dxfId="545" priority="68" operator="containsText" text="NO APLICA">
      <formula>NOT(ISERROR(SEARCH("NO APLICA",EH89)))</formula>
    </cfRule>
    <cfRule type="containsText" dxfId="544" priority="6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198 EH184:EH185 EH186:EI187 EH188 EH190:EI191 JV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W238:JX240 HW239:HW240 KA199:KB199">
    <cfRule type="containsText" dxfId="543" priority="70" operator="containsText" text="VIGENTE">
      <formula>NOT(ISERROR(SEARCH("VIGENTE",P4)))</formula>
    </cfRule>
  </conditionalFormatting>
  <conditionalFormatting sqref="EH95">
    <cfRule type="containsText" dxfId="542" priority="833" operator="containsText" text="POR VENCER">
      <formula>NOT(ISERROR(SEARCH("POR VENCER",EH95)))</formula>
    </cfRule>
    <cfRule type="containsText" dxfId="541" priority="832" operator="containsText" text="NO APLICA">
      <formula>NOT(ISERROR(SEARCH("NO APLICA",EH95)))</formula>
    </cfRule>
    <cfRule type="containsText" dxfId="540" priority="831" operator="containsText" text="POR VENCER">
      <formula>NOT(ISERROR(SEARCH("POR VENCER",EH95)))</formula>
    </cfRule>
  </conditionalFormatting>
  <conditionalFormatting sqref="EH101">
    <cfRule type="containsText" dxfId="539" priority="804" operator="containsText" text="VIGENTE">
      <formula>NOT(ISERROR(SEARCH("VIGENTE",EH101)))</formula>
    </cfRule>
    <cfRule type="containsText" dxfId="538" priority="803" operator="containsText" text="VENCIDA">
      <formula>NOT(ISERROR(SEARCH("VENCIDA",EH101)))</formula>
    </cfRule>
  </conditionalFormatting>
  <conditionalFormatting sqref="EH107 EH118">
    <cfRule type="containsText" dxfId="537" priority="802" operator="containsText" text="POR VENCER">
      <formula>NOT(ISERROR(SEARCH("POR VENCER",EH107)))</formula>
    </cfRule>
  </conditionalFormatting>
  <conditionalFormatting sqref="EH130 EH140 EH142:EH143 EH145 EH147 EH156:EH157">
    <cfRule type="expression" dxfId="536" priority="906">
      <formula>"O7&gt;=91"</formula>
    </cfRule>
  </conditionalFormatting>
  <conditionalFormatting sqref="EH152">
    <cfRule type="containsText" dxfId="535" priority="798" operator="containsText" text="NO APLICA">
      <formula>NOT(ISERROR(SEARCH("NO APLICA",EH152)))</formula>
    </cfRule>
    <cfRule type="containsText" dxfId="534" priority="800" operator="containsText" text="VIGENTE">
      <formula>NOT(ISERROR(SEARCH("VIGENTE",EH152)))</formula>
    </cfRule>
    <cfRule type="containsText" dxfId="533" priority="799" operator="containsText" text="POR VENCER">
      <formula>NOT(ISERROR(SEARCH("POR VENCER",EH152)))</formula>
    </cfRule>
  </conditionalFormatting>
  <conditionalFormatting sqref="EH174">
    <cfRule type="containsText" dxfId="532" priority="797" operator="containsText" text="VIGENTE">
      <formula>NOT(ISERROR(SEARCH("VIGENTE",EH174)))</formula>
    </cfRule>
    <cfRule type="containsText" dxfId="531" priority="796" operator="containsText" text="POR VENCER">
      <formula>NOT(ISERROR(SEARCH("POR VENCER",EH174)))</formula>
    </cfRule>
    <cfRule type="containsText" dxfId="530" priority="795" operator="containsText" text="NO APLICA">
      <formula>NOT(ISERROR(SEARCH("NO APLICA",EH174)))</formula>
    </cfRule>
  </conditionalFormatting>
  <conditionalFormatting sqref="EH180:EH181">
    <cfRule type="containsText" dxfId="529" priority="792" operator="containsText" text="NO APLICA">
      <formula>NOT(ISERROR(SEARCH("NO APLICA",EH180)))</formula>
    </cfRule>
    <cfRule type="containsText" dxfId="528" priority="794" operator="containsText" text="POR VENCER">
      <formula>NOT(ISERROR(SEARCH("POR VENCER",EH180)))</formula>
    </cfRule>
  </conditionalFormatting>
  <conditionalFormatting sqref="EH181">
    <cfRule type="containsText" dxfId="527" priority="793" operator="containsText" text="VIGENTE">
      <formula>NOT(ISERROR(SEARCH("VIGENTE",EH181)))</formula>
    </cfRule>
  </conditionalFormatting>
  <conditionalFormatting sqref="EH188:EH189">
    <cfRule type="containsText" dxfId="526" priority="352" operator="containsText" text="POR VENCER">
      <formula>NOT(ISERROR(SEARCH("POR VENCER",EH188)))</formula>
    </cfRule>
    <cfRule type="containsText" dxfId="525" priority="351" operator="containsText" text="NO APLICA">
      <formula>NOT(ISERROR(SEARCH("NO APLICA",EH188)))</formula>
    </cfRule>
  </conditionalFormatting>
  <conditionalFormatting sqref="EH189">
    <cfRule type="containsText" dxfId="524" priority="791" operator="containsText" text="VIGENTE">
      <formula>NOT(ISERROR(SEARCH("VIGENTE",EH189)))</formula>
    </cfRule>
  </conditionalFormatting>
  <conditionalFormatting sqref="EH193">
    <cfRule type="containsText" dxfId="523" priority="787" operator="containsText" text="POR VENCER">
      <formula>NOT(ISERROR(SEARCH("POR VENCER",EH193)))</formula>
    </cfRule>
    <cfRule type="containsText" dxfId="522" priority="788" operator="containsText" text="VIGENTE">
      <formula>NOT(ISERROR(SEARCH("VIGENTE",EH193)))</formula>
    </cfRule>
    <cfRule type="containsText" dxfId="521" priority="786" operator="containsText" text="NO APLICA">
      <formula>NOT(ISERROR(SEARCH("NO APLICA",EH193)))</formula>
    </cfRule>
  </conditionalFormatting>
  <conditionalFormatting sqref="EH202">
    <cfRule type="containsText" dxfId="520" priority="784" operator="containsText" text="POR VENCER">
      <formula>NOT(ISERROR(SEARCH("POR VENCER",EH202)))</formula>
    </cfRule>
    <cfRule type="containsText" dxfId="519" priority="783" operator="containsText" text="NO APLICA">
      <formula>NOT(ISERROR(SEARCH("NO APLICA",EH202)))</formula>
    </cfRule>
    <cfRule type="containsText" dxfId="518" priority="785" operator="containsText" text="VIGENTE">
      <formula>NOT(ISERROR(SEARCH("VIGENTE",EH202)))</formula>
    </cfRule>
  </conditionalFormatting>
  <conditionalFormatting sqref="EH208">
    <cfRule type="containsText" dxfId="517" priority="782" operator="containsText" text="VIGENTE">
      <formula>NOT(ISERROR(SEARCH("VIGENTE",EH208)))</formula>
    </cfRule>
    <cfRule type="containsText" dxfId="516" priority="781" operator="containsText" text="POR VENCER">
      <formula>NOT(ISERROR(SEARCH("POR VENCER",EH208)))</formula>
    </cfRule>
    <cfRule type="containsText" dxfId="515" priority="780" operator="containsText" text="NO APLICA">
      <formula>NOT(ISERROR(SEARCH("NO APLICA",EH208)))</formula>
    </cfRule>
  </conditionalFormatting>
  <conditionalFormatting sqref="EH219">
    <cfRule type="containsText" dxfId="514" priority="777" operator="containsText" text="NO APLICA">
      <formula>NOT(ISERROR(SEARCH("NO APLICA",EH219)))</formula>
    </cfRule>
    <cfRule type="containsText" dxfId="513" priority="779" operator="containsText" text="VIGENTE">
      <formula>NOT(ISERROR(SEARCH("VIGENTE",EH219)))</formula>
    </cfRule>
    <cfRule type="containsText" dxfId="512" priority="778" operator="containsText" text="POR VENCER">
      <formula>NOT(ISERROR(SEARCH("POR VENCER",EH219)))</formula>
    </cfRule>
  </conditionalFormatting>
  <conditionalFormatting sqref="EH223">
    <cfRule type="containsText" dxfId="511" priority="776" operator="containsText" text="VIGENTE">
      <formula>NOT(ISERROR(SEARCH("VIGENTE",EH223)))</formula>
    </cfRule>
    <cfRule type="containsText" dxfId="510" priority="775" operator="containsText" text="POR VENCER">
      <formula>NOT(ISERROR(SEARCH("POR VENCER",EH223)))</formula>
    </cfRule>
    <cfRule type="containsText" dxfId="509" priority="774" operator="containsText" text="NO APLICA">
      <formula>NOT(ISERROR(SEARCH("NO APLICA",EH223)))</formula>
    </cfRule>
  </conditionalFormatting>
  <conditionalFormatting sqref="EH227">
    <cfRule type="containsText" dxfId="508" priority="773" operator="containsText" text="VIGENTE">
      <formula>NOT(ISERROR(SEARCH("VIGENTE",EH227)))</formula>
    </cfRule>
    <cfRule type="containsText" dxfId="507" priority="772" operator="containsText" text="POR VENCER">
      <formula>NOT(ISERROR(SEARCH("POR VENCER",EH227)))</formula>
    </cfRule>
    <cfRule type="containsText" dxfId="506" priority="771" operator="containsText" text="NO APLICA">
      <formula>NOT(ISERROR(SEARCH("NO APLICA",EH227)))</formula>
    </cfRule>
  </conditionalFormatting>
  <conditionalFormatting sqref="EH232">
    <cfRule type="containsText" dxfId="505" priority="770" operator="containsText" text="VIGENTE">
      <formula>NOT(ISERROR(SEARCH("VIGENTE",EH232)))</formula>
    </cfRule>
    <cfRule type="containsText" dxfId="504" priority="768" operator="containsText" text="NO APLICA">
      <formula>NOT(ISERROR(SEARCH("NO APLICA",EH232)))</formula>
    </cfRule>
    <cfRule type="containsText" dxfId="503" priority="769" operator="containsText" text="POR VENCER">
      <formula>NOT(ISERROR(SEARCH("POR VENCER",EH232)))</formula>
    </cfRule>
  </conditionalFormatting>
  <conditionalFormatting sqref="EH237">
    <cfRule type="containsText" dxfId="502" priority="765" operator="containsText" text="NO APLICA">
      <formula>NOT(ISERROR(SEARCH("NO APLICA",EH237)))</formula>
    </cfRule>
    <cfRule type="containsText" dxfId="501" priority="766" operator="containsText" text="POR VENCER">
      <formula>NOT(ISERROR(SEARCH("POR VENCER",EH237)))</formula>
    </cfRule>
    <cfRule type="containsText" dxfId="500" priority="767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499" priority="405" operator="containsText" text="POR VENCER">
      <formula>NOT(ISERROR(SEARCH("POR VENCER",EH16)))</formula>
    </cfRule>
  </conditionalFormatting>
  <conditionalFormatting sqref="EH131:EI131 EH133:EI139 EH178:EI179">
    <cfRule type="containsText" dxfId="498" priority="291" operator="containsText" text="NO APLICA">
      <formula>NOT(ISERROR(SEARCH("NO APLICA",EH131)))</formula>
    </cfRule>
    <cfRule type="containsText" dxfId="497" priority="293" operator="containsText" text="POR VENCER">
      <formula>NOT(ISERROR(SEARCH("POR VENCER",EH131)))</formula>
    </cfRule>
  </conditionalFormatting>
  <conditionalFormatting sqref="EH131:EI131 EH135:EI135 EH139:EI139 EH178:EI178">
    <cfRule type="containsText" dxfId="496" priority="29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5" priority="40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4" priority="403" operator="containsText" text="VENCIDA">
      <formula>NOT(ISERROR(SEARCH("VENCIDA",EH31)))</formula>
    </cfRule>
  </conditionalFormatting>
  <conditionalFormatting sqref="EH141:EI141 EH160:EI160 EH182:EI182">
    <cfRule type="containsText" dxfId="493" priority="402" operator="containsText" text="VIGENTE">
      <formula>NOT(ISERROR(SEARCH("VIGENTE",EH141)))</formula>
    </cfRule>
  </conditionalFormatting>
  <conditionalFormatting sqref="EM133 EM144 EM150 EM155">
    <cfRule type="containsText" dxfId="492" priority="299" operator="containsText" text="POR VENCER">
      <formula>NOT(ISERROR(SEARCH("POR VENCER",EM133)))</formula>
    </cfRule>
    <cfRule type="containsText" dxfId="491" priority="300" operator="containsText" text="VIGENTE">
      <formula>NOT(ISERROR(SEARCH("VIGENTE",EM133)))</formula>
    </cfRule>
    <cfRule type="containsText" dxfId="490" priority="301" operator="containsText" text="VENCIDA">
      <formula>NOT(ISERROR(SEARCH("VENCIDA",EM133)))</formula>
    </cfRule>
    <cfRule type="containsText" dxfId="489" priority="298" operator="containsText" text="NO APLICA">
      <formula>NOT(ISERROR(SEARCH("NO APLICA",EM133)))</formula>
    </cfRule>
  </conditionalFormatting>
  <conditionalFormatting sqref="EM191 EM221">
    <cfRule type="containsText" dxfId="488" priority="294" operator="containsText" text="NO APLICA">
      <formula>NOT(ISERROR(SEARCH("NO APLICA",EM191)))</formula>
    </cfRule>
    <cfRule type="containsText" dxfId="487" priority="295" operator="containsText" text="POR VENCER">
      <formula>NOT(ISERROR(SEARCH("POR VENCER",EM191)))</formula>
    </cfRule>
    <cfRule type="containsText" dxfId="486" priority="296" operator="containsText" text="VIGENTE">
      <formula>NOT(ISERROR(SEARCH("VIGENTE",EM191)))</formula>
    </cfRule>
    <cfRule type="containsText" dxfId="485" priority="297" operator="containsText" text="VENCIDA">
      <formula>NOT(ISERROR(SEARCH("VENCIDA",EM191)))</formula>
    </cfRule>
  </conditionalFormatting>
  <conditionalFormatting sqref="EN93">
    <cfRule type="containsText" dxfId="484" priority="763" operator="containsText" text="POR VENCER">
      <formula>NOT(ISERROR(SEARCH("POR VENCER",EN93)))</formula>
    </cfRule>
    <cfRule type="containsText" dxfId="483" priority="762" operator="containsText" text="NO APLICA">
      <formula>NOT(ISERROR(SEARCH("NO APLICA",EN93)))</formula>
    </cfRule>
    <cfRule type="containsText" dxfId="482" priority="761" operator="containsText" text="VENCIDA">
      <formula>NOT(ISERROR(SEARCH("VENCIDA",EN93)))</formula>
    </cfRule>
    <cfRule type="containsText" dxfId="481" priority="764" operator="containsText" text="VIGENTE">
      <formula>NOT(ISERROR(SEARCH("VIGENTE",EN93)))</formula>
    </cfRule>
  </conditionalFormatting>
  <conditionalFormatting sqref="EN109:EN110">
    <cfRule type="containsText" dxfId="480" priority="760" operator="containsText" text="VIGENTE">
      <formula>NOT(ISERROR(SEARCH("VIGENTE",EN109)))</formula>
    </cfRule>
    <cfRule type="containsText" dxfId="479" priority="758" operator="containsText" text="NO APLICA">
      <formula>NOT(ISERROR(SEARCH("NO APLICA",EN109)))</formula>
    </cfRule>
    <cfRule type="containsText" dxfId="478" priority="757" operator="containsText" text="VENCIDA">
      <formula>NOT(ISERROR(SEARCH("VENCIDA",EN109)))</formula>
    </cfRule>
    <cfRule type="containsText" dxfId="477" priority="759" operator="containsText" text="POR VENCER">
      <formula>NOT(ISERROR(SEARCH("POR VENCER",EN109)))</formula>
    </cfRule>
  </conditionalFormatting>
  <conditionalFormatting sqref="EN113">
    <cfRule type="containsText" dxfId="476" priority="756" operator="containsText" text="VIGENTE">
      <formula>NOT(ISERROR(SEARCH("VIGENTE",EN113)))</formula>
    </cfRule>
    <cfRule type="containsText" dxfId="475" priority="755" operator="containsText" text="POR VENCER">
      <formula>NOT(ISERROR(SEARCH("POR VENCER",EN113)))</formula>
    </cfRule>
    <cfRule type="containsText" dxfId="474" priority="754" operator="containsText" text="NO APLICA">
      <formula>NOT(ISERROR(SEARCH("NO APLICA",EN113)))</formula>
    </cfRule>
    <cfRule type="containsText" dxfId="473" priority="753" operator="containsText" text="VENCIDA">
      <formula>NOT(ISERROR(SEARCH("VENCIDA",EN113)))</formula>
    </cfRule>
  </conditionalFormatting>
  <conditionalFormatting sqref="EN141">
    <cfRule type="expression" dxfId="472" priority="752">
      <formula>"O7&gt;=91"</formula>
    </cfRule>
  </conditionalFormatting>
  <conditionalFormatting sqref="ER152 ER166 ER174 ER182:ER183">
    <cfRule type="containsText" dxfId="471" priority="181" operator="containsText" text="VENCIDA">
      <formula>NOT(ISERROR(SEARCH("VENCIDA",ER152)))</formula>
    </cfRule>
    <cfRule type="containsText" dxfId="470" priority="180" operator="containsText" text="VIGENTE">
      <formula>NOT(ISERROR(SEARCH("VIGENTE",ER152)))</formula>
    </cfRule>
    <cfRule type="containsText" dxfId="469" priority="179" operator="containsText" text="POR VENCER">
      <formula>NOT(ISERROR(SEARCH("POR VENCER",ER152)))</formula>
    </cfRule>
    <cfRule type="containsText" dxfId="468" priority="178" operator="containsText" text="NO APLICA">
      <formula>NOT(ISERROR(SEARCH("NO APLICA",ER152)))</formula>
    </cfRule>
  </conditionalFormatting>
  <conditionalFormatting sqref="EW16">
    <cfRule type="containsText" dxfId="467" priority="392" operator="containsText" text="VENCIDA">
      <formula>NOT(ISERROR(SEARCH("VENCIDA",EW16)))</formula>
    </cfRule>
    <cfRule type="containsText" dxfId="466" priority="391" operator="containsText" text="VIGENTE">
      <formula>NOT(ISERROR(SEARCH("VIGENTE",EW16)))</formula>
    </cfRule>
  </conditionalFormatting>
  <conditionalFormatting sqref="EW23">
    <cfRule type="containsText" dxfId="465" priority="390" operator="containsText" text="VENCIDA">
      <formula>NOT(ISERROR(SEARCH("VENCIDA",EW23)))</formula>
    </cfRule>
    <cfRule type="containsText" dxfId="464" priority="389" operator="containsText" text="VIGENTE">
      <formula>NOT(ISERROR(SEARCH("VIGENTE",EW23)))</formula>
    </cfRule>
  </conditionalFormatting>
  <conditionalFormatting sqref="EW39:EW53">
    <cfRule type="containsText" dxfId="463" priority="386" operator="containsText" text="NO APLICA">
      <formula>NOT(ISERROR(SEARCH("NO APLICA",EW39)))</formula>
    </cfRule>
  </conditionalFormatting>
  <conditionalFormatting sqref="EW43">
    <cfRule type="containsText" dxfId="462" priority="387" operator="containsText" text="POR VENCER">
      <formula>NOT(ISERROR(SEARCH("POR VENCER",EW43)))</formula>
    </cfRule>
    <cfRule type="containsText" dxfId="461" priority="388" operator="containsText" text="VENCIDA">
      <formula>NOT(ISERROR(SEARCH("VENCIDA",EW43)))</formula>
    </cfRule>
    <cfRule type="containsText" dxfId="460" priority="385" operator="containsText" text="VIGENTE">
      <formula>NOT(ISERROR(SEARCH("VIGENTE",EW43)))</formula>
    </cfRule>
  </conditionalFormatting>
  <conditionalFormatting sqref="EW45 EW83 EW91">
    <cfRule type="containsText" dxfId="459" priority="234" operator="containsText" text="NO APLICA">
      <formula>NOT(ISERROR(SEARCH("NO APLICA",EW45)))</formula>
    </cfRule>
    <cfRule type="containsText" dxfId="458" priority="236" operator="containsText" text="VENCIDA">
      <formula>NOT(ISERROR(SEARCH("VENCIDA",EW45)))</formula>
    </cfRule>
    <cfRule type="containsText" dxfId="457" priority="235" operator="containsText" text="POR VENCER">
      <formula>NOT(ISERROR(SEARCH("POR VENCER",EW45)))</formula>
    </cfRule>
  </conditionalFormatting>
  <conditionalFormatting sqref="EW54">
    <cfRule type="containsText" dxfId="456" priority="381" operator="containsText" text="VIGENTE">
      <formula>NOT(ISERROR(SEARCH("VIGENTE",EW54)))</formula>
    </cfRule>
    <cfRule type="containsText" dxfId="455" priority="383" operator="containsText" text="POR VENCER">
      <formula>NOT(ISERROR(SEARCH("POR VENCER",EW54)))</formula>
    </cfRule>
    <cfRule type="containsText" dxfId="454" priority="384" operator="containsText" text="VENCIDA">
      <formula>NOT(ISERROR(SEARCH("VENCIDA",EW54)))</formula>
    </cfRule>
  </conditionalFormatting>
  <conditionalFormatting sqref="EW54:EW64">
    <cfRule type="containsText" dxfId="453" priority="382" operator="containsText" text="NO APLICA">
      <formula>NOT(ISERROR(SEARCH("NO APLICA",EW54)))</formula>
    </cfRule>
  </conditionalFormatting>
  <conditionalFormatting sqref="EW65">
    <cfRule type="containsText" dxfId="452" priority="379" operator="containsText" text="POR VENCER">
      <formula>NOT(ISERROR(SEARCH("POR VENCER",EW65)))</formula>
    </cfRule>
    <cfRule type="containsText" dxfId="451" priority="380" operator="containsText" text="VENCIDA">
      <formula>NOT(ISERROR(SEARCH("VENCIDA",EW65)))</formula>
    </cfRule>
    <cfRule type="containsText" dxfId="450" priority="377" operator="containsText" text="VIGENTE">
      <formula>NOT(ISERROR(SEARCH("VIGENTE",EW65)))</formula>
    </cfRule>
  </conditionalFormatting>
  <conditionalFormatting sqref="EW65:EW112">
    <cfRule type="containsText" dxfId="449" priority="378" operator="containsText" text="NO APLICA">
      <formula>NOT(ISERROR(SEARCH("NO APLICA",EW65)))</formula>
    </cfRule>
  </conditionalFormatting>
  <conditionalFormatting sqref="EW99 EW112 EW115">
    <cfRule type="containsText" dxfId="448" priority="231" operator="containsText" text="NO APLICA">
      <formula>NOT(ISERROR(SEARCH("NO APLICA",EW99)))</formula>
    </cfRule>
    <cfRule type="containsText" dxfId="447" priority="232" operator="containsText" text="POR VENCER">
      <formula>NOT(ISERROR(SEARCH("POR VENCER",EW99)))</formula>
    </cfRule>
    <cfRule type="containsText" dxfId="446" priority="233" operator="containsText" text="VENCIDA">
      <formula>NOT(ISERROR(SEARCH("VENCIDA",EW99)))</formula>
    </cfRule>
  </conditionalFormatting>
  <conditionalFormatting sqref="EW113:EW114">
    <cfRule type="containsText" dxfId="445" priority="372" operator="containsText" text="VENCIDA">
      <formula>NOT(ISERROR(SEARCH("VENCIDA",EW113)))</formula>
    </cfRule>
    <cfRule type="containsText" dxfId="444" priority="371" operator="containsText" text="POR VENCER">
      <formula>NOT(ISERROR(SEARCH("POR VENCER",EW113)))</formula>
    </cfRule>
    <cfRule type="containsText" dxfId="443" priority="369" operator="containsText" text="VIGENTE">
      <formula>NOT(ISERROR(SEARCH("VIGENTE",EW113)))</formula>
    </cfRule>
  </conditionalFormatting>
  <conditionalFormatting sqref="EW113:EW129">
    <cfRule type="containsText" dxfId="442" priority="370" operator="containsText" text="NO APLICA">
      <formula>NOT(ISERROR(SEARCH("NO APLICA",EW113)))</formula>
    </cfRule>
  </conditionalFormatting>
  <conditionalFormatting sqref="EW152">
    <cfRule type="containsText" dxfId="441" priority="366" operator="containsText" text="NO APLICA">
      <formula>NOT(ISERROR(SEARCH("NO APLICA",EW152)))</formula>
    </cfRule>
    <cfRule type="containsText" dxfId="440" priority="365" operator="containsText" text="VIGENTE">
      <formula>NOT(ISERROR(SEARCH("VIGENTE",EW152)))</formula>
    </cfRule>
    <cfRule type="containsText" dxfId="439" priority="368" operator="containsText" text="VENCIDA">
      <formula>NOT(ISERROR(SEARCH("VENCIDA",EW152)))</formula>
    </cfRule>
    <cfRule type="containsText" dxfId="438" priority="367" operator="containsText" text="POR VENCER">
      <formula>NOT(ISERROR(SEARCH("POR VENCER",EW152)))</formula>
    </cfRule>
  </conditionalFormatting>
  <conditionalFormatting sqref="EW159">
    <cfRule type="containsText" dxfId="437" priority="364" operator="containsText" text="VENCIDA">
      <formula>NOT(ISERROR(SEARCH("VENCIDA",EW159)))</formula>
    </cfRule>
    <cfRule type="containsText" dxfId="436" priority="361" operator="containsText" text="VIGENTE">
      <formula>NOT(ISERROR(SEARCH("VIGENTE",EW159)))</formula>
    </cfRule>
    <cfRule type="containsText" dxfId="435" priority="362" operator="containsText" text="NO APLICA">
      <formula>NOT(ISERROR(SEARCH("NO APLICA",EW159)))</formula>
    </cfRule>
    <cfRule type="containsText" dxfId="434" priority="363" operator="containsText" text="POR VENCER">
      <formula>NOT(ISERROR(SEARCH("POR VENCER",EW159)))</formula>
    </cfRule>
  </conditionalFormatting>
  <conditionalFormatting sqref="EW173">
    <cfRule type="containsText" dxfId="433" priority="360" operator="containsText" text="VENCIDA">
      <formula>NOT(ISERROR(SEARCH("VENCIDA",EW173)))</formula>
    </cfRule>
    <cfRule type="containsText" dxfId="432" priority="358" operator="containsText" text="NO APLICA">
      <formula>NOT(ISERROR(SEARCH("NO APLICA",EW173)))</formula>
    </cfRule>
    <cfRule type="containsText" dxfId="431" priority="357" operator="containsText" text="VIGENTE">
      <formula>NOT(ISERROR(SEARCH("VIGENTE",EW173)))</formula>
    </cfRule>
    <cfRule type="containsText" dxfId="430" priority="359" operator="containsText" text="POR VENCER">
      <formula>NOT(ISERROR(SEARCH("POR VENCER",EW173)))</formula>
    </cfRule>
  </conditionalFormatting>
  <conditionalFormatting sqref="FG39:FG54">
    <cfRule type="containsText" dxfId="429" priority="334" operator="containsText" text="NO APLICA">
      <formula>NOT(ISERROR(SEARCH("NO APLICA",FG39)))</formula>
    </cfRule>
  </conditionalFormatting>
  <conditionalFormatting sqref="FG54">
    <cfRule type="containsText" dxfId="428" priority="336" operator="containsText" text="VENCIDA">
      <formula>NOT(ISERROR(SEARCH("VENCIDA",FG54)))</formula>
    </cfRule>
    <cfRule type="containsText" dxfId="427" priority="335" operator="containsText" text="POR VENCER">
      <formula>NOT(ISERROR(SEARCH("POR VENCER",FG54)))</formula>
    </cfRule>
    <cfRule type="containsText" dxfId="426" priority="333" operator="containsText" text="VIGENTE">
      <formula>NOT(ISERROR(SEARCH("VIGENTE",FG54)))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5" priority="75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4" priority="91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3" priority="750" operator="containsText" text="VIGENTE">
      <formula>NOT(ISERROR(SEARCH("VIGENTE",AK4)))</formula>
    </cfRule>
  </conditionalFormatting>
  <conditionalFormatting sqref="FV48:FV62">
    <cfRule type="containsText" dxfId="422" priority="74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1" priority="748">
      <formula>"O7&gt;=91"</formula>
    </cfRule>
  </conditionalFormatting>
  <conditionalFormatting sqref="FV115">
    <cfRule type="expression" dxfId="420" priority="747">
      <formula>"O7&gt;=91"</formula>
    </cfRule>
  </conditionalFormatting>
  <conditionalFormatting sqref="FV118">
    <cfRule type="expression" dxfId="419" priority="746">
      <formula>"O7&gt;=91"</formula>
    </cfRule>
  </conditionalFormatting>
  <conditionalFormatting sqref="FV126">
    <cfRule type="expression" dxfId="418" priority="745">
      <formula>"O7&gt;=91"</formula>
    </cfRule>
  </conditionalFormatting>
  <conditionalFormatting sqref="FV141 FV143">
    <cfRule type="containsText" dxfId="417" priority="536" operator="containsText" text="NO APLICA">
      <formula>NOT(ISERROR(SEARCH("NO APLICA",FV141)))</formula>
    </cfRule>
    <cfRule type="containsText" dxfId="416" priority="539" operator="containsText" text="VENCIDA">
      <formula>NOT(ISERROR(SEARCH("VENCIDA",FV141)))</formula>
    </cfRule>
    <cfRule type="containsText" dxfId="415" priority="538" operator="containsText" text="VIGENTE">
      <formula>NOT(ISERROR(SEARCH("VIGENTE",FV141)))</formula>
    </cfRule>
    <cfRule type="containsText" dxfId="414" priority="537" operator="containsText" text="POR VENCER">
      <formula>NOT(ISERROR(SEARCH("POR VENCER",FV141)))</formula>
    </cfRule>
  </conditionalFormatting>
  <conditionalFormatting sqref="FV180">
    <cfRule type="containsText" dxfId="413" priority="742" operator="containsText" text="VENCIDA">
      <formula>NOT(ISERROR(SEARCH("VENCIDA",FV180)))</formula>
    </cfRule>
    <cfRule type="containsText" dxfId="412" priority="743" operator="containsText" text="VIGENTE">
      <formula>NOT(ISERROR(SEARCH("VIGENTE",FV180)))</formula>
    </cfRule>
    <cfRule type="containsText" dxfId="411" priority="744" operator="containsText" text="NO APLICA">
      <formula>NOT(ISERROR(SEARCH("NO APLICA",FV180)))</formula>
    </cfRule>
  </conditionalFormatting>
  <conditionalFormatting sqref="FW103 FW106 FW113:FW114 FW127">
    <cfRule type="expression" dxfId="410" priority="741">
      <formula>"O7&gt;=91"</formula>
    </cfRule>
  </conditionalFormatting>
  <conditionalFormatting sqref="FW116 FW119 FW122 FW124:FW125 FV130:FV132 FV134:FV136 FV137:FW138 FV139:FV140 FV142 FV144:FV149 FV151:FV154 FV156:FV158">
    <cfRule type="expression" dxfId="409" priority="740">
      <formula>"O7&gt;=91"</formula>
    </cfRule>
  </conditionalFormatting>
  <conditionalFormatting sqref="GA36:GA37 GA172">
    <cfRule type="containsText" dxfId="408" priority="534" operator="containsText" text="VIGENTE">
      <formula>NOT(ISERROR(SEARCH("VIGENTE",GA36)))</formula>
    </cfRule>
  </conditionalFormatting>
  <conditionalFormatting sqref="GA37 GA172">
    <cfRule type="containsText" dxfId="407" priority="533" operator="containsText" text="POR VENCER">
      <formula>NOT(ISERROR(SEARCH("POR VENCER",GA37)))</formula>
    </cfRule>
    <cfRule type="containsText" dxfId="406" priority="535" operator="containsText" text="VENCIDA">
      <formula>NOT(ISERROR(SEARCH("VENCIDA",GA37)))</formula>
    </cfRule>
    <cfRule type="containsText" dxfId="405" priority="532" operator="containsText" text="NO APLICA">
      <formula>NOT(ISERROR(SEARCH("NO APLICA",GA37)))</formula>
    </cfRule>
  </conditionalFormatting>
  <conditionalFormatting sqref="GA39:GA41">
    <cfRule type="containsText" dxfId="404" priority="264" operator="containsText" text="VIGENTE">
      <formula>NOT(ISERROR(SEARCH("VIGENTE",GA39)))</formula>
    </cfRule>
  </conditionalFormatting>
  <conditionalFormatting sqref="GA40:GA41">
    <cfRule type="containsText" dxfId="403" priority="265" operator="containsText" text="VENCIDA">
      <formula>NOT(ISERROR(SEARCH("VENCIDA",GA40)))</formula>
    </cfRule>
    <cfRule type="containsText" dxfId="402" priority="263" operator="containsText" text="POR VENCER">
      <formula>NOT(ISERROR(SEARCH("POR VENCER",GA40)))</formula>
    </cfRule>
    <cfRule type="containsText" dxfId="401" priority="262" operator="containsText" text="NO APLICA">
      <formula>NOT(ISERROR(SEARCH("NO APLICA",GA40)))</formula>
    </cfRule>
  </conditionalFormatting>
  <conditionalFormatting sqref="GA43:GA46">
    <cfRule type="containsText" dxfId="400" priority="259" operator="containsText" text="NO APLICA">
      <formula>NOT(ISERROR(SEARCH("NO APLICA",GA43)))</formula>
    </cfRule>
  </conditionalFormatting>
  <conditionalFormatting sqref="GA46">
    <cfRule type="containsText" dxfId="399" priority="260" operator="containsText" text="POR VENCER">
      <formula>NOT(ISERROR(SEARCH("POR VENCER",GA46)))</formula>
    </cfRule>
    <cfRule type="containsText" dxfId="398" priority="261" operator="containsText" text="VENCIDA">
      <formula>NOT(ISERROR(SEARCH("VENCIDA",GA46)))</formula>
    </cfRule>
  </conditionalFormatting>
  <conditionalFormatting sqref="GA134">
    <cfRule type="containsText" dxfId="397" priority="257" operator="containsText" text="VIGENTE">
      <formula>NOT(ISERROR(SEARCH("VIGENTE",GA134)))</formula>
    </cfRule>
    <cfRule type="containsText" dxfId="396" priority="255" operator="containsText" text="NO APLICA">
      <formula>NOT(ISERROR(SEARCH("NO APLICA",GA134)))</formula>
    </cfRule>
    <cfRule type="containsText" dxfId="395" priority="256" operator="containsText" text="POR VENCER">
      <formula>NOT(ISERROR(SEARCH("POR VENCER",GA134)))</formula>
    </cfRule>
    <cfRule type="containsText" dxfId="394" priority="258" operator="containsText" text="VENCIDA">
      <formula>NOT(ISERROR(SEARCH("VENCIDA",GA134)))</formula>
    </cfRule>
  </conditionalFormatting>
  <conditionalFormatting sqref="GA152">
    <cfRule type="containsText" dxfId="393" priority="252" operator="containsText" text="POR VENCER">
      <formula>NOT(ISERROR(SEARCH("POR VENCER",GA152)))</formula>
    </cfRule>
    <cfRule type="containsText" dxfId="392" priority="253" operator="containsText" text="VIGENTE">
      <formula>NOT(ISERROR(SEARCH("VIGENTE",GA152)))</formula>
    </cfRule>
    <cfRule type="containsText" dxfId="391" priority="254" operator="containsText" text="VENCIDA">
      <formula>NOT(ISERROR(SEARCH("VENCIDA",GA152)))</formula>
    </cfRule>
    <cfRule type="containsText" dxfId="390" priority="251" operator="containsText" text="NO APLICA">
      <formula>NOT(ISERROR(SEARCH("NO APLICA",GA152)))</formula>
    </cfRule>
  </conditionalFormatting>
  <conditionalFormatting sqref="GA182">
    <cfRule type="containsText" dxfId="389" priority="249" operator="containsText" text="VIGENTE">
      <formula>NOT(ISERROR(SEARCH("VIGENTE",GA182)))</formula>
    </cfRule>
    <cfRule type="containsText" dxfId="388" priority="248" operator="containsText" text="POR VENCER">
      <formula>NOT(ISERROR(SEARCH("POR VENCER",GA182)))</formula>
    </cfRule>
    <cfRule type="containsText" dxfId="387" priority="247" operator="containsText" text="NO APLICA">
      <formula>NOT(ISERROR(SEARCH("NO APLICA",GA182)))</formula>
    </cfRule>
    <cfRule type="containsText" dxfId="386" priority="250" operator="containsText" text="VENCIDA">
      <formula>NOT(ISERROR(SEARCH("VENCIDA",GA182)))</formula>
    </cfRule>
  </conditionalFormatting>
  <conditionalFormatting sqref="GA239:GA240">
    <cfRule type="expression" dxfId="385" priority="49">
      <formula>"O7&gt;=91"</formula>
    </cfRule>
  </conditionalFormatting>
  <conditionalFormatting sqref="GK4 GK6:GK22 GK30:GK31 GK33:GK37 GK80:GK85">
    <cfRule type="containsText" dxfId="384" priority="738" operator="containsText" text="VENCIDA">
      <formula>NOT(ISERROR(SEARCH("VENCIDA",GK4)))</formula>
    </cfRule>
  </conditionalFormatting>
  <conditionalFormatting sqref="GK4 GK30:GK31 GK33:GK37 GK80:GK85 GK6:GK22">
    <cfRule type="containsText" dxfId="383" priority="737" operator="containsText" text="VIGENTE">
      <formula>NOT(ISERROR(SEARCH("VIGENTE",GK4)))</formula>
    </cfRule>
  </conditionalFormatting>
  <conditionalFormatting sqref="GK4 GK30:GK31 GK33:GK37 GK80:GK85">
    <cfRule type="containsText" dxfId="382" priority="736" operator="containsText" text="POR VENCER">
      <formula>NOT(ISERROR(SEARCH("POR VENCER",GK4)))</formula>
    </cfRule>
    <cfRule type="containsText" dxfId="381" priority="735" operator="containsText" text="NO APLICA">
      <formula>NOT(ISERROR(SEARCH("NO APLICA",GK4)))</formula>
    </cfRule>
  </conditionalFormatting>
  <conditionalFormatting sqref="GK6:GK22">
    <cfRule type="containsText" dxfId="380" priority="733" operator="containsText" text="NO APLICA">
      <formula>NOT(ISERROR(SEARCH("NO APLICA",GK6)))</formula>
    </cfRule>
    <cfRule type="containsText" dxfId="379" priority="734" operator="containsText" text="POR VENCER">
      <formula>NOT(ISERROR(SEARCH("POR VENCER",GK6)))</formula>
    </cfRule>
  </conditionalFormatting>
  <conditionalFormatting sqref="GK23">
    <cfRule type="expression" dxfId="378" priority="732">
      <formula>"O7&gt;=91"</formula>
    </cfRule>
  </conditionalFormatting>
  <conditionalFormatting sqref="GK29 GK79 GK143:GL143 GK145:GK150 GK151:GL156 GK158:GL158">
    <cfRule type="expression" dxfId="377" priority="731">
      <formula>"O7&gt;=91"</formula>
    </cfRule>
  </conditionalFormatting>
  <conditionalFormatting sqref="GK32">
    <cfRule type="expression" dxfId="376" priority="730">
      <formula>"O7&gt;=91"</formula>
    </cfRule>
  </conditionalFormatting>
  <conditionalFormatting sqref="GK39:GK78">
    <cfRule type="containsText" dxfId="375" priority="176" operator="containsText" text="VIGENTE">
      <formula>NOT(ISERROR(SEARCH("VIGENTE",GK39)))</formula>
    </cfRule>
    <cfRule type="containsText" dxfId="374" priority="174" operator="containsText" text="NO APLICA">
      <formula>NOT(ISERROR(SEARCH("NO APLICA",GK39)))</formula>
    </cfRule>
  </conditionalFormatting>
  <conditionalFormatting sqref="GK45">
    <cfRule type="containsText" dxfId="373" priority="177" operator="containsText" text="VENCIDA">
      <formula>NOT(ISERROR(SEARCH("VENCIDA",GK45)))</formula>
    </cfRule>
    <cfRule type="containsText" dxfId="372" priority="175" operator="containsText" text="POR VENCER">
      <formula>NOT(ISERROR(SEARCH("POR VENCER",GK45)))</formula>
    </cfRule>
  </conditionalFormatting>
  <conditionalFormatting sqref="GK86">
    <cfRule type="expression" dxfId="371" priority="729">
      <formula>"O7&gt;=91"</formula>
    </cfRule>
  </conditionalFormatting>
  <conditionalFormatting sqref="GK87:GK129">
    <cfRule type="containsText" dxfId="370" priority="170" operator="containsText" text="NO APLICA">
      <formula>NOT(ISERROR(SEARCH("NO APLICA",GK87)))</formula>
    </cfRule>
    <cfRule type="containsText" dxfId="369" priority="171" operator="containsText" text="POR VENCER">
      <formula>NOT(ISERROR(SEARCH("POR VENCER",GK87)))</formula>
    </cfRule>
    <cfRule type="containsText" dxfId="368" priority="172" operator="containsText" text="VIGENTE">
      <formula>NOT(ISERROR(SEARCH("VIGENTE",GK87)))</formula>
    </cfRule>
    <cfRule type="containsText" dxfId="367" priority="173" operator="containsText" text="VENCIDA">
      <formula>NOT(ISERROR(SEARCH("VENCIDA",GK87)))</formula>
    </cfRule>
  </conditionalFormatting>
  <conditionalFormatting sqref="GK142 GK144">
    <cfRule type="containsText" dxfId="366" priority="166" operator="containsText" text="NO APLICA">
      <formula>NOT(ISERROR(SEARCH("NO APLICA",GK142)))</formula>
    </cfRule>
    <cfRule type="containsText" dxfId="365" priority="167" operator="containsText" text="POR VENCER">
      <formula>NOT(ISERROR(SEARCH("POR VENCER",GK142)))</formula>
    </cfRule>
    <cfRule type="containsText" dxfId="364" priority="168" operator="containsText" text="VIGENTE">
      <formula>NOT(ISERROR(SEARCH("VIGENTE",GK142)))</formula>
    </cfRule>
    <cfRule type="containsText" dxfId="363" priority="169" operator="containsText" text="VENCIDA">
      <formula>NOT(ISERROR(SEARCH("VENCIDA",GK142)))</formula>
    </cfRule>
  </conditionalFormatting>
  <conditionalFormatting sqref="GK157 GK175 GK191">
    <cfRule type="containsText" dxfId="362" priority="163" operator="containsText" text="POR VENCER">
      <formula>NOT(ISERROR(SEARCH("POR VENCER",GK157)))</formula>
    </cfRule>
    <cfRule type="containsText" dxfId="361" priority="162" operator="containsText" text="NO APLICA">
      <formula>NOT(ISERROR(SEARCH("NO APLICA",GK157)))</formula>
    </cfRule>
    <cfRule type="containsText" dxfId="360" priority="164" operator="containsText" text="VIGENTE">
      <formula>NOT(ISERROR(SEARCH("VIGENTE",GK157)))</formula>
    </cfRule>
    <cfRule type="containsText" dxfId="359" priority="165" operator="containsText" text="VENCIDA">
      <formula>NOT(ISERROR(SEARCH("VENCIDA",GK157)))</formula>
    </cfRule>
  </conditionalFormatting>
  <conditionalFormatting sqref="GK180">
    <cfRule type="containsText" dxfId="358" priority="728" operator="containsText" text="VIGENTE">
      <formula>NOT(ISERROR(SEARCH("VIGENTE",GK180)))</formula>
    </cfRule>
    <cfRule type="containsText" dxfId="357" priority="727" operator="containsText" text="POR VENCER">
      <formula>NOT(ISERROR(SEARCH("POR VENCER",GK180)))</formula>
    </cfRule>
  </conditionalFormatting>
  <conditionalFormatting sqref="GL13:GL14 GK130:GK133">
    <cfRule type="expression" dxfId="356" priority="726">
      <formula>"O7&gt;=91"</formula>
    </cfRule>
  </conditionalFormatting>
  <conditionalFormatting sqref="GL16:GL24 GL26:GL37 GL52:GL96 CJ57:CJ158 GL98 GL101 GL103:GL106 GL108:GL109 GL111 GL113:GL115">
    <cfRule type="expression" dxfId="355" priority="725">
      <formula>"O7&gt;=91"</formula>
    </cfRule>
  </conditionalFormatting>
  <conditionalFormatting sqref="GL39:GL44 GL117:GL127 GL131:GL132 GK134:GL141 GL145 GL172:GL173 GL178 GL182 GL186">
    <cfRule type="expression" dxfId="354" priority="348">
      <formula>"O7&gt;=91"</formula>
    </cfRule>
  </conditionalFormatting>
  <conditionalFormatting sqref="GL46 GL48:GL50 F135 F137:F140 F142:F145 F147:F152 F154:F162">
    <cfRule type="expression" dxfId="353" priority="1042">
      <formula>"O7&gt;=91"</formula>
    </cfRule>
  </conditionalFormatting>
  <conditionalFormatting sqref="GL129">
    <cfRule type="expression" dxfId="352" priority="724">
      <formula>"O7&gt;=91"</formula>
    </cfRule>
  </conditionalFormatting>
  <conditionalFormatting sqref="GL147 GL180">
    <cfRule type="expression" dxfId="351" priority="105">
      <formula>"O7&gt;=91"</formula>
    </cfRule>
  </conditionalFormatting>
  <conditionalFormatting sqref="GL149:GL150 GL238">
    <cfRule type="expression" dxfId="350" priority="157">
      <formula>"O7&gt;=91"</formula>
    </cfRule>
  </conditionalFormatting>
  <conditionalFormatting sqref="GO4:GO240">
    <cfRule type="containsText" dxfId="349" priority="723" operator="containsText" text="NO APLICA">
      <formula>NOT(ISERROR(SEARCH("NO APLICA",GO4)))</formula>
    </cfRule>
  </conditionalFormatting>
  <conditionalFormatting sqref="GP132:GP133">
    <cfRule type="expression" dxfId="348" priority="722">
      <formula>"O7&gt;=91"</formula>
    </cfRule>
  </conditionalFormatting>
  <conditionalFormatting sqref="GT73">
    <cfRule type="containsText" dxfId="347" priority="427" operator="containsText" text="NO APLICA">
      <formula>NOT(ISERROR(SEARCH("NO APLICA",GT73)))</formula>
    </cfRule>
    <cfRule type="containsText" dxfId="346" priority="431" operator="containsText" text="VIGENTE">
      <formula>NOT(ISERROR(SEARCH("VIGENTE",GT73)))</formula>
    </cfRule>
    <cfRule type="containsText" dxfId="345" priority="432" operator="containsText" text="NO APLICA">
      <formula>NOT(ISERROR(SEARCH("NO APLICA",GT73)))</formula>
    </cfRule>
    <cfRule type="containsText" dxfId="344" priority="426" operator="containsText" text="VIGENTE">
      <formula>NOT(ISERROR(SEARCH("VIGENTE",GT73)))</formula>
    </cfRule>
    <cfRule type="containsText" dxfId="343" priority="435" operator="containsText" text="PROGRAMAR">
      <formula>NOT(ISERROR(SEARCH("PROGRAMAR",GT73)))</formula>
    </cfRule>
    <cfRule type="containsText" dxfId="342" priority="434" operator="containsText" text="VENCIDA">
      <formula>NOT(ISERROR(SEARCH("VENCIDA",GT73)))</formula>
    </cfRule>
    <cfRule type="containsText" dxfId="341" priority="428" operator="containsText" text="POR VENCER">
      <formula>NOT(ISERROR(SEARCH("POR VENCER",GT73)))</formula>
    </cfRule>
    <cfRule type="containsText" dxfId="340" priority="433" operator="containsText" text="POR VENCER">
      <formula>NOT(ISERROR(SEARCH("POR VENCER",GT73)))</formula>
    </cfRule>
    <cfRule type="containsText" dxfId="339" priority="429" operator="containsText" text="VENCIDA">
      <formula>NOT(ISERROR(SEARCH("VENCIDA",GT73)))</formula>
    </cfRule>
    <cfRule type="containsText" dxfId="338" priority="430" operator="containsText" text="PROGRAMAR">
      <formula>NOT(ISERROR(SEARCH("PROGRAMAR",GT73)))</formula>
    </cfRule>
  </conditionalFormatting>
  <conditionalFormatting sqref="GT109 GT176">
    <cfRule type="containsText" dxfId="337" priority="417" operator="containsText" text="NO APLICA">
      <formula>NOT(ISERROR(SEARCH("NO APLICA",GT109)))</formula>
    </cfRule>
    <cfRule type="containsText" dxfId="336" priority="411" operator="containsText" text="VIGENTE">
      <formula>NOT(ISERROR(SEARCH("VIGENTE",GT109)))</formula>
    </cfRule>
    <cfRule type="containsText" dxfId="335" priority="415" operator="containsText" text="PROGRAMAR">
      <formula>NOT(ISERROR(SEARCH("PROGRAMAR",GT109)))</formula>
    </cfRule>
    <cfRule type="containsText" dxfId="334" priority="410" operator="containsText" text="PROGRAMAR">
      <formula>NOT(ISERROR(SEARCH("PROGRAMAR",GT109)))</formula>
    </cfRule>
    <cfRule type="containsText" dxfId="333" priority="406" operator="containsText" text="VIGENTE">
      <formula>NOT(ISERROR(SEARCH("VIGENTE",GT109)))</formula>
    </cfRule>
    <cfRule type="containsText" dxfId="332" priority="412" operator="containsText" text="NO APLICA">
      <formula>NOT(ISERROR(SEARCH("NO APLICA",GT109)))</formula>
    </cfRule>
    <cfRule type="containsText" dxfId="331" priority="413" operator="containsText" text="POR VENCER">
      <formula>NOT(ISERROR(SEARCH("POR VENCER",GT109)))</formula>
    </cfRule>
    <cfRule type="containsText" dxfId="330" priority="407" operator="containsText" text="NO APLICA">
      <formula>NOT(ISERROR(SEARCH("NO APLICA",GT109)))</formula>
    </cfRule>
    <cfRule type="containsText" dxfId="329" priority="408" operator="containsText" text="POR VENCER">
      <formula>NOT(ISERROR(SEARCH("POR VENCER",GT109)))</formula>
    </cfRule>
    <cfRule type="containsText" dxfId="328" priority="409" operator="containsText" text="VENCIDA">
      <formula>NOT(ISERROR(SEARCH("VENCIDA",GT109)))</formula>
    </cfRule>
    <cfRule type="containsText" dxfId="327" priority="414" operator="containsText" text="VENCIDA">
      <formula>NOT(ISERROR(SEARCH("VENCIDA",GT109)))</formula>
    </cfRule>
    <cfRule type="containsText" dxfId="326" priority="420" operator="containsText" text="PROGRAMAR">
      <formula>NOT(ISERROR(SEARCH("PROGRAMAR",GT109)))</formula>
    </cfRule>
    <cfRule type="containsText" dxfId="325" priority="425" operator="containsText" text="PROGRAMAR">
      <formula>NOT(ISERROR(SEARCH("PROGRAMAR",GT109)))</formula>
    </cfRule>
    <cfRule type="containsText" dxfId="324" priority="424" operator="containsText" text="VENCIDA">
      <formula>NOT(ISERROR(SEARCH("VENCIDA",GT109)))</formula>
    </cfRule>
    <cfRule type="containsText" dxfId="323" priority="423" operator="containsText" text="POR VENCER">
      <formula>NOT(ISERROR(SEARCH("POR VENCER",GT109)))</formula>
    </cfRule>
    <cfRule type="containsText" dxfId="322" priority="422" operator="containsText" text="NO APLICA">
      <formula>NOT(ISERROR(SEARCH("NO APLICA",GT109)))</formula>
    </cfRule>
    <cfRule type="containsText" dxfId="321" priority="421" operator="containsText" text="VIGENTE">
      <formula>NOT(ISERROR(SEARCH("VIGENTE",GT109)))</formula>
    </cfRule>
    <cfRule type="containsText" dxfId="320" priority="418" operator="containsText" text="POR VENCER">
      <formula>NOT(ISERROR(SEARCH("POR VENCER",GT109)))</formula>
    </cfRule>
    <cfRule type="containsText" dxfId="319" priority="419" operator="containsText" text="VENCIDA">
      <formula>NOT(ISERROR(SEARCH("VENCIDA",GT109)))</formula>
    </cfRule>
    <cfRule type="containsText" dxfId="318" priority="416" operator="containsText" text="VIGENTE">
      <formula>NOT(ISERROR(SEARCH("VIGENTE",GT109)))</formula>
    </cfRule>
  </conditionalFormatting>
  <conditionalFormatting sqref="GY73">
    <cfRule type="containsText" dxfId="317" priority="459" operator="containsText" text="VENCIDA">
      <formula>NOT(ISERROR(SEARCH("VENCIDA",GY73)))</formula>
    </cfRule>
    <cfRule type="containsText" dxfId="316" priority="460" operator="containsText" text="PROGRAMAR">
      <formula>NOT(ISERROR(SEARCH("PROGRAMAR",GY73)))</formula>
    </cfRule>
    <cfRule type="containsText" dxfId="315" priority="461" operator="containsText" text="VIGENTE">
      <formula>NOT(ISERROR(SEARCH("VIGENTE",GY73)))</formula>
    </cfRule>
    <cfRule type="containsText" dxfId="314" priority="462" operator="containsText" text="NO APLICA">
      <formula>NOT(ISERROR(SEARCH("NO APLICA",GY73)))</formula>
    </cfRule>
    <cfRule type="containsText" dxfId="313" priority="464" operator="containsText" text="VENCIDA">
      <formula>NOT(ISERROR(SEARCH("VENCIDA",GY73)))</formula>
    </cfRule>
    <cfRule type="containsText" dxfId="312" priority="465" operator="containsText" text="PROGRAMAR">
      <formula>NOT(ISERROR(SEARCH("PROGRAMAR",GY73)))</formula>
    </cfRule>
    <cfRule type="containsText" dxfId="311" priority="463" operator="containsText" text="POR VENCER">
      <formula>NOT(ISERROR(SEARCH("POR VENCER",GY73)))</formula>
    </cfRule>
    <cfRule type="containsText" dxfId="310" priority="456" operator="containsText" text="VIGENTE">
      <formula>NOT(ISERROR(SEARCH("VIGENTE",GY73)))</formula>
    </cfRule>
    <cfRule type="containsText" dxfId="309" priority="457" operator="containsText" text="NO APLICA">
      <formula>NOT(ISERROR(SEARCH("NO APLICA",GY73)))</formula>
    </cfRule>
    <cfRule type="containsText" dxfId="308" priority="458" operator="containsText" text="POR VENCER">
      <formula>NOT(ISERROR(SEARCH("POR VENCER",GY73)))</formula>
    </cfRule>
  </conditionalFormatting>
  <conditionalFormatting sqref="GY106 GY109 GY116 GY176">
    <cfRule type="containsText" dxfId="307" priority="446" operator="containsText" text="VIGENTE">
      <formula>NOT(ISERROR(SEARCH("VIGENTE",GY106)))</formula>
    </cfRule>
    <cfRule type="containsText" dxfId="306" priority="447" operator="containsText" text="NO APLICA">
      <formula>NOT(ISERROR(SEARCH("NO APLICA",GY106)))</formula>
    </cfRule>
    <cfRule type="containsText" dxfId="305" priority="449" operator="containsText" text="VENCIDA">
      <formula>NOT(ISERROR(SEARCH("VENCIDA",GY106)))</formula>
    </cfRule>
    <cfRule type="containsText" dxfId="304" priority="451" operator="containsText" text="VIGENTE">
      <formula>NOT(ISERROR(SEARCH("VIGENTE",GY106)))</formula>
    </cfRule>
    <cfRule type="containsText" dxfId="303" priority="452" operator="containsText" text="NO APLICA">
      <formula>NOT(ISERROR(SEARCH("NO APLICA",GY106)))</formula>
    </cfRule>
    <cfRule type="containsText" dxfId="302" priority="453" operator="containsText" text="POR VENCER">
      <formula>NOT(ISERROR(SEARCH("POR VENCER",GY106)))</formula>
    </cfRule>
    <cfRule type="containsText" dxfId="301" priority="454" operator="containsText" text="VENCIDA">
      <formula>NOT(ISERROR(SEARCH("VENCIDA",GY106)))</formula>
    </cfRule>
    <cfRule type="containsText" dxfId="300" priority="455" operator="containsText" text="PROGRAMAR">
      <formula>NOT(ISERROR(SEARCH("PROGRAMAR",GY106)))</formula>
    </cfRule>
    <cfRule type="containsText" dxfId="299" priority="442" operator="containsText" text="NO APLICA">
      <formula>NOT(ISERROR(SEARCH("NO APLICA",GY106)))</formula>
    </cfRule>
    <cfRule type="containsText" dxfId="298" priority="441" operator="containsText" text="VIGENTE">
      <formula>NOT(ISERROR(SEARCH("VIGENTE",GY106)))</formula>
    </cfRule>
    <cfRule type="containsText" dxfId="297" priority="440" operator="containsText" text="PROGRAMAR">
      <formula>NOT(ISERROR(SEARCH("PROGRAMAR",GY106)))</formula>
    </cfRule>
    <cfRule type="containsText" dxfId="296" priority="450" operator="containsText" text="PROGRAMAR">
      <formula>NOT(ISERROR(SEARCH("PROGRAMAR",GY106)))</formula>
    </cfRule>
    <cfRule type="containsText" dxfId="295" priority="448" operator="containsText" text="POR VENCER">
      <formula>NOT(ISERROR(SEARCH("POR VENCER",GY106)))</formula>
    </cfRule>
    <cfRule type="containsText" dxfId="294" priority="443" operator="containsText" text="POR VENCER">
      <formula>NOT(ISERROR(SEARCH("POR VENCER",GY106)))</formula>
    </cfRule>
    <cfRule type="containsText" dxfId="293" priority="439" operator="containsText" text="VENCIDA">
      <formula>NOT(ISERROR(SEARCH("VENCIDA",GY106)))</formula>
    </cfRule>
    <cfRule type="containsText" dxfId="292" priority="438" operator="containsText" text="POR VENCER">
      <formula>NOT(ISERROR(SEARCH("POR VENCER",GY106)))</formula>
    </cfRule>
    <cfRule type="containsText" dxfId="291" priority="437" operator="containsText" text="NO APLICA">
      <formula>NOT(ISERROR(SEARCH("NO APLICA",GY106)))</formula>
    </cfRule>
    <cfRule type="containsText" dxfId="290" priority="436" operator="containsText" text="VIGENTE">
      <formula>NOT(ISERROR(SEARCH("VIGENTE",GY106)))</formula>
    </cfRule>
    <cfRule type="containsText" dxfId="289" priority="444" operator="containsText" text="VENCIDA">
      <formula>NOT(ISERROR(SEARCH("VENCIDA",GY106)))</formula>
    </cfRule>
    <cfRule type="containsText" dxfId="288" priority="445" operator="containsText" text="PROGRAMAR">
      <formula>NOT(ISERROR(SEARCH("PROGRAMAR",GY106)))</formula>
    </cfRule>
  </conditionalFormatting>
  <conditionalFormatting sqref="HD73 HD99 HD106 HD109 HD176">
    <cfRule type="containsText" dxfId="287" priority="467" operator="containsText" text="NO APLICA">
      <formula>NOT(ISERROR(SEARCH("NO APLICA",HD73)))</formula>
    </cfRule>
    <cfRule type="containsText" dxfId="286" priority="468" operator="containsText" text="POR VENCER">
      <formula>NOT(ISERROR(SEARCH("POR VENCER",HD73)))</formula>
    </cfRule>
    <cfRule type="containsText" dxfId="285" priority="469" operator="containsText" text="VENCIDA">
      <formula>NOT(ISERROR(SEARCH("VENCIDA",HD73)))</formula>
    </cfRule>
    <cfRule type="containsText" dxfId="284" priority="470" operator="containsText" text="PROGRAMAR">
      <formula>NOT(ISERROR(SEARCH("PROGRAMAR",HD73)))</formula>
    </cfRule>
    <cfRule type="containsText" dxfId="283" priority="471" operator="containsText" text="VIGENTE">
      <formula>NOT(ISERROR(SEARCH("VIGENTE",HD73)))</formula>
    </cfRule>
    <cfRule type="containsText" dxfId="282" priority="472" operator="containsText" text="NO APLICA">
      <formula>NOT(ISERROR(SEARCH("NO APLICA",HD73)))</formula>
    </cfRule>
    <cfRule type="containsText" dxfId="281" priority="473" operator="containsText" text="POR VENCER">
      <formula>NOT(ISERROR(SEARCH("POR VENCER",HD73)))</formula>
    </cfRule>
    <cfRule type="containsText" dxfId="280" priority="474" operator="containsText" text="VENCIDA">
      <formula>NOT(ISERROR(SEARCH("VENCIDA",HD73)))</formula>
    </cfRule>
    <cfRule type="containsText" dxfId="279" priority="475" operator="containsText" text="PROGRAMAR">
      <formula>NOT(ISERROR(SEARCH("PROGRAMAR",HD73)))</formula>
    </cfRule>
    <cfRule type="containsText" dxfId="278" priority="466" operator="containsText" text="VIGENTE">
      <formula>NOT(ISERROR(SEARCH("VIGENTE",HD73)))</formula>
    </cfRule>
  </conditionalFormatting>
  <conditionalFormatting sqref="HG239:HG240">
    <cfRule type="containsText" dxfId="277" priority="45" operator="containsText" text="POR VENCER">
      <formula>NOT(ISERROR(SEARCH("POR VENCER",HG239)))</formula>
    </cfRule>
  </conditionalFormatting>
  <conditionalFormatting sqref="HG239:HH240">
    <cfRule type="containsText" dxfId="276" priority="47" operator="containsText" text="NO APLICA">
      <formula>NOT(ISERROR(SEARCH("NO APLICA",HG239)))</formula>
    </cfRule>
    <cfRule type="containsText" dxfId="275" priority="17" operator="containsText" text="VIGENTE">
      <formula>NOT(ISERROR(SEARCH("VIGENTE",HG239)))</formula>
    </cfRule>
    <cfRule type="containsText" dxfId="274" priority="46" operator="containsText" text="VENCIDA">
      <formula>NOT(ISERROR(SEARCH("VENCIDA",HG239)))</formula>
    </cfRule>
  </conditionalFormatting>
  <conditionalFormatting sqref="HI4:HI240 HI1:HI2">
    <cfRule type="containsText" dxfId="273" priority="531" operator="containsText" text="PROGRAMAR">
      <formula>NOT(ISERROR(SEARCH("PROGRAMAR",HI1)))</formula>
    </cfRule>
  </conditionalFormatting>
  <conditionalFormatting sqref="HI23">
    <cfRule type="containsText" dxfId="272" priority="530" operator="containsText" text="VENCIDA">
      <formula>NOT(ISERROR(SEARCH("VENCIDA",HI23)))</formula>
    </cfRule>
    <cfRule type="containsText" dxfId="271" priority="529" operator="containsText" text="POR VENCER">
      <formula>NOT(ISERROR(SEARCH("POR VENCER",HI23)))</formula>
    </cfRule>
    <cfRule type="containsText" dxfId="270" priority="528" operator="containsText" text="NO APLICA">
      <formula>NOT(ISERROR(SEARCH("NO APLICA",HI23)))</formula>
    </cfRule>
    <cfRule type="containsText" dxfId="269" priority="527" operator="containsText" text="VIGENTE">
      <formula>NOT(ISERROR(SEARCH("VIGENTE",HI23)))</formula>
    </cfRule>
  </conditionalFormatting>
  <conditionalFormatting sqref="HI45">
    <cfRule type="containsText" dxfId="268" priority="526" operator="containsText" text="VENCIDA">
      <formula>NOT(ISERROR(SEARCH("VENCIDA",HI45)))</formula>
    </cfRule>
    <cfRule type="containsText" dxfId="267" priority="525" operator="containsText" text="POR VENCER">
      <formula>NOT(ISERROR(SEARCH("POR VENCER",HI45)))</formula>
    </cfRule>
    <cfRule type="containsText" dxfId="266" priority="524" operator="containsText" text="NO APLICA">
      <formula>NOT(ISERROR(SEARCH("NO APLICA",HI45)))</formula>
    </cfRule>
    <cfRule type="containsText" dxfId="265" priority="523" operator="containsText" text="VIGENTE">
      <formula>NOT(ISERROR(SEARCH("VIGENTE",HI45)))</formula>
    </cfRule>
  </conditionalFormatting>
  <conditionalFormatting sqref="HI73">
    <cfRule type="containsText" dxfId="264" priority="520" operator="containsText" text="NO APLICA">
      <formula>NOT(ISERROR(SEARCH("NO APLICA",HI73)))</formula>
    </cfRule>
    <cfRule type="containsText" dxfId="263" priority="522" operator="containsText" text="VENCIDA">
      <formula>NOT(ISERROR(SEARCH("VENCIDA",HI73)))</formula>
    </cfRule>
    <cfRule type="containsText" dxfId="262" priority="519" operator="containsText" text="VIGENTE">
      <formula>NOT(ISERROR(SEARCH("VIGENTE",HI73)))</formula>
    </cfRule>
    <cfRule type="containsText" dxfId="261" priority="521" operator="containsText" text="POR VENCER">
      <formula>NOT(ISERROR(SEARCH("POR VENCER",HI73)))</formula>
    </cfRule>
  </conditionalFormatting>
  <conditionalFormatting sqref="HI85">
    <cfRule type="containsText" dxfId="260" priority="516" operator="containsText" text="NO APLICA">
      <formula>NOT(ISERROR(SEARCH("NO APLICA",HI85)))</formula>
    </cfRule>
    <cfRule type="containsText" dxfId="259" priority="515" operator="containsText" text="VIGENTE">
      <formula>NOT(ISERROR(SEARCH("VIGENTE",HI85)))</formula>
    </cfRule>
    <cfRule type="containsText" dxfId="258" priority="517" operator="containsText" text="POR VENCER">
      <formula>NOT(ISERROR(SEARCH("POR VENCER",HI85)))</formula>
    </cfRule>
    <cfRule type="containsText" dxfId="257" priority="518" operator="containsText" text="VENCIDA">
      <formula>NOT(ISERROR(SEARCH("VENCIDA",HI85)))</formula>
    </cfRule>
  </conditionalFormatting>
  <conditionalFormatting sqref="HI99">
    <cfRule type="containsText" dxfId="256" priority="512" operator="containsText" text="NO APLICA">
      <formula>NOT(ISERROR(SEARCH("NO APLICA",HI99)))</formula>
    </cfRule>
    <cfRule type="containsText" dxfId="255" priority="511" operator="containsText" text="VIGENTE">
      <formula>NOT(ISERROR(SEARCH("VIGENTE",HI99)))</formula>
    </cfRule>
    <cfRule type="containsText" dxfId="254" priority="514" operator="containsText" text="VENCIDA">
      <formula>NOT(ISERROR(SEARCH("VENCIDA",HI99)))</formula>
    </cfRule>
    <cfRule type="containsText" dxfId="253" priority="513" operator="containsText" text="POR VENCER">
      <formula>NOT(ISERROR(SEARCH("POR VENCER",HI99)))</formula>
    </cfRule>
  </conditionalFormatting>
  <conditionalFormatting sqref="HI106">
    <cfRule type="containsText" dxfId="252" priority="509" operator="containsText" text="POR VENCER">
      <formula>NOT(ISERROR(SEARCH("POR VENCER",HI106)))</formula>
    </cfRule>
    <cfRule type="containsText" dxfId="251" priority="510" operator="containsText" text="VENCIDA">
      <formula>NOT(ISERROR(SEARCH("VENCIDA",HI106)))</formula>
    </cfRule>
    <cfRule type="containsText" dxfId="250" priority="507" operator="containsText" text="VIGENTE">
      <formula>NOT(ISERROR(SEARCH("VIGENTE",HI106)))</formula>
    </cfRule>
    <cfRule type="containsText" dxfId="249" priority="508" operator="containsText" text="NO APLICA">
      <formula>NOT(ISERROR(SEARCH("NO APLICA",HI106)))</formula>
    </cfRule>
  </conditionalFormatting>
  <conditionalFormatting sqref="HI109">
    <cfRule type="containsText" dxfId="248" priority="505" operator="containsText" text="POR VENCER">
      <formula>NOT(ISERROR(SEARCH("POR VENCER",HI109)))</formula>
    </cfRule>
    <cfRule type="containsText" dxfId="247" priority="504" operator="containsText" text="NO APLICA">
      <formula>NOT(ISERROR(SEARCH("NO APLICA",HI109)))</formula>
    </cfRule>
    <cfRule type="containsText" dxfId="246" priority="503" operator="containsText" text="VIGENTE">
      <formula>NOT(ISERROR(SEARCH("VIGENTE",HI109)))</formula>
    </cfRule>
    <cfRule type="containsText" dxfId="245" priority="506" operator="containsText" text="VENCIDA">
      <formula>NOT(ISERROR(SEARCH("VENCIDA",HI109)))</formula>
    </cfRule>
  </conditionalFormatting>
  <conditionalFormatting sqref="HI116">
    <cfRule type="containsText" dxfId="244" priority="499" operator="containsText" text="VIGENTE">
      <formula>NOT(ISERROR(SEARCH("VIGENTE",HI116)))</formula>
    </cfRule>
    <cfRule type="containsText" dxfId="243" priority="500" operator="containsText" text="NO APLICA">
      <formula>NOT(ISERROR(SEARCH("NO APLICA",HI116)))</formula>
    </cfRule>
    <cfRule type="containsText" dxfId="242" priority="502" operator="containsText" text="VENCIDA">
      <formula>NOT(ISERROR(SEARCH("VENCIDA",HI116)))</formula>
    </cfRule>
    <cfRule type="containsText" dxfId="241" priority="501" operator="containsText" text="POR VENCER">
      <formula>NOT(ISERROR(SEARCH("POR VENCER",HI116)))</formula>
    </cfRule>
  </conditionalFormatting>
  <conditionalFormatting sqref="HI176">
    <cfRule type="containsText" dxfId="240" priority="494" operator="containsText" text="VENCIDA">
      <formula>NOT(ISERROR(SEARCH("VENCIDA",HI176)))</formula>
    </cfRule>
    <cfRule type="containsText" dxfId="239" priority="493" operator="containsText" text="POR VENCER">
      <formula>NOT(ISERROR(SEARCH("POR VENCER",HI176)))</formula>
    </cfRule>
    <cfRule type="containsText" dxfId="238" priority="492" operator="containsText" text="NO APLICA">
      <formula>NOT(ISERROR(SEARCH("NO APLICA",HI176)))</formula>
    </cfRule>
    <cfRule type="containsText" dxfId="237" priority="491" operator="containsText" text="VIGENTE">
      <formula>NOT(ISERROR(SEARCH("VIGENTE",HI176)))</formula>
    </cfRule>
    <cfRule type="containsText" dxfId="236" priority="498" operator="containsText" text="VENCIDA">
      <formula>NOT(ISERROR(SEARCH("VENCIDA",HI176)))</formula>
    </cfRule>
    <cfRule type="containsText" dxfId="235" priority="495" operator="containsText" text="VIGENTE">
      <formula>NOT(ISERROR(SEARCH("VIGENTE",HI176)))</formula>
    </cfRule>
    <cfRule type="containsText" dxfId="234" priority="497" operator="containsText" text="POR VENCER">
      <formula>NOT(ISERROR(SEARCH("POR VENCER",HI176)))</formula>
    </cfRule>
    <cfRule type="containsText" dxfId="233" priority="496" operator="containsText" text="NO APLICA">
      <formula>NOT(ISERROR(SEARCH("NO APLICA",HI176)))</formula>
    </cfRule>
  </conditionalFormatting>
  <conditionalFormatting sqref="HN31">
    <cfRule type="containsText" dxfId="232" priority="487" operator="containsText" text="NO APLICA">
      <formula>NOT(ISERROR(SEARCH("NO APLICA",HN31)))</formula>
    </cfRule>
    <cfRule type="containsText" dxfId="231" priority="489" operator="containsText" text="VENCIDA">
      <formula>NOT(ISERROR(SEARCH("VENCIDA",HN31)))</formula>
    </cfRule>
    <cfRule type="containsText" dxfId="230" priority="488" operator="containsText" text="POR VENCER">
      <formula>NOT(ISERROR(SEARCH("POR VENCER",HN31)))</formula>
    </cfRule>
    <cfRule type="containsText" dxfId="229" priority="486" operator="containsText" text="VIGENTE">
      <formula>NOT(ISERROR(SEARCH("VIGENTE",HN31)))</formula>
    </cfRule>
    <cfRule type="containsText" dxfId="228" priority="490" operator="containsText" text="PROGRAMAR">
      <formula>NOT(ISERROR(SEARCH("PROGRAMAR",HN31)))</formula>
    </cfRule>
  </conditionalFormatting>
  <conditionalFormatting sqref="HN49 HN80 HN82 HN106 HN108 HN124">
    <cfRule type="containsText" dxfId="227" priority="477" operator="containsText" text="NO APLICA">
      <formula>NOT(ISERROR(SEARCH("NO APLICA",HN49)))</formula>
    </cfRule>
    <cfRule type="containsText" dxfId="226" priority="478" operator="containsText" text="POR VENCER">
      <formula>NOT(ISERROR(SEARCH("POR VENCER",HN49)))</formula>
    </cfRule>
    <cfRule type="containsText" dxfId="225" priority="479" operator="containsText" text="VENCIDA">
      <formula>NOT(ISERROR(SEARCH("VENCIDA",HN49)))</formula>
    </cfRule>
    <cfRule type="containsText" dxfId="224" priority="481" operator="containsText" text="VIGENTE">
      <formula>NOT(ISERROR(SEARCH("VIGENTE",HN49)))</formula>
    </cfRule>
    <cfRule type="containsText" dxfId="223" priority="482" operator="containsText" text="NO APLICA">
      <formula>NOT(ISERROR(SEARCH("NO APLICA",HN49)))</formula>
    </cfRule>
    <cfRule type="containsText" dxfId="222" priority="483" operator="containsText" text="POR VENCER">
      <formula>NOT(ISERROR(SEARCH("POR VENCER",HN49)))</formula>
    </cfRule>
    <cfRule type="containsText" dxfId="221" priority="484" operator="containsText" text="VENCIDA">
      <formula>NOT(ISERROR(SEARCH("VENCIDA",HN49)))</formula>
    </cfRule>
    <cfRule type="containsText" dxfId="220" priority="480" operator="containsText" text="PROGRAMAR">
      <formula>NOT(ISERROR(SEARCH("PROGRAMAR",HN49)))</formula>
    </cfRule>
    <cfRule type="containsText" dxfId="219" priority="485" operator="containsText" text="PROGRAMAR">
      <formula>NOT(ISERROR(SEARCH("PROGRAMAR",HN49)))</formula>
    </cfRule>
    <cfRule type="containsText" dxfId="218" priority="476" operator="containsText" text="VIGENTE">
      <formula>NOT(ISERROR(SEARCH("VIGENTE",HN49)))</formula>
    </cfRule>
  </conditionalFormatting>
  <conditionalFormatting sqref="HN238:HN240">
    <cfRule type="containsText" dxfId="217" priority="128" operator="containsText" text="PROGRAMAR">
      <formula>NOT(ISERROR(SEARCH("PROGRAMAR",HN238)))</formula>
    </cfRule>
  </conditionalFormatting>
  <conditionalFormatting sqref="HO180:HP180">
    <cfRule type="containsText" dxfId="216" priority="720" operator="containsText" text="VENCIDA">
      <formula>NOT(ISERROR(SEARCH("VENCIDA",HO180)))</formula>
    </cfRule>
    <cfRule type="containsText" dxfId="215" priority="719" operator="containsText" text="NO APLICA">
      <formula>NOT(ISERROR(SEARCH("NO APLICA",HO180)))</formula>
    </cfRule>
    <cfRule type="containsText" dxfId="214" priority="718" operator="containsText" text="VIGENTE">
      <formula>NOT(ISERROR(SEARCH("VIGENTE",HO180)))</formula>
    </cfRule>
    <cfRule type="containsText" dxfId="213" priority="717" operator="containsText" text="POR VENCER">
      <formula>NOT(ISERROR(SEARCH("POR VENCER",HO180)))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2" priority="72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1" priority="71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10" priority="715" operator="containsText" text="NO APLICA">
      <formula>NOT(ISERROR(SEARCH("NO APLICA",HO4)))</formula>
    </cfRule>
  </conditionalFormatting>
  <conditionalFormatting sqref="HR13:HR18 HO11:HP172">
    <cfRule type="containsText" dxfId="209" priority="71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8" priority="713" operator="containsText" text="VENCIDA">
      <formula>NOT(ISERROR(SEARCH("VENCIDA",HO4)))</formula>
    </cfRule>
  </conditionalFormatting>
  <conditionalFormatting sqref="HR15:HR18">
    <cfRule type="containsText" dxfId="207" priority="711" operator="containsText" text="POR VENCER">
      <formula>NOT(ISERROR(SEARCH("POR VENCER",HR15)))</formula>
    </cfRule>
  </conditionalFormatting>
  <conditionalFormatting sqref="HR18">
    <cfRule type="containsText" dxfId="206" priority="710" operator="containsText" text="NO APLICA">
      <formula>NOT(ISERROR(SEARCH("NO APLICA",HR18)))</formula>
    </cfRule>
    <cfRule type="containsText" dxfId="205" priority="709" operator="containsText" text="POR VENCER">
      <formula>NOT(ISERROR(SEARCH("POR VENCER",HR18)))</formula>
    </cfRule>
    <cfRule type="containsText" dxfId="204" priority="708" operator="containsText" text="NO APLICA">
      <formula>NOT(ISERROR(SEARCH("NO APLICA",HR18)))</formula>
    </cfRule>
  </conditionalFormatting>
  <conditionalFormatting sqref="HR68:HR72 HO68:HP172">
    <cfRule type="containsText" dxfId="203" priority="707" operator="containsText" text="POR VENCER">
      <formula>NOT(ISERROR(SEARCH("POR VENCER",HO68)))</formula>
    </cfRule>
  </conditionalFormatting>
  <conditionalFormatting sqref="HS238:HS240">
    <cfRule type="containsText" dxfId="202" priority="126" operator="containsText" text="PROGRAMAR">
      <formula>NOT(ISERROR(SEARCH("PROGRAMAR",HS238)))</formula>
    </cfRule>
  </conditionalFormatting>
  <conditionalFormatting sqref="HT4:HT37 HX38">
    <cfRule type="containsText" dxfId="201" priority="706" operator="containsText" text="POR VENCER">
      <formula>NOT(ISERROR(SEARCH("POR VENCER",HT4)))</formula>
    </cfRule>
  </conditionalFormatting>
  <conditionalFormatting sqref="HT4:HT37">
    <cfRule type="containsText" dxfId="200" priority="705" operator="containsText" text="NO APLICA">
      <formula>NOT(ISERROR(SEARCH("NO APLICA",HT4)))</formula>
    </cfRule>
  </conditionalFormatting>
  <conditionalFormatting sqref="HT130:HT158">
    <cfRule type="expression" dxfId="199" priority="704">
      <formula>"O7&gt;=91"</formula>
    </cfRule>
  </conditionalFormatting>
  <conditionalFormatting sqref="HT180">
    <cfRule type="containsText" dxfId="198" priority="702" operator="containsText" text="POR VENCER">
      <formula>NOT(ISERROR(SEARCH("POR VENCER",HT180)))</formula>
    </cfRule>
    <cfRule type="containsText" dxfId="197" priority="703" operator="containsText" text="VIGENTE">
      <formula>NOT(ISERROR(SEARCH("VIGENTE",HT180)))</formula>
    </cfRule>
  </conditionalFormatting>
  <conditionalFormatting sqref="HX130:HX137">
    <cfRule type="containsText" dxfId="196" priority="701" operator="containsText" text="POR VENCER">
      <formula>NOT(ISERROR(SEARCH("POR VENCER",HX130)))</formula>
    </cfRule>
  </conditionalFormatting>
  <conditionalFormatting sqref="HX130:HX240">
    <cfRule type="containsText" dxfId="195" priority="700" operator="containsText" text="NO APLICA">
      <formula>NOT(ISERROR(SEARCH("NO APLICA",HX130)))</formula>
    </cfRule>
  </conditionalFormatting>
  <conditionalFormatting sqref="HY130:HY158">
    <cfRule type="expression" dxfId="194" priority="699">
      <formula>"O7&gt;=91"</formula>
    </cfRule>
  </conditionalFormatting>
  <conditionalFormatting sqref="HY180">
    <cfRule type="containsText" dxfId="193" priority="697" operator="containsText" text="POR VENCER">
      <formula>NOT(ISERROR(SEARCH("POR VENCER",HY180)))</formula>
    </cfRule>
    <cfRule type="containsText" dxfId="192" priority="698" operator="containsText" text="VIGENTE">
      <formula>NOT(ISERROR(SEARCH("VIGENTE",HY180)))</formula>
    </cfRule>
  </conditionalFormatting>
  <conditionalFormatting sqref="IC38">
    <cfRule type="containsText" dxfId="191" priority="696" operator="containsText" text="POR VENCER">
      <formula>NOT(ISERROR(SEARCH("POR VENCER",IC38)))</formula>
    </cfRule>
  </conditionalFormatting>
  <conditionalFormatting sqref="IC130:IC137">
    <cfRule type="containsText" dxfId="190" priority="695" operator="containsText" text="POR VENCER">
      <formula>NOT(ISERROR(SEARCH("POR VENCER",IC130)))</formula>
    </cfRule>
  </conditionalFormatting>
  <conditionalFormatting sqref="IC130:IC240">
    <cfRule type="containsText" dxfId="189" priority="694" operator="containsText" text="NO APLICA">
      <formula>NOT(ISERROR(SEARCH("NO APLICA",IC130)))</formula>
    </cfRule>
  </conditionalFormatting>
  <conditionalFormatting sqref="ID4:ID22">
    <cfRule type="containsText" dxfId="188" priority="693" operator="containsText" text="POR VENCER">
      <formula>NOT(ISERROR(SEARCH("POR VENCER",ID4)))</formula>
    </cfRule>
    <cfRule type="containsText" dxfId="187" priority="692" operator="containsText" text="VIGENTE">
      <formula>NOT(ISERROR(SEARCH("VIGENTE",ID4)))</formula>
    </cfRule>
    <cfRule type="containsText" dxfId="186" priority="690" operator="containsText" text="VENCIDA">
      <formula>NOT(ISERROR(SEARCH("VENCIDA",ID4)))</formula>
    </cfRule>
    <cfRule type="containsText" dxfId="185" priority="691" operator="containsText" text="NO APLICA">
      <formula>NOT(ISERROR(SEARCH("NO APLICA",ID4)))</formula>
    </cfRule>
  </conditionalFormatting>
  <conditionalFormatting sqref="ID130:ID158">
    <cfRule type="expression" dxfId="184" priority="689">
      <formula>"O7&gt;=91"</formula>
    </cfRule>
  </conditionalFormatting>
  <conditionalFormatting sqref="ID180">
    <cfRule type="containsText" dxfId="183" priority="688" operator="containsText" text="VIGENTE">
      <formula>NOT(ISERROR(SEARCH("VIGENTE",ID180)))</formula>
    </cfRule>
    <cfRule type="containsText" dxfId="182" priority="687" operator="containsText" text="POR VENCER">
      <formula>NOT(ISERROR(SEARCH("POR VENCER",ID180)))</formula>
    </cfRule>
  </conditionalFormatting>
  <conditionalFormatting sqref="IH4:IH38">
    <cfRule type="containsText" dxfId="181" priority="686" operator="containsText" text="POR VENCER">
      <formula>NOT(ISERROR(SEARCH("POR VENCER",IH4)))</formula>
    </cfRule>
  </conditionalFormatting>
  <conditionalFormatting sqref="IH130:IH137">
    <cfRule type="containsText" dxfId="180" priority="685" operator="containsText" text="POR VENCER">
      <formula>NOT(ISERROR(SEARCH("POR VENCER",IH130)))</formula>
    </cfRule>
  </conditionalFormatting>
  <conditionalFormatting sqref="IH130:IH240">
    <cfRule type="containsText" dxfId="179" priority="684" operator="containsText" text="NO APLICA">
      <formula>NOT(ISERROR(SEARCH("NO APLICA",IH130)))</formula>
    </cfRule>
  </conditionalFormatting>
  <conditionalFormatting sqref="II132:II133">
    <cfRule type="expression" dxfId="178" priority="68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77" priority="1003" operator="containsText" text="VIGENTE">
      <formula>NOT(ISERROR(SEARCH("VIGENTE",Z4)))</formula>
    </cfRule>
  </conditionalFormatting>
  <conditionalFormatting sqref="IT73">
    <cfRule type="containsText" dxfId="176" priority="679" operator="containsText" text="VENCIDA">
      <formula>NOT(ISERROR(SEARCH("VENCIDA",IT73)))</formula>
    </cfRule>
    <cfRule type="containsText" dxfId="175" priority="681" operator="containsText" text="POR VENCER">
      <formula>NOT(ISERROR(SEARCH("POR VENCER",IT73)))</formula>
    </cfRule>
    <cfRule type="containsText" dxfId="174" priority="682" operator="containsText" text="VIGENTE">
      <formula>NOT(ISERROR(SEARCH("VIGENTE",IT73)))</formula>
    </cfRule>
    <cfRule type="containsText" dxfId="173" priority="680" operator="containsText" text="NO APLICA">
      <formula>NOT(ISERROR(SEARCH("NO APLICA",IT73)))</formula>
    </cfRule>
  </conditionalFormatting>
  <conditionalFormatting sqref="IW4:IW38 CO8 BU8:BU19 CO10:CO19 AV4:AV6 BA4:BA6 FV12:FV22">
    <cfRule type="containsText" dxfId="172" priority="894" operator="containsText" text="POR VENCER">
      <formula>NOT(ISERROR(SEARCH("POR VENCER",AV4)))</formula>
    </cfRule>
  </conditionalFormatting>
  <conditionalFormatting sqref="IW130:IW137">
    <cfRule type="containsText" dxfId="171" priority="677" operator="containsText" text="POR VENCER">
      <formula>NOT(ISERROR(SEARCH("POR VENCER",IW130)))</formula>
    </cfRule>
  </conditionalFormatting>
  <conditionalFormatting sqref="IW130:IW240">
    <cfRule type="containsText" dxfId="170" priority="678" operator="containsText" text="VIGENTE">
      <formula>NOT(ISERROR(SEARCH("VIGENTE",IW130)))</formula>
    </cfRule>
    <cfRule type="containsText" dxfId="169" priority="676" operator="containsText" text="NO APLICA">
      <formula>NOT(ISERROR(SEARCH("NO APLICA",IW130)))</formula>
    </cfRule>
  </conditionalFormatting>
  <conditionalFormatting sqref="JB4:JB240 KM125:KM170">
    <cfRule type="containsText" dxfId="168" priority="675" operator="containsText" text="VIGENTE">
      <formula>NOT(ISERROR(SEARCH("VIGENTE",JB4)))</formula>
    </cfRule>
  </conditionalFormatting>
  <conditionalFormatting sqref="JB133:JB137 KM133:KM170">
    <cfRule type="containsText" dxfId="167" priority="674" operator="containsText" text="POR VENCER">
      <formula>NOT(ISERROR(SEARCH("POR VENCER",JB133)))</formula>
    </cfRule>
  </conditionalFormatting>
  <conditionalFormatting sqref="JD4">
    <cfRule type="containsText" dxfId="166" priority="669" operator="containsText" text="VENCIDA">
      <formula>NOT(ISERROR(SEARCH("VENCIDA",JD4)))</formula>
    </cfRule>
    <cfRule type="containsText" dxfId="165" priority="672" operator="containsText" text="VIGENTE">
      <formula>NOT(ISERROR(SEARCH("VIGENTE",JD4)))</formula>
    </cfRule>
    <cfRule type="containsText" dxfId="164" priority="671" operator="containsText" text="POR VENCER">
      <formula>NOT(ISERROR(SEARCH("POR VENCER",JD4)))</formula>
    </cfRule>
    <cfRule type="containsText" dxfId="163" priority="670" operator="containsText" text="NO APLICA">
      <formula>NOT(ISERROR(SEARCH("NO APLICA",JD4)))</formula>
    </cfRule>
  </conditionalFormatting>
  <conditionalFormatting sqref="JH4:JI4 JL4">
    <cfRule type="containsText" dxfId="162" priority="668" operator="containsText" text="POR VENCER">
      <formula>NOT(ISERROR(SEARCH("POR VENCER",JH4)))</formula>
    </cfRule>
  </conditionalFormatting>
  <conditionalFormatting sqref="JH4:JI4">
    <cfRule type="containsText" dxfId="161" priority="667" operator="containsText" text="VIGENTE">
      <formula>NOT(ISERROR(SEARCH("VIGENTE",JH4)))</formula>
    </cfRule>
    <cfRule type="containsText" dxfId="160" priority="666" operator="containsText" text="NO APLICA">
      <formula>NOT(ISERROR(SEARCH("NO APLICA",JH4)))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9" priority="8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8" priority="48" operator="containsText" text="VENCIDA">
      <formula>NOT(ISERROR(SEARCH("VENCIDA",AB239)))</formula>
    </cfRule>
  </conditionalFormatting>
  <conditionalFormatting sqref="JK239:JK240">
    <cfRule type="containsText" dxfId="157" priority="43" operator="containsText" text="VIGENTE">
      <formula>NOT(ISERROR(SEARCH("VIGENTE",JK239)))</formula>
    </cfRule>
  </conditionalFormatting>
  <conditionalFormatting sqref="JL4:JL240">
    <cfRule type="containsText" dxfId="156" priority="665" operator="containsText" text="NO APLICA">
      <formula>NOT(ISERROR(SEARCH("NO APLICA",JL4)))</formula>
    </cfRule>
  </conditionalFormatting>
  <conditionalFormatting sqref="JL199">
    <cfRule type="containsText" dxfId="155" priority="6" operator="containsText" text="NO APLICA">
      <formula>NOT(ISERROR(SEARCH("NO APLICA",JL199)))</formula>
    </cfRule>
  </conditionalFormatting>
  <conditionalFormatting sqref="JL202 JL204 JL207 JL209 JL228 JL235 JL237">
    <cfRule type="containsText" dxfId="154" priority="5" operator="containsText" text="NO APLICA">
      <formula>NOT(ISERROR(SEARCH("NO APLICA",JL202)))</formula>
    </cfRule>
  </conditionalFormatting>
  <conditionalFormatting sqref="JL4:JN4 JH4:JI4">
    <cfRule type="containsText" dxfId="153" priority="664" operator="containsText" text="VENCIDA">
      <formula>NOT(ISERROR(SEARCH("VENCIDA",JH4)))</formula>
    </cfRule>
  </conditionalFormatting>
  <conditionalFormatting sqref="JM4:JN4">
    <cfRule type="containsText" dxfId="152" priority="663" operator="containsText" text="NO APLICA">
      <formula>NOT(ISERROR(SEARCH("NO APLICA",JM4)))</formula>
    </cfRule>
    <cfRule type="containsText" dxfId="151" priority="662" operator="containsText" text="VIGENTE">
      <formula>NOT(ISERROR(SEARCH("VIGENTE",JM4)))</formula>
    </cfRule>
    <cfRule type="containsText" dxfId="150" priority="661" operator="containsText" text="POR VENCER">
      <formula>NOT(ISERROR(SEARCH("POR VENCER",JM4)))</formula>
    </cfRule>
  </conditionalFormatting>
  <conditionalFormatting sqref="JQ4:JQ240">
    <cfRule type="containsText" dxfId="149" priority="1" operator="containsText" text="NO APLICA">
      <formula>NOT(ISERROR(SEARCH("NO APLICA",JQ4)))</formula>
    </cfRule>
  </conditionalFormatting>
  <conditionalFormatting sqref="JS4">
    <cfRule type="containsText" dxfId="148" priority="656" operator="containsText" text="VENCIDA">
      <formula>NOT(ISERROR(SEARCH("VENCIDA",JS4)))</formula>
    </cfRule>
    <cfRule type="containsText" dxfId="147" priority="657" operator="containsText" text="NO APLICA">
      <formula>NOT(ISERROR(SEARCH("NO APLICA",JS4)))</formula>
    </cfRule>
    <cfRule type="containsText" dxfId="146" priority="658" operator="containsText" text="POR VENCER">
      <formula>NOT(ISERROR(SEARCH("POR VENCER",JS4)))</formula>
    </cfRule>
    <cfRule type="containsText" dxfId="145" priority="659" operator="containsText" text="VIGENTE">
      <formula>NOT(ISERROR(SEARCH("VIGENTE",JS4)))</formula>
    </cfRule>
  </conditionalFormatting>
  <conditionalFormatting sqref="KC5:KC170">
    <cfRule type="containsText" dxfId="144" priority="654" operator="containsText" text="NO APLICA">
      <formula>NOT(ISERROR(SEARCH("NO APLICA",KC5)))</formula>
    </cfRule>
  </conditionalFormatting>
  <conditionalFormatting sqref="KC81:KC170">
    <cfRule type="containsText" dxfId="143" priority="655" operator="containsText" text="POR VENCER">
      <formula>NOT(ISERROR(SEARCH("POR VENCER",KC81)))</formula>
    </cfRule>
  </conditionalFormatting>
  <conditionalFormatting sqref="KC180">
    <cfRule type="containsText" dxfId="142" priority="651" operator="containsText" text="POR VENCER">
      <formula>NOT(ISERROR(SEARCH("POR VENCER",KC180)))</formula>
    </cfRule>
    <cfRule type="containsText" dxfId="141" priority="652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54" operator="containsText" text="VENCIDA">
      <formula>NOT(ISERROR(SEARCH("VENCIDA",AQ239)))</formula>
    </cfRule>
  </conditionalFormatting>
  <conditionalFormatting sqref="KC239:KC240">
    <cfRule type="containsText" dxfId="139" priority="37" operator="containsText" text="NO APLICA">
      <formula>NOT(ISERROR(SEARCH("NO APLICA",KC239)))</formula>
    </cfRule>
    <cfRule type="containsText" dxfId="138" priority="38" operator="containsText" text="POR VENCER">
      <formula>NOT(ISERROR(SEARCH("POR VENCER",KC239)))</formula>
    </cfRule>
  </conditionalFormatting>
  <conditionalFormatting sqref="KF4:KG7">
    <cfRule type="containsText" dxfId="137" priority="650" operator="containsText" text="VENCIDA">
      <formula>NOT(ISERROR(SEARCH("VENCIDA",KF4)))</formula>
    </cfRule>
  </conditionalFormatting>
  <conditionalFormatting sqref="KH180">
    <cfRule type="containsText" dxfId="136" priority="647" operator="containsText" text="POR VENCER">
      <formula>NOT(ISERROR(SEARCH("POR VENCER",KH180)))</formula>
    </cfRule>
    <cfRule type="containsText" dxfId="135" priority="648" operator="containsText" text="VIGENTE">
      <formula>NOT(ISERROR(SEARCH("VIGENTE",KH180)))</formula>
    </cfRule>
    <cfRule type="containsText" dxfId="134" priority="649" operator="containsText" text="NO APLICA">
      <formula>NOT(ISERROR(SEARCH("NO APLICA",KH180)))</formula>
    </cfRule>
  </conditionalFormatting>
  <conditionalFormatting sqref="KK4:KL18">
    <cfRule type="containsText" dxfId="133" priority="646" operator="containsText" text="POR VENCER">
      <formula>NOT(ISERROR(SEARCH("POR VENCER",KK4)))</formula>
    </cfRule>
  </conditionalFormatting>
  <conditionalFormatting sqref="KK4:KL240">
    <cfRule type="containsText" dxfId="132" priority="645" operator="containsText" text="NO APLICA">
      <formula>NOT(ISERROR(SEARCH("NO APLICA",KK4)))</formula>
    </cfRule>
  </conditionalFormatting>
  <conditionalFormatting sqref="KK68:KL72">
    <cfRule type="containsText" dxfId="131" priority="644" operator="containsText" text="POR VENCER">
      <formula>NOT(ISERROR(SEARCH("POR VENCER",KK68)))</formula>
    </cfRule>
  </conditionalFormatting>
  <conditionalFormatting sqref="KM4:KM170 JB4:JB240">
    <cfRule type="containsText" dxfId="130" priority="673" operator="containsText" text="NO APLICA">
      <formula>NOT(ISERROR(SEARCH("NO APLICA",JB4)))</formula>
    </cfRule>
  </conditionalFormatting>
  <conditionalFormatting sqref="KR130">
    <cfRule type="containsText" dxfId="129" priority="643" operator="containsText" text="NO APLICA">
      <formula>NOT(ISERROR(SEARCH("NO APLICA",KR130)))</formula>
    </cfRule>
  </conditionalFormatting>
  <conditionalFormatting sqref="KR140">
    <cfRule type="containsText" dxfId="128" priority="642" operator="containsText" text="NO APLICA">
      <formula>NOT(ISERROR(SEARCH("NO APLICA",KR140)))</formula>
    </cfRule>
  </conditionalFormatting>
  <conditionalFormatting sqref="KR145">
    <cfRule type="containsText" dxfId="127" priority="641" operator="containsText" text="NO APLICA">
      <formula>NOT(ISERROR(SEARCH("NO APLICA",KR145)))</formula>
    </cfRule>
  </conditionalFormatting>
  <conditionalFormatting sqref="KR151">
    <cfRule type="containsText" dxfId="126" priority="640" operator="containsText" text="NO APLICA">
      <formula>NOT(ISERROR(SEARCH("NO APLICA",KR151)))</formula>
    </cfRule>
  </conditionalFormatting>
  <conditionalFormatting sqref="KR154">
    <cfRule type="containsText" dxfId="125" priority="639" operator="containsText" text="NO APLICA">
      <formula>NOT(ISERROR(SEARCH("NO APLICA",KR154)))</formula>
    </cfRule>
  </conditionalFormatting>
  <conditionalFormatting sqref="KR161">
    <cfRule type="containsText" dxfId="124" priority="638" operator="containsText" text="NO APLICA">
      <formula>NOT(ISERROR(SEARCH("NO APLICA",KR161)))</formula>
    </cfRule>
  </conditionalFormatting>
  <conditionalFormatting sqref="KR165:KR172">
    <cfRule type="containsText" dxfId="123" priority="637" operator="containsText" text="NO APLICA">
      <formula>NOT(ISERROR(SEARCH("NO APLICA",KR165)))</formula>
    </cfRule>
  </conditionalFormatting>
  <conditionalFormatting sqref="KR175 KR177">
    <cfRule type="containsText" dxfId="122" priority="271" operator="containsText" text="VIGENTE">
      <formula>NOT(ISERROR(SEARCH("VIGENTE",KR175)))</formula>
    </cfRule>
    <cfRule type="containsText" dxfId="121" priority="272" operator="containsText" text="POR VENCER">
      <formula>NOT(ISERROR(SEARCH("POR VENCER",KR175)))</formula>
    </cfRule>
    <cfRule type="containsText" dxfId="120" priority="273" operator="containsText" text="VENCIDA">
      <formula>NOT(ISERROR(SEARCH("VENCIDA",KR175)))</formula>
    </cfRule>
    <cfRule type="containsText" dxfId="119" priority="270" operator="containsText" text="NO APLICA">
      <formula>NOT(ISERROR(SEARCH("NO APLICA",KR175)))</formula>
    </cfRule>
  </conditionalFormatting>
  <conditionalFormatting sqref="KS209">
    <cfRule type="containsText" dxfId="118" priority="636" operator="containsText" text="VENCIDA">
      <formula>NOT(ISERROR(SEARCH("VENCIDA",KS209)))</formula>
    </cfRule>
  </conditionalFormatting>
  <conditionalFormatting sqref="KS213">
    <cfRule type="containsText" dxfId="117" priority="635" operator="containsText" text="VENCIDA">
      <formula>NOT(ISERROR(SEARCH("VENCIDA",KS213)))</formula>
    </cfRule>
  </conditionalFormatting>
  <conditionalFormatting sqref="KS220">
    <cfRule type="containsText" dxfId="116" priority="634" operator="containsText" text="VENCIDA">
      <formula>NOT(ISERROR(SEARCH("VENCIDA",KS220)))</formula>
    </cfRule>
  </conditionalFormatting>
  <conditionalFormatting sqref="KS237:KS238">
    <cfRule type="containsText" dxfId="115" priority="633" operator="containsText" text="VENCIDA">
      <formula>NOT(ISERROR(SEARCH("VENCIDA",KS237)))</formula>
    </cfRule>
  </conditionalFormatting>
  <conditionalFormatting sqref="KS209:KT209">
    <cfRule type="containsText" dxfId="114" priority="632" operator="containsText" text="POR VENCER">
      <formula>NOT(ISERROR(SEARCH("POR VENCER",KS209)))</formula>
    </cfRule>
    <cfRule type="containsText" dxfId="113" priority="631" operator="containsText" text="NO APLICA">
      <formula>NOT(ISERROR(SEARCH("NO APLICA",KS209)))</formula>
    </cfRule>
    <cfRule type="containsText" dxfId="112" priority="630" operator="containsText" text="VIGENTE">
      <formula>NOT(ISERROR(SEARCH("VIGENTE",KS209)))</formula>
    </cfRule>
  </conditionalFormatting>
  <conditionalFormatting sqref="KS213:KT213">
    <cfRule type="containsText" dxfId="111" priority="629" operator="containsText" text="POR VENCER">
      <formula>NOT(ISERROR(SEARCH("POR VENCER",KS213)))</formula>
    </cfRule>
    <cfRule type="containsText" dxfId="110" priority="628" operator="containsText" text="NO APLICA">
      <formula>NOT(ISERROR(SEARCH("NO APLICA",KS213)))</formula>
    </cfRule>
    <cfRule type="containsText" dxfId="109" priority="627" operator="containsText" text="VIGENTE">
      <formula>NOT(ISERROR(SEARCH("VIGENTE",KS213)))</formula>
    </cfRule>
  </conditionalFormatting>
  <conditionalFormatting sqref="KS220:KT220">
    <cfRule type="containsText" dxfId="108" priority="626" operator="containsText" text="POR VENCER">
      <formula>NOT(ISERROR(SEARCH("POR VENCER",KS220)))</formula>
    </cfRule>
    <cfRule type="containsText" dxfId="107" priority="625" operator="containsText" text="NO APLICA">
      <formula>NOT(ISERROR(SEARCH("NO APLICA",KS220)))</formula>
    </cfRule>
    <cfRule type="containsText" dxfId="106" priority="624" operator="containsText" text="VIGENTE">
      <formula>NOT(ISERROR(SEARCH("VIGENTE",KS220)))</formula>
    </cfRule>
  </conditionalFormatting>
  <conditionalFormatting sqref="KS237:KT237">
    <cfRule type="containsText" dxfId="105" priority="623" operator="containsText" text="POR VENCER">
      <formula>NOT(ISERROR(SEARCH("POR VENCER",KS237)))</formula>
    </cfRule>
    <cfRule type="containsText" dxfId="104" priority="622" operator="containsText" text="NO APLICA">
      <formula>NOT(ISERROR(SEARCH("NO APLICA",KS237)))</formula>
    </cfRule>
    <cfRule type="containsText" dxfId="103" priority="621" operator="containsText" text="VIGENTE">
      <formula>NOT(ISERROR(SEARCH("VIGENTE",KS237)))</formula>
    </cfRule>
  </conditionalFormatting>
  <conditionalFormatting sqref="KS238:KT238">
    <cfRule type="containsText" dxfId="102" priority="400" operator="containsText" text="NO APLICA">
      <formula>NOT(ISERROR(SEARCH("NO APLICA",KS238)))</formula>
    </cfRule>
    <cfRule type="containsText" dxfId="101" priority="401" operator="containsText" text="POR VENCER">
      <formula>NOT(ISERROR(SEARCH("POR VENCER",KS238)))</formula>
    </cfRule>
  </conditionalFormatting>
  <conditionalFormatting sqref="KT209">
    <cfRule type="containsText" dxfId="100" priority="620" operator="containsText" text="VENCIDA">
      <formula>NOT(ISERROR(SEARCH("VENCIDA",KT209)))</formula>
    </cfRule>
  </conditionalFormatting>
  <conditionalFormatting sqref="KT213">
    <cfRule type="containsText" dxfId="99" priority="619" operator="containsText" text="VENCIDA">
      <formula>NOT(ISERROR(SEARCH("VENCIDA",KT213)))</formula>
    </cfRule>
  </conditionalFormatting>
  <conditionalFormatting sqref="KT220">
    <cfRule type="containsText" dxfId="98" priority="618" operator="containsText" text="VENCIDA">
      <formula>NOT(ISERROR(SEARCH("VENCIDA",KT220)))</formula>
    </cfRule>
  </conditionalFormatting>
  <conditionalFormatting sqref="KT237:KT238">
    <cfRule type="containsText" dxfId="97" priority="617" operator="containsText" text="VENCIDA">
      <formula>NOT(ISERROR(SEARCH("VENCIDA",KT237)))</formula>
    </cfRule>
  </conditionalFormatting>
  <conditionalFormatting sqref="KV4:KV34 GO4:GO38 KZ4:LA38 AB8:AB19">
    <cfRule type="containsText" dxfId="96" priority="61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6" operator="containsText" text="NO APLICA">
      <formula>NOT(ISERROR(SEARCH("NO APLICA",KV4)))</formula>
    </cfRule>
  </conditionalFormatting>
  <conditionalFormatting sqref="KV36:KV37 KV129 KV39:KV41 KV61:KV71">
    <cfRule type="containsText" dxfId="94" priority="615" operator="containsText" text="POR VENCER">
      <formula>NOT(ISERROR(SEARCH("POR VENCER",KV36)))</formula>
    </cfRule>
  </conditionalFormatting>
  <conditionalFormatting sqref="KV36:KV37 KV129">
    <cfRule type="containsText" dxfId="93" priority="614" operator="containsText" text="VENCIDA">
      <formula>NOT(ISERROR(SEARCH("VENCIDA",KV36)))</formula>
    </cfRule>
  </conditionalFormatting>
  <conditionalFormatting sqref="KV130:KV158">
    <cfRule type="expression" dxfId="92" priority="613">
      <formula>"O7&gt;=91"</formula>
    </cfRule>
  </conditionalFormatting>
  <conditionalFormatting sqref="KV180">
    <cfRule type="containsText" dxfId="91" priority="612" operator="containsText" text="VIGENTE">
      <formula>NOT(ISERROR(SEARCH("VIGENTE",KV180)))</formula>
    </cfRule>
    <cfRule type="containsText" dxfId="90" priority="611" operator="containsText" text="POR VENCER">
      <formula>NOT(ISERROR(SEARCH("POR VENCER",KV180)))</formula>
    </cfRule>
  </conditionalFormatting>
  <conditionalFormatting sqref="KV239:KY240">
    <cfRule type="containsText" dxfId="89" priority="35" operator="containsText" text="VENCIDA">
      <formula>NOT(ISERROR(SEARCH("VENCIDA",KV239)))</formula>
    </cfRule>
  </conditionalFormatting>
  <conditionalFormatting sqref="KX239:KX240">
    <cfRule type="containsText" dxfId="88" priority="36" operator="containsText" text="VIGENTE">
      <formula>NOT(ISERROR(SEARCH("VIGENTE",KX239)))</formula>
    </cfRule>
    <cfRule type="containsText" dxfId="87" priority="34" operator="containsText" text="POR VENCER">
      <formula>NOT(ISERROR(SEARCH("POR VENCER",KX239)))</formula>
    </cfRule>
    <cfRule type="containsText" dxfId="86" priority="33" operator="containsText" text="NO APLICA">
      <formula>NOT(ISERROR(SEARCH("NO APLICA",KX239)))</formula>
    </cfRule>
  </conditionalFormatting>
  <conditionalFormatting sqref="KZ4:LA240">
    <cfRule type="containsText" dxfId="85" priority="1000" operator="containsText" text="NO APLICA">
      <formula>NOT(ISERROR(SEARCH("NO APLICA",KZ4)))</formula>
    </cfRule>
  </conditionalFormatting>
  <conditionalFormatting sqref="LF175:LI175">
    <cfRule type="containsText" dxfId="84" priority="607" operator="containsText" text="NO APLICA">
      <formula>NOT(ISERROR(SEARCH("NO APLICA",LF175)))</formula>
    </cfRule>
    <cfRule type="containsText" dxfId="83" priority="609" operator="containsText" text="POR VENCER">
      <formula>NOT(ISERROR(SEARCH("POR VENCER",LF175)))</formula>
    </cfRule>
    <cfRule type="containsText" dxfId="82" priority="608" operator="containsText" text="VIGENTE">
      <formula>NOT(ISERROR(SEARCH("VIGENTE",LF175)))</formula>
    </cfRule>
    <cfRule type="containsText" dxfId="81" priority="606" operator="containsText" text="VENCIDA">
      <formula>NOT(ISERROR(SEARCH("VENCIDA",LF175)))</formula>
    </cfRule>
  </conditionalFormatting>
  <conditionalFormatting sqref="LO4:LO240">
    <cfRule type="containsText" dxfId="80" priority="605" operator="containsText" text="VIGENTE">
      <formula>NOT(ISERROR(SEARCH("VIGENTE",LO4)))</formula>
    </cfRule>
    <cfRule type="containsText" dxfId="79" priority="603" operator="containsText" text="POR VENCER">
      <formula>NOT(ISERROR(SEARCH("POR VENCER",LO4)))</formula>
    </cfRule>
    <cfRule type="containsText" dxfId="78" priority="602" operator="containsText" text="NO APLICA">
      <formula>NOT(ISERROR(SEARCH("NO APLICA",LO4)))</formula>
    </cfRule>
    <cfRule type="containsText" dxfId="77" priority="604" operator="containsText" text="VENCIDA">
      <formula>NOT(ISERROR(SEARCH("VENCIDA",LO4)))</formula>
    </cfRule>
  </conditionalFormatting>
  <conditionalFormatting sqref="LP130:LP158">
    <cfRule type="expression" dxfId="76" priority="601">
      <formula>"O7&gt;=91"</formula>
    </cfRule>
  </conditionalFormatting>
  <conditionalFormatting sqref="LP180">
    <cfRule type="containsText" dxfId="75" priority="599" operator="containsText" text="POR VENCER">
      <formula>NOT(ISERROR(SEARCH("POR VENCER",LP180)))</formula>
    </cfRule>
    <cfRule type="containsText" dxfId="74" priority="600" operator="containsText" text="VIGENTE">
      <formula>NOT(ISERROR(SEARCH("VIGENTE",LP180)))</formula>
    </cfRule>
  </conditionalFormatting>
  <conditionalFormatting sqref="LP239:LP240">
    <cfRule type="containsText" dxfId="73" priority="16" operator="containsText" text="NO APLICA">
      <formula>NOT(ISERROR(SEARCH("NO APLICA",LP239)))</formula>
    </cfRule>
    <cfRule type="containsText" dxfId="72" priority="15" operator="containsText" text="VIGENTE">
      <formula>NOT(ISERROR(SEARCH("VIGENTE",LP239)))</formula>
    </cfRule>
  </conditionalFormatting>
  <conditionalFormatting sqref="LT4:LT14">
    <cfRule type="containsText" dxfId="71" priority="598" operator="containsText" text="POR VENCER">
      <formula>NOT(ISERROR(SEARCH("POR VENCER",LT4)))</formula>
    </cfRule>
  </conditionalFormatting>
  <conditionalFormatting sqref="LT4:LT240">
    <cfRule type="containsText" dxfId="70" priority="597" operator="containsText" text="NO APLICA">
      <formula>NOT(ISERROR(SEARCH("NO APLICA",LT4)))</formula>
    </cfRule>
  </conditionalFormatting>
  <conditionalFormatting sqref="ME180:MF180 MJ180:MK180">
    <cfRule type="containsText" dxfId="69" priority="596" operator="containsText" text="VIGENTE">
      <formula>NOT(ISERROR(SEARCH("VIGENTE",ME180)))</formula>
    </cfRule>
    <cfRule type="containsText" dxfId="68" priority="595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67" priority="59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94" operator="containsText" text="NO APLICA">
      <formula>NOT(ISERROR(SEARCH("NO APLICA",ME4)))</formula>
    </cfRule>
  </conditionalFormatting>
  <conditionalFormatting sqref="MP180 MU180:MW180">
    <cfRule type="containsText" dxfId="65" priority="592" operator="containsText" text="VIGENTE">
      <formula>NOT(ISERROR(SEARCH("VIGENTE",MP180)))</formula>
    </cfRule>
  </conditionalFormatting>
  <conditionalFormatting sqref="MP180">
    <cfRule type="containsText" dxfId="64" priority="591" operator="containsText" text="POR VENCER">
      <formula>NOT(ISERROR(SEARCH("POR VENCER",MP180)))</formula>
    </cfRule>
  </conditionalFormatting>
  <conditionalFormatting sqref="MU180:MW180">
    <cfRule type="containsText" dxfId="63" priority="590" operator="containsText" text="POR VENCER">
      <formula>NOT(ISERROR(SEARCH("POR VENCER",MU180)))</formula>
    </cfRule>
  </conditionalFormatting>
  <conditionalFormatting sqref="MW15:MW18">
    <cfRule type="containsText" dxfId="62" priority="588" operator="containsText" text="NO APLICA">
      <formula>NOT(ISERROR(SEARCH("NO APLICA",MW15)))</formula>
    </cfRule>
    <cfRule type="containsText" dxfId="61" priority="58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13" operator="containsText" text="POR VENCER">
      <formula>NOT(ISERROR(SEARCH("POR VENCER",MW239)))</formula>
    </cfRule>
    <cfRule type="containsText" dxfId="59" priority="1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12" operator="containsText" text="NO APLICA">
      <formula>NOT(ISERROR(SEARCH("NO APLICA",MW239)))</formula>
    </cfRule>
  </conditionalFormatting>
  <conditionalFormatting sqref="MW239:MW240 MY239:NB240 ND239:NF240">
    <cfRule type="containsText" dxfId="57" priority="1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8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85" operator="containsText" text="VIGENTE">
      <formula>NOT(ISERROR(SEARCH("VIGENTE",MS5)))</formula>
    </cfRule>
    <cfRule type="containsText" dxfId="53" priority="587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52" priority="583" operator="containsText" text="VIGENTE">
      <formula>NOT(ISERROR(SEARCH("VIGENTE",AG4)))</formula>
    </cfRule>
  </conditionalFormatting>
  <conditionalFormatting sqref="MY130:MY158 ND130:ND158 NI130:NI158">
    <cfRule type="expression" dxfId="51" priority="582">
      <formula>"O7&gt;=91"</formula>
    </cfRule>
  </conditionalFormatting>
  <conditionalFormatting sqref="MY180 ND180 NI180">
    <cfRule type="containsText" dxfId="50" priority="580" operator="containsText" text="POR VENCER">
      <formula>NOT(ISERROR(SEARCH("POR VENCER",MY180)))</formula>
    </cfRule>
    <cfRule type="containsText" dxfId="49" priority="581" operator="containsText" text="VIGENTE">
      <formula>NOT(ISERROR(SEARCH("VIGENTE",MY180)))</formula>
    </cfRule>
  </conditionalFormatting>
  <conditionalFormatting sqref="NC130:NC240">
    <cfRule type="containsText" dxfId="48" priority="579" operator="containsText" text="NO APLICA">
      <formula>NOT(ISERROR(SEARCH("NO APLICA",NC130)))</formula>
    </cfRule>
  </conditionalFormatting>
  <conditionalFormatting sqref="NG239:NG240">
    <cfRule type="containsText" dxfId="47" priority="40" operator="containsText" text="VENCIDA">
      <formula>NOT(ISERROR(SEARCH("VENCIDA",NG239)))</formula>
    </cfRule>
    <cfRule type="containsText" dxfId="46" priority="41" operator="containsText" text="POR VENCER">
      <formula>NOT(ISERROR(SEARCH("POR VENCER",NG239)))</formula>
    </cfRule>
    <cfRule type="containsText" dxfId="45" priority="42" operator="containsText" text="VIGENTE">
      <formula>NOT(ISERROR(SEARCH("VIGENTE",NG239)))</formula>
    </cfRule>
  </conditionalFormatting>
  <conditionalFormatting sqref="NI4:NI37">
    <cfRule type="containsText" dxfId="44" priority="578" operator="containsText" text="NO APLICA">
      <formula>NOT(ISERROR(SEARCH("NO APLICA",NI4)))</formula>
    </cfRule>
    <cfRule type="containsText" dxfId="43" priority="577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2" priority="50" operator="containsText" text="VENCIDA">
      <formula>NOT(ISERROR(SEARCH("VENCIDA",NL239)))</formula>
    </cfRule>
    <cfRule type="containsText" dxfId="41" priority="52" operator="containsText" text="POR VENCER">
      <formula>NOT(ISERROR(SEARCH("POR VENCER",NL239)))</formula>
    </cfRule>
    <cfRule type="containsText" dxfId="40" priority="51" operator="containsText" text="NO APLICA">
      <formula>NOT(ISERROR(SEARCH("NO APLICA",NL239)))</formula>
    </cfRule>
    <cfRule type="containsText" dxfId="39" priority="53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6" operator="containsText" text="POR VENCER">
      <formula>NOT(ISERROR(SEARCH("POR VENCER",NC4)))</formula>
    </cfRule>
  </conditionalFormatting>
  <conditionalFormatting sqref="NM67 NM77:NN77">
    <cfRule type="containsText" dxfId="37" priority="575" operator="containsText" text="VENCIDA">
      <formula>NOT(ISERROR(SEARCH("VENCIDA",NM67)))</formula>
    </cfRule>
    <cfRule type="containsText" dxfId="36" priority="574" operator="containsText" text="NO APLICA">
      <formula>NOT(ISERROR(SEARCH("NO APLICA",NM67)))</formula>
    </cfRule>
  </conditionalFormatting>
  <conditionalFormatting sqref="NM91:NO158">
    <cfRule type="containsText" dxfId="35" priority="57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7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7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71" operator="containsText" text="NO APLICA">
      <formula>NOT(ISERROR(SEARCH("NO APLICA",NC4)))</formula>
    </cfRule>
  </conditionalFormatting>
  <conditionalFormatting sqref="NN180:NQ180 NS180:NT180 NV180">
    <cfRule type="containsText" dxfId="31" priority="569" operator="containsText" text="VIGENTE">
      <formula>NOT(ISERROR(SEARCH("VIGENTE",NN180)))</formula>
    </cfRule>
    <cfRule type="containsText" dxfId="30" priority="568" operator="containsText" text="POR VENCER">
      <formula>NOT(ISERROR(SEARCH("POR VENCER",NN180)))</formula>
    </cfRule>
  </conditionalFormatting>
  <conditionalFormatting sqref="NP200">
    <cfRule type="containsText" dxfId="29" priority="567" operator="containsText" text="VENCIDA">
      <formula>NOT(ISERROR(SEARCH("VENCIDA",NP200)))</formula>
    </cfRule>
    <cfRule type="containsText" dxfId="28" priority="566" operator="containsText" text="POR VENCER">
      <formula>NOT(ISERROR(SEARCH("POR VENCER",NP200)))</formula>
    </cfRule>
    <cfRule type="containsText" dxfId="27" priority="565" operator="containsText" text="NO APLICA">
      <formula>NOT(ISERROR(SEARCH("NO APLICA",NP200)))</formula>
    </cfRule>
    <cfRule type="containsText" dxfId="26" priority="564" operator="containsText" text="VIGENTE">
      <formula>NOT(ISERROR(SEARCH("VIGENTE",NP200)))</formula>
    </cfRule>
  </conditionalFormatting>
  <conditionalFormatting sqref="NP213">
    <cfRule type="containsText" dxfId="25" priority="563" operator="containsText" text="VENCIDA">
      <formula>NOT(ISERROR(SEARCH("VENCIDA",NP213)))</formula>
    </cfRule>
    <cfRule type="containsText" dxfId="24" priority="561" operator="containsText" text="NO APLICA">
      <formula>NOT(ISERROR(SEARCH("NO APLICA",NP213)))</formula>
    </cfRule>
    <cfRule type="containsText" dxfId="23" priority="560" operator="containsText" text="VIGENTE">
      <formula>NOT(ISERROR(SEARCH("VIGENTE",NP213)))</formula>
    </cfRule>
    <cfRule type="containsText" dxfId="22" priority="562" operator="containsText" text="POR VENCER">
      <formula>NOT(ISERROR(SEARCH("POR VENCER",NP213)))</formula>
    </cfRule>
  </conditionalFormatting>
  <conditionalFormatting sqref="NW4:NW240 AC36">
    <cfRule type="containsText" dxfId="21" priority="556" operator="containsText" text="NO APLICA">
      <formula>NOT(ISERROR(SEARCH("NO APLICA",AC4)))</formula>
    </cfRule>
    <cfRule type="containsText" dxfId="20" priority="559" operator="containsText" text="VIGENTE">
      <formula>NOT(ISERROR(SEARCH("VIGENTE",AC4)))</formula>
    </cfRule>
    <cfRule type="containsText" dxfId="19" priority="558" operator="containsText" text="POR VENCER">
      <formula>NOT(ISERROR(SEARCH("POR VENCER",AC4)))</formula>
    </cfRule>
    <cfRule type="containsText" dxfId="18" priority="557" operator="containsText" text="VENCIDA">
      <formula>NOT(ISERROR(SEARCH("VENCIDA",AC4)))</formula>
    </cfRule>
  </conditionalFormatting>
  <conditionalFormatting sqref="OB4:OB240 OQ4:OQ240 OV4:OV240 PA4:PA240 PF4:PF240 PK4:PL240 PU4:PV240 PZ4:PZ240">
    <cfRule type="containsText" dxfId="17" priority="993" operator="containsText" text="NO APLICA">
      <formula>NOT(ISERROR(SEARCH("NO APLICA",OB4)))</formula>
    </cfRule>
    <cfRule type="containsText" dxfId="16" priority="992" operator="containsText" text="VENCIDA">
      <formula>NOT(ISERROR(SEARCH("VENCIDA",OB4)))</formula>
    </cfRule>
    <cfRule type="containsText" dxfId="15" priority="994" operator="containsText" text="POR VENCER">
      <formula>NOT(ISERROR(SEARCH("POR VENCER",OB4)))</formula>
    </cfRule>
    <cfRule type="containsText" dxfId="14" priority="995" operator="containsText" text="VIGENTE">
      <formula>NOT(ISERROR(SEARCH("VIGENTE",OB4)))</formula>
    </cfRule>
  </conditionalFormatting>
  <conditionalFormatting sqref="OH54">
    <cfRule type="containsText" dxfId="13" priority="551" operator="containsText" text="VIGENTE">
      <formula>NOT(ISERROR(SEARCH("VIGENTE",OH54)))</formula>
    </cfRule>
    <cfRule type="containsText" dxfId="12" priority="550" operator="containsText" text="POR VENCER">
      <formula>NOT(ISERROR(SEARCH("POR VENCER",OH54)))</formula>
    </cfRule>
    <cfRule type="containsText" dxfId="11" priority="548" operator="containsText" text="VENCIDA">
      <formula>NOT(ISERROR(SEARCH("VENCIDA",OH54)))</formula>
    </cfRule>
    <cfRule type="containsText" dxfId="10" priority="549" operator="containsText" text="NO APLICA">
      <formula>NOT(ISERROR(SEARCH("NO APLICA",OH54)))</formula>
    </cfRule>
  </conditionalFormatting>
  <conditionalFormatting sqref="OH180:OI180">
    <cfRule type="containsText" dxfId="9" priority="544" operator="containsText" text="POR VENCER">
      <formula>NOT(ISERROR(SEARCH("POR VENCER",OH180)))</formula>
    </cfRule>
    <cfRule type="containsText" dxfId="8" priority="546" operator="containsText" text="NO APLICA">
      <formula>NOT(ISERROR(SEARCH("NO APLICA",OH180)))</formula>
    </cfRule>
    <cfRule type="containsText" dxfId="7" priority="547" operator="containsText" text="VENCIDA">
      <formula>NOT(ISERROR(SEARCH("VENCIDA",OH180)))</formula>
    </cfRule>
    <cfRule type="containsText" dxfId="6" priority="545" operator="containsText" text="VIGENTE">
      <formula>NOT(ISERROR(SEARCH("VIGENTE",OH180)))</formula>
    </cfRule>
  </conditionalFormatting>
  <conditionalFormatting sqref="OY239:OY240">
    <cfRule type="containsText" dxfId="5" priority="71" operator="containsText" text="VENCIDA">
      <formula>NOT(ISERROR(SEARCH("VENCIDA",OY239)))</formula>
    </cfRule>
    <cfRule type="containsText" dxfId="4" priority="72" operator="containsText" text="POR VENCER">
      <formula>NOT(ISERROR(SEARCH("POR VENCER",OY239)))</formula>
    </cfRule>
    <cfRule type="containsText" dxfId="3" priority="73" operator="containsText" text="VIGENTE">
      <formula>NOT(ISERROR(SEARCH("VIGENTE",OY239)))</formula>
    </cfRule>
  </conditionalFormatting>
  <conditionalFormatting sqref="PP4:PP240">
    <cfRule type="containsText" dxfId="2" priority="542" operator="containsText" text="POR VENCER">
      <formula>NOT(ISERROR(SEARCH("POR VENCER",PP4)))</formula>
    </cfRule>
    <cfRule type="containsText" dxfId="1" priority="543" operator="containsText" text="VIGENTE">
      <formula>NOT(ISERROR(SEARCH("VIGENTE",PP4)))</formula>
    </cfRule>
    <cfRule type="containsText" dxfId="0" priority="541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2026-04-23T22:55:52Z</dcterms:modified>
</cp:coreProperties>
</file>