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C99406B3-6E28-4F42-B91B-6C7059954014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178" i="1" l="1"/>
  <c r="BM50" i="1"/>
  <c r="BM40" i="1"/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N178" i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N50" i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N40" i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<sst xmlns="http://schemas.openxmlformats.org/spreadsheetml/2006/main" count="2792" uniqueCount="785">
  <si>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</si>
  <si>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</si>
  <si>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</si>
  <si>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</si>
  <si>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</si>
  <si>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</si>
  <si>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</si>
  <si>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</si>
  <si>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</si>
  <si>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</si>
  <si>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</si>
  <si>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</si>
  <si>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</si>
  <si>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</si>
  <si>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</si>
  <si>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</si>
  <si>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</si>
  <si>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</si>
  <si>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</si>
  <si>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</si>
  <si>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</si>
  <si>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</si>
  <si>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</si>
  <si>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</si>
  <si>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</si>
  <si>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</si>
  <si>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</si>
  <si>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</si>
  <si>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</si>
  <si>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</si>
  <si>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</si>
  <si>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</si>
  <si>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</si>
  <si>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</si>
  <si>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</si>
  <si>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</si>
  <si>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</si>
  <si>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</si>
  <si>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</si>
  <si>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</si>
  <si>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</si>
  <si>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</si>
  <si>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</si>
  <si>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</si>
  <si>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</si>
  <si>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</si>
  <si>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</si>
  <si>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</si>
  <si>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</si>
  <si>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</si>
  <si>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</si>
  <si>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</si>
  <si>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</si>
  <si>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</si>
  <si>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</si>
  <si>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</si>
  <si>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</si>
  <si>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</si>
  <si>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</si>
  <si>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</si>
  <si>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</si>
  <si>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</si>
  <si>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</si>
  <si>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</si>
  <si>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</si>
  <si>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</si>
  <si>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</si>
  <si>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</si>
  <si>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</si>
  <si>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</si>
  <si>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</si>
  <si>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</si>
  <si>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</si>
  <si>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</si>
  <si>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</si>
  <si>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</si>
  <si>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</si>
  <si>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</si>
  <si>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</si>
  <si>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</si>
  <si>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</si>
  <si>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</si>
  <si>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</si>
  <si>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</si>
  <si>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</si>
  <si>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</si>
  <si>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</si>
  <si>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</si>
  <si>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</si>
  <si>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</si>
  <si>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</si>
  <si>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</si>
  <si>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</si>
  <si>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</si>
  <si>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</si>
  <si>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</si>
  <si>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</si>
  <si>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</si>
  <si>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</si>
  <si>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</si>
  <si>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</si>
  <si>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</si>
  <si>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</si>
  <si>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</si>
  <si>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</si>
  <si>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</si>
  <si>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</si>
  <si>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</si>
  <si>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</si>
  <si>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</si>
  <si>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</si>
  <si>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</si>
  <si>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</si>
  <si>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</si>
  <si>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</si>
  <si>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</si>
  <si>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</si>
  <si>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</si>
  <si>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</si>
  <si>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</si>
  <si>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</si>
  <si>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</si>
  <si>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</si>
  <si>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</si>
  <si>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</si>
  <si>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</si>
  <si>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</si>
  <si>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</si>
  <si>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</si>
  <si>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</si>
  <si>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</si>
  <si>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</si>
  <si>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</si>
  <si>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</si>
  <si>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</si>
  <si>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</si>
  <si>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</si>
  <si>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</si>
  <si>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</si>
  <si>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</si>
  <si>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</si>
  <si>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</si>
  <si>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</si>
  <si>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</si>
  <si>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</si>
  <si>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</si>
  <si>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</si>
  <si>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</si>
  <si>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</si>
  <si>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</si>
  <si>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</si>
  <si>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</si>
  <si>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</si>
  <si>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</si>
  <si>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</si>
  <si>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</si>
  <si>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</si>
  <si>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</si>
  <si>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</si>
  <si>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</si>
  <si>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</si>
  <si>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</si>
  <si>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</si>
  <si>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</si>
  <si>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</si>
  <si>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</si>
  <si>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</si>
  <si>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</si>
  <si>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</si>
  <si>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</si>
  <si>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</si>
  <si>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</si>
  <si>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</si>
  <si>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</si>
  <si>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</si>
  <si>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</si>
  <si>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</si>
  <si>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</si>
  <si>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</si>
  <si>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</si>
  <si>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</si>
  <si>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</si>
  <si>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</si>
  <si>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</si>
  <si>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</si>
  <si>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</si>
  <si>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</si>
  <si>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</si>
  <si>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</si>
  <si>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</si>
  <si>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</si>
  <si>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</si>
  <si>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</si>
  <si>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</si>
  <si>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</si>
  <si>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</si>
  <si>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</si>
  <si>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</si>
  <si>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</si>
  <si>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</si>
  <si>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</si>
  <si>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</si>
  <si>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</si>
  <si>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</si>
  <si>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</si>
  <si>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</si>
  <si>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</si>
  <si>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</si>
  <si>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</si>
  <si>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</si>
  <si>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</si>
  <si>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</si>
  <si>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</si>
  <si>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</si>
  <si>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</si>
  <si>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</si>
  <si>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</si>
  <si>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</si>
  <si>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</si>
  <si>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</si>
  <si>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</si>
  <si>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</si>
  <si>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</si>
  <si>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</si>
  <si>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</si>
  <si>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</si>
  <si>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</si>
  <si>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</si>
  <si>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</si>
  <si>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</si>
  <si>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</si>
  <si>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</si>
  <si>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</si>
  <si>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</si>
  <si>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</si>
  <si>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</si>
  <si>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</si>
  <si>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</si>
  <si>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</si>
  <si>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</si>
  <si>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</si>
  <si>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</si>
  <si>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</si>
  <si>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</si>
  <si>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</si>
  <si>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</si>
  <si>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</si>
  <si>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</si>
  <si>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</si>
  <si>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</si>
  <si>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</si>
  <si>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</si>
  <si>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</si>
  <si>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</si>
  <si>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</si>
  <si>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</si>
  <si>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</si>
  <si>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</si>
  <si>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</si>
  <si>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</si>
  <si>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</si>
  <si>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</si>
  <si>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</si>
  <si>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</si>
  <si>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</si>
  <si>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</si>
  <si>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</si>
  <si>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</si>
  <si>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</si>
  <si>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</si>
  <si>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</si>
  <si>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</si>
  <si>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</si>
  <si>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</si>
  <si>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</si>
  <si>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</si>
  <si>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</si>
  <si>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</si>
  <si>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</si>
  <si>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</si>
  <si>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</si>
  <si>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</si>
  <si>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</si>
  <si>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</si>
  <si>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</si>
  <si>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</si>
  <si>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</si>
  <si>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</si>
  <si>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</si>
  <si>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</si>
  <si>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</si>
  <si>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</si>
  <si>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</si>
  <si>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</si>
  <si>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</si>
  <si>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</si>
  <si>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</si>
  <si>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</si>
  <si>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</si>
  <si>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</si>
  <si>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</si>
  <si>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</si>
  <si>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</si>
  <si>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</si>
  <si>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</si>
  <si>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</si>
  <si>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</si>
  <si>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</si>
  <si>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</si>
  <si>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</si>
  <si>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</si>
  <si>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</si>
  <si>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</si>
  <si>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</si>
  <si>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</si>
  <si>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</si>
  <si>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</si>
  <si>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</si>
  <si>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</si>
  <si>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</si>
  <si>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</si>
  <si>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</si>
  <si>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</si>
  <si>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</si>
  <si>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</si>
  <si>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</si>
  <si>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</si>
  <si>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</si>
  <si>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</si>
  <si>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</si>
  <si>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</si>
  <si>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</si>
  <si>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</si>
  <si>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</si>
  <si>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</si>
  <si>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</si>
  <si>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</si>
  <si>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</si>
  <si>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</si>
  <si>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</si>
  <si>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</si>
  <si>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</si>
  <si>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</si>
  <si>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</si>
  <si>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</si>
  <si>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</si>
  <si>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</si>
  <si>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</si>
  <si>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</si>
  <si>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</si>
  <si>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</si>
  <si>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</si>
  <si>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</si>
  <si>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</si>
  <si>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</si>
  <si>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</si>
  <si>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</si>
  <si>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</si>
  <si>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</si>
  <si>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</si>
  <si>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</si>
  <si>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</si>
  <si>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</si>
  <si>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</si>
  <si>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</si>
  <si>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</si>
  <si>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</si>
  <si>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</si>
  <si>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</si>
  <si>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</si>
  <si>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</si>
  <si>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</si>
  <si>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</si>
  <si>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</si>
  <si>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</si>
  <si>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</si>
  <si>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</si>
  <si>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</si>
  <si>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</si>
  <si>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</si>
  <si>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</si>
  <si>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</si>
  <si>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</si>
  <si>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</si>
  <si>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</si>
  <si>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</si>
  <si>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</si>
  <si>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</si>
  <si>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</si>
  <si>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</si>
  <si>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</si>
  <si>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</si>
  <si>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</si>
  <si>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</si>
  <si>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</si>
  <si>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</si>
  <si>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</si>
  <si>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</si>
  <si>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</si>
  <si>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</si>
  <si>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</si>
  <si>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</si>
  <si>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</si>
  <si>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</si>
  <si>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</si>
  <si>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</si>
  <si>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</si>
  <si>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</si>
  <si>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</si>
  <si>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</si>
  <si>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</si>
  <si>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</si>
  <si>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</si>
  <si>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</si>
  <si>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</si>
  <si>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</si>
  <si>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</si>
  <si>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</si>
  <si>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</si>
  <si>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</si>
  <si>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</si>
  <si>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</si>
  <si>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</si>
  <si>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</si>
  <si>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</si>
  <si>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</si>
  <si>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</si>
  <si>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</si>
  <si>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</si>
  <si>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</si>
  <si>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</si>
  <si>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</si>
  <si>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</si>
  <si>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</si>
  <si>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</si>
  <si>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</si>
  <si>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</si>
  <si>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</si>
  <si>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</si>
  <si>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</si>
  <si>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</si>
  <si>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</si>
  <si>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</si>
  <si>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</si>
  <si>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</si>
  <si>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</si>
  <si>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</si>
  <si>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</si>
  <si>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</si>
  <si>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</si>
  <si>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</si>
  <si>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</si>
  <si>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</si>
  <si>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</si>
  <si>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</si>
  <si>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</si>
  <si>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</si>
  <si>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</si>
  <si>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</si>
  <si>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</si>
  <si>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</si>
  <si>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</si>
  <si>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</si>
  <si>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</si>
  <si>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</si>
  <si>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</si>
  <si>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</si>
  <si>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</si>
  <si>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</si>
  <si>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</si>
  <si>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</si>
  <si>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</si>
  <si>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</si>
  <si>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</si>
  <si>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</si>
  <si>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</si>
  <si>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</si>
  <si>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</si>
  <si>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</si>
  <si>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</si>
  <si>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</si>
  <si>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</si>
  <si>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</si>
  <si>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</si>
  <si>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</si>
  <si>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</si>
  <si>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</si>
  <si>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</si>
  <si>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</si>
  <si>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</si>
  <si>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</si>
  <si>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</si>
  <si>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</si>
  <si>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</si>
  <si>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</si>
  <si>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</si>
  <si>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</si>
  <si>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</si>
  <si>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</si>
  <si>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</si>
  <si>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</si>
  <si>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</si>
  <si>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</si>
  <si>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</si>
  <si>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</si>
  <si>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</si>
  <si>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</si>
  <si>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</si>
  <si>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</si>
  <si>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</si>
  <si>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</si>
  <si>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</si>
  <si>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</si>
  <si>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</si>
  <si>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</si>
  <si>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</si>
  <si>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</si>
  <si>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</si>
  <si>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</si>
  <si>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</si>
  <si>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</si>
  <si>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</si>
  <si>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</si>
  <si>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</si>
  <si>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</si>
  <si>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</si>
  <si>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</si>
  <si>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</si>
  <si>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</si>
  <si>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</si>
  <si>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</si>
  <si>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</si>
  <si>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</si>
  <si>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</si>
  <si>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</si>
  <si>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</si>
  <si>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</si>
  <si>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</si>
  <si>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</si>
  <si>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</si>
  <si>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</si>
  <si>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</si>
  <si>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</si>
  <si>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</si>
  <si>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</si>
  <si>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</si>
  <si>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</si>
  <si>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</si>
  <si>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</si>
  <si>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</si>
  <si>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</si>
  <si>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</si>
  <si>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</si>
  <si>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</si>
  <si>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</si>
  <si>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</si>
  <si>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</si>
  <si>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</si>
  <si>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</si>
  <si>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</si>
  <si>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</si>
  <si>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</si>
  <si>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</si>
  <si>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</si>
  <si>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</si>
  <si>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</si>
  <si>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</si>
  <si>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</si>
  <si>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</si>
  <si>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</si>
  <si>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</si>
  <si>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</si>
  <si>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</si>
  <si>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</si>
  <si>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</si>
  <si>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</si>
  <si>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</si>
  <si>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</si>
  <si>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</si>
  <si>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</si>
  <si>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</si>
  <si>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</si>
  <si>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</si>
  <si>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</si>
  <si>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</si>
  <si>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</si>
  <si>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</si>
  <si>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</si>
  <si>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</si>
  <si>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</si>
  <si>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</si>
  <si>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</si>
  <si>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</si>
  <si>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</si>
  <si>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</si>
  <si>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</si>
  <si>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</si>
  <si>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</si>
  <si>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</si>
  <si>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</si>
  <si>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</si>
  <si>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</si>
  <si>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</si>
  <si>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</si>
  <si>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</si>
  <si>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</si>
  <si>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</si>
  <si>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</si>
  <si>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</si>
  <si>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</si>
  <si>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</si>
  <si>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</si>
  <si>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</si>
  <si>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</si>
  <si>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</si>
  <si>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</si>
  <si>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</si>
  <si>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</si>
  <si>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</si>
  <si>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</si>
  <si>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</si>
  <si>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</si>
  <si>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</si>
  <si>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</si>
  <si>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</si>
  <si>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</si>
  <si>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</si>
  <si>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</si>
  <si>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</si>
  <si>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</si>
  <si>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</si>
  <si>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</si>
  <si>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</si>
  <si>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</si>
  <si>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</si>
  <si>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</si>
  <si>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</si>
  <si>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</si>
  <si>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</si>
  <si>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</si>
  <si>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</si>
  <si>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</si>
  <si>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</si>
  <si>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</si>
  <si>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</si>
  <si>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</si>
  <si>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</si>
  <si>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</si>
  <si>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</si>
  <si>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</si>
  <si>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</si>
  <si>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</si>
  <si>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</si>
  <si>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</si>
  <si>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</si>
  <si>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</si>
  <si>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</si>
  <si>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</si>
  <si>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</si>
  <si>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</si>
  <si>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</si>
  <si>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</si>
  <si>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</si>
  <si>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</si>
  <si>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</si>
  <si>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</si>
  <si>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</si>
  <si>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</si>
  <si>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</si>
  <si>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</si>
  <si>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</si>
  <si>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</si>
  <si>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</si>
  <si>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</si>
  <si>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</si>
  <si>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</si>
  <si>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</si>
  <si>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</si>
  <si>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</si>
  <si>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</si>
  <si>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</si>
  <si>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</si>
  <si>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</si>
  <si>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</si>
  <si>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</si>
  <si>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</si>
  <si>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</si>
  <si>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</si>
  <si>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</si>
  <si>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</si>
  <si>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</si>
  <si>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</si>
  <si>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</si>
  <si>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</si>
  <si>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</si>
  <si>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</si>
  <si>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</si>
  <si>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</si>
  <si>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</si>
  <si>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</si>
  <si>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</si>
  <si>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</si>
  <si>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</si>
  <si>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</si>
  <si>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</si>
  <si>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</si>
  <si>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</si>
  <si>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</si>
  <si>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</si>
  <si>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</si>
  <si>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</si>
  <si>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</si>
  <si>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</si>
  <si>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</si>
  <si>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</si>
  <si>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</si>
  <si>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</si>
  <si>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</si>
  <si>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</si>
  <si>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</si>
  <si>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</si>
  <si>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</si>
  <si>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</si>
  <si>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</si>
  <si>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</si>
  <si>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</si>
  <si>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</si>
  <si>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</si>
  <si>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</si>
  <si>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</si>
  <si>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</si>
  <si>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</si>
  <si>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</si>
  <si>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</si>
  <si>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</si>
  <si>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</si>
  <si>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</si>
  <si>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</si>
  <si>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</si>
  <si>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</si>
  <si>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</si>
  <si>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</si>
  <si>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</si>
  <si>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</si>
  <si>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</si>
  <si>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</si>
  <si>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</si>
  <si>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</si>
  <si>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</si>
  <si>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</si>
  <si>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</si>
  <si>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</si>
  <si>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</si>
  <si>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</si>
  <si>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</si>
  <si>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</si>
  <si>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</si>
  <si>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</si>
  <si>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</si>
  <si>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</si>
  <si>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</si>
  <si>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</si>
  <si>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</si>
  <si>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</si>
  <si>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</si>
  <si>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</si>
  <si>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</si>
  <si>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</si>
  <si>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</si>
  <si>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</si>
  <si>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</si>
  <si>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</si>
  <si>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</si>
  <si>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</si>
  <si>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</si>
  <si>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</si>
  <si>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</si>
  <si>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</si>
  <si>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</si>
  <si>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</si>
  <si>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</si>
  <si>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pendiente</t>
  </si>
  <si>
    <t>Valores Humanos en la Organización</t>
  </si>
  <si>
    <t>Programado - 08/05/2026 
Sala de capacitación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</si>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</sst>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5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 wrapText="1"/>
    </xf>
    <xf numFmtId="14" fontId="6" fillId="0" borderId="7" xfId="0" applyNumberFormat="1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6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sheetPr filterMode="1"/>
  <dimension ref="A1:QA247"/>
  <sheetViews>
    <sheetView tabSelected="1" zoomScale="80" zoomScaleNormal="80" workbookViewId="0">
      <pane xSplit="5" ySplit="3" topLeftCell="KA4" activePane="bottomRight" state="frozen"/>
      <selection pane="topRight" activeCell="F1" sqref="F1"/>
      <selection pane="bottomLeft" activeCell="A4" sqref="A4"/>
      <selection pane="bottomRight" activeCell="KF241" sqref="KF241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hidden="1" customWidth="1"/>
    <col min="5" max="5" width="29.21875" hidden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13.4414062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21.33203125" bestFit="1" customWidth="1"/>
  </cols>
  <sheetData>
    <row r="1" spans="1:442" ht="15.6" thickTop="1" thickBot="1" x14ac:dyDescent="0.35">
      <c r="A1" s="47" t="s">
        <v>0</v>
      </c>
      <c r="B1" s="48"/>
      <c r="C1" s="48"/>
      <c r="D1" s="48"/>
      <c r="E1" s="49"/>
      <c r="F1" s="96" t="s">
        <v>1</v>
      </c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8"/>
      <c r="U1" s="104" t="s">
        <v>2</v>
      </c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6"/>
      <c r="AG1" s="107" t="s">
        <v>3</v>
      </c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9" t="s">
        <v>4</v>
      </c>
      <c r="CF1" s="109"/>
      <c r="CG1" s="109"/>
      <c r="CH1" s="109"/>
      <c r="CI1" s="109"/>
      <c r="CJ1" s="108" t="s">
        <v>5</v>
      </c>
      <c r="CK1" s="108"/>
      <c r="CL1" s="108"/>
      <c r="CM1" s="108"/>
      <c r="CN1" s="108"/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8"/>
      <c r="DR1" s="108"/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10"/>
      <c r="ES1" s="108"/>
      <c r="ET1" s="108"/>
      <c r="EU1" s="108"/>
      <c r="EV1" s="108"/>
      <c r="EW1" s="108"/>
      <c r="EX1" s="108"/>
      <c r="EY1" s="108"/>
      <c r="EZ1" s="108"/>
      <c r="FA1" s="108"/>
      <c r="FB1" s="108"/>
      <c r="FC1" s="108"/>
      <c r="FD1" s="108"/>
      <c r="FE1" s="108"/>
      <c r="FF1" s="108"/>
      <c r="FG1" s="108"/>
      <c r="FH1" s="108"/>
      <c r="FI1" s="108"/>
      <c r="FJ1" s="108"/>
      <c r="FK1" s="108"/>
      <c r="FL1" s="108"/>
      <c r="FM1" s="108"/>
      <c r="FN1" s="108"/>
      <c r="FO1" s="108"/>
      <c r="FP1" s="108"/>
      <c r="FQ1" s="108"/>
      <c r="FR1" s="108"/>
      <c r="FS1" s="108"/>
      <c r="FT1" s="108"/>
      <c r="FU1" s="108"/>
      <c r="FV1" s="108"/>
      <c r="FW1" s="108"/>
      <c r="FX1" s="108"/>
      <c r="FY1" s="108"/>
      <c r="FZ1" s="108"/>
      <c r="GA1" s="108"/>
      <c r="GB1" s="108"/>
      <c r="GC1" s="108"/>
      <c r="GD1" s="108"/>
      <c r="GE1" s="108"/>
      <c r="GF1" s="108"/>
      <c r="GG1" s="108"/>
      <c r="GH1" s="108"/>
      <c r="GI1" s="108"/>
      <c r="GJ1" s="108"/>
      <c r="GK1" s="130"/>
      <c r="GL1" s="131"/>
      <c r="GM1" s="131"/>
      <c r="GN1" s="131"/>
      <c r="GO1" s="131"/>
      <c r="GP1" s="132" t="s">
        <v>6</v>
      </c>
      <c r="GQ1" s="133"/>
      <c r="GR1" s="133"/>
      <c r="GS1" s="133"/>
      <c r="GT1" s="133"/>
      <c r="GU1" s="133"/>
      <c r="GV1" s="133"/>
      <c r="GW1" s="133"/>
      <c r="GX1" s="133"/>
      <c r="GY1" s="133"/>
      <c r="GZ1" s="133"/>
      <c r="HA1" s="133"/>
      <c r="HB1" s="133"/>
      <c r="HC1" s="133"/>
      <c r="HD1" s="133"/>
      <c r="HE1" s="133"/>
      <c r="HF1" s="133"/>
      <c r="HG1" s="133"/>
      <c r="HH1" s="133"/>
      <c r="HI1" s="134"/>
      <c r="HJ1" s="88" t="s">
        <v>7</v>
      </c>
      <c r="HK1" s="89"/>
      <c r="HL1" s="89"/>
      <c r="HM1" s="89"/>
      <c r="HN1" s="90"/>
      <c r="HO1" s="91" t="s">
        <v>8</v>
      </c>
      <c r="HP1" s="92"/>
      <c r="HQ1" s="92"/>
      <c r="HR1" s="92"/>
      <c r="HS1" s="93"/>
      <c r="HT1" s="94" t="s">
        <v>9</v>
      </c>
      <c r="HU1" s="94"/>
      <c r="HV1" s="94"/>
      <c r="HW1" s="94"/>
      <c r="HX1" s="94"/>
      <c r="HY1" s="94"/>
      <c r="HZ1" s="94"/>
      <c r="IA1" s="94"/>
      <c r="IB1" s="94"/>
      <c r="IC1" s="94"/>
      <c r="ID1" s="95" t="s">
        <v>10</v>
      </c>
      <c r="IE1" s="95"/>
      <c r="IF1" s="95"/>
      <c r="IG1" s="95"/>
      <c r="IH1" s="95"/>
      <c r="II1" s="124" t="s">
        <v>11</v>
      </c>
      <c r="IJ1" s="124"/>
      <c r="IK1" s="124"/>
      <c r="IL1" s="124"/>
      <c r="IM1" s="124"/>
      <c r="IN1" s="124"/>
      <c r="IO1" s="124"/>
      <c r="IP1" s="124"/>
      <c r="IQ1" s="124"/>
      <c r="IR1" s="124"/>
      <c r="IS1" s="124"/>
      <c r="IT1" s="124"/>
      <c r="IU1" s="124"/>
      <c r="IV1" s="124"/>
      <c r="IW1" s="124"/>
      <c r="IX1" s="124"/>
      <c r="IY1" s="124"/>
      <c r="IZ1" s="124"/>
      <c r="JA1" s="124"/>
      <c r="JB1" s="124"/>
      <c r="JC1" s="125" t="s">
        <v>12</v>
      </c>
      <c r="JD1" s="126"/>
      <c r="JE1" s="126"/>
      <c r="JF1" s="126"/>
      <c r="JG1" s="126"/>
      <c r="JH1" s="126"/>
      <c r="JI1" s="126"/>
      <c r="JJ1" s="126"/>
      <c r="JK1" s="126"/>
      <c r="JL1" s="126"/>
      <c r="JM1" s="126"/>
      <c r="JN1" s="126"/>
      <c r="JO1" s="126"/>
      <c r="JP1" s="126"/>
      <c r="JQ1" s="126"/>
      <c r="JR1" s="126"/>
      <c r="JS1" s="126"/>
      <c r="JT1" s="126"/>
      <c r="JU1" s="126"/>
      <c r="JV1" s="127"/>
      <c r="JW1" s="125"/>
      <c r="JX1" s="126"/>
      <c r="JY1" s="126"/>
      <c r="JZ1" s="126"/>
      <c r="KA1" s="127"/>
      <c r="KB1" s="50" t="s">
        <v>13</v>
      </c>
      <c r="KC1" s="51"/>
      <c r="KD1" s="51"/>
      <c r="KE1" s="51"/>
      <c r="KF1" s="51"/>
      <c r="KG1" s="51"/>
      <c r="KH1" s="51"/>
      <c r="KI1" s="51"/>
      <c r="KJ1" s="51"/>
      <c r="KK1" s="52"/>
      <c r="KL1" s="42" t="s">
        <v>14</v>
      </c>
      <c r="KM1" s="43"/>
      <c r="KN1" s="43"/>
      <c r="KO1" s="43"/>
      <c r="KP1" s="43"/>
      <c r="KQ1" s="43"/>
      <c r="KR1" s="43"/>
      <c r="KS1" s="43"/>
      <c r="KT1" s="43"/>
      <c r="KU1" s="43"/>
      <c r="KV1" s="43"/>
      <c r="KW1" s="43"/>
      <c r="KX1" s="43"/>
      <c r="KY1" s="43"/>
      <c r="KZ1" s="43"/>
      <c r="LA1" s="43"/>
      <c r="LB1" s="43"/>
      <c r="LC1" s="43"/>
      <c r="LD1" s="43"/>
      <c r="LE1" s="43"/>
      <c r="LF1" s="43"/>
      <c r="LG1" s="43"/>
      <c r="LH1" s="43"/>
      <c r="LI1" s="43"/>
      <c r="LJ1" s="43"/>
      <c r="LK1" s="128" t="s">
        <v>15</v>
      </c>
      <c r="LL1" s="128"/>
      <c r="LM1" s="128"/>
      <c r="LN1" s="128"/>
      <c r="LO1" s="128"/>
      <c r="LP1" s="128"/>
      <c r="LQ1" s="128"/>
      <c r="LR1" s="128"/>
      <c r="LS1" s="128"/>
      <c r="LT1" s="129"/>
      <c r="LU1" s="119" t="s">
        <v>16</v>
      </c>
      <c r="LV1" s="119"/>
      <c r="LW1" s="119"/>
      <c r="LX1" s="119"/>
      <c r="LY1" s="119"/>
      <c r="LZ1" s="119"/>
      <c r="MA1" s="119"/>
      <c r="MB1" s="119"/>
      <c r="MC1" s="119"/>
      <c r="MD1" s="119"/>
      <c r="ME1" s="119"/>
      <c r="MF1" s="119"/>
      <c r="MG1" s="119"/>
      <c r="MH1" s="119"/>
      <c r="MI1" s="119"/>
      <c r="MJ1" s="119"/>
      <c r="MK1" s="119"/>
      <c r="ML1" s="119"/>
      <c r="MM1" s="119"/>
      <c r="MN1" s="119"/>
      <c r="MO1" s="59" t="s">
        <v>17</v>
      </c>
      <c r="MP1" s="60"/>
      <c r="MQ1" s="60"/>
      <c r="MR1" s="60"/>
      <c r="MS1" s="60"/>
      <c r="MT1" s="60"/>
      <c r="MU1" s="60"/>
      <c r="MV1" s="60"/>
      <c r="MW1" s="60"/>
      <c r="MX1" s="61"/>
      <c r="MY1" s="120" t="s">
        <v>18</v>
      </c>
      <c r="MZ1" s="120"/>
      <c r="NA1" s="120"/>
      <c r="NB1" s="120"/>
      <c r="NC1" s="120"/>
      <c r="ND1" s="120"/>
      <c r="NE1" s="120"/>
      <c r="NF1" s="120"/>
      <c r="NG1" s="120"/>
      <c r="NH1" s="120"/>
      <c r="NI1" s="121" t="s">
        <v>19</v>
      </c>
      <c r="NJ1" s="121"/>
      <c r="NK1" s="121"/>
      <c r="NL1" s="121"/>
      <c r="NM1" s="121"/>
      <c r="NN1" s="121"/>
      <c r="NO1" s="121"/>
      <c r="NP1" s="121"/>
      <c r="NQ1" s="121"/>
      <c r="NR1" s="121"/>
      <c r="NS1" s="121"/>
      <c r="NT1" s="121"/>
      <c r="NU1" s="121"/>
      <c r="NV1" s="121"/>
      <c r="NW1" s="121"/>
      <c r="NX1" s="122" t="s">
        <v>20</v>
      </c>
      <c r="NY1" s="123"/>
      <c r="NZ1" s="123"/>
      <c r="OA1" s="123"/>
      <c r="OB1" s="123"/>
      <c r="OC1" s="123"/>
      <c r="OD1" s="123"/>
      <c r="OE1" s="123"/>
      <c r="OF1" s="123"/>
      <c r="OG1" s="123"/>
      <c r="OH1" s="42" t="s">
        <v>21</v>
      </c>
      <c r="OI1" s="43"/>
      <c r="OJ1" s="43"/>
      <c r="OK1" s="43"/>
      <c r="OL1" s="43"/>
      <c r="OM1" s="43"/>
      <c r="ON1" s="43"/>
      <c r="OO1" s="43"/>
      <c r="OP1" s="43"/>
      <c r="OQ1" s="43"/>
      <c r="OR1" s="112" t="s">
        <v>22</v>
      </c>
      <c r="OS1" s="112"/>
      <c r="OT1" s="112"/>
      <c r="OU1" s="112"/>
      <c r="OV1" s="112"/>
      <c r="OW1" s="112"/>
      <c r="OX1" s="112"/>
      <c r="OY1" s="112"/>
      <c r="OZ1" s="112"/>
      <c r="PA1" s="112"/>
      <c r="PB1" s="112"/>
      <c r="PC1" s="112"/>
      <c r="PD1" s="112"/>
      <c r="PE1" s="112"/>
      <c r="PF1" s="112"/>
      <c r="PG1" s="112"/>
      <c r="PH1" s="112"/>
      <c r="PI1" s="112"/>
      <c r="PJ1" s="112"/>
      <c r="PK1" s="112"/>
      <c r="PL1" s="112"/>
      <c r="PM1" s="112"/>
      <c r="PN1" s="112"/>
      <c r="PO1" s="112"/>
      <c r="PP1" s="112"/>
      <c r="PQ1" s="112"/>
      <c r="PR1" s="112"/>
      <c r="PS1" s="112"/>
      <c r="PT1" s="112"/>
      <c r="PU1" s="112"/>
      <c r="PV1" s="112"/>
      <c r="PW1" s="112"/>
      <c r="PX1" s="112"/>
      <c r="PY1" s="112"/>
      <c r="PZ1" s="112"/>
    </row>
    <row r="2" spans="1:442" s="35" customFormat="1" ht="37.799999999999997" customHeight="1" thickTop="1" thickBot="1" x14ac:dyDescent="0.35">
      <c r="A2" s="113" t="s">
        <v>23</v>
      </c>
      <c r="B2" s="113" t="s">
        <v>698</v>
      </c>
      <c r="C2" s="115" t="s">
        <v>697</v>
      </c>
      <c r="D2" s="116" t="s">
        <v>24</v>
      </c>
      <c r="E2" s="117" t="s">
        <v>25</v>
      </c>
      <c r="F2" s="99" t="s">
        <v>26</v>
      </c>
      <c r="G2" s="99"/>
      <c r="H2" s="99"/>
      <c r="I2" s="99"/>
      <c r="J2" s="99"/>
      <c r="K2" s="99" t="s">
        <v>27</v>
      </c>
      <c r="L2" s="99"/>
      <c r="M2" s="99"/>
      <c r="N2" s="99"/>
      <c r="O2" s="99"/>
      <c r="P2" s="99" t="s">
        <v>28</v>
      </c>
      <c r="Q2" s="99"/>
      <c r="R2" s="99"/>
      <c r="S2" s="99"/>
      <c r="T2" s="99"/>
      <c r="U2" s="101" t="s">
        <v>29</v>
      </c>
      <c r="V2" s="102"/>
      <c r="W2" s="102"/>
      <c r="X2" s="102"/>
      <c r="Y2" s="102"/>
      <c r="Z2" s="103"/>
      <c r="AA2" s="101" t="s">
        <v>30</v>
      </c>
      <c r="AB2" s="102"/>
      <c r="AC2" s="102"/>
      <c r="AD2" s="102"/>
      <c r="AE2" s="102"/>
      <c r="AF2" s="103"/>
      <c r="AG2" s="81" t="s">
        <v>5</v>
      </c>
      <c r="AH2" s="81"/>
      <c r="AI2" s="81"/>
      <c r="AJ2" s="81"/>
      <c r="AK2" s="81"/>
      <c r="AL2" s="81" t="s">
        <v>31</v>
      </c>
      <c r="AM2" s="81"/>
      <c r="AN2" s="81"/>
      <c r="AO2" s="81"/>
      <c r="AP2" s="81"/>
      <c r="AQ2" s="81" t="s">
        <v>32</v>
      </c>
      <c r="AR2" s="81"/>
      <c r="AS2" s="81"/>
      <c r="AT2" s="81"/>
      <c r="AU2" s="81"/>
      <c r="AV2" s="81" t="s">
        <v>33</v>
      </c>
      <c r="AW2" s="81"/>
      <c r="AX2" s="81"/>
      <c r="AY2" s="81"/>
      <c r="AZ2" s="81"/>
      <c r="BA2" s="81" t="s">
        <v>34</v>
      </c>
      <c r="BB2" s="81"/>
      <c r="BC2" s="81"/>
      <c r="BD2" s="81"/>
      <c r="BE2" s="81"/>
      <c r="BF2" s="81" t="s">
        <v>35</v>
      </c>
      <c r="BG2" s="81"/>
      <c r="BH2" s="81"/>
      <c r="BI2" s="81"/>
      <c r="BJ2" s="81"/>
      <c r="BK2" s="81" t="s">
        <v>36</v>
      </c>
      <c r="BL2" s="81"/>
      <c r="BM2" s="81"/>
      <c r="BN2" s="81"/>
      <c r="BO2" s="81"/>
      <c r="BP2" s="81" t="s">
        <v>37</v>
      </c>
      <c r="BQ2" s="81"/>
      <c r="BR2" s="81"/>
      <c r="BS2" s="81"/>
      <c r="BT2" s="81"/>
      <c r="BU2" s="81" t="s">
        <v>38</v>
      </c>
      <c r="BV2" s="81"/>
      <c r="BW2" s="81"/>
      <c r="BX2" s="81"/>
      <c r="BY2" s="81"/>
      <c r="BZ2" s="81" t="s">
        <v>39</v>
      </c>
      <c r="CA2" s="81"/>
      <c r="CB2" s="81"/>
      <c r="CC2" s="81"/>
      <c r="CD2" s="100"/>
      <c r="CE2" s="111" t="s">
        <v>40</v>
      </c>
      <c r="CF2" s="111"/>
      <c r="CG2" s="111"/>
      <c r="CH2" s="111"/>
      <c r="CI2" s="111"/>
      <c r="CJ2" s="85" t="s">
        <v>41</v>
      </c>
      <c r="CK2" s="81"/>
      <c r="CL2" s="81"/>
      <c r="CM2" s="81"/>
      <c r="CN2" s="81"/>
      <c r="CO2" s="81" t="s">
        <v>42</v>
      </c>
      <c r="CP2" s="81"/>
      <c r="CQ2" s="81"/>
      <c r="CR2" s="81"/>
      <c r="CS2" s="81"/>
      <c r="CT2" s="81" t="s">
        <v>43</v>
      </c>
      <c r="CU2" s="81"/>
      <c r="CV2" s="81"/>
      <c r="CW2" s="81"/>
      <c r="CX2" s="81"/>
      <c r="CY2" s="81" t="s">
        <v>44</v>
      </c>
      <c r="CZ2" s="81"/>
      <c r="DA2" s="81"/>
      <c r="DB2" s="81"/>
      <c r="DC2" s="81"/>
      <c r="DD2" s="81" t="s">
        <v>45</v>
      </c>
      <c r="DE2" s="81"/>
      <c r="DF2" s="81"/>
      <c r="DG2" s="81"/>
      <c r="DH2" s="81"/>
      <c r="DI2" s="81" t="s">
        <v>46</v>
      </c>
      <c r="DJ2" s="81"/>
      <c r="DK2" s="81"/>
      <c r="DL2" s="81"/>
      <c r="DM2" s="81"/>
      <c r="DN2" s="81" t="s">
        <v>47</v>
      </c>
      <c r="DO2" s="81"/>
      <c r="DP2" s="81"/>
      <c r="DQ2" s="81"/>
      <c r="DR2" s="81"/>
      <c r="DS2" s="81" t="s">
        <v>48</v>
      </c>
      <c r="DT2" s="81"/>
      <c r="DU2" s="81"/>
      <c r="DV2" s="81"/>
      <c r="DW2" s="81"/>
      <c r="DX2" s="81" t="s">
        <v>49</v>
      </c>
      <c r="DY2" s="81"/>
      <c r="DZ2" s="81"/>
      <c r="EA2" s="81"/>
      <c r="EB2" s="81"/>
      <c r="EC2" s="81" t="s">
        <v>50</v>
      </c>
      <c r="ED2" s="81"/>
      <c r="EE2" s="81"/>
      <c r="EF2" s="81"/>
      <c r="EG2" s="81"/>
      <c r="EH2" s="86" t="s">
        <v>51</v>
      </c>
      <c r="EI2" s="86"/>
      <c r="EJ2" s="86"/>
      <c r="EK2" s="86"/>
      <c r="EL2" s="85"/>
      <c r="EM2" s="81" t="s">
        <v>52</v>
      </c>
      <c r="EN2" s="81"/>
      <c r="EO2" s="81"/>
      <c r="EP2" s="81"/>
      <c r="EQ2" s="81"/>
      <c r="ER2" s="87" t="s">
        <v>53</v>
      </c>
      <c r="ES2" s="81"/>
      <c r="ET2" s="81"/>
      <c r="EU2" s="81"/>
      <c r="EV2" s="81"/>
      <c r="EW2" s="81" t="s">
        <v>54</v>
      </c>
      <c r="EX2" s="81"/>
      <c r="EY2" s="81"/>
      <c r="EZ2" s="81"/>
      <c r="FA2" s="81"/>
      <c r="FB2" s="81" t="s">
        <v>55</v>
      </c>
      <c r="FC2" s="81"/>
      <c r="FD2" s="81"/>
      <c r="FE2" s="81"/>
      <c r="FF2" s="81"/>
      <c r="FG2" s="81" t="s">
        <v>56</v>
      </c>
      <c r="FH2" s="81"/>
      <c r="FI2" s="81"/>
      <c r="FJ2" s="81"/>
      <c r="FK2" s="81"/>
      <c r="FL2" s="81" t="s">
        <v>57</v>
      </c>
      <c r="FM2" s="81"/>
      <c r="FN2" s="81"/>
      <c r="FO2" s="81"/>
      <c r="FP2" s="81"/>
      <c r="FQ2" s="81" t="s">
        <v>58</v>
      </c>
      <c r="FR2" s="81"/>
      <c r="FS2" s="81"/>
      <c r="FT2" s="81"/>
      <c r="FU2" s="81"/>
      <c r="FV2" s="81" t="s">
        <v>59</v>
      </c>
      <c r="FW2" s="81"/>
      <c r="FX2" s="81"/>
      <c r="FY2" s="81"/>
      <c r="FZ2" s="81"/>
      <c r="GA2" s="81" t="s">
        <v>60</v>
      </c>
      <c r="GB2" s="81"/>
      <c r="GC2" s="81"/>
      <c r="GD2" s="81"/>
      <c r="GE2" s="81"/>
      <c r="GF2" s="81" t="s">
        <v>61</v>
      </c>
      <c r="GG2" s="81"/>
      <c r="GH2" s="81"/>
      <c r="GI2" s="81"/>
      <c r="GJ2" s="81"/>
      <c r="GK2" s="81" t="s">
        <v>62</v>
      </c>
      <c r="GL2" s="81"/>
      <c r="GM2" s="81"/>
      <c r="GN2" s="81"/>
      <c r="GO2" s="81"/>
      <c r="GP2" s="80" t="s">
        <v>779</v>
      </c>
      <c r="GQ2" s="80"/>
      <c r="GR2" s="80"/>
      <c r="GS2" s="80"/>
      <c r="GT2" s="80"/>
      <c r="GU2" s="80" t="s">
        <v>704</v>
      </c>
      <c r="GV2" s="80"/>
      <c r="GW2" s="80"/>
      <c r="GX2" s="80"/>
      <c r="GY2" s="80"/>
      <c r="GZ2" s="80" t="s">
        <v>705</v>
      </c>
      <c r="HA2" s="80"/>
      <c r="HB2" s="80"/>
      <c r="HC2" s="80"/>
      <c r="HD2" s="80"/>
      <c r="HE2" s="80" t="s">
        <v>706</v>
      </c>
      <c r="HF2" s="80"/>
      <c r="HG2" s="80"/>
      <c r="HH2" s="80"/>
      <c r="HI2" s="80"/>
      <c r="HJ2" s="81" t="s">
        <v>707</v>
      </c>
      <c r="HK2" s="81"/>
      <c r="HL2" s="81"/>
      <c r="HM2" s="81"/>
      <c r="HN2" s="81"/>
      <c r="HO2" s="82" t="s">
        <v>708</v>
      </c>
      <c r="HP2" s="82"/>
      <c r="HQ2" s="82"/>
      <c r="HR2" s="82"/>
      <c r="HS2" s="82"/>
      <c r="HT2" s="83" t="s">
        <v>709</v>
      </c>
      <c r="HU2" s="83"/>
      <c r="HV2" s="83"/>
      <c r="HW2" s="83"/>
      <c r="HX2" s="83"/>
      <c r="HY2" s="83" t="s">
        <v>710</v>
      </c>
      <c r="HZ2" s="83"/>
      <c r="IA2" s="83"/>
      <c r="IB2" s="83"/>
      <c r="IC2" s="83"/>
      <c r="ID2" s="84" t="s">
        <v>711</v>
      </c>
      <c r="IE2" s="84"/>
      <c r="IF2" s="84"/>
      <c r="IG2" s="84"/>
      <c r="IH2" s="84"/>
      <c r="II2" s="79" t="s">
        <v>712</v>
      </c>
      <c r="IJ2" s="79"/>
      <c r="IK2" s="79"/>
      <c r="IL2" s="79"/>
      <c r="IM2" s="79"/>
      <c r="IN2" s="79" t="s">
        <v>713</v>
      </c>
      <c r="IO2" s="79"/>
      <c r="IP2" s="79"/>
      <c r="IQ2" s="79"/>
      <c r="IR2" s="79"/>
      <c r="IS2" s="79" t="s">
        <v>714</v>
      </c>
      <c r="IT2" s="79"/>
      <c r="IU2" s="79"/>
      <c r="IV2" s="79"/>
      <c r="IW2" s="79"/>
      <c r="IX2" s="79" t="s">
        <v>715</v>
      </c>
      <c r="IY2" s="79"/>
      <c r="IZ2" s="79"/>
      <c r="JA2" s="79"/>
      <c r="JB2" s="79"/>
      <c r="JC2" s="75" t="s">
        <v>716</v>
      </c>
      <c r="JD2" s="75"/>
      <c r="JE2" s="75"/>
      <c r="JF2" s="75"/>
      <c r="JG2" s="75"/>
      <c r="JH2" s="75" t="s">
        <v>717</v>
      </c>
      <c r="JI2" s="75"/>
      <c r="JJ2" s="75"/>
      <c r="JK2" s="75"/>
      <c r="JL2" s="75"/>
      <c r="JM2" s="75" t="s">
        <v>782</v>
      </c>
      <c r="JN2" s="75"/>
      <c r="JO2" s="75"/>
      <c r="JP2" s="75"/>
      <c r="JQ2" s="75"/>
      <c r="JR2" s="75" t="s">
        <v>718</v>
      </c>
      <c r="JS2" s="75"/>
      <c r="JT2" s="75"/>
      <c r="JU2" s="75"/>
      <c r="JV2" s="75"/>
      <c r="JW2" s="76" t="s">
        <v>719</v>
      </c>
      <c r="JX2" s="77"/>
      <c r="JY2" s="77"/>
      <c r="JZ2" s="77"/>
      <c r="KA2" s="78"/>
      <c r="KB2" s="53" t="s">
        <v>720</v>
      </c>
      <c r="KC2" s="54"/>
      <c r="KD2" s="54"/>
      <c r="KE2" s="54"/>
      <c r="KF2" s="55"/>
      <c r="KG2" s="53" t="s">
        <v>721</v>
      </c>
      <c r="KH2" s="54"/>
      <c r="KI2" s="54"/>
      <c r="KJ2" s="54"/>
      <c r="KK2" s="55"/>
      <c r="KL2" s="56" t="s">
        <v>722</v>
      </c>
      <c r="KM2" s="57"/>
      <c r="KN2" s="57"/>
      <c r="KO2" s="57"/>
      <c r="KP2" s="58"/>
      <c r="KQ2" s="56" t="s">
        <v>723</v>
      </c>
      <c r="KR2" s="57"/>
      <c r="KS2" s="57"/>
      <c r="KT2" s="57"/>
      <c r="KU2" s="58"/>
      <c r="KV2" s="69" t="s">
        <v>724</v>
      </c>
      <c r="KW2" s="69"/>
      <c r="KX2" s="69"/>
      <c r="KY2" s="69"/>
      <c r="KZ2" s="69"/>
      <c r="LA2" s="56" t="s">
        <v>725</v>
      </c>
      <c r="LB2" s="57"/>
      <c r="LC2" s="57"/>
      <c r="LD2" s="57"/>
      <c r="LE2" s="58"/>
      <c r="LF2" s="69" t="s">
        <v>726</v>
      </c>
      <c r="LG2" s="73"/>
      <c r="LH2" s="73"/>
      <c r="LI2" s="69"/>
      <c r="LJ2" s="69"/>
      <c r="LK2" s="74" t="s">
        <v>727</v>
      </c>
      <c r="LL2" s="74"/>
      <c r="LM2" s="74"/>
      <c r="LN2" s="74"/>
      <c r="LO2" s="74"/>
      <c r="LP2" s="74" t="s">
        <v>728</v>
      </c>
      <c r="LQ2" s="74"/>
      <c r="LR2" s="74"/>
      <c r="LS2" s="74"/>
      <c r="LT2" s="74"/>
      <c r="LU2" s="71" t="s">
        <v>729</v>
      </c>
      <c r="LV2" s="72"/>
      <c r="LW2" s="72"/>
      <c r="LX2" s="71"/>
      <c r="LY2" s="71"/>
      <c r="LZ2" s="71" t="s">
        <v>732</v>
      </c>
      <c r="MA2" s="72"/>
      <c r="MB2" s="72"/>
      <c r="MC2" s="71"/>
      <c r="MD2" s="71"/>
      <c r="ME2" s="71" t="s">
        <v>731</v>
      </c>
      <c r="MF2" s="71"/>
      <c r="MG2" s="71"/>
      <c r="MH2" s="71"/>
      <c r="MI2" s="71"/>
      <c r="MJ2" s="71" t="s">
        <v>730</v>
      </c>
      <c r="MK2" s="71"/>
      <c r="ML2" s="71"/>
      <c r="MM2" s="71"/>
      <c r="MN2" s="71"/>
      <c r="MO2" s="62" t="s">
        <v>733</v>
      </c>
      <c r="MP2" s="62"/>
      <c r="MQ2" s="62"/>
      <c r="MR2" s="62"/>
      <c r="MS2" s="62"/>
      <c r="MT2" s="63" t="s">
        <v>734</v>
      </c>
      <c r="MU2" s="64"/>
      <c r="MV2" s="64"/>
      <c r="MW2" s="64"/>
      <c r="MX2" s="65"/>
      <c r="MY2" s="70" t="s">
        <v>735</v>
      </c>
      <c r="MZ2" s="70"/>
      <c r="NA2" s="70"/>
      <c r="NB2" s="70"/>
      <c r="NC2" s="70"/>
      <c r="ND2" s="70" t="s">
        <v>736</v>
      </c>
      <c r="NE2" s="70"/>
      <c r="NF2" s="70"/>
      <c r="NG2" s="70"/>
      <c r="NH2" s="70"/>
      <c r="NI2" s="62" t="s">
        <v>737</v>
      </c>
      <c r="NJ2" s="62"/>
      <c r="NK2" s="62"/>
      <c r="NL2" s="62"/>
      <c r="NM2" s="62"/>
      <c r="NN2" s="62" t="s">
        <v>738</v>
      </c>
      <c r="NO2" s="62"/>
      <c r="NP2" s="62"/>
      <c r="NQ2" s="62"/>
      <c r="NR2" s="62"/>
      <c r="NS2" s="62" t="s">
        <v>739</v>
      </c>
      <c r="NT2" s="62"/>
      <c r="NU2" s="62"/>
      <c r="NV2" s="62"/>
      <c r="NW2" s="62"/>
      <c r="NX2" s="67" t="s">
        <v>740</v>
      </c>
      <c r="NY2" s="67"/>
      <c r="NZ2" s="67"/>
      <c r="OA2" s="67"/>
      <c r="OB2" s="67"/>
      <c r="OC2" s="67" t="s">
        <v>741</v>
      </c>
      <c r="OD2" s="67"/>
      <c r="OE2" s="67"/>
      <c r="OF2" s="67"/>
      <c r="OG2" s="67"/>
      <c r="OH2" s="68" t="s">
        <v>742</v>
      </c>
      <c r="OI2" s="68"/>
      <c r="OJ2" s="68"/>
      <c r="OK2" s="68"/>
      <c r="OL2" s="68"/>
      <c r="OM2" s="69" t="s">
        <v>743</v>
      </c>
      <c r="ON2" s="69"/>
      <c r="OO2" s="69"/>
      <c r="OP2" s="69"/>
      <c r="OQ2" s="69"/>
      <c r="OR2" s="66" t="s">
        <v>744</v>
      </c>
      <c r="OS2" s="66"/>
      <c r="OT2" s="66"/>
      <c r="OU2" s="66"/>
      <c r="OV2" s="66"/>
      <c r="OW2" s="66" t="s">
        <v>745</v>
      </c>
      <c r="OX2" s="66"/>
      <c r="OY2" s="66"/>
      <c r="OZ2" s="66"/>
      <c r="PA2" s="66"/>
      <c r="PB2" s="66" t="s">
        <v>746</v>
      </c>
      <c r="PC2" s="66"/>
      <c r="PD2" s="66"/>
      <c r="PE2" s="66"/>
      <c r="PF2" s="66"/>
      <c r="PG2" s="66" t="s">
        <v>747</v>
      </c>
      <c r="PH2" s="66"/>
      <c r="PI2" s="66"/>
      <c r="PJ2" s="66"/>
      <c r="PK2" s="66"/>
      <c r="PL2" s="44" t="s">
        <v>748</v>
      </c>
      <c r="PM2" s="45"/>
      <c r="PN2" s="45"/>
      <c r="PO2" s="45"/>
      <c r="PP2" s="46"/>
      <c r="PQ2" s="66" t="s">
        <v>749</v>
      </c>
      <c r="PR2" s="66"/>
      <c r="PS2" s="66"/>
      <c r="PT2" s="66"/>
      <c r="PU2" s="66"/>
      <c r="PV2" s="44" t="s">
        <v>750</v>
      </c>
      <c r="PW2" s="45"/>
      <c r="PX2" s="45"/>
      <c r="PY2" s="45"/>
      <c r="PZ2" s="46"/>
    </row>
    <row r="3" spans="1:442" ht="15.6" thickTop="1" thickBot="1" x14ac:dyDescent="0.35">
      <c r="A3" s="114"/>
      <c r="B3" s="114"/>
      <c r="C3" s="114"/>
      <c r="D3" s="113"/>
      <c r="E3" s="118"/>
      <c r="F3" s="1" t="s">
        <v>699</v>
      </c>
      <c r="G3" s="1" t="s">
        <v>700</v>
      </c>
      <c r="H3" s="1" t="s">
        <v>701</v>
      </c>
      <c r="I3" s="1" t="s">
        <v>702</v>
      </c>
      <c r="J3" s="1" t="s">
        <v>703</v>
      </c>
      <c r="K3" s="1" t="s">
        <v>699</v>
      </c>
      <c r="L3" s="1" t="s">
        <v>700</v>
      </c>
      <c r="M3" s="1" t="s">
        <v>701</v>
      </c>
      <c r="N3" s="1" t="s">
        <v>702</v>
      </c>
      <c r="O3" s="1" t="s">
        <v>703</v>
      </c>
      <c r="P3" s="1" t="s">
        <v>699</v>
      </c>
      <c r="Q3" s="1" t="s">
        <v>700</v>
      </c>
      <c r="R3" s="1" t="s">
        <v>701</v>
      </c>
      <c r="S3" s="1" t="s">
        <v>702</v>
      </c>
      <c r="T3" s="1" t="s">
        <v>703</v>
      </c>
      <c r="U3" s="11" t="s">
        <v>699</v>
      </c>
      <c r="V3" s="11" t="s">
        <v>775</v>
      </c>
      <c r="W3" s="11" t="s">
        <v>700</v>
      </c>
      <c r="X3" s="11" t="s">
        <v>701</v>
      </c>
      <c r="Y3" s="12" t="s">
        <v>702</v>
      </c>
      <c r="Z3" s="11" t="s">
        <v>703</v>
      </c>
      <c r="AA3" s="11" t="s">
        <v>699</v>
      </c>
      <c r="AB3" s="11" t="s">
        <v>775</v>
      </c>
      <c r="AC3" s="11" t="s">
        <v>700</v>
      </c>
      <c r="AD3" s="11" t="s">
        <v>701</v>
      </c>
      <c r="AE3" s="11" t="s">
        <v>702</v>
      </c>
      <c r="AF3" s="11" t="s">
        <v>703</v>
      </c>
      <c r="AG3" s="1" t="s">
        <v>699</v>
      </c>
      <c r="AH3" s="1" t="s">
        <v>700</v>
      </c>
      <c r="AI3" s="1" t="s">
        <v>701</v>
      </c>
      <c r="AJ3" s="1" t="s">
        <v>702</v>
      </c>
      <c r="AK3" s="1" t="s">
        <v>703</v>
      </c>
      <c r="AL3" s="1" t="s">
        <v>699</v>
      </c>
      <c r="AM3" s="1" t="s">
        <v>700</v>
      </c>
      <c r="AN3" s="1" t="s">
        <v>701</v>
      </c>
      <c r="AO3" s="1" t="s">
        <v>702</v>
      </c>
      <c r="AP3" s="1" t="s">
        <v>703</v>
      </c>
      <c r="AQ3" s="1" t="s">
        <v>699</v>
      </c>
      <c r="AR3" s="1" t="s">
        <v>700</v>
      </c>
      <c r="AS3" s="1" t="s">
        <v>701</v>
      </c>
      <c r="AT3" s="1" t="s">
        <v>702</v>
      </c>
      <c r="AU3" s="1" t="s">
        <v>703</v>
      </c>
      <c r="AV3" s="1" t="s">
        <v>699</v>
      </c>
      <c r="AW3" s="1" t="s">
        <v>700</v>
      </c>
      <c r="AX3" s="1" t="s">
        <v>701</v>
      </c>
      <c r="AY3" s="1" t="s">
        <v>702</v>
      </c>
      <c r="AZ3" s="1" t="s">
        <v>703</v>
      </c>
      <c r="BA3" s="1" t="s">
        <v>699</v>
      </c>
      <c r="BB3" s="1" t="s">
        <v>700</v>
      </c>
      <c r="BC3" s="1" t="s">
        <v>701</v>
      </c>
      <c r="BD3" s="1" t="s">
        <v>702</v>
      </c>
      <c r="BE3" s="1" t="s">
        <v>703</v>
      </c>
      <c r="BF3" s="1" t="s">
        <v>699</v>
      </c>
      <c r="BG3" s="1" t="s">
        <v>700</v>
      </c>
      <c r="BH3" s="1" t="s">
        <v>701</v>
      </c>
      <c r="BI3" s="1" t="s">
        <v>702</v>
      </c>
      <c r="BJ3" s="1" t="s">
        <v>703</v>
      </c>
      <c r="BK3" s="1" t="s">
        <v>699</v>
      </c>
      <c r="BL3" s="1" t="s">
        <v>700</v>
      </c>
      <c r="BM3" s="1" t="s">
        <v>701</v>
      </c>
      <c r="BN3" s="1" t="s">
        <v>702</v>
      </c>
      <c r="BO3" s="1" t="s">
        <v>703</v>
      </c>
      <c r="BP3" s="1" t="s">
        <v>699</v>
      </c>
      <c r="BQ3" s="1" t="s">
        <v>700</v>
      </c>
      <c r="BR3" s="1" t="s">
        <v>701</v>
      </c>
      <c r="BS3" s="1" t="s">
        <v>702</v>
      </c>
      <c r="BT3" s="1" t="s">
        <v>703</v>
      </c>
      <c r="BU3" s="1" t="s">
        <v>699</v>
      </c>
      <c r="BV3" s="1" t="s">
        <v>700</v>
      </c>
      <c r="BW3" s="1" t="s">
        <v>701</v>
      </c>
      <c r="BX3" s="1" t="s">
        <v>702</v>
      </c>
      <c r="BY3" s="1" t="s">
        <v>703</v>
      </c>
      <c r="BZ3" s="1" t="s">
        <v>699</v>
      </c>
      <c r="CA3" s="1" t="s">
        <v>700</v>
      </c>
      <c r="CB3" s="1" t="s">
        <v>701</v>
      </c>
      <c r="CC3" s="1" t="s">
        <v>702</v>
      </c>
      <c r="CD3" s="1" t="s">
        <v>703</v>
      </c>
      <c r="CE3" s="34" t="s">
        <v>699</v>
      </c>
      <c r="CF3" s="34" t="s">
        <v>700</v>
      </c>
      <c r="CG3" s="34" t="s">
        <v>701</v>
      </c>
      <c r="CH3" s="34" t="s">
        <v>702</v>
      </c>
      <c r="CI3" s="34" t="s">
        <v>703</v>
      </c>
      <c r="CJ3" s="1" t="s">
        <v>699</v>
      </c>
      <c r="CK3" s="1" t="s">
        <v>700</v>
      </c>
      <c r="CL3" s="1" t="s">
        <v>701</v>
      </c>
      <c r="CM3" s="1" t="s">
        <v>702</v>
      </c>
      <c r="CN3" s="1" t="s">
        <v>703</v>
      </c>
      <c r="CO3" s="1" t="s">
        <v>699</v>
      </c>
      <c r="CP3" s="1" t="s">
        <v>700</v>
      </c>
      <c r="CQ3" s="1" t="s">
        <v>701</v>
      </c>
      <c r="CR3" s="1" t="s">
        <v>702</v>
      </c>
      <c r="CS3" s="1" t="s">
        <v>703</v>
      </c>
      <c r="CT3" s="1" t="s">
        <v>699</v>
      </c>
      <c r="CU3" s="1" t="s">
        <v>700</v>
      </c>
      <c r="CV3" s="1" t="s">
        <v>701</v>
      </c>
      <c r="CW3" s="1" t="s">
        <v>702</v>
      </c>
      <c r="CX3" s="1" t="s">
        <v>703</v>
      </c>
      <c r="CY3" s="1" t="s">
        <v>699</v>
      </c>
      <c r="CZ3" s="1" t="s">
        <v>700</v>
      </c>
      <c r="DA3" s="1" t="s">
        <v>701</v>
      </c>
      <c r="DB3" s="1" t="s">
        <v>702</v>
      </c>
      <c r="DC3" s="1" t="s">
        <v>703</v>
      </c>
      <c r="DD3" s="1" t="s">
        <v>699</v>
      </c>
      <c r="DE3" s="1" t="s">
        <v>700</v>
      </c>
      <c r="DF3" s="1" t="s">
        <v>701</v>
      </c>
      <c r="DG3" s="1" t="s">
        <v>702</v>
      </c>
      <c r="DH3" s="1" t="s">
        <v>703</v>
      </c>
      <c r="DI3" s="1" t="s">
        <v>699</v>
      </c>
      <c r="DJ3" s="1" t="s">
        <v>700</v>
      </c>
      <c r="DK3" s="1" t="s">
        <v>701</v>
      </c>
      <c r="DL3" s="1" t="s">
        <v>702</v>
      </c>
      <c r="DM3" s="1" t="s">
        <v>703</v>
      </c>
      <c r="DN3" s="1" t="s">
        <v>699</v>
      </c>
      <c r="DO3" s="1" t="s">
        <v>700</v>
      </c>
      <c r="DP3" s="1" t="s">
        <v>701</v>
      </c>
      <c r="DQ3" s="1" t="s">
        <v>702</v>
      </c>
      <c r="DR3" s="1" t="s">
        <v>703</v>
      </c>
      <c r="DS3" s="1" t="s">
        <v>699</v>
      </c>
      <c r="DT3" s="1" t="s">
        <v>700</v>
      </c>
      <c r="DU3" s="1" t="s">
        <v>701</v>
      </c>
      <c r="DV3" s="1" t="s">
        <v>702</v>
      </c>
      <c r="DW3" s="1" t="s">
        <v>703</v>
      </c>
      <c r="DX3" s="1" t="s">
        <v>699</v>
      </c>
      <c r="DY3" s="1" t="s">
        <v>700</v>
      </c>
      <c r="DZ3" s="1" t="s">
        <v>701</v>
      </c>
      <c r="EA3" s="1" t="s">
        <v>702</v>
      </c>
      <c r="EB3" s="1" t="s">
        <v>703</v>
      </c>
      <c r="EC3" s="1" t="s">
        <v>699</v>
      </c>
      <c r="ED3" s="1" t="s">
        <v>700</v>
      </c>
      <c r="EE3" s="1" t="s">
        <v>701</v>
      </c>
      <c r="EF3" s="1" t="s">
        <v>702</v>
      </c>
      <c r="EG3" s="1" t="s">
        <v>703</v>
      </c>
      <c r="EH3" s="1" t="s">
        <v>699</v>
      </c>
      <c r="EI3" s="1" t="s">
        <v>700</v>
      </c>
      <c r="EJ3" s="1" t="s">
        <v>701</v>
      </c>
      <c r="EK3" s="1" t="s">
        <v>702</v>
      </c>
      <c r="EL3" s="1" t="s">
        <v>703</v>
      </c>
      <c r="EM3" s="1" t="s">
        <v>699</v>
      </c>
      <c r="EN3" s="1" t="s">
        <v>700</v>
      </c>
      <c r="EO3" s="1" t="s">
        <v>701</v>
      </c>
      <c r="EP3" s="1" t="s">
        <v>702</v>
      </c>
      <c r="EQ3" s="1" t="s">
        <v>703</v>
      </c>
      <c r="ER3" s="1" t="s">
        <v>699</v>
      </c>
      <c r="ES3" s="1" t="s">
        <v>700</v>
      </c>
      <c r="ET3" s="1" t="s">
        <v>701</v>
      </c>
      <c r="EU3" s="1" t="s">
        <v>702</v>
      </c>
      <c r="EV3" s="1" t="s">
        <v>703</v>
      </c>
      <c r="EW3" s="1" t="s">
        <v>699</v>
      </c>
      <c r="EX3" s="1" t="s">
        <v>700</v>
      </c>
      <c r="EY3" s="1" t="s">
        <v>701</v>
      </c>
      <c r="EZ3" s="1" t="s">
        <v>702</v>
      </c>
      <c r="FA3" s="1" t="s">
        <v>703</v>
      </c>
      <c r="FB3" s="1" t="s">
        <v>699</v>
      </c>
      <c r="FC3" s="1" t="s">
        <v>700</v>
      </c>
      <c r="FD3" s="1" t="s">
        <v>701</v>
      </c>
      <c r="FE3" s="1" t="s">
        <v>702</v>
      </c>
      <c r="FF3" s="1" t="s">
        <v>703</v>
      </c>
      <c r="FG3" s="1" t="s">
        <v>699</v>
      </c>
      <c r="FH3" s="1" t="s">
        <v>700</v>
      </c>
      <c r="FI3" s="1" t="s">
        <v>701</v>
      </c>
      <c r="FJ3" s="1" t="s">
        <v>702</v>
      </c>
      <c r="FK3" s="1" t="s">
        <v>703</v>
      </c>
      <c r="FL3" s="1" t="s">
        <v>699</v>
      </c>
      <c r="FM3" s="1" t="s">
        <v>700</v>
      </c>
      <c r="FN3" s="1" t="s">
        <v>701</v>
      </c>
      <c r="FO3" s="1" t="s">
        <v>702</v>
      </c>
      <c r="FP3" s="1" t="s">
        <v>703</v>
      </c>
      <c r="FQ3" s="1" t="s">
        <v>699</v>
      </c>
      <c r="FR3" s="1" t="s">
        <v>700</v>
      </c>
      <c r="FS3" s="1" t="s">
        <v>701</v>
      </c>
      <c r="FT3" s="1" t="s">
        <v>702</v>
      </c>
      <c r="FU3" s="1" t="s">
        <v>703</v>
      </c>
      <c r="FV3" s="1" t="s">
        <v>699</v>
      </c>
      <c r="FW3" s="1" t="s">
        <v>700</v>
      </c>
      <c r="FX3" s="1" t="s">
        <v>701</v>
      </c>
      <c r="FY3" s="1" t="s">
        <v>702</v>
      </c>
      <c r="FZ3" s="1" t="s">
        <v>703</v>
      </c>
      <c r="GA3" s="1" t="s">
        <v>699</v>
      </c>
      <c r="GB3" s="1" t="s">
        <v>700</v>
      </c>
      <c r="GC3" s="1" t="s">
        <v>701</v>
      </c>
      <c r="GD3" s="1" t="s">
        <v>702</v>
      </c>
      <c r="GE3" s="1" t="s">
        <v>703</v>
      </c>
      <c r="GF3" s="1" t="s">
        <v>699</v>
      </c>
      <c r="GG3" s="1" t="s">
        <v>700</v>
      </c>
      <c r="GH3" s="1" t="s">
        <v>701</v>
      </c>
      <c r="GI3" s="1" t="s">
        <v>702</v>
      </c>
      <c r="GJ3" s="1" t="s">
        <v>703</v>
      </c>
      <c r="GK3" s="1" t="s">
        <v>699</v>
      </c>
      <c r="GL3" s="1" t="s">
        <v>700</v>
      </c>
      <c r="GM3" s="1" t="s">
        <v>701</v>
      </c>
      <c r="GN3" s="1" t="s">
        <v>702</v>
      </c>
      <c r="GO3" s="1" t="s">
        <v>703</v>
      </c>
      <c r="GP3" s="13" t="s">
        <v>699</v>
      </c>
      <c r="GQ3" s="14" t="s">
        <v>700</v>
      </c>
      <c r="GR3" s="14" t="s">
        <v>701</v>
      </c>
      <c r="GS3" s="14" t="s">
        <v>702</v>
      </c>
      <c r="GT3" s="14" t="s">
        <v>703</v>
      </c>
      <c r="GU3" s="13" t="s">
        <v>699</v>
      </c>
      <c r="GV3" s="14" t="s">
        <v>700</v>
      </c>
      <c r="GW3" s="14" t="s">
        <v>701</v>
      </c>
      <c r="GX3" s="14" t="s">
        <v>702</v>
      </c>
      <c r="GY3" s="14" t="s">
        <v>703</v>
      </c>
      <c r="GZ3" s="13" t="s">
        <v>699</v>
      </c>
      <c r="HA3" s="14" t="s">
        <v>700</v>
      </c>
      <c r="HB3" s="14" t="s">
        <v>701</v>
      </c>
      <c r="HC3" s="14" t="s">
        <v>702</v>
      </c>
      <c r="HD3" s="14" t="s">
        <v>703</v>
      </c>
      <c r="HE3" s="13" t="s">
        <v>699</v>
      </c>
      <c r="HF3" s="14" t="s">
        <v>700</v>
      </c>
      <c r="HG3" s="14" t="s">
        <v>701</v>
      </c>
      <c r="HH3" s="14" t="s">
        <v>702</v>
      </c>
      <c r="HI3" s="14" t="s">
        <v>703</v>
      </c>
      <c r="HJ3" s="13" t="s">
        <v>699</v>
      </c>
      <c r="HK3" s="14" t="s">
        <v>700</v>
      </c>
      <c r="HL3" s="14" t="s">
        <v>701</v>
      </c>
      <c r="HM3" s="14" t="s">
        <v>702</v>
      </c>
      <c r="HN3" s="14" t="s">
        <v>703</v>
      </c>
      <c r="HO3" s="13" t="s">
        <v>699</v>
      </c>
      <c r="HP3" s="14" t="s">
        <v>700</v>
      </c>
      <c r="HQ3" s="14" t="s">
        <v>701</v>
      </c>
      <c r="HR3" s="14" t="s">
        <v>702</v>
      </c>
      <c r="HS3" s="14" t="s">
        <v>703</v>
      </c>
      <c r="HT3" s="13" t="s">
        <v>699</v>
      </c>
      <c r="HU3" s="14" t="s">
        <v>700</v>
      </c>
      <c r="HV3" s="14" t="s">
        <v>701</v>
      </c>
      <c r="HW3" s="14" t="s">
        <v>702</v>
      </c>
      <c r="HX3" s="14" t="s">
        <v>703</v>
      </c>
      <c r="HY3" s="13" t="s">
        <v>699</v>
      </c>
      <c r="HZ3" s="14" t="s">
        <v>700</v>
      </c>
      <c r="IA3" s="14" t="s">
        <v>701</v>
      </c>
      <c r="IB3" s="14" t="s">
        <v>702</v>
      </c>
      <c r="IC3" s="14" t="s">
        <v>703</v>
      </c>
      <c r="ID3" s="13" t="s">
        <v>699</v>
      </c>
      <c r="IE3" s="14" t="s">
        <v>700</v>
      </c>
      <c r="IF3" s="14" t="s">
        <v>701</v>
      </c>
      <c r="IG3" s="14" t="s">
        <v>702</v>
      </c>
      <c r="IH3" s="14" t="s">
        <v>703</v>
      </c>
      <c r="II3" s="13" t="s">
        <v>699</v>
      </c>
      <c r="IJ3" s="14" t="s">
        <v>700</v>
      </c>
      <c r="IK3" s="14" t="s">
        <v>701</v>
      </c>
      <c r="IL3" s="14" t="s">
        <v>702</v>
      </c>
      <c r="IM3" s="14" t="s">
        <v>703</v>
      </c>
      <c r="IN3" s="13" t="s">
        <v>699</v>
      </c>
      <c r="IO3" s="14" t="s">
        <v>700</v>
      </c>
      <c r="IP3" s="14" t="s">
        <v>701</v>
      </c>
      <c r="IQ3" s="14" t="s">
        <v>702</v>
      </c>
      <c r="IR3" s="14" t="s">
        <v>703</v>
      </c>
      <c r="IS3" s="13" t="s">
        <v>699</v>
      </c>
      <c r="IT3" s="14" t="s">
        <v>700</v>
      </c>
      <c r="IU3" s="14" t="s">
        <v>701</v>
      </c>
      <c r="IV3" s="14" t="s">
        <v>702</v>
      </c>
      <c r="IW3" s="14" t="s">
        <v>703</v>
      </c>
      <c r="IX3" s="13" t="s">
        <v>699</v>
      </c>
      <c r="IY3" s="14" t="s">
        <v>700</v>
      </c>
      <c r="IZ3" s="14" t="s">
        <v>701</v>
      </c>
      <c r="JA3" s="14" t="s">
        <v>702</v>
      </c>
      <c r="JB3" s="14" t="s">
        <v>703</v>
      </c>
      <c r="JC3" s="16" t="s">
        <v>699</v>
      </c>
      <c r="JD3" s="16" t="s">
        <v>700</v>
      </c>
      <c r="JE3" s="16" t="s">
        <v>701</v>
      </c>
      <c r="JF3" s="16" t="s">
        <v>702</v>
      </c>
      <c r="JG3" s="16" t="s">
        <v>703</v>
      </c>
      <c r="JH3" s="16" t="s">
        <v>699</v>
      </c>
      <c r="JI3" s="16" t="s">
        <v>700</v>
      </c>
      <c r="JJ3" s="16" t="s">
        <v>701</v>
      </c>
      <c r="JK3" s="16" t="s">
        <v>702</v>
      </c>
      <c r="JL3" s="16" t="s">
        <v>703</v>
      </c>
      <c r="JM3" s="16" t="s">
        <v>699</v>
      </c>
      <c r="JN3" s="16" t="s">
        <v>700</v>
      </c>
      <c r="JO3" s="16" t="s">
        <v>701</v>
      </c>
      <c r="JP3" s="16" t="s">
        <v>702</v>
      </c>
      <c r="JQ3" s="16" t="s">
        <v>703</v>
      </c>
      <c r="JR3" s="16" t="s">
        <v>699</v>
      </c>
      <c r="JS3" s="16" t="s">
        <v>700</v>
      </c>
      <c r="JT3" s="16" t="s">
        <v>701</v>
      </c>
      <c r="JU3" s="16" t="s">
        <v>702</v>
      </c>
      <c r="JV3" s="16" t="s">
        <v>703</v>
      </c>
      <c r="JW3" s="16" t="s">
        <v>699</v>
      </c>
      <c r="JX3" s="16" t="s">
        <v>700</v>
      </c>
      <c r="JY3" s="16" t="s">
        <v>701</v>
      </c>
      <c r="JZ3" s="16" t="s">
        <v>702</v>
      </c>
      <c r="KA3" s="16" t="s">
        <v>703</v>
      </c>
      <c r="KB3" s="17" t="s">
        <v>699</v>
      </c>
      <c r="KC3" s="17" t="s">
        <v>700</v>
      </c>
      <c r="KD3" s="17" t="s">
        <v>701</v>
      </c>
      <c r="KE3" s="17" t="s">
        <v>702</v>
      </c>
      <c r="KF3" s="17" t="s">
        <v>703</v>
      </c>
      <c r="KG3" s="17" t="s">
        <v>699</v>
      </c>
      <c r="KH3" s="17" t="s">
        <v>700</v>
      </c>
      <c r="KI3" s="17" t="s">
        <v>701</v>
      </c>
      <c r="KJ3" s="17" t="s">
        <v>702</v>
      </c>
      <c r="KK3" s="17" t="s">
        <v>703</v>
      </c>
      <c r="KL3" s="18" t="s">
        <v>699</v>
      </c>
      <c r="KM3" s="18" t="s">
        <v>700</v>
      </c>
      <c r="KN3" s="18" t="s">
        <v>701</v>
      </c>
      <c r="KO3" s="18" t="s">
        <v>702</v>
      </c>
      <c r="KP3" s="18" t="s">
        <v>703</v>
      </c>
      <c r="KQ3" s="18" t="s">
        <v>699</v>
      </c>
      <c r="KR3" s="18" t="s">
        <v>700</v>
      </c>
      <c r="KS3" s="18" t="s">
        <v>701</v>
      </c>
      <c r="KT3" s="18" t="s">
        <v>702</v>
      </c>
      <c r="KU3" s="18" t="s">
        <v>703</v>
      </c>
      <c r="KV3" s="18" t="s">
        <v>699</v>
      </c>
      <c r="KW3" s="18" t="s">
        <v>700</v>
      </c>
      <c r="KX3" s="18" t="s">
        <v>701</v>
      </c>
      <c r="KY3" s="18" t="s">
        <v>702</v>
      </c>
      <c r="KZ3" s="18" t="s">
        <v>703</v>
      </c>
      <c r="LA3" s="18" t="s">
        <v>699</v>
      </c>
      <c r="LB3" s="18" t="s">
        <v>700</v>
      </c>
      <c r="LC3" s="18" t="s">
        <v>701</v>
      </c>
      <c r="LD3" s="18" t="s">
        <v>702</v>
      </c>
      <c r="LE3" s="18" t="s">
        <v>703</v>
      </c>
      <c r="LF3" s="18" t="s">
        <v>699</v>
      </c>
      <c r="LG3" s="18" t="s">
        <v>700</v>
      </c>
      <c r="LH3" s="18" t="s">
        <v>701</v>
      </c>
      <c r="LI3" s="18" t="s">
        <v>702</v>
      </c>
      <c r="LJ3" s="18" t="s">
        <v>703</v>
      </c>
      <c r="LK3" s="36" t="s">
        <v>699</v>
      </c>
      <c r="LL3" s="36" t="s">
        <v>700</v>
      </c>
      <c r="LM3" s="36" t="s">
        <v>701</v>
      </c>
      <c r="LN3" s="36" t="s">
        <v>702</v>
      </c>
      <c r="LO3" s="36" t="s">
        <v>703</v>
      </c>
      <c r="LP3" s="36" t="s">
        <v>699</v>
      </c>
      <c r="LQ3" s="36" t="s">
        <v>700</v>
      </c>
      <c r="LR3" s="36" t="s">
        <v>701</v>
      </c>
      <c r="LS3" s="36" t="s">
        <v>702</v>
      </c>
      <c r="LT3" s="36" t="s">
        <v>703</v>
      </c>
      <c r="LU3" s="36" t="s">
        <v>699</v>
      </c>
      <c r="LV3" s="36" t="s">
        <v>700</v>
      </c>
      <c r="LW3" s="36" t="s">
        <v>701</v>
      </c>
      <c r="LX3" s="36" t="s">
        <v>702</v>
      </c>
      <c r="LY3" s="36" t="s">
        <v>703</v>
      </c>
      <c r="LZ3" s="36" t="s">
        <v>699</v>
      </c>
      <c r="MA3" s="36" t="s">
        <v>700</v>
      </c>
      <c r="MB3" s="36" t="s">
        <v>701</v>
      </c>
      <c r="MC3" s="36" t="s">
        <v>702</v>
      </c>
      <c r="MD3" s="36" t="s">
        <v>703</v>
      </c>
      <c r="ME3" s="36" t="s">
        <v>699</v>
      </c>
      <c r="MF3" s="36" t="s">
        <v>700</v>
      </c>
      <c r="MG3" s="36" t="s">
        <v>701</v>
      </c>
      <c r="MH3" s="36" t="s">
        <v>702</v>
      </c>
      <c r="MI3" s="36" t="s">
        <v>703</v>
      </c>
      <c r="MJ3" s="36" t="s">
        <v>699</v>
      </c>
      <c r="MK3" s="36" t="s">
        <v>700</v>
      </c>
      <c r="ML3" s="36" t="s">
        <v>701</v>
      </c>
      <c r="MM3" s="36" t="s">
        <v>702</v>
      </c>
      <c r="MN3" s="36" t="s">
        <v>703</v>
      </c>
      <c r="MO3" s="14" t="s">
        <v>699</v>
      </c>
      <c r="MP3" s="14" t="s">
        <v>700</v>
      </c>
      <c r="MQ3" s="14" t="s">
        <v>701</v>
      </c>
      <c r="MR3" s="14" t="s">
        <v>702</v>
      </c>
      <c r="MS3" s="14" t="s">
        <v>703</v>
      </c>
      <c r="MT3" s="14" t="s">
        <v>699</v>
      </c>
      <c r="MU3" s="14" t="s">
        <v>700</v>
      </c>
      <c r="MV3" s="14" t="s">
        <v>701</v>
      </c>
      <c r="MW3" s="14" t="s">
        <v>702</v>
      </c>
      <c r="MX3" s="14" t="s">
        <v>703</v>
      </c>
      <c r="MY3" s="1" t="s">
        <v>699</v>
      </c>
      <c r="MZ3" s="1" t="s">
        <v>700</v>
      </c>
      <c r="NA3" s="1" t="s">
        <v>701</v>
      </c>
      <c r="NB3" s="1" t="s">
        <v>702</v>
      </c>
      <c r="NC3" s="1" t="s">
        <v>703</v>
      </c>
      <c r="ND3" s="1" t="s">
        <v>699</v>
      </c>
      <c r="NE3" s="1" t="s">
        <v>700</v>
      </c>
      <c r="NF3" s="1" t="s">
        <v>701</v>
      </c>
      <c r="NG3" s="1" t="s">
        <v>702</v>
      </c>
      <c r="NH3" s="1" t="s">
        <v>703</v>
      </c>
      <c r="NI3" s="19" t="s">
        <v>699</v>
      </c>
      <c r="NJ3" s="19" t="s">
        <v>700</v>
      </c>
      <c r="NK3" s="19" t="s">
        <v>701</v>
      </c>
      <c r="NL3" s="19" t="s">
        <v>702</v>
      </c>
      <c r="NM3" s="19" t="s">
        <v>703</v>
      </c>
      <c r="NN3" s="19" t="s">
        <v>699</v>
      </c>
      <c r="NO3" s="19" t="s">
        <v>700</v>
      </c>
      <c r="NP3" s="19" t="s">
        <v>701</v>
      </c>
      <c r="NQ3" s="19" t="s">
        <v>702</v>
      </c>
      <c r="NR3" s="19" t="s">
        <v>703</v>
      </c>
      <c r="NS3" s="19" t="s">
        <v>699</v>
      </c>
      <c r="NT3" s="19" t="s">
        <v>700</v>
      </c>
      <c r="NU3" s="19" t="s">
        <v>701</v>
      </c>
      <c r="NV3" s="19" t="s">
        <v>702</v>
      </c>
      <c r="NW3" s="19" t="s">
        <v>703</v>
      </c>
      <c r="NX3" s="20" t="s">
        <v>699</v>
      </c>
      <c r="NY3" s="20" t="s">
        <v>700</v>
      </c>
      <c r="NZ3" s="20" t="s">
        <v>701</v>
      </c>
      <c r="OA3" s="20" t="s">
        <v>702</v>
      </c>
      <c r="OB3" s="20" t="s">
        <v>703</v>
      </c>
      <c r="OC3" s="20" t="s">
        <v>699</v>
      </c>
      <c r="OD3" s="20" t="s">
        <v>700</v>
      </c>
      <c r="OE3" s="20" t="s">
        <v>701</v>
      </c>
      <c r="OF3" s="20" t="s">
        <v>702</v>
      </c>
      <c r="OG3" s="20" t="s">
        <v>703</v>
      </c>
      <c r="OH3" s="18" t="s">
        <v>699</v>
      </c>
      <c r="OI3" s="18" t="s">
        <v>700</v>
      </c>
      <c r="OJ3" s="18" t="s">
        <v>701</v>
      </c>
      <c r="OK3" s="18" t="s">
        <v>702</v>
      </c>
      <c r="OL3" s="18" t="s">
        <v>703</v>
      </c>
      <c r="OM3" s="18" t="s">
        <v>699</v>
      </c>
      <c r="ON3" s="18" t="s">
        <v>700</v>
      </c>
      <c r="OO3" s="18" t="s">
        <v>701</v>
      </c>
      <c r="OP3" s="18" t="s">
        <v>702</v>
      </c>
      <c r="OQ3" s="18" t="s">
        <v>703</v>
      </c>
      <c r="OR3" s="15" t="s">
        <v>699</v>
      </c>
      <c r="OS3" s="15" t="s">
        <v>700</v>
      </c>
      <c r="OT3" s="15" t="s">
        <v>701</v>
      </c>
      <c r="OU3" s="15" t="s">
        <v>702</v>
      </c>
      <c r="OV3" s="15" t="s">
        <v>703</v>
      </c>
      <c r="OW3" s="15" t="s">
        <v>699</v>
      </c>
      <c r="OX3" s="15" t="s">
        <v>700</v>
      </c>
      <c r="OY3" s="15" t="s">
        <v>701</v>
      </c>
      <c r="OZ3" s="15" t="s">
        <v>702</v>
      </c>
      <c r="PA3" s="15" t="s">
        <v>703</v>
      </c>
      <c r="PB3" s="15" t="s">
        <v>699</v>
      </c>
      <c r="PC3" s="15" t="s">
        <v>700</v>
      </c>
      <c r="PD3" s="15" t="s">
        <v>701</v>
      </c>
      <c r="PE3" s="15" t="s">
        <v>702</v>
      </c>
      <c r="PF3" s="15" t="s">
        <v>703</v>
      </c>
      <c r="PG3" s="15" t="s">
        <v>699</v>
      </c>
      <c r="PH3" s="15" t="s">
        <v>700</v>
      </c>
      <c r="PI3" s="15" t="s">
        <v>701</v>
      </c>
      <c r="PJ3" s="15" t="s">
        <v>702</v>
      </c>
      <c r="PK3" s="15" t="s">
        <v>703</v>
      </c>
      <c r="PL3" s="15" t="s">
        <v>699</v>
      </c>
      <c r="PM3" s="15" t="s">
        <v>700</v>
      </c>
      <c r="PN3" s="15" t="s">
        <v>701</v>
      </c>
      <c r="PO3" s="15" t="s">
        <v>702</v>
      </c>
      <c r="PP3" s="15" t="s">
        <v>703</v>
      </c>
      <c r="PQ3" s="15" t="s">
        <v>699</v>
      </c>
      <c r="PR3" s="15" t="s">
        <v>700</v>
      </c>
      <c r="PS3" s="15" t="s">
        <v>701</v>
      </c>
      <c r="PT3" s="15" t="s">
        <v>702</v>
      </c>
      <c r="PU3" s="15" t="s">
        <v>703</v>
      </c>
      <c r="PV3" s="15" t="s">
        <v>699</v>
      </c>
      <c r="PW3" s="15" t="s">
        <v>700</v>
      </c>
      <c r="PX3" s="15" t="s">
        <v>701</v>
      </c>
      <c r="PY3" s="15" t="s">
        <v>702</v>
      </c>
      <c r="PZ3" s="15" t="s">
        <v>703</v>
      </c>
    </row>
    <row r="4" spans="1:442" ht="22.8" thickTop="1" thickBot="1" x14ac:dyDescent="0.35">
      <c r="A4" s="26">
        <v>1</v>
      </c>
      <c r="B4" s="27">
        <v>1183</v>
      </c>
      <c r="C4" s="28" t="s">
        <v>63</v>
      </c>
      <c r="D4" s="29" t="s">
        <v>64</v>
      </c>
      <c r="E4" s="30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39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46126</v>
      </c>
      <c r="BW4" s="4">
        <f>DATE(YEAR(BV4)+2,MONTH(BV4),DAY(BV4)-1)</f>
        <v>46856</v>
      </c>
      <c r="BX4" s="8">
        <f t="shared" ref="BX4:BX67" ca="1" si="25">BW4-TODAY()</f>
        <v>711</v>
      </c>
      <c r="BY4" s="5" t="str">
        <f t="shared" ref="BY4:BY67" ca="1" si="26">IF(BX4&gt;=91,"VIGENTE",IF(BX4&gt;=1,"POR VENCER",IF(BX4&lt;=-1,"VENCIDA",IF(BV4=0,"NO APLICA"))))</f>
        <v>VIGENTE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39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39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39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39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39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39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39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780</v>
      </c>
      <c r="JD4" s="3"/>
      <c r="JE4" s="4"/>
      <c r="JF4" s="8"/>
      <c r="JG4" s="5"/>
      <c r="JH4" s="3" t="s">
        <v>780</v>
      </c>
      <c r="JI4" s="6"/>
      <c r="JJ4" s="6"/>
      <c r="JK4" s="6"/>
      <c r="JL4" s="5"/>
      <c r="JM4" s="6" t="s">
        <v>780</v>
      </c>
      <c r="JN4" s="6"/>
      <c r="JO4" s="6"/>
      <c r="JP4" s="6"/>
      <c r="JQ4" s="5"/>
      <c r="JR4" s="6" t="s">
        <v>781</v>
      </c>
      <c r="JS4" s="6"/>
      <c r="JT4" s="6"/>
      <c r="JU4" s="6"/>
      <c r="JV4" s="5"/>
      <c r="JW4" s="6" t="s">
        <v>781</v>
      </c>
      <c r="JX4" s="5"/>
      <c r="JY4" s="5"/>
      <c r="JZ4" s="5"/>
      <c r="KA4" s="5"/>
      <c r="KB4" s="41" t="s">
        <v>783</v>
      </c>
      <c r="KC4" s="2"/>
      <c r="KD4" s="4"/>
      <c r="KE4" s="8"/>
      <c r="KF4" s="5" t="s">
        <v>784</v>
      </c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hidden="1" thickTop="1" thickBot="1" x14ac:dyDescent="0.35">
      <c r="A5" s="26">
        <v>2</v>
      </c>
      <c r="B5" s="27">
        <v>747</v>
      </c>
      <c r="C5" s="28" t="s">
        <v>751</v>
      </c>
      <c r="D5" s="29" t="s">
        <v>68</v>
      </c>
      <c r="E5" s="30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39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46126</v>
      </c>
      <c r="BW5" s="4">
        <f>DATE(YEAR(BV5)+2,MONTH(BV5),DAY(BV5)-1)</f>
        <v>46856</v>
      </c>
      <c r="BX5" s="8">
        <f t="shared" ca="1" si="25"/>
        <v>711</v>
      </c>
      <c r="BY5" s="5" t="str">
        <f t="shared" ca="1" si="26"/>
        <v>VIGENTE</v>
      </c>
      <c r="BZ5" s="3"/>
      <c r="CA5" s="4">
        <v>46119</v>
      </c>
      <c r="CB5" s="4">
        <f t="shared" ref="CB5:CB10" si="127">DATE(YEAR(CA5)+2,MONTH(CA5),DAY(CA5)-1)</f>
        <v>46849</v>
      </c>
      <c r="CC5" s="8">
        <f t="shared" ca="1" si="27"/>
        <v>704</v>
      </c>
      <c r="CD5" s="5" t="str">
        <f t="shared" ca="1" si="28"/>
        <v>VIGENTE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39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39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39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39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39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39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39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780</v>
      </c>
      <c r="JD5" s="3"/>
      <c r="JE5" s="4"/>
      <c r="JF5" s="8"/>
      <c r="JG5" s="5"/>
      <c r="JH5" s="3" t="s">
        <v>780</v>
      </c>
      <c r="JI5" s="6"/>
      <c r="JJ5" s="6"/>
      <c r="JK5" s="6"/>
      <c r="JL5" s="5"/>
      <c r="JM5" s="6" t="s">
        <v>780</v>
      </c>
      <c r="JN5" s="6"/>
      <c r="JO5" s="6"/>
      <c r="JP5" s="6"/>
      <c r="JQ5" s="5"/>
      <c r="JR5" s="6" t="s">
        <v>780</v>
      </c>
      <c r="JS5" s="6"/>
      <c r="JT5" s="6"/>
      <c r="JU5" s="6"/>
      <c r="JV5" s="5"/>
      <c r="JW5" s="6" t="s">
        <v>780</v>
      </c>
      <c r="JX5" s="3"/>
      <c r="JY5" s="4"/>
      <c r="JZ5" s="8"/>
      <c r="KA5" s="5"/>
      <c r="KB5" s="5"/>
      <c r="KC5" s="5"/>
      <c r="KD5" s="4"/>
      <c r="KE5" s="8"/>
      <c r="KF5" s="5" t="str">
        <f t="shared" ref="KF5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hidden="1" thickTop="1" thickBot="1" x14ac:dyDescent="0.35">
      <c r="A6" s="26">
        <v>3</v>
      </c>
      <c r="B6" s="27">
        <v>1343</v>
      </c>
      <c r="C6" s="28" t="s">
        <v>72</v>
      </c>
      <c r="D6" s="29" t="s">
        <v>68</v>
      </c>
      <c r="E6" s="30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39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46116</v>
      </c>
      <c r="BW6" s="4">
        <f>DATE(YEAR(BV6)+2,MONTH(BV6),DAY(BV6)-1)</f>
        <v>46846</v>
      </c>
      <c r="BX6" s="8">
        <f t="shared" ca="1" si="25"/>
        <v>701</v>
      </c>
      <c r="BY6" s="5" t="str">
        <f t="shared" ca="1" si="26"/>
        <v>VIGENTE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39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39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39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39">
        <v>46112</v>
      </c>
      <c r="EE6" s="4">
        <f>DATE(YEAR(ED6)+2,MONTH(ED6),DAY(ED6)-1)</f>
        <v>46842</v>
      </c>
      <c r="EF6" s="8">
        <f t="shared" ca="1" si="52"/>
        <v>697</v>
      </c>
      <c r="EG6" s="5" t="str">
        <f t="shared" ca="1" si="53"/>
        <v>VIGENTE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39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39">
        <v>46129</v>
      </c>
      <c r="FN6" s="4">
        <f t="shared" si="66"/>
        <v>46859</v>
      </c>
      <c r="FO6" s="8">
        <f t="shared" ca="1" si="67"/>
        <v>714</v>
      </c>
      <c r="FP6" s="5" t="str">
        <f t="shared" ca="1" si="68"/>
        <v>VIGENTE</v>
      </c>
      <c r="FQ6" s="3"/>
      <c r="FR6" s="39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780</v>
      </c>
      <c r="JD6" s="3"/>
      <c r="JE6" s="4"/>
      <c r="JF6" s="8"/>
      <c r="JG6" s="5"/>
      <c r="JH6" s="3" t="s">
        <v>780</v>
      </c>
      <c r="JI6" s="6"/>
      <c r="JJ6" s="6"/>
      <c r="JK6" s="6"/>
      <c r="JL6" s="5"/>
      <c r="JM6" s="6" t="s">
        <v>780</v>
      </c>
      <c r="JN6" s="6"/>
      <c r="JO6" s="6"/>
      <c r="JP6" s="6"/>
      <c r="JQ6" s="5"/>
      <c r="JR6" s="6" t="s">
        <v>780</v>
      </c>
      <c r="JS6" s="6"/>
      <c r="JT6" s="6"/>
      <c r="JU6" s="6"/>
      <c r="JV6" s="5"/>
      <c r="JW6" s="6" t="s">
        <v>780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hidden="1" thickTop="1" thickBot="1" x14ac:dyDescent="0.35">
      <c r="A7" s="26">
        <v>4</v>
      </c>
      <c r="B7" s="27">
        <v>261</v>
      </c>
      <c r="C7" s="28" t="s">
        <v>76</v>
      </c>
      <c r="D7" s="29" t="s">
        <v>68</v>
      </c>
      <c r="E7" s="30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39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39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39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39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39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46123</v>
      </c>
      <c r="EJ7" s="4">
        <f t="shared" si="131"/>
        <v>46488</v>
      </c>
      <c r="EK7" s="8">
        <f t="shared" ca="1" si="54"/>
        <v>343</v>
      </c>
      <c r="EL7" s="5" t="str">
        <f t="shared" ca="1" si="55"/>
        <v>VIGENTE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39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39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39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780</v>
      </c>
      <c r="JD7" s="3"/>
      <c r="JE7" s="4"/>
      <c r="JF7" s="8"/>
      <c r="JG7" s="5"/>
      <c r="JH7" s="3" t="s">
        <v>780</v>
      </c>
      <c r="JI7" s="6"/>
      <c r="JJ7" s="6"/>
      <c r="JK7" s="6"/>
      <c r="JL7" s="5"/>
      <c r="JM7" s="6" t="s">
        <v>780</v>
      </c>
      <c r="JN7" s="6"/>
      <c r="JO7" s="6"/>
      <c r="JP7" s="6"/>
      <c r="JQ7" s="5"/>
      <c r="JR7" s="6" t="s">
        <v>780</v>
      </c>
      <c r="JS7" s="6"/>
      <c r="JT7" s="6"/>
      <c r="JU7" s="6"/>
      <c r="JV7" s="5"/>
      <c r="JW7" s="6" t="s">
        <v>780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hidden="1" thickTop="1" thickBot="1" x14ac:dyDescent="0.35">
      <c r="A8" s="26">
        <v>5</v>
      </c>
      <c r="B8" s="27">
        <v>1581</v>
      </c>
      <c r="C8" s="28" t="s">
        <v>80</v>
      </c>
      <c r="D8" s="29" t="s">
        <v>64</v>
      </c>
      <c r="E8" s="30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39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39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39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39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39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39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39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39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780</v>
      </c>
      <c r="JD8" s="3"/>
      <c r="JE8" s="4"/>
      <c r="JF8" s="8"/>
      <c r="JG8" s="5"/>
      <c r="JH8" s="3" t="s">
        <v>780</v>
      </c>
      <c r="JI8" s="6"/>
      <c r="JJ8" s="6"/>
      <c r="JK8" s="6"/>
      <c r="JL8" s="5"/>
      <c r="JM8" s="6" t="s">
        <v>780</v>
      </c>
      <c r="JN8" s="6"/>
      <c r="JO8" s="6"/>
      <c r="JP8" s="6"/>
      <c r="JQ8" s="5"/>
      <c r="JR8" s="6" t="s">
        <v>780</v>
      </c>
      <c r="JS8" s="6"/>
      <c r="JT8" s="6"/>
      <c r="JU8" s="6"/>
      <c r="JV8" s="5"/>
      <c r="JW8" s="6" t="s">
        <v>780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hidden="1" thickTop="1" thickBot="1" x14ac:dyDescent="0.35">
      <c r="A9" s="26">
        <v>6</v>
      </c>
      <c r="B9" s="31">
        <v>1704</v>
      </c>
      <c r="C9" s="28" t="s">
        <v>752</v>
      </c>
      <c r="D9" s="29" t="s">
        <v>64</v>
      </c>
      <c r="E9" s="30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39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39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39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39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39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39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39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39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780</v>
      </c>
      <c r="JD9" s="3"/>
      <c r="JE9" s="4"/>
      <c r="JF9" s="8"/>
      <c r="JG9" s="5"/>
      <c r="JH9" s="3" t="s">
        <v>780</v>
      </c>
      <c r="JI9" s="6"/>
      <c r="JJ9" s="6"/>
      <c r="JK9" s="6"/>
      <c r="JL9" s="5"/>
      <c r="JM9" s="6" t="s">
        <v>780</v>
      </c>
      <c r="JN9" s="6"/>
      <c r="JO9" s="6"/>
      <c r="JP9" s="6"/>
      <c r="JQ9" s="5"/>
      <c r="JR9" s="6" t="s">
        <v>780</v>
      </c>
      <c r="JS9" s="6"/>
      <c r="JT9" s="6"/>
      <c r="JU9" s="6"/>
      <c r="JV9" s="5"/>
      <c r="JW9" s="6" t="s">
        <v>780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hidden="1" thickTop="1" thickBot="1" x14ac:dyDescent="0.35">
      <c r="A10" s="26">
        <v>7</v>
      </c>
      <c r="B10" s="31">
        <v>1669</v>
      </c>
      <c r="C10" s="28" t="s">
        <v>86</v>
      </c>
      <c r="D10" s="29" t="s">
        <v>68</v>
      </c>
      <c r="E10" s="30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39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39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39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39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39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46123</v>
      </c>
      <c r="EJ10" s="4">
        <f t="shared" si="131"/>
        <v>46488</v>
      </c>
      <c r="EK10" s="8">
        <f t="shared" ca="1" si="54"/>
        <v>343</v>
      </c>
      <c r="EL10" s="5" t="str">
        <f t="shared" ca="1" si="55"/>
        <v>VIGENTE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39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39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39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780</v>
      </c>
      <c r="JD10" s="3"/>
      <c r="JE10" s="4"/>
      <c r="JF10" s="8"/>
      <c r="JG10" s="5"/>
      <c r="JH10" s="3" t="s">
        <v>780</v>
      </c>
      <c r="JI10" s="6"/>
      <c r="JJ10" s="6"/>
      <c r="JK10" s="6"/>
      <c r="JL10" s="5"/>
      <c r="JM10" s="6" t="s">
        <v>780</v>
      </c>
      <c r="JN10" s="6"/>
      <c r="JO10" s="6"/>
      <c r="JP10" s="6"/>
      <c r="JQ10" s="5"/>
      <c r="JR10" s="6" t="s">
        <v>780</v>
      </c>
      <c r="JS10" s="6"/>
      <c r="JT10" s="6"/>
      <c r="JU10" s="6"/>
      <c r="JV10" s="5"/>
      <c r="JW10" s="6" t="s">
        <v>780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hidden="1" thickTop="1" thickBot="1" x14ac:dyDescent="0.35">
      <c r="A11" s="26">
        <v>8</v>
      </c>
      <c r="B11" s="31">
        <v>1685</v>
      </c>
      <c r="C11" s="28" t="s">
        <v>89</v>
      </c>
      <c r="D11" s="29" t="s">
        <v>68</v>
      </c>
      <c r="E11" s="30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39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39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39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39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39">
        <v>46112</v>
      </c>
      <c r="EE11" s="4">
        <f>DATE(YEAR(ED11)+2,MONTH(ED11),DAY(ED11)-1)</f>
        <v>46842</v>
      </c>
      <c r="EF11" s="8">
        <f t="shared" ca="1" si="52"/>
        <v>697</v>
      </c>
      <c r="EG11" s="5" t="str">
        <f t="shared" ca="1" si="53"/>
        <v>VIGENTE</v>
      </c>
      <c r="EH11" s="3"/>
      <c r="EI11" s="4">
        <v>46123</v>
      </c>
      <c r="EJ11" s="4">
        <f t="shared" si="131"/>
        <v>46488</v>
      </c>
      <c r="EK11" s="8">
        <f t="shared" ca="1" si="54"/>
        <v>343</v>
      </c>
      <c r="EL11" s="5" t="str">
        <f t="shared" ca="1" si="55"/>
        <v>VIGENTE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39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39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39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780</v>
      </c>
      <c r="JD11" s="3"/>
      <c r="JE11" s="4"/>
      <c r="JF11" s="8"/>
      <c r="JG11" s="5"/>
      <c r="JH11" s="3" t="s">
        <v>780</v>
      </c>
      <c r="JI11" s="6"/>
      <c r="JJ11" s="6"/>
      <c r="JK11" s="6"/>
      <c r="JL11" s="5"/>
      <c r="JM11" s="6" t="s">
        <v>780</v>
      </c>
      <c r="JN11" s="6"/>
      <c r="JO11" s="6"/>
      <c r="JP11" s="6"/>
      <c r="JQ11" s="5"/>
      <c r="JR11" s="6" t="s">
        <v>780</v>
      </c>
      <c r="JS11" s="6"/>
      <c r="JT11" s="6"/>
      <c r="JU11" s="6"/>
      <c r="JV11" s="5"/>
      <c r="JW11" s="6" t="s">
        <v>780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hidden="1" thickTop="1" thickBot="1" x14ac:dyDescent="0.35">
      <c r="A12" s="26">
        <v>9</v>
      </c>
      <c r="B12" s="27">
        <v>975</v>
      </c>
      <c r="C12" s="28" t="s">
        <v>92</v>
      </c>
      <c r="D12" s="29" t="s">
        <v>68</v>
      </c>
      <c r="E12" s="30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39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39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39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39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39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39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39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39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780</v>
      </c>
      <c r="JD12" s="3"/>
      <c r="JE12" s="4"/>
      <c r="JF12" s="8"/>
      <c r="JG12" s="5"/>
      <c r="JH12" s="3" t="s">
        <v>780</v>
      </c>
      <c r="JI12" s="6"/>
      <c r="JJ12" s="6"/>
      <c r="JK12" s="6"/>
      <c r="JL12" s="5"/>
      <c r="JM12" s="6" t="s">
        <v>780</v>
      </c>
      <c r="JN12" s="6"/>
      <c r="JO12" s="6"/>
      <c r="JP12" s="6"/>
      <c r="JQ12" s="5"/>
      <c r="JR12" s="6" t="s">
        <v>780</v>
      </c>
      <c r="JS12" s="6"/>
      <c r="JT12" s="6"/>
      <c r="JU12" s="6"/>
      <c r="JV12" s="5"/>
      <c r="JW12" s="6" t="s">
        <v>780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hidden="1" thickTop="1" thickBot="1" x14ac:dyDescent="0.35">
      <c r="A13" s="26">
        <v>10</v>
      </c>
      <c r="B13" s="31">
        <v>1632</v>
      </c>
      <c r="C13" s="28" t="s">
        <v>96</v>
      </c>
      <c r="D13" s="29" t="s">
        <v>68</v>
      </c>
      <c r="E13" s="30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39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46116</v>
      </c>
      <c r="BW13" s="4">
        <f>DATE(YEAR(BV13)+2,MONTH(BV13),DAY(BV13)-1)</f>
        <v>46846</v>
      </c>
      <c r="BX13" s="8">
        <f t="shared" ca="1" si="25"/>
        <v>701</v>
      </c>
      <c r="BY13" s="5" t="str">
        <f t="shared" ca="1" si="26"/>
        <v>VIGENTE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39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39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39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46128</v>
      </c>
      <c r="DP13" s="4">
        <f>DATE(YEAR(DO13)+2,MONTH(DO13),DAY(DO13)-1)</f>
        <v>46858</v>
      </c>
      <c r="DQ13" s="8">
        <f t="shared" ca="1" si="46"/>
        <v>713</v>
      </c>
      <c r="DR13" s="5" t="str">
        <f t="shared" ca="1" si="47"/>
        <v>VIGENTE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39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39">
        <v>46130</v>
      </c>
      <c r="ET13" s="4">
        <f>DATE(YEAR(ES13)+2,MONTH(ES13),DAY(ES13)-1)</f>
        <v>46860</v>
      </c>
      <c r="EU13" s="8">
        <f t="shared" ca="1" si="58"/>
        <v>715</v>
      </c>
      <c r="EV13" s="5" t="str">
        <f t="shared" ca="1" si="59"/>
        <v>VIGENTE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39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39">
        <v>46132</v>
      </c>
      <c r="FS13" s="4">
        <f>DATE(YEAR(FR13)+2,MONTH(FR13),DAY(FR13)-1)</f>
        <v>46862</v>
      </c>
      <c r="FT13" s="8">
        <f t="shared" ca="1" si="69"/>
        <v>717</v>
      </c>
      <c r="FU13" s="5" t="str">
        <f t="shared" ca="1" si="70"/>
        <v>VIGENTE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780</v>
      </c>
      <c r="JD13" s="3"/>
      <c r="JE13" s="4"/>
      <c r="JF13" s="8"/>
      <c r="JG13" s="5"/>
      <c r="JH13" s="3" t="s">
        <v>780</v>
      </c>
      <c r="JI13" s="6"/>
      <c r="JJ13" s="6"/>
      <c r="JK13" s="6"/>
      <c r="JL13" s="5"/>
      <c r="JM13" s="6" t="s">
        <v>780</v>
      </c>
      <c r="JN13" s="6"/>
      <c r="JO13" s="6"/>
      <c r="JP13" s="6"/>
      <c r="JQ13" s="5"/>
      <c r="JR13" s="6" t="s">
        <v>780</v>
      </c>
      <c r="JS13" s="6"/>
      <c r="JT13" s="6"/>
      <c r="JU13" s="6"/>
      <c r="JV13" s="5"/>
      <c r="JW13" s="6" t="s">
        <v>780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hidden="1" thickTop="1" thickBot="1" x14ac:dyDescent="0.35">
      <c r="A14" s="26">
        <v>11</v>
      </c>
      <c r="B14" s="27">
        <v>356</v>
      </c>
      <c r="C14" s="28" t="s">
        <v>99</v>
      </c>
      <c r="D14" s="29" t="s">
        <v>64</v>
      </c>
      <c r="E14" s="30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39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46126</v>
      </c>
      <c r="BW14" s="4">
        <f>DATE(YEAR(BV14)+2,MONTH(BV14),DAY(BV14)-1)</f>
        <v>46856</v>
      </c>
      <c r="BX14" s="8">
        <f t="shared" ca="1" si="25"/>
        <v>711</v>
      </c>
      <c r="BY14" s="5" t="str">
        <f t="shared" ca="1" si="26"/>
        <v>VIGENTE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39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39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39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39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39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39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39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/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780</v>
      </c>
      <c r="JD14" s="3"/>
      <c r="JE14" s="4"/>
      <c r="JF14" s="8"/>
      <c r="JG14" s="5"/>
      <c r="JH14" s="3" t="s">
        <v>780</v>
      </c>
      <c r="JI14" s="6"/>
      <c r="JJ14" s="6"/>
      <c r="JK14" s="6"/>
      <c r="JL14" s="5"/>
      <c r="JM14" s="6" t="s">
        <v>780</v>
      </c>
      <c r="JN14" s="6"/>
      <c r="JO14" s="6"/>
      <c r="JP14" s="6"/>
      <c r="JQ14" s="5"/>
      <c r="JR14" s="6" t="s">
        <v>780</v>
      </c>
      <c r="JS14" s="6"/>
      <c r="JT14" s="6"/>
      <c r="JU14" s="6"/>
      <c r="JV14" s="5"/>
      <c r="JW14" s="6" t="s">
        <v>780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hidden="1" thickTop="1" thickBot="1" x14ac:dyDescent="0.35">
      <c r="A15" s="26">
        <v>12</v>
      </c>
      <c r="B15" s="27">
        <v>580</v>
      </c>
      <c r="C15" s="28" t="s">
        <v>103</v>
      </c>
      <c r="D15" s="29" t="s">
        <v>68</v>
      </c>
      <c r="E15" s="30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39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39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39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39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39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39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39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39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780</v>
      </c>
      <c r="JD15" s="3"/>
      <c r="JE15" s="4"/>
      <c r="JF15" s="8"/>
      <c r="JG15" s="5"/>
      <c r="JH15" s="3" t="s">
        <v>780</v>
      </c>
      <c r="JI15" s="6"/>
      <c r="JJ15" s="6"/>
      <c r="JK15" s="6"/>
      <c r="JL15" s="5"/>
      <c r="JM15" s="6" t="s">
        <v>780</v>
      </c>
      <c r="JN15" s="6"/>
      <c r="JO15" s="6"/>
      <c r="JP15" s="6"/>
      <c r="JQ15" s="5"/>
      <c r="JR15" s="6" t="s">
        <v>780</v>
      </c>
      <c r="JS15" s="6"/>
      <c r="JT15" s="6"/>
      <c r="JU15" s="6"/>
      <c r="JV15" s="5"/>
      <c r="JW15" s="6" t="s">
        <v>780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hidden="1" thickTop="1" thickBot="1" x14ac:dyDescent="0.35">
      <c r="A16" s="26">
        <v>13</v>
      </c>
      <c r="B16" s="27">
        <v>1363</v>
      </c>
      <c r="C16" s="28" t="s">
        <v>106</v>
      </c>
      <c r="D16" s="29" t="s">
        <v>68</v>
      </c>
      <c r="E16" s="30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39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39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39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39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39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39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39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39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780</v>
      </c>
      <c r="JD16" s="3"/>
      <c r="JE16" s="4"/>
      <c r="JF16" s="8"/>
      <c r="JG16" s="5"/>
      <c r="JH16" s="3" t="s">
        <v>780</v>
      </c>
      <c r="JI16" s="6"/>
      <c r="JJ16" s="6"/>
      <c r="JK16" s="6"/>
      <c r="JL16" s="5"/>
      <c r="JM16" s="6" t="s">
        <v>780</v>
      </c>
      <c r="JN16" s="6"/>
      <c r="JO16" s="6"/>
      <c r="JP16" s="6"/>
      <c r="JQ16" s="5"/>
      <c r="JR16" s="6" t="s">
        <v>780</v>
      </c>
      <c r="JS16" s="6"/>
      <c r="JT16" s="6"/>
      <c r="JU16" s="6"/>
      <c r="JV16" s="5"/>
      <c r="JW16" s="6" t="s">
        <v>780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hidden="1" thickTop="1" thickBot="1" x14ac:dyDescent="0.35">
      <c r="A17" s="26">
        <v>14</v>
      </c>
      <c r="B17" s="27">
        <v>1545</v>
      </c>
      <c r="C17" s="28" t="s">
        <v>109</v>
      </c>
      <c r="D17" s="29" t="s">
        <v>64</v>
      </c>
      <c r="E17" s="30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39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46126</v>
      </c>
      <c r="BW17" s="4">
        <f>DATE(YEAR(BV17)+2,MONTH(BV17),DAY(BV17)-1)</f>
        <v>46856</v>
      </c>
      <c r="BX17" s="8">
        <f t="shared" ca="1" si="25"/>
        <v>711</v>
      </c>
      <c r="BY17" s="5" t="str">
        <f t="shared" ca="1" si="26"/>
        <v>VIGENTE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39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39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39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39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39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39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39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780</v>
      </c>
      <c r="JD17" s="3"/>
      <c r="JE17" s="4"/>
      <c r="JF17" s="8"/>
      <c r="JG17" s="5"/>
      <c r="JH17" s="3" t="s">
        <v>780</v>
      </c>
      <c r="JI17" s="6"/>
      <c r="JJ17" s="6"/>
      <c r="JK17" s="6"/>
      <c r="JL17" s="5"/>
      <c r="JM17" s="6" t="s">
        <v>780</v>
      </c>
      <c r="JN17" s="6"/>
      <c r="JO17" s="6"/>
      <c r="JP17" s="6"/>
      <c r="JQ17" s="5"/>
      <c r="JR17" s="6" t="s">
        <v>780</v>
      </c>
      <c r="JS17" s="6"/>
      <c r="JT17" s="6"/>
      <c r="JU17" s="6"/>
      <c r="JV17" s="5"/>
      <c r="JW17" s="6" t="s">
        <v>780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hidden="1" thickTop="1" thickBot="1" x14ac:dyDescent="0.35">
      <c r="A18" s="26">
        <v>15</v>
      </c>
      <c r="B18" s="27">
        <v>142</v>
      </c>
      <c r="C18" s="28" t="s">
        <v>112</v>
      </c>
      <c r="D18" s="29" t="s">
        <v>113</v>
      </c>
      <c r="E18" s="30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39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39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39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39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39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39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39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39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780</v>
      </c>
      <c r="JD18" s="3"/>
      <c r="JE18" s="4"/>
      <c r="JF18" s="8"/>
      <c r="JG18" s="5"/>
      <c r="JH18" s="3" t="s">
        <v>780</v>
      </c>
      <c r="JI18" s="6"/>
      <c r="JJ18" s="6"/>
      <c r="JK18" s="6"/>
      <c r="JL18" s="5"/>
      <c r="JM18" s="6" t="s">
        <v>780</v>
      </c>
      <c r="JN18" s="6"/>
      <c r="JO18" s="6"/>
      <c r="JP18" s="6"/>
      <c r="JQ18" s="5"/>
      <c r="JR18" s="6" t="s">
        <v>780</v>
      </c>
      <c r="JS18" s="6"/>
      <c r="JT18" s="6"/>
      <c r="JU18" s="6"/>
      <c r="JV18" s="5"/>
      <c r="JW18" s="6" t="s">
        <v>780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hidden="1" thickTop="1" thickBot="1" x14ac:dyDescent="0.35">
      <c r="A19" s="26">
        <v>16</v>
      </c>
      <c r="B19" s="31">
        <v>1740</v>
      </c>
      <c r="C19" s="28" t="s">
        <v>116</v>
      </c>
      <c r="D19" s="29" t="s">
        <v>117</v>
      </c>
      <c r="E19" s="30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780</v>
      </c>
      <c r="JD19" s="6"/>
      <c r="JE19" s="6"/>
      <c r="JF19" s="6"/>
      <c r="JG19" s="5"/>
      <c r="JH19" s="3" t="s">
        <v>780</v>
      </c>
      <c r="JI19" s="6"/>
      <c r="JJ19" s="6"/>
      <c r="JK19" s="6"/>
      <c r="JL19" s="5"/>
      <c r="JM19" s="6" t="s">
        <v>780</v>
      </c>
      <c r="JN19" s="4"/>
      <c r="JO19" s="6"/>
      <c r="JP19" s="6"/>
      <c r="JQ19" s="5"/>
      <c r="JR19" s="6" t="s">
        <v>780</v>
      </c>
      <c r="JS19" s="6"/>
      <c r="JT19" s="6"/>
      <c r="JU19" s="6"/>
      <c r="JV19" s="5"/>
      <c r="JW19" s="6" t="s">
        <v>780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hidden="1" thickTop="1" thickBot="1" x14ac:dyDescent="0.35">
      <c r="A20" s="26">
        <v>17</v>
      </c>
      <c r="B20" s="27">
        <v>1481</v>
      </c>
      <c r="C20" s="28" t="s">
        <v>121</v>
      </c>
      <c r="D20" s="29" t="s">
        <v>68</v>
      </c>
      <c r="E20" s="30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39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46116</v>
      </c>
      <c r="BW20" s="4">
        <f t="shared" ref="BW20:BW30" si="185">DATE(YEAR(BV20)+2,MONTH(BV20),DAY(BV20)-1)</f>
        <v>46846</v>
      </c>
      <c r="BX20" s="8">
        <f t="shared" ca="1" si="25"/>
        <v>701</v>
      </c>
      <c r="BY20" s="5" t="str">
        <f t="shared" ca="1" si="26"/>
        <v>VIGENTE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39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39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39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39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39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39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39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780</v>
      </c>
      <c r="JD20" s="3"/>
      <c r="JE20" s="4"/>
      <c r="JF20" s="8"/>
      <c r="JG20" s="5"/>
      <c r="JH20" s="3" t="s">
        <v>780</v>
      </c>
      <c r="JI20" s="6"/>
      <c r="JJ20" s="6"/>
      <c r="JK20" s="6"/>
      <c r="JL20" s="5"/>
      <c r="JM20" s="6" t="s">
        <v>780</v>
      </c>
      <c r="JN20" s="6"/>
      <c r="JO20" s="6"/>
      <c r="JP20" s="6"/>
      <c r="JQ20" s="5"/>
      <c r="JR20" s="6" t="s">
        <v>780</v>
      </c>
      <c r="JS20" s="6"/>
      <c r="JT20" s="6"/>
      <c r="JU20" s="6"/>
      <c r="JV20" s="5"/>
      <c r="JW20" s="6" t="s">
        <v>780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hidden="1" thickTop="1" thickBot="1" x14ac:dyDescent="0.35">
      <c r="A21" s="26">
        <v>18</v>
      </c>
      <c r="B21" s="31">
        <v>1641</v>
      </c>
      <c r="C21" s="28" t="s">
        <v>125</v>
      </c>
      <c r="D21" s="29" t="s">
        <v>113</v>
      </c>
      <c r="E21" s="30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39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39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39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39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39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39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39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39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780</v>
      </c>
      <c r="JD21" s="3"/>
      <c r="JE21" s="4"/>
      <c r="JF21" s="8"/>
      <c r="JG21" s="5"/>
      <c r="JH21" s="3" t="s">
        <v>780</v>
      </c>
      <c r="JI21" s="6"/>
      <c r="JJ21" s="6"/>
      <c r="JK21" s="6"/>
      <c r="JL21" s="5"/>
      <c r="JM21" s="6" t="s">
        <v>780</v>
      </c>
      <c r="JN21" s="6"/>
      <c r="JO21" s="6"/>
      <c r="JP21" s="6"/>
      <c r="JQ21" s="5"/>
      <c r="JR21" s="6" t="s">
        <v>780</v>
      </c>
      <c r="JS21" s="6"/>
      <c r="JT21" s="6"/>
      <c r="JU21" s="6"/>
      <c r="JV21" s="5"/>
      <c r="JW21" s="6" t="s">
        <v>780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hidden="1" thickTop="1" thickBot="1" x14ac:dyDescent="0.35">
      <c r="A22" s="26">
        <v>19</v>
      </c>
      <c r="B22" s="27">
        <v>730</v>
      </c>
      <c r="C22" s="28" t="s">
        <v>128</v>
      </c>
      <c r="D22" s="29" t="s">
        <v>68</v>
      </c>
      <c r="E22" s="30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39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46126</v>
      </c>
      <c r="BW22" s="4">
        <f t="shared" si="185"/>
        <v>46856</v>
      </c>
      <c r="BX22" s="8">
        <f t="shared" ca="1" si="25"/>
        <v>711</v>
      </c>
      <c r="BY22" s="5" t="str">
        <f t="shared" ca="1" si="26"/>
        <v>VIGENTE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39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39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39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39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46123</v>
      </c>
      <c r="EJ22" s="4">
        <f t="shared" si="131"/>
        <v>46488</v>
      </c>
      <c r="EK22" s="8">
        <f t="shared" ca="1" si="54"/>
        <v>343</v>
      </c>
      <c r="EL22" s="5" t="str">
        <f t="shared" ca="1" si="55"/>
        <v>VIGENTE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39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39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39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780</v>
      </c>
      <c r="JD22" s="3"/>
      <c r="JE22" s="4"/>
      <c r="JF22" s="8"/>
      <c r="JG22" s="5"/>
      <c r="JH22" s="3" t="s">
        <v>780</v>
      </c>
      <c r="JI22" s="6"/>
      <c r="JJ22" s="6"/>
      <c r="JK22" s="6"/>
      <c r="JL22" s="5"/>
      <c r="JM22" s="6" t="s">
        <v>780</v>
      </c>
      <c r="JN22" s="6"/>
      <c r="JO22" s="6"/>
      <c r="JP22" s="6"/>
      <c r="JQ22" s="5"/>
      <c r="JR22" s="6" t="s">
        <v>780</v>
      </c>
      <c r="JS22" s="6"/>
      <c r="JT22" s="6"/>
      <c r="JU22" s="6"/>
      <c r="JV22" s="5"/>
      <c r="JW22" s="6" t="s">
        <v>780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hidden="1" thickTop="1" thickBot="1" x14ac:dyDescent="0.35">
      <c r="A23" s="26">
        <v>20</v>
      </c>
      <c r="B23" s="27">
        <v>252</v>
      </c>
      <c r="C23" s="28" t="s">
        <v>132</v>
      </c>
      <c r="D23" s="29" t="s">
        <v>64</v>
      </c>
      <c r="E23" s="30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39">
        <v>46120</v>
      </c>
      <c r="BR23" s="4">
        <f>DATE(YEAR(BQ23)+2,MONTH(BQ23),DAY(BQ23)-1)</f>
        <v>46850</v>
      </c>
      <c r="BS23" s="8">
        <f t="shared" ca="1" si="23"/>
        <v>705</v>
      </c>
      <c r="BT23" s="5" t="str">
        <f t="shared" ca="1" si="24"/>
        <v>VIGENTE</v>
      </c>
      <c r="BU23" s="3"/>
      <c r="BV23" s="4">
        <v>46135</v>
      </c>
      <c r="BW23" s="4">
        <f t="shared" si="185"/>
        <v>46865</v>
      </c>
      <c r="BX23" s="8">
        <f t="shared" ca="1" si="25"/>
        <v>720</v>
      </c>
      <c r="BY23" s="5" t="str">
        <f t="shared" ca="1" si="26"/>
        <v>VIGENTE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39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39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39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39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39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39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39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780</v>
      </c>
      <c r="JD23" s="3"/>
      <c r="JE23" s="4"/>
      <c r="JF23" s="8"/>
      <c r="JG23" s="5"/>
      <c r="JH23" s="3" t="s">
        <v>780</v>
      </c>
      <c r="JI23" s="6"/>
      <c r="JJ23" s="6"/>
      <c r="JK23" s="6"/>
      <c r="JL23" s="5"/>
      <c r="JM23" s="6" t="s">
        <v>780</v>
      </c>
      <c r="JN23" s="6"/>
      <c r="JO23" s="6"/>
      <c r="JP23" s="6"/>
      <c r="JQ23" s="5"/>
      <c r="JR23" s="6" t="s">
        <v>780</v>
      </c>
      <c r="JS23" s="6"/>
      <c r="JT23" s="6"/>
      <c r="JU23" s="6"/>
      <c r="JV23" s="5"/>
      <c r="JW23" s="6" t="s">
        <v>780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hidden="1" thickTop="1" thickBot="1" x14ac:dyDescent="0.35">
      <c r="A24" s="26">
        <v>21</v>
      </c>
      <c r="B24" s="27">
        <v>1549</v>
      </c>
      <c r="C24" s="28" t="s">
        <v>136</v>
      </c>
      <c r="D24" s="29" t="s">
        <v>64</v>
      </c>
      <c r="E24" s="30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39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46126</v>
      </c>
      <c r="BW24" s="4">
        <f t="shared" si="185"/>
        <v>46856</v>
      </c>
      <c r="BX24" s="8">
        <f t="shared" ca="1" si="25"/>
        <v>711</v>
      </c>
      <c r="BY24" s="5" t="str">
        <f t="shared" ca="1" si="26"/>
        <v>VIGENTE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39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39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39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39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39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39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39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780</v>
      </c>
      <c r="JD24" s="3"/>
      <c r="JE24" s="4"/>
      <c r="JF24" s="8"/>
      <c r="JG24" s="5"/>
      <c r="JH24" s="3" t="s">
        <v>780</v>
      </c>
      <c r="JI24" s="6"/>
      <c r="JJ24" s="6"/>
      <c r="JK24" s="6"/>
      <c r="JL24" s="5"/>
      <c r="JM24" s="6" t="s">
        <v>780</v>
      </c>
      <c r="JN24" s="6"/>
      <c r="JO24" s="6"/>
      <c r="JP24" s="6"/>
      <c r="JQ24" s="5"/>
      <c r="JR24" s="6" t="s">
        <v>780</v>
      </c>
      <c r="JS24" s="6"/>
      <c r="JT24" s="6"/>
      <c r="JU24" s="6"/>
      <c r="JV24" s="5"/>
      <c r="JW24" s="6" t="s">
        <v>780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hidden="1" thickTop="1" thickBot="1" x14ac:dyDescent="0.35">
      <c r="A25" s="26">
        <v>22</v>
      </c>
      <c r="B25" s="31">
        <v>1682</v>
      </c>
      <c r="C25" s="28" t="s">
        <v>139</v>
      </c>
      <c r="D25" s="29" t="s">
        <v>68</v>
      </c>
      <c r="E25" s="30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39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39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39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39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39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46115</v>
      </c>
      <c r="EJ25" s="4">
        <f t="shared" si="131"/>
        <v>46480</v>
      </c>
      <c r="EK25" s="8">
        <f t="shared" ca="1" si="54"/>
        <v>335</v>
      </c>
      <c r="EL25" s="5" t="str">
        <f t="shared" ca="1" si="55"/>
        <v>VIGENTE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39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39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39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780</v>
      </c>
      <c r="JD25" s="3"/>
      <c r="JE25" s="4"/>
      <c r="JF25" s="8"/>
      <c r="JG25" s="5"/>
      <c r="JH25" s="3" t="s">
        <v>780</v>
      </c>
      <c r="JI25" s="6"/>
      <c r="JJ25" s="6"/>
      <c r="JK25" s="6"/>
      <c r="JL25" s="5"/>
      <c r="JM25" s="6" t="s">
        <v>780</v>
      </c>
      <c r="JN25" s="6"/>
      <c r="JO25" s="6"/>
      <c r="JP25" s="6"/>
      <c r="JQ25" s="5"/>
      <c r="JR25" s="6" t="s">
        <v>780</v>
      </c>
      <c r="JS25" s="6"/>
      <c r="JT25" s="6"/>
      <c r="JU25" s="6"/>
      <c r="JV25" s="5"/>
      <c r="JW25" s="6" t="s">
        <v>780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hidden="1" thickTop="1" thickBot="1" x14ac:dyDescent="0.35">
      <c r="A26" s="26">
        <v>23</v>
      </c>
      <c r="B26" s="27">
        <v>607</v>
      </c>
      <c r="C26" s="28" t="s">
        <v>142</v>
      </c>
      <c r="D26" s="29" t="s">
        <v>113</v>
      </c>
      <c r="E26" s="30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39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46134</v>
      </c>
      <c r="CG26" s="4">
        <f t="shared" si="29"/>
        <v>47595</v>
      </c>
      <c r="CH26" s="8">
        <f t="shared" ca="1" si="30"/>
        <v>1450</v>
      </c>
      <c r="CI26" s="5" t="str">
        <f t="shared" ca="1" si="31"/>
        <v>VIGENTE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39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39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39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39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39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39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39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780</v>
      </c>
      <c r="JD26" s="3"/>
      <c r="JE26" s="4"/>
      <c r="JF26" s="8"/>
      <c r="JG26" s="5"/>
      <c r="JH26" s="3" t="s">
        <v>780</v>
      </c>
      <c r="JI26" s="6"/>
      <c r="JJ26" s="6"/>
      <c r="JK26" s="6"/>
      <c r="JL26" s="5"/>
      <c r="JM26" s="6" t="s">
        <v>780</v>
      </c>
      <c r="JN26" s="6"/>
      <c r="JO26" s="6"/>
      <c r="JP26" s="6"/>
      <c r="JQ26" s="5"/>
      <c r="JR26" s="6" t="s">
        <v>780</v>
      </c>
      <c r="JS26" s="6"/>
      <c r="JT26" s="6"/>
      <c r="JU26" s="6"/>
      <c r="JV26" s="5"/>
      <c r="JW26" s="6" t="s">
        <v>780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hidden="1" thickTop="1" thickBot="1" x14ac:dyDescent="0.35">
      <c r="A27" s="26">
        <v>24</v>
      </c>
      <c r="B27" s="31">
        <v>886</v>
      </c>
      <c r="C27" s="28" t="s">
        <v>144</v>
      </c>
      <c r="D27" s="29" t="s">
        <v>68</v>
      </c>
      <c r="E27" s="30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39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39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39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39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39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46115</v>
      </c>
      <c r="EJ27" s="4">
        <f t="shared" si="131"/>
        <v>46480</v>
      </c>
      <c r="EK27" s="8">
        <f t="shared" ca="1" si="54"/>
        <v>335</v>
      </c>
      <c r="EL27" s="5" t="str">
        <f t="shared" ca="1" si="55"/>
        <v>VIGENTE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39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39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39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780</v>
      </c>
      <c r="JD27" s="3"/>
      <c r="JE27" s="4"/>
      <c r="JF27" s="8"/>
      <c r="JG27" s="5"/>
      <c r="JH27" s="3" t="s">
        <v>780</v>
      </c>
      <c r="JI27" s="6"/>
      <c r="JJ27" s="6"/>
      <c r="JK27" s="6"/>
      <c r="JL27" s="5"/>
      <c r="JM27" s="6" t="s">
        <v>780</v>
      </c>
      <c r="JN27" s="6"/>
      <c r="JO27" s="6"/>
      <c r="JP27" s="6"/>
      <c r="JQ27" s="5"/>
      <c r="JR27" s="6" t="s">
        <v>780</v>
      </c>
      <c r="JS27" s="6"/>
      <c r="JT27" s="6"/>
      <c r="JU27" s="6"/>
      <c r="JV27" s="5"/>
      <c r="JW27" s="6" t="s">
        <v>780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hidden="1" thickTop="1" thickBot="1" x14ac:dyDescent="0.35">
      <c r="A28" s="26">
        <v>25</v>
      </c>
      <c r="B28" s="27">
        <v>1408</v>
      </c>
      <c r="C28" s="28" t="s">
        <v>147</v>
      </c>
      <c r="D28" s="29" t="s">
        <v>113</v>
      </c>
      <c r="E28" s="30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39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46126</v>
      </c>
      <c r="BW28" s="4">
        <f t="shared" si="185"/>
        <v>46856</v>
      </c>
      <c r="BX28" s="8">
        <f t="shared" ca="1" si="25"/>
        <v>711</v>
      </c>
      <c r="BY28" s="5" t="str">
        <f t="shared" ca="1" si="26"/>
        <v>VIGENTE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39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39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39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39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39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39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39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780</v>
      </c>
      <c r="JD28" s="3"/>
      <c r="JE28" s="4"/>
      <c r="JF28" s="8"/>
      <c r="JG28" s="5"/>
      <c r="JH28" s="3" t="s">
        <v>780</v>
      </c>
      <c r="JI28" s="6"/>
      <c r="JJ28" s="6"/>
      <c r="JK28" s="6"/>
      <c r="JL28" s="5"/>
      <c r="JM28" s="6" t="s">
        <v>780</v>
      </c>
      <c r="JN28" s="6"/>
      <c r="JO28" s="6"/>
      <c r="JP28" s="6"/>
      <c r="JQ28" s="5"/>
      <c r="JR28" s="6" t="s">
        <v>780</v>
      </c>
      <c r="JS28" s="6"/>
      <c r="JT28" s="6"/>
      <c r="JU28" s="6"/>
      <c r="JV28" s="5"/>
      <c r="JW28" s="6" t="s">
        <v>780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hidden="1" thickTop="1" thickBot="1" x14ac:dyDescent="0.35">
      <c r="A29" s="26">
        <v>26</v>
      </c>
      <c r="B29" s="31">
        <v>1642</v>
      </c>
      <c r="C29" s="28" t="s">
        <v>150</v>
      </c>
      <c r="D29" s="29" t="s">
        <v>113</v>
      </c>
      <c r="E29" s="30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39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39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39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39">
        <v>46126</v>
      </c>
      <c r="DK29" s="4">
        <f>DATE(YEAR(DJ29)+2,MONTH(DJ29),DAY(DJ29)-1)</f>
        <v>46856</v>
      </c>
      <c r="DL29" s="8">
        <f t="shared" ca="1" si="43"/>
        <v>711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39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39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39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39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780</v>
      </c>
      <c r="JD29" s="3"/>
      <c r="JE29" s="4"/>
      <c r="JF29" s="8"/>
      <c r="JG29" s="5"/>
      <c r="JH29" s="3" t="s">
        <v>780</v>
      </c>
      <c r="JI29" s="6"/>
      <c r="JJ29" s="6"/>
      <c r="JK29" s="6"/>
      <c r="JL29" s="5"/>
      <c r="JM29" s="6" t="s">
        <v>780</v>
      </c>
      <c r="JN29" s="6"/>
      <c r="JO29" s="6"/>
      <c r="JP29" s="6"/>
      <c r="JQ29" s="5"/>
      <c r="JR29" s="6" t="s">
        <v>780</v>
      </c>
      <c r="JS29" s="6"/>
      <c r="JT29" s="6"/>
      <c r="JU29" s="6"/>
      <c r="JV29" s="5"/>
      <c r="JW29" s="6" t="s">
        <v>780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hidden="1" thickTop="1" thickBot="1" x14ac:dyDescent="0.35">
      <c r="A30" s="26">
        <v>27</v>
      </c>
      <c r="B30" s="27">
        <v>685</v>
      </c>
      <c r="C30" s="28" t="s">
        <v>152</v>
      </c>
      <c r="D30" s="29" t="s">
        <v>68</v>
      </c>
      <c r="E30" s="30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39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46116</v>
      </c>
      <c r="BW30" s="4">
        <f t="shared" si="185"/>
        <v>46846</v>
      </c>
      <c r="BX30" s="8">
        <f t="shared" ca="1" si="25"/>
        <v>701</v>
      </c>
      <c r="BY30" s="5" t="str">
        <f t="shared" ca="1" si="26"/>
        <v>VIGENTE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39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39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39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39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39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39">
        <v>46129</v>
      </c>
      <c r="FN30" s="4">
        <f>DATE(YEAR(FM30)+2,MONTH(FM30),DAY(FM30)-1)</f>
        <v>46859</v>
      </c>
      <c r="FO30" s="8">
        <f t="shared" ca="1" si="67"/>
        <v>714</v>
      </c>
      <c r="FP30" s="5" t="str">
        <f t="shared" ca="1" si="68"/>
        <v>VIGENTE</v>
      </c>
      <c r="FQ30" s="3"/>
      <c r="FR30" s="39">
        <v>46132</v>
      </c>
      <c r="FS30" s="4">
        <f t="shared" si="190"/>
        <v>46862</v>
      </c>
      <c r="FT30" s="8">
        <f t="shared" ca="1" si="69"/>
        <v>717</v>
      </c>
      <c r="FU30" s="5" t="str">
        <f t="shared" ca="1" si="70"/>
        <v>VIGENTE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780</v>
      </c>
      <c r="JD30" s="3"/>
      <c r="JE30" s="4"/>
      <c r="JF30" s="8"/>
      <c r="JG30" s="5"/>
      <c r="JH30" s="3" t="s">
        <v>780</v>
      </c>
      <c r="JI30" s="6"/>
      <c r="JJ30" s="6"/>
      <c r="JK30" s="6"/>
      <c r="JL30" s="5"/>
      <c r="JM30" s="6" t="s">
        <v>780</v>
      </c>
      <c r="JN30" s="6"/>
      <c r="JO30" s="6"/>
      <c r="JP30" s="6"/>
      <c r="JQ30" s="5"/>
      <c r="JR30" s="6" t="s">
        <v>780</v>
      </c>
      <c r="JS30" s="6"/>
      <c r="JT30" s="6"/>
      <c r="JU30" s="6"/>
      <c r="JV30" s="5"/>
      <c r="JW30" s="6" t="s">
        <v>780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hidden="1" thickTop="1" thickBot="1" x14ac:dyDescent="0.35">
      <c r="A31" s="26">
        <v>28</v>
      </c>
      <c r="B31" s="27">
        <v>1593</v>
      </c>
      <c r="C31" s="28" t="s">
        <v>156</v>
      </c>
      <c r="D31" s="29" t="s">
        <v>157</v>
      </c>
      <c r="E31" s="30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39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39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39">
        <v>46123</v>
      </c>
      <c r="DF31" s="4">
        <f t="shared" si="188"/>
        <v>46853</v>
      </c>
      <c r="DG31" s="8">
        <f t="shared" ca="1" si="40"/>
        <v>708</v>
      </c>
      <c r="DH31" s="5" t="str">
        <f t="shared" ca="1" si="41"/>
        <v>VIGENTE</v>
      </c>
      <c r="DI31" s="3"/>
      <c r="DJ31" s="39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39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39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39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39">
        <v>46122</v>
      </c>
      <c r="FS31" s="4">
        <f t="shared" si="190"/>
        <v>46852</v>
      </c>
      <c r="FT31" s="8">
        <f t="shared" ca="1" si="69"/>
        <v>707</v>
      </c>
      <c r="FU31" s="5" t="str">
        <f t="shared" ca="1" si="70"/>
        <v>VIGENTE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780</v>
      </c>
      <c r="JD31" s="3"/>
      <c r="JE31" s="4"/>
      <c r="JF31" s="8"/>
      <c r="JG31" s="5"/>
      <c r="JH31" s="3" t="s">
        <v>780</v>
      </c>
      <c r="JI31" s="6"/>
      <c r="JJ31" s="6"/>
      <c r="JK31" s="6"/>
      <c r="JL31" s="5"/>
      <c r="JM31" s="6" t="s">
        <v>780</v>
      </c>
      <c r="JN31" s="6"/>
      <c r="JO31" s="6"/>
      <c r="JP31" s="6"/>
      <c r="JQ31" s="5"/>
      <c r="JR31" s="6" t="s">
        <v>780</v>
      </c>
      <c r="JS31" s="6"/>
      <c r="JT31" s="6"/>
      <c r="JU31" s="6"/>
      <c r="JV31" s="5"/>
      <c r="JW31" s="6" t="s">
        <v>780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hidden="1" thickTop="1" thickBot="1" x14ac:dyDescent="0.35">
      <c r="A32" s="26">
        <v>29</v>
      </c>
      <c r="B32" s="27">
        <v>1157</v>
      </c>
      <c r="C32" s="28" t="s">
        <v>771</v>
      </c>
      <c r="D32" s="29" t="s">
        <v>64</v>
      </c>
      <c r="E32" s="30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39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46134</v>
      </c>
      <c r="CL32" s="4">
        <f>DATE(YEAR(CK32)+2,MONTH(CK32),DAY(CK32)-1)</f>
        <v>46864</v>
      </c>
      <c r="CM32" s="8">
        <f t="shared" ca="1" si="32"/>
        <v>719</v>
      </c>
      <c r="CN32" s="5" t="str">
        <f t="shared" ca="1" si="33"/>
        <v>VIGENTE</v>
      </c>
      <c r="CO32" s="3"/>
      <c r="CP32" s="39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39">
        <v>46123</v>
      </c>
      <c r="DF32" s="4">
        <f t="shared" si="188"/>
        <v>46853</v>
      </c>
      <c r="DG32" s="8">
        <f t="shared" ca="1" si="40"/>
        <v>708</v>
      </c>
      <c r="DH32" s="5" t="str">
        <f t="shared" ca="1" si="41"/>
        <v>VIGENTE</v>
      </c>
      <c r="DI32" s="3"/>
      <c r="DJ32" s="39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46128</v>
      </c>
      <c r="DP32" s="4">
        <f>DATE(YEAR(DO32)+2,MONTH(DO32),DAY(DO32)-1)</f>
        <v>46858</v>
      </c>
      <c r="DQ32" s="8">
        <f t="shared" ca="1" si="46"/>
        <v>713</v>
      </c>
      <c r="DR32" s="5" t="str">
        <f t="shared" ca="1" si="47"/>
        <v>VIGENTE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39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39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39">
        <v>46129</v>
      </c>
      <c r="FN32" s="4">
        <f>DATE(YEAR(FM32)+2,MONTH(FM32),DAY(FM32)-1)</f>
        <v>46859</v>
      </c>
      <c r="FO32" s="8">
        <f t="shared" ca="1" si="67"/>
        <v>714</v>
      </c>
      <c r="FP32" s="5" t="str">
        <f t="shared" ca="1" si="68"/>
        <v>VIGENTE</v>
      </c>
      <c r="FQ32" s="3"/>
      <c r="FR32" s="39">
        <v>46122</v>
      </c>
      <c r="FS32" s="4">
        <f t="shared" si="190"/>
        <v>46852</v>
      </c>
      <c r="FT32" s="8">
        <f t="shared" ca="1" si="69"/>
        <v>707</v>
      </c>
      <c r="FU32" s="5" t="str">
        <f t="shared" ca="1" si="70"/>
        <v>VIGENTE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780</v>
      </c>
      <c r="JD32" s="3"/>
      <c r="JE32" s="4"/>
      <c r="JF32" s="8"/>
      <c r="JG32" s="5"/>
      <c r="JH32" s="3" t="s">
        <v>780</v>
      </c>
      <c r="JI32" s="6"/>
      <c r="JJ32" s="6"/>
      <c r="JK32" s="6"/>
      <c r="JL32" s="5"/>
      <c r="JM32" s="6" t="s">
        <v>780</v>
      </c>
      <c r="JN32" s="6"/>
      <c r="JO32" s="6"/>
      <c r="JP32" s="6"/>
      <c r="JQ32" s="5"/>
      <c r="JR32" s="6" t="s">
        <v>780</v>
      </c>
      <c r="JS32" s="6"/>
      <c r="JT32" s="6"/>
      <c r="JU32" s="6"/>
      <c r="JV32" s="5"/>
      <c r="JW32" s="6" t="s">
        <v>780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hidden="1" thickTop="1" thickBot="1" x14ac:dyDescent="0.35">
      <c r="A33" s="26">
        <v>30</v>
      </c>
      <c r="B33" s="27">
        <v>698</v>
      </c>
      <c r="C33" s="28" t="s">
        <v>753</v>
      </c>
      <c r="D33" s="29" t="s">
        <v>68</v>
      </c>
      <c r="E33" s="30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39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39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39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39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39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39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39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39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780</v>
      </c>
      <c r="JD33" s="3"/>
      <c r="JE33" s="4"/>
      <c r="JF33" s="8"/>
      <c r="JG33" s="5"/>
      <c r="JH33" s="3" t="s">
        <v>780</v>
      </c>
      <c r="JI33" s="6"/>
      <c r="JJ33" s="6"/>
      <c r="JK33" s="6"/>
      <c r="JL33" s="5"/>
      <c r="JM33" s="6" t="s">
        <v>780</v>
      </c>
      <c r="JN33" s="6"/>
      <c r="JO33" s="6"/>
      <c r="JP33" s="6"/>
      <c r="JQ33" s="5"/>
      <c r="JR33" s="6" t="s">
        <v>780</v>
      </c>
      <c r="JS33" s="6"/>
      <c r="JT33" s="6"/>
      <c r="JU33" s="6"/>
      <c r="JV33" s="5"/>
      <c r="JW33" s="6" t="s">
        <v>780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hidden="1" thickTop="1" thickBot="1" x14ac:dyDescent="0.35">
      <c r="A34" s="26">
        <v>31</v>
      </c>
      <c r="B34" s="27">
        <v>1574</v>
      </c>
      <c r="C34" s="28" t="s">
        <v>167</v>
      </c>
      <c r="D34" s="29" t="s">
        <v>68</v>
      </c>
      <c r="E34" s="30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39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39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39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39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39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39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39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39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780</v>
      </c>
      <c r="JD34" s="3"/>
      <c r="JE34" s="4"/>
      <c r="JF34" s="8"/>
      <c r="JG34" s="5"/>
      <c r="JH34" s="3" t="s">
        <v>780</v>
      </c>
      <c r="JI34" s="6"/>
      <c r="JJ34" s="6"/>
      <c r="JK34" s="6"/>
      <c r="JL34" s="5"/>
      <c r="JM34" s="6" t="s">
        <v>780</v>
      </c>
      <c r="JN34" s="6"/>
      <c r="JO34" s="6"/>
      <c r="JP34" s="6"/>
      <c r="JQ34" s="5"/>
      <c r="JR34" s="6" t="s">
        <v>780</v>
      </c>
      <c r="JS34" s="6"/>
      <c r="JT34" s="6"/>
      <c r="JU34" s="6"/>
      <c r="JV34" s="5"/>
      <c r="JW34" s="6" t="s">
        <v>780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hidden="1" thickTop="1" thickBot="1" x14ac:dyDescent="0.35">
      <c r="A35" s="26">
        <v>32</v>
      </c>
      <c r="B35" s="31">
        <v>1709</v>
      </c>
      <c r="C35" s="28" t="s">
        <v>170</v>
      </c>
      <c r="D35" s="29" t="s">
        <v>64</v>
      </c>
      <c r="E35" s="30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39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39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39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39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39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39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39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39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780</v>
      </c>
      <c r="JD35" s="3"/>
      <c r="JE35" s="4"/>
      <c r="JF35" s="8"/>
      <c r="JG35" s="5"/>
      <c r="JH35" s="3" t="s">
        <v>780</v>
      </c>
      <c r="JI35" s="6"/>
      <c r="JJ35" s="6"/>
      <c r="JK35" s="6"/>
      <c r="JL35" s="5"/>
      <c r="JM35" s="6" t="s">
        <v>780</v>
      </c>
      <c r="JN35" s="6"/>
      <c r="JO35" s="6"/>
      <c r="JP35" s="6"/>
      <c r="JQ35" s="5"/>
      <c r="JR35" s="6" t="s">
        <v>780</v>
      </c>
      <c r="JS35" s="6"/>
      <c r="JT35" s="6"/>
      <c r="JU35" s="6"/>
      <c r="JV35" s="5"/>
      <c r="JW35" s="6" t="s">
        <v>780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hidden="1" thickTop="1" thickBot="1" x14ac:dyDescent="0.35">
      <c r="A36" s="26">
        <v>33</v>
      </c>
      <c r="B36" s="31">
        <v>1671</v>
      </c>
      <c r="C36" s="28" t="s">
        <v>173</v>
      </c>
      <c r="D36" s="29" t="s">
        <v>113</v>
      </c>
      <c r="E36" s="30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39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39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39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39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39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39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39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39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780</v>
      </c>
      <c r="JD36" s="3"/>
      <c r="JE36" s="4"/>
      <c r="JF36" s="8"/>
      <c r="JG36" s="5"/>
      <c r="JH36" s="3" t="s">
        <v>780</v>
      </c>
      <c r="JI36" s="6"/>
      <c r="JJ36" s="6"/>
      <c r="JK36" s="6"/>
      <c r="JL36" s="5"/>
      <c r="JM36" s="6" t="s">
        <v>780</v>
      </c>
      <c r="JN36" s="6"/>
      <c r="JO36" s="6"/>
      <c r="JP36" s="6"/>
      <c r="JQ36" s="5"/>
      <c r="JR36" s="6" t="s">
        <v>780</v>
      </c>
      <c r="JS36" s="6"/>
      <c r="JT36" s="6"/>
      <c r="JU36" s="6"/>
      <c r="JV36" s="5"/>
      <c r="JW36" s="6" t="s">
        <v>780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hidden="1" thickTop="1" thickBot="1" x14ac:dyDescent="0.35">
      <c r="A37" s="26">
        <v>34</v>
      </c>
      <c r="B37" s="27">
        <v>1387</v>
      </c>
      <c r="C37" s="28" t="s">
        <v>176</v>
      </c>
      <c r="D37" s="29" t="s">
        <v>64</v>
      </c>
      <c r="E37" s="30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39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39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39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39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39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46123</v>
      </c>
      <c r="EJ37" s="4">
        <f t="shared" si="131"/>
        <v>46488</v>
      </c>
      <c r="EK37" s="8">
        <f t="shared" ca="1" si="54"/>
        <v>343</v>
      </c>
      <c r="EL37" s="5" t="str">
        <f t="shared" ca="1" si="55"/>
        <v>VIGENTE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39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39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39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780</v>
      </c>
      <c r="JD37" s="3"/>
      <c r="JE37" s="4"/>
      <c r="JF37" s="8"/>
      <c r="JG37" s="5"/>
      <c r="JH37" s="3" t="s">
        <v>780</v>
      </c>
      <c r="JI37" s="6"/>
      <c r="JJ37" s="6"/>
      <c r="JK37" s="6"/>
      <c r="JL37" s="5"/>
      <c r="JM37" s="6" t="s">
        <v>780</v>
      </c>
      <c r="JN37" s="6"/>
      <c r="JO37" s="6"/>
      <c r="JP37" s="6"/>
      <c r="JQ37" s="5"/>
      <c r="JR37" s="6" t="s">
        <v>780</v>
      </c>
      <c r="JS37" s="6"/>
      <c r="JT37" s="6"/>
      <c r="JU37" s="6"/>
      <c r="JV37" s="5"/>
      <c r="JW37" s="6" t="s">
        <v>780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hidden="1" thickTop="1" thickBot="1" x14ac:dyDescent="0.35">
      <c r="A38" s="26">
        <v>35</v>
      </c>
      <c r="B38" s="27">
        <v>1602</v>
      </c>
      <c r="C38" s="28" t="s">
        <v>179</v>
      </c>
      <c r="D38" s="29" t="s">
        <v>64</v>
      </c>
      <c r="E38" s="30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39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46135</v>
      </c>
      <c r="BW38" s="4">
        <f t="shared" ref="BW38:BW43" si="211">DATE(YEAR(BV38)+2,MONTH(BV38),DAY(BV38)-1)</f>
        <v>46865</v>
      </c>
      <c r="BX38" s="8">
        <f t="shared" ca="1" si="25"/>
        <v>720</v>
      </c>
      <c r="BY38" s="5" t="str">
        <f t="shared" ca="1" si="26"/>
        <v>VIGENTE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46134</v>
      </c>
      <c r="CL38" s="4">
        <f>DATE(YEAR(CK38)+2,MONTH(CK38),DAY(CK38)-1)</f>
        <v>46864</v>
      </c>
      <c r="CM38" s="8">
        <f t="shared" ca="1" si="32"/>
        <v>719</v>
      </c>
      <c r="CN38" s="5" t="str">
        <f t="shared" ca="1" si="33"/>
        <v>VIGENTE</v>
      </c>
      <c r="CO38" s="3"/>
      <c r="CP38" s="39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39">
        <v>46123</v>
      </c>
      <c r="DF38" s="4">
        <f>DATE(YEAR(DE38)+2,MONTH(DE38),DAY(DE38)-1)</f>
        <v>46853</v>
      </c>
      <c r="DG38" s="8">
        <f t="shared" ca="1" si="40"/>
        <v>708</v>
      </c>
      <c r="DH38" s="5" t="str">
        <f t="shared" ca="1" si="41"/>
        <v>VIGENTE</v>
      </c>
      <c r="DI38" s="3"/>
      <c r="DJ38" s="39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39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39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39">
        <v>46129</v>
      </c>
      <c r="FN38" s="4">
        <f>DATE(YEAR(FM38)+2,MONTH(FM38),DAY(FM38)-1)</f>
        <v>46859</v>
      </c>
      <c r="FO38" s="8">
        <f t="shared" ca="1" si="67"/>
        <v>714</v>
      </c>
      <c r="FP38" s="5" t="str">
        <f t="shared" ca="1" si="68"/>
        <v>VIGENTE</v>
      </c>
      <c r="FQ38" s="3"/>
      <c r="FR38" s="39">
        <v>46122</v>
      </c>
      <c r="FS38" s="4">
        <f>DATE(YEAR(FR38)+2,MONTH(FR38),DAY(FR38)-1)</f>
        <v>46852</v>
      </c>
      <c r="FT38" s="8">
        <f t="shared" ca="1" si="69"/>
        <v>707</v>
      </c>
      <c r="FU38" s="5" t="str">
        <f t="shared" ca="1" si="70"/>
        <v>VIGENTE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780</v>
      </c>
      <c r="JD38" s="3"/>
      <c r="JE38" s="4"/>
      <c r="JF38" s="8"/>
      <c r="JG38" s="5"/>
      <c r="JH38" s="3" t="s">
        <v>780</v>
      </c>
      <c r="JI38" s="6"/>
      <c r="JJ38" s="6"/>
      <c r="JK38" s="6"/>
      <c r="JL38" s="5"/>
      <c r="JM38" s="6" t="s">
        <v>780</v>
      </c>
      <c r="JN38" s="6"/>
      <c r="JO38" s="6"/>
      <c r="JP38" s="6"/>
      <c r="JQ38" s="5"/>
      <c r="JR38" s="6" t="s">
        <v>780</v>
      </c>
      <c r="JS38" s="6"/>
      <c r="JT38" s="6"/>
      <c r="JU38" s="6"/>
      <c r="JV38" s="5"/>
      <c r="JW38" s="6" t="s">
        <v>780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hidden="1" thickTop="1" thickBot="1" x14ac:dyDescent="0.35">
      <c r="A39" s="26">
        <v>36</v>
      </c>
      <c r="B39" s="27">
        <v>1611</v>
      </c>
      <c r="C39" s="28" t="s">
        <v>182</v>
      </c>
      <c r="D39" s="29" t="s">
        <v>64</v>
      </c>
      <c r="E39" s="30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39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39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39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39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39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39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39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39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780</v>
      </c>
      <c r="JD39" s="3"/>
      <c r="JE39" s="4"/>
      <c r="JF39" s="8"/>
      <c r="JG39" s="5"/>
      <c r="JH39" s="3" t="s">
        <v>780</v>
      </c>
      <c r="JI39" s="6"/>
      <c r="JJ39" s="6"/>
      <c r="JK39" s="6"/>
      <c r="JL39" s="5"/>
      <c r="JM39" s="6" t="s">
        <v>780</v>
      </c>
      <c r="JN39" s="6"/>
      <c r="JO39" s="6"/>
      <c r="JP39" s="6"/>
      <c r="JQ39" s="5"/>
      <c r="JR39" s="6" t="s">
        <v>780</v>
      </c>
      <c r="JS39" s="6"/>
      <c r="JT39" s="6"/>
      <c r="JU39" s="6"/>
      <c r="JV39" s="5"/>
      <c r="JW39" s="6" t="s">
        <v>780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hidden="1" thickTop="1" thickBot="1" x14ac:dyDescent="0.35">
      <c r="A40" s="26">
        <v>37</v>
      </c>
      <c r="B40" s="27">
        <v>837</v>
      </c>
      <c r="C40" s="28" t="s">
        <v>754</v>
      </c>
      <c r="D40" s="29" t="s">
        <v>68</v>
      </c>
      <c r="E40" s="30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46133</v>
      </c>
      <c r="BM40" s="4">
        <f>DATE(YEAR(BL40)+2,MONTH(BL40),DAY(BL40))</f>
        <v>46864</v>
      </c>
      <c r="BN40" s="8">
        <f t="shared" ca="1" si="21"/>
        <v>719</v>
      </c>
      <c r="BO40" s="5" t="str">
        <f t="shared" ca="1" si="22"/>
        <v>VIGENTE</v>
      </c>
      <c r="BP40" s="3"/>
      <c r="BQ40" s="39">
        <v>46120</v>
      </c>
      <c r="BR40" s="4">
        <f>DATE(YEAR(BQ40)+2,MONTH(BQ40),DAY(BQ40)-1)</f>
        <v>46850</v>
      </c>
      <c r="BS40" s="8">
        <f t="shared" ca="1" si="23"/>
        <v>705</v>
      </c>
      <c r="BT40" s="5" t="str">
        <f t="shared" ca="1" si="24"/>
        <v>VIGENTE</v>
      </c>
      <c r="BU40" s="3"/>
      <c r="BV40" s="4">
        <v>46116</v>
      </c>
      <c r="BW40" s="4">
        <f t="shared" si="211"/>
        <v>46846</v>
      </c>
      <c r="BX40" s="8">
        <f t="shared" ca="1" si="25"/>
        <v>701</v>
      </c>
      <c r="BY40" s="5" t="str">
        <f t="shared" ca="1" si="26"/>
        <v>VIGENTE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39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39">
        <v>46123</v>
      </c>
      <c r="DF40" s="4">
        <f>DATE(YEAR(DE40)+2,MONTH(DE40),DAY(DE40)-1)</f>
        <v>46853</v>
      </c>
      <c r="DG40" s="8">
        <f t="shared" ca="1" si="40"/>
        <v>708</v>
      </c>
      <c r="DH40" s="5" t="str">
        <f t="shared" ca="1" si="41"/>
        <v>VIGENTE</v>
      </c>
      <c r="DI40" s="3"/>
      <c r="DJ40" s="39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39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46135</v>
      </c>
      <c r="EO40" s="4">
        <f>DATE(YEAR(EN40)+2,MONTH(EN40),DAY(EN40)-1)</f>
        <v>46865</v>
      </c>
      <c r="EP40" s="8">
        <f t="shared" ca="1" si="56"/>
        <v>720</v>
      </c>
      <c r="EQ40" s="5" t="str">
        <f t="shared" ca="1" si="57"/>
        <v>VIGENTE</v>
      </c>
      <c r="ER40" s="3"/>
      <c r="ES40" s="39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39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39">
        <v>46132</v>
      </c>
      <c r="FS40" s="4">
        <f>DATE(YEAR(FR40)+2,MONTH(FR40),DAY(FR40)-1)</f>
        <v>46862</v>
      </c>
      <c r="FT40" s="8">
        <f t="shared" ca="1" si="69"/>
        <v>717</v>
      </c>
      <c r="FU40" s="5" t="str">
        <f t="shared" ca="1" si="70"/>
        <v>VIGENTE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780</v>
      </c>
      <c r="JD40" s="3"/>
      <c r="JE40" s="4"/>
      <c r="JF40" s="8"/>
      <c r="JG40" s="5"/>
      <c r="JH40" s="3" t="s">
        <v>780</v>
      </c>
      <c r="JI40" s="6"/>
      <c r="JJ40" s="6"/>
      <c r="JK40" s="6"/>
      <c r="JL40" s="5"/>
      <c r="JM40" s="6" t="s">
        <v>780</v>
      </c>
      <c r="JN40" s="6"/>
      <c r="JO40" s="6"/>
      <c r="JP40" s="6"/>
      <c r="JQ40" s="5"/>
      <c r="JR40" s="6" t="s">
        <v>780</v>
      </c>
      <c r="JS40" s="6"/>
      <c r="JT40" s="6"/>
      <c r="JU40" s="6"/>
      <c r="JV40" s="5"/>
      <c r="JW40" s="6" t="s">
        <v>780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hidden="1" thickTop="1" thickBot="1" x14ac:dyDescent="0.35">
      <c r="A41" s="26">
        <v>38</v>
      </c>
      <c r="B41" s="27">
        <v>295</v>
      </c>
      <c r="C41" s="28" t="s">
        <v>188</v>
      </c>
      <c r="D41" s="29" t="s">
        <v>68</v>
      </c>
      <c r="E41" s="30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39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46116</v>
      </c>
      <c r="BW41" s="4">
        <f t="shared" si="211"/>
        <v>46846</v>
      </c>
      <c r="BX41" s="8">
        <f t="shared" ca="1" si="25"/>
        <v>701</v>
      </c>
      <c r="BY41" s="5" t="str">
        <f t="shared" ca="1" si="26"/>
        <v>VIGENTE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39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39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39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39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39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39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39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780</v>
      </c>
      <c r="JD41" s="3"/>
      <c r="JE41" s="4"/>
      <c r="JF41" s="8"/>
      <c r="JG41" s="5"/>
      <c r="JH41" s="3" t="s">
        <v>780</v>
      </c>
      <c r="JI41" s="6"/>
      <c r="JJ41" s="6"/>
      <c r="JK41" s="6"/>
      <c r="JL41" s="5"/>
      <c r="JM41" s="6" t="s">
        <v>780</v>
      </c>
      <c r="JN41" s="6"/>
      <c r="JO41" s="6"/>
      <c r="JP41" s="6"/>
      <c r="JQ41" s="5"/>
      <c r="JR41" s="6" t="s">
        <v>780</v>
      </c>
      <c r="JS41" s="6"/>
      <c r="JT41" s="6"/>
      <c r="JU41" s="6"/>
      <c r="JV41" s="5"/>
      <c r="JW41" s="6" t="s">
        <v>780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hidden="1" thickTop="1" thickBot="1" x14ac:dyDescent="0.35">
      <c r="A42" s="26">
        <v>39</v>
      </c>
      <c r="B42" s="27">
        <v>1130</v>
      </c>
      <c r="C42" s="28" t="s">
        <v>755</v>
      </c>
      <c r="D42" s="29" t="s">
        <v>68</v>
      </c>
      <c r="E42" s="30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39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39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39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39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39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39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39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39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780</v>
      </c>
      <c r="JD42" s="3"/>
      <c r="JE42" s="4"/>
      <c r="JF42" s="8"/>
      <c r="JG42" s="5"/>
      <c r="JH42" s="3" t="s">
        <v>780</v>
      </c>
      <c r="JI42" s="6"/>
      <c r="JJ42" s="6"/>
      <c r="JK42" s="6"/>
      <c r="JL42" s="5"/>
      <c r="JM42" s="6" t="s">
        <v>780</v>
      </c>
      <c r="JN42" s="6"/>
      <c r="JO42" s="6"/>
      <c r="JP42" s="6"/>
      <c r="JQ42" s="5"/>
      <c r="JR42" s="6" t="s">
        <v>780</v>
      </c>
      <c r="JS42" s="6"/>
      <c r="JT42" s="6"/>
      <c r="JU42" s="6"/>
      <c r="JV42" s="5"/>
      <c r="JW42" s="6" t="s">
        <v>780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hidden="1" thickTop="1" thickBot="1" x14ac:dyDescent="0.35">
      <c r="A43" s="26">
        <v>40</v>
      </c>
      <c r="B43" s="27">
        <v>937</v>
      </c>
      <c r="C43" s="28" t="s">
        <v>195</v>
      </c>
      <c r="D43" s="29" t="s">
        <v>68</v>
      </c>
      <c r="E43" s="30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39">
        <v>46120</v>
      </c>
      <c r="BR43" s="4">
        <f>DATE(YEAR(BQ43)+2,MONTH(BQ43),DAY(BQ43)-1)</f>
        <v>46850</v>
      </c>
      <c r="BS43" s="8">
        <f t="shared" ca="1" si="23"/>
        <v>705</v>
      </c>
      <c r="BT43" s="5" t="str">
        <f t="shared" ca="1" si="24"/>
        <v>VIGENTE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39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39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39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39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46135</v>
      </c>
      <c r="EO43" s="4">
        <f>DATE(YEAR(EN43)+2,MONTH(EN43),DAY(EN43)-1)</f>
        <v>46865</v>
      </c>
      <c r="EP43" s="8">
        <f t="shared" ca="1" si="56"/>
        <v>720</v>
      </c>
      <c r="EQ43" s="5" t="str">
        <f t="shared" ca="1" si="57"/>
        <v>VIGENTE</v>
      </c>
      <c r="ER43" s="4"/>
      <c r="ES43" s="39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39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39">
        <v>46122</v>
      </c>
      <c r="FS43" s="4">
        <f>DATE(YEAR(FR43)+2,MONTH(FR43),DAY(FR43)-1)</f>
        <v>46852</v>
      </c>
      <c r="FT43" s="8">
        <f t="shared" ca="1" si="69"/>
        <v>707</v>
      </c>
      <c r="FU43" s="5" t="str">
        <f t="shared" ca="1" si="70"/>
        <v>VIGENTE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780</v>
      </c>
      <c r="JD43" s="3"/>
      <c r="JE43" s="4"/>
      <c r="JF43" s="8"/>
      <c r="JG43" s="5"/>
      <c r="JH43" s="3" t="s">
        <v>780</v>
      </c>
      <c r="JI43" s="6"/>
      <c r="JJ43" s="6"/>
      <c r="JK43" s="6"/>
      <c r="JL43" s="5"/>
      <c r="JM43" s="6" t="s">
        <v>780</v>
      </c>
      <c r="JN43" s="6"/>
      <c r="JO43" s="6"/>
      <c r="JP43" s="6"/>
      <c r="JQ43" s="5"/>
      <c r="JR43" s="6" t="s">
        <v>780</v>
      </c>
      <c r="JS43" s="6"/>
      <c r="JT43" s="6"/>
      <c r="JU43" s="6"/>
      <c r="JV43" s="5"/>
      <c r="JW43" s="6" t="s">
        <v>780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hidden="1" thickTop="1" thickBot="1" x14ac:dyDescent="0.35">
      <c r="A44" s="26">
        <v>41</v>
      </c>
      <c r="B44" s="27">
        <v>376</v>
      </c>
      <c r="C44" s="28" t="s">
        <v>198</v>
      </c>
      <c r="D44" s="29" t="s">
        <v>113</v>
      </c>
      <c r="E44" s="30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39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39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39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39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39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39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39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39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780</v>
      </c>
      <c r="JD44" s="3"/>
      <c r="JE44" s="4"/>
      <c r="JF44" s="8"/>
      <c r="JG44" s="5"/>
      <c r="JH44" s="3" t="s">
        <v>780</v>
      </c>
      <c r="JI44" s="6"/>
      <c r="JJ44" s="6"/>
      <c r="JK44" s="6"/>
      <c r="JL44" s="5"/>
      <c r="JM44" s="6" t="s">
        <v>780</v>
      </c>
      <c r="JN44" s="6"/>
      <c r="JO44" s="6"/>
      <c r="JP44" s="6"/>
      <c r="JQ44" s="5"/>
      <c r="JR44" s="6" t="s">
        <v>780</v>
      </c>
      <c r="JS44" s="6"/>
      <c r="JT44" s="6"/>
      <c r="JU44" s="6"/>
      <c r="JV44" s="5"/>
      <c r="JW44" s="6" t="s">
        <v>780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hidden="1" thickTop="1" thickBot="1" x14ac:dyDescent="0.35">
      <c r="A45" s="26">
        <v>42</v>
      </c>
      <c r="B45" s="31">
        <v>1723</v>
      </c>
      <c r="C45" s="28" t="s">
        <v>200</v>
      </c>
      <c r="D45" s="29" t="s">
        <v>68</v>
      </c>
      <c r="E45" s="30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39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46119</v>
      </c>
      <c r="CB45" s="4">
        <f>DATE(YEAR(CA45)+2,MONTH(CA45),DAY(CA45)-1)</f>
        <v>46849</v>
      </c>
      <c r="CC45" s="8">
        <f t="shared" ca="1" si="27"/>
        <v>704</v>
      </c>
      <c r="CD45" s="5" t="str">
        <f t="shared" ca="1" si="28"/>
        <v>VIGENTE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39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39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46112</v>
      </c>
      <c r="EE45" s="4">
        <f>DATE(YEAR(ED45)+2,MONTH(ED45),DAY(ED45)-1)</f>
        <v>46842</v>
      </c>
      <c r="EF45" s="8">
        <f t="shared" ca="1" si="52"/>
        <v>697</v>
      </c>
      <c r="EG45" s="5" t="str">
        <f t="shared" ca="1" si="53"/>
        <v>VIGENTE</v>
      </c>
      <c r="EH45" s="4"/>
      <c r="EI45" s="4">
        <v>46115</v>
      </c>
      <c r="EJ45" s="4">
        <f t="shared" si="131"/>
        <v>46480</v>
      </c>
      <c r="EK45" s="8">
        <f t="shared" ca="1" si="54"/>
        <v>335</v>
      </c>
      <c r="EL45" s="5" t="str">
        <f t="shared" ca="1" si="55"/>
        <v>VIGENTE</v>
      </c>
      <c r="EM45" s="4"/>
      <c r="EN45" s="4">
        <v>46135</v>
      </c>
      <c r="EO45" s="4">
        <f>DATE(YEAR(EN45)+2,MONTH(EN45),DAY(EN45)-1)</f>
        <v>46865</v>
      </c>
      <c r="EP45" s="8">
        <f t="shared" ca="1" si="56"/>
        <v>720</v>
      </c>
      <c r="EQ45" s="5" t="str">
        <f t="shared" ca="1" si="57"/>
        <v>VIGENTE</v>
      </c>
      <c r="ER45" s="6"/>
      <c r="ES45" s="39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39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39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780</v>
      </c>
      <c r="JD45" s="3"/>
      <c r="JE45" s="4"/>
      <c r="JF45" s="8"/>
      <c r="JG45" s="5"/>
      <c r="JH45" s="3" t="s">
        <v>780</v>
      </c>
      <c r="JI45" s="6"/>
      <c r="JJ45" s="6"/>
      <c r="JK45" s="6"/>
      <c r="JL45" s="5"/>
      <c r="JM45" s="6" t="s">
        <v>780</v>
      </c>
      <c r="JN45" s="6"/>
      <c r="JO45" s="6"/>
      <c r="JP45" s="6"/>
      <c r="JQ45" s="5"/>
      <c r="JR45" s="6" t="s">
        <v>780</v>
      </c>
      <c r="JS45" s="6"/>
      <c r="JT45" s="6"/>
      <c r="JU45" s="6"/>
      <c r="JV45" s="5"/>
      <c r="JW45" s="6" t="s">
        <v>780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hidden="1" thickTop="1" thickBot="1" x14ac:dyDescent="0.35">
      <c r="A46" s="26">
        <v>43</v>
      </c>
      <c r="B46" s="27">
        <v>869</v>
      </c>
      <c r="C46" s="28" t="s">
        <v>203</v>
      </c>
      <c r="D46" s="29" t="s">
        <v>68</v>
      </c>
      <c r="E46" s="30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 t="shared" ref="BM46:BM52" si="223"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39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46134</v>
      </c>
      <c r="CL46" s="4">
        <f>DATE(YEAR(CK46)+2,MONTH(CK46),DAY(CK46)-1)</f>
        <v>46864</v>
      </c>
      <c r="CM46" s="8">
        <f t="shared" ca="1" si="32"/>
        <v>719</v>
      </c>
      <c r="CN46" s="5" t="str">
        <f t="shared" ca="1" si="33"/>
        <v>VIGENTE</v>
      </c>
      <c r="CO46" s="3"/>
      <c r="CP46" s="39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39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39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39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46123</v>
      </c>
      <c r="EJ46" s="4">
        <f t="shared" si="131"/>
        <v>46488</v>
      </c>
      <c r="EK46" s="8">
        <f t="shared" ca="1" si="54"/>
        <v>343</v>
      </c>
      <c r="EL46" s="5" t="str">
        <f t="shared" ca="1" si="55"/>
        <v>VIGENTE</v>
      </c>
      <c r="EM46" s="3"/>
      <c r="EN46" s="4">
        <v>46135</v>
      </c>
      <c r="EO46" s="4">
        <f>DATE(YEAR(EN46)+2,MONTH(EN46),DAY(EN46)-1)</f>
        <v>46865</v>
      </c>
      <c r="EP46" s="8">
        <f t="shared" ca="1" si="56"/>
        <v>720</v>
      </c>
      <c r="EQ46" s="5" t="str">
        <f t="shared" ca="1" si="57"/>
        <v>VIGENTE</v>
      </c>
      <c r="ER46" s="3"/>
      <c r="ES46" s="39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39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39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4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780</v>
      </c>
      <c r="JD46" s="3"/>
      <c r="JE46" s="4"/>
      <c r="JF46" s="8"/>
      <c r="JG46" s="5"/>
      <c r="JH46" s="3" t="s">
        <v>780</v>
      </c>
      <c r="JI46" s="4"/>
      <c r="JJ46" s="4"/>
      <c r="JK46" s="8"/>
      <c r="JL46" s="5"/>
      <c r="JM46" s="6" t="s">
        <v>780</v>
      </c>
      <c r="JN46" s="4"/>
      <c r="JO46" s="4"/>
      <c r="JP46" s="8"/>
      <c r="JQ46" s="5"/>
      <c r="JR46" s="6" t="s">
        <v>780</v>
      </c>
      <c r="JS46" s="4"/>
      <c r="JT46" s="4"/>
      <c r="JU46" s="8"/>
      <c r="JV46" s="5"/>
      <c r="JW46" s="6" t="s">
        <v>780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hidden="1" thickTop="1" thickBot="1" x14ac:dyDescent="0.35">
      <c r="A47" s="26">
        <v>44</v>
      </c>
      <c r="B47" s="31">
        <v>1647</v>
      </c>
      <c r="C47" s="28" t="s">
        <v>206</v>
      </c>
      <c r="D47" s="29" t="s">
        <v>113</v>
      </c>
      <c r="E47" s="30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 t="shared" si="223"/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39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39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39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39">
        <v>45834</v>
      </c>
      <c r="DK47" s="4">
        <f t="shared" ref="DK47:DK54" si="225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39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39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39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39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4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780</v>
      </c>
      <c r="JD47" s="3"/>
      <c r="JE47" s="4"/>
      <c r="JF47" s="8"/>
      <c r="JG47" s="5"/>
      <c r="JH47" s="3" t="s">
        <v>780</v>
      </c>
      <c r="JI47" s="6"/>
      <c r="JJ47" s="6"/>
      <c r="JK47" s="6"/>
      <c r="JL47" s="5"/>
      <c r="JM47" s="6" t="s">
        <v>780</v>
      </c>
      <c r="JN47" s="6"/>
      <c r="JO47" s="6"/>
      <c r="JP47" s="6"/>
      <c r="JQ47" s="5"/>
      <c r="JR47" s="6" t="s">
        <v>780</v>
      </c>
      <c r="JS47" s="6"/>
      <c r="JT47" s="6"/>
      <c r="JU47" s="6"/>
      <c r="JV47" s="5"/>
      <c r="JW47" s="6" t="s">
        <v>780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hidden="1" thickTop="1" thickBot="1" x14ac:dyDescent="0.35">
      <c r="A48" s="26">
        <v>45</v>
      </c>
      <c r="B48" s="27">
        <v>1069</v>
      </c>
      <c r="C48" s="28" t="s">
        <v>208</v>
      </c>
      <c r="D48" s="29" t="s">
        <v>68</v>
      </c>
      <c r="E48" s="30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 t="shared" si="223"/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39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6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39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39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39">
        <v>45955</v>
      </c>
      <c r="DK48" s="4">
        <f t="shared" si="225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39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39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39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39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4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780</v>
      </c>
      <c r="JD48" s="3"/>
      <c r="JE48" s="4"/>
      <c r="JF48" s="8"/>
      <c r="JG48" s="5"/>
      <c r="JH48" s="3" t="s">
        <v>780</v>
      </c>
      <c r="JI48" s="6"/>
      <c r="JJ48" s="6"/>
      <c r="JK48" s="6"/>
      <c r="JL48" s="5"/>
      <c r="JM48" s="6" t="s">
        <v>780</v>
      </c>
      <c r="JN48" s="6"/>
      <c r="JO48" s="6"/>
      <c r="JP48" s="6"/>
      <c r="JQ48" s="5"/>
      <c r="JR48" s="6" t="s">
        <v>780</v>
      </c>
      <c r="JS48" s="6"/>
      <c r="JT48" s="6"/>
      <c r="JU48" s="6"/>
      <c r="JV48" s="5"/>
      <c r="JW48" s="6" t="s">
        <v>780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hidden="1" thickTop="1" thickBot="1" x14ac:dyDescent="0.35">
      <c r="A49" s="26">
        <v>46</v>
      </c>
      <c r="B49" s="31">
        <v>828</v>
      </c>
      <c r="C49" s="28" t="s">
        <v>211</v>
      </c>
      <c r="D49" s="29" t="s">
        <v>68</v>
      </c>
      <c r="E49" s="30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46118</v>
      </c>
      <c r="BC49" s="4">
        <f>DATE(YEAR(BB49)+2,MONTH(BB49),DAY(BB49)-1)</f>
        <v>46848</v>
      </c>
      <c r="BD49" s="8">
        <f t="shared" ca="1" si="17"/>
        <v>703</v>
      </c>
      <c r="BE49" s="5" t="str">
        <f t="shared" ca="1" si="18"/>
        <v>VIGENTE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 t="shared" si="223"/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39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46116</v>
      </c>
      <c r="BW49" s="4">
        <f>DATE(YEAR(BV49)+2,MONTH(BV49),DAY(BV49)-1)</f>
        <v>46846</v>
      </c>
      <c r="BX49" s="8">
        <f t="shared" ca="1" si="25"/>
        <v>701</v>
      </c>
      <c r="BY49" s="5" t="str">
        <f t="shared" ca="1" si="26"/>
        <v>VIGENTE</v>
      </c>
      <c r="BZ49" s="6"/>
      <c r="CA49" s="4">
        <v>46119</v>
      </c>
      <c r="CB49" s="4">
        <f>DATE(YEAR(CA49)+2,MONTH(CA49),DAY(CA49)-1)</f>
        <v>46849</v>
      </c>
      <c r="CC49" s="8">
        <f t="shared" ca="1" si="27"/>
        <v>704</v>
      </c>
      <c r="CD49" s="5" t="str">
        <f t="shared" ca="1" si="28"/>
        <v>VIGENTE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6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39">
        <v>46073</v>
      </c>
      <c r="DK49" s="4">
        <f t="shared" si="225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46112</v>
      </c>
      <c r="EE49" s="4">
        <f>DATE(YEAR(ED49)+2,MONTH(ED49),DAY(ED49)-1)</f>
        <v>46842</v>
      </c>
      <c r="EF49" s="8">
        <f t="shared" ca="1" si="52"/>
        <v>697</v>
      </c>
      <c r="EG49" s="5" t="str">
        <f t="shared" ca="1" si="53"/>
        <v>VIGENTE</v>
      </c>
      <c r="EH49" s="4"/>
      <c r="EI49" s="4">
        <v>46123</v>
      </c>
      <c r="EJ49" s="4">
        <f t="shared" si="131"/>
        <v>46488</v>
      </c>
      <c r="EK49" s="8">
        <f t="shared" ca="1" si="54"/>
        <v>343</v>
      </c>
      <c r="EL49" s="5" t="str">
        <f t="shared" ca="1" si="55"/>
        <v>VIGENTE</v>
      </c>
      <c r="EM49" s="4"/>
      <c r="EN49" s="4">
        <v>46135</v>
      </c>
      <c r="EO49" s="4">
        <f>DATE(YEAR(EN49)+2,MONTH(EN49),DAY(EN49)-1)</f>
        <v>46865</v>
      </c>
      <c r="EP49" s="8">
        <f t="shared" ca="1" si="56"/>
        <v>720</v>
      </c>
      <c r="EQ49" s="5" t="str">
        <f t="shared" ca="1" si="57"/>
        <v>VIGENTE</v>
      </c>
      <c r="ER49" s="6"/>
      <c r="ES49" s="39">
        <v>46130</v>
      </c>
      <c r="ET49" s="4">
        <f>DATE(YEAR(ES49)+2,MONTH(ES49),DAY(ES49)-1)</f>
        <v>46860</v>
      </c>
      <c r="EU49" s="8">
        <f t="shared" ca="1" si="58"/>
        <v>715</v>
      </c>
      <c r="EV49" s="5" t="str">
        <f t="shared" ca="1" si="59"/>
        <v>VIGENTE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39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39">
        <v>46132</v>
      </c>
      <c r="FS49" s="4">
        <f>DATE(YEAR(FR49)+2,MONTH(FR49),DAY(FR49)-1)</f>
        <v>46862</v>
      </c>
      <c r="FT49" s="8">
        <f t="shared" ca="1" si="69"/>
        <v>717</v>
      </c>
      <c r="FU49" s="5" t="str">
        <f t="shared" ca="1" si="70"/>
        <v>VIGENTE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4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780</v>
      </c>
      <c r="JD49" s="6"/>
      <c r="JE49" s="6"/>
      <c r="JF49" s="6"/>
      <c r="JG49" s="5"/>
      <c r="JH49" s="3" t="s">
        <v>780</v>
      </c>
      <c r="JI49" s="6"/>
      <c r="JJ49" s="6"/>
      <c r="JK49" s="6"/>
      <c r="JL49" s="5"/>
      <c r="JM49" s="6" t="s">
        <v>780</v>
      </c>
      <c r="JN49" s="6"/>
      <c r="JO49" s="6"/>
      <c r="JP49" s="6"/>
      <c r="JQ49" s="5"/>
      <c r="JR49" s="6" t="s">
        <v>780</v>
      </c>
      <c r="JS49" s="6"/>
      <c r="JT49" s="6"/>
      <c r="JU49" s="6"/>
      <c r="JV49" s="5"/>
      <c r="JW49" s="6" t="s">
        <v>780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hidden="1" thickTop="1" thickBot="1" x14ac:dyDescent="0.35">
      <c r="A50" s="26">
        <v>47</v>
      </c>
      <c r="B50" s="27">
        <v>613</v>
      </c>
      <c r="C50" s="28" t="s">
        <v>214</v>
      </c>
      <c r="D50" s="29" t="s">
        <v>68</v>
      </c>
      <c r="E50" s="30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46133</v>
      </c>
      <c r="BM50" s="4">
        <f t="shared" si="223"/>
        <v>46864</v>
      </c>
      <c r="BN50" s="8">
        <f t="shared" ca="1" si="21"/>
        <v>719</v>
      </c>
      <c r="BO50" s="5" t="str">
        <f t="shared" ca="1" si="22"/>
        <v>VIGENTE</v>
      </c>
      <c r="BP50" s="3"/>
      <c r="BQ50" s="39">
        <v>46120</v>
      </c>
      <c r="BR50" s="4">
        <f>DATE(YEAR(BQ50)+2,MONTH(BQ50),DAY(BQ50)-1)</f>
        <v>46850</v>
      </c>
      <c r="BS50" s="8">
        <f t="shared" ca="1" si="23"/>
        <v>705</v>
      </c>
      <c r="BT50" s="5" t="str">
        <f t="shared" ca="1" si="24"/>
        <v>VIGENTE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6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39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39">
        <v>46123</v>
      </c>
      <c r="DF50" s="4">
        <f t="shared" ref="DF50:DF61" si="227">DATE(YEAR(DE50)+2,MONTH(DE50),DAY(DE50)-1)</f>
        <v>46853</v>
      </c>
      <c r="DG50" s="8">
        <f t="shared" ca="1" si="40"/>
        <v>708</v>
      </c>
      <c r="DH50" s="5" t="str">
        <f t="shared" ca="1" si="41"/>
        <v>VIGENTE</v>
      </c>
      <c r="DI50" s="3"/>
      <c r="DJ50" s="39">
        <v>45955</v>
      </c>
      <c r="DK50" s="4">
        <f t="shared" si="225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39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46115</v>
      </c>
      <c r="EJ50" s="4">
        <f t="shared" si="131"/>
        <v>46480</v>
      </c>
      <c r="EK50" s="8">
        <f t="shared" ca="1" si="54"/>
        <v>335</v>
      </c>
      <c r="EL50" s="5" t="str">
        <f t="shared" ca="1" si="55"/>
        <v>VIGENTE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39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39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39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4"/>
        <v>VIGENTE</v>
      </c>
      <c r="HJ50" s="2"/>
      <c r="HK50" s="6"/>
      <c r="HL50" s="4"/>
      <c r="HM50" s="8"/>
      <c r="HN50" s="5" t="str">
        <f t="shared" ref="HN50:HN79" si="228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780</v>
      </c>
      <c r="JD50" s="3"/>
      <c r="JE50" s="4"/>
      <c r="JF50" s="8"/>
      <c r="JG50" s="5"/>
      <c r="JH50" s="3" t="s">
        <v>780</v>
      </c>
      <c r="JI50" s="6"/>
      <c r="JJ50" s="6"/>
      <c r="JK50" s="6"/>
      <c r="JL50" s="5"/>
      <c r="JM50" s="6" t="s">
        <v>780</v>
      </c>
      <c r="JN50" s="6"/>
      <c r="JO50" s="6"/>
      <c r="JP50" s="6"/>
      <c r="JQ50" s="5"/>
      <c r="JR50" s="6" t="s">
        <v>780</v>
      </c>
      <c r="JS50" s="6"/>
      <c r="JT50" s="6"/>
      <c r="JU50" s="6"/>
      <c r="JV50" s="5"/>
      <c r="JW50" s="6" t="s">
        <v>780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hidden="1" thickTop="1" thickBot="1" x14ac:dyDescent="0.35">
      <c r="A51" s="26">
        <v>48</v>
      </c>
      <c r="B51" s="27">
        <v>1555</v>
      </c>
      <c r="C51" s="28" t="s">
        <v>217</v>
      </c>
      <c r="D51" s="29" t="s">
        <v>64</v>
      </c>
      <c r="E51" s="30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 t="shared" si="223"/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39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6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39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39">
        <v>45689</v>
      </c>
      <c r="DF51" s="4">
        <f t="shared" si="227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39">
        <v>45975</v>
      </c>
      <c r="DK51" s="4">
        <f t="shared" si="225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39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39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39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39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4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8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780</v>
      </c>
      <c r="JD51" s="3"/>
      <c r="JE51" s="4"/>
      <c r="JF51" s="8"/>
      <c r="JG51" s="5"/>
      <c r="JH51" s="3" t="s">
        <v>780</v>
      </c>
      <c r="JI51" s="6"/>
      <c r="JJ51" s="6"/>
      <c r="JK51" s="6"/>
      <c r="JL51" s="5"/>
      <c r="JM51" s="6" t="s">
        <v>780</v>
      </c>
      <c r="JN51" s="6"/>
      <c r="JO51" s="6"/>
      <c r="JP51" s="6"/>
      <c r="JQ51" s="5"/>
      <c r="JR51" s="6" t="s">
        <v>780</v>
      </c>
      <c r="JS51" s="6"/>
      <c r="JT51" s="6"/>
      <c r="JU51" s="6"/>
      <c r="JV51" s="5"/>
      <c r="JW51" s="6" t="s">
        <v>780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hidden="1" thickTop="1" thickBot="1" x14ac:dyDescent="0.35">
      <c r="A52" s="26">
        <v>49</v>
      </c>
      <c r="B52" s="31">
        <v>1654</v>
      </c>
      <c r="C52" s="28" t="s">
        <v>220</v>
      </c>
      <c r="D52" s="29" t="s">
        <v>113</v>
      </c>
      <c r="E52" s="30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 t="shared" si="223"/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39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6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39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39">
        <v>45723</v>
      </c>
      <c r="DF52" s="4">
        <f t="shared" si="227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39">
        <v>45779</v>
      </c>
      <c r="DK52" s="4">
        <f t="shared" si="225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39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39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39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39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4"/>
        <v>NO APLICA</v>
      </c>
      <c r="HJ52" s="2"/>
      <c r="HK52" s="6"/>
      <c r="HL52" s="4"/>
      <c r="HM52" s="8"/>
      <c r="HN52" s="5" t="str">
        <f t="shared" si="228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780</v>
      </c>
      <c r="JD52" s="3"/>
      <c r="JE52" s="4"/>
      <c r="JF52" s="8"/>
      <c r="JG52" s="5"/>
      <c r="JH52" s="3" t="s">
        <v>780</v>
      </c>
      <c r="JI52" s="6"/>
      <c r="JJ52" s="6"/>
      <c r="JK52" s="6"/>
      <c r="JL52" s="5"/>
      <c r="JM52" s="6" t="s">
        <v>780</v>
      </c>
      <c r="JN52" s="6"/>
      <c r="JO52" s="6"/>
      <c r="JP52" s="6"/>
      <c r="JQ52" s="5"/>
      <c r="JR52" s="6" t="s">
        <v>780</v>
      </c>
      <c r="JS52" s="6"/>
      <c r="JT52" s="6"/>
      <c r="JU52" s="6"/>
      <c r="JV52" s="5"/>
      <c r="JW52" s="6" t="s">
        <v>780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hidden="1" thickTop="1" thickBot="1" x14ac:dyDescent="0.35">
      <c r="A53" s="26">
        <v>50</v>
      </c>
      <c r="B53" s="27">
        <v>1012</v>
      </c>
      <c r="C53" s="28" t="s">
        <v>222</v>
      </c>
      <c r="D53" s="29" t="s">
        <v>113</v>
      </c>
      <c r="E53" s="30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39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6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39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39">
        <v>45689</v>
      </c>
      <c r="DF53" s="4">
        <f t="shared" si="227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39">
        <v>45899</v>
      </c>
      <c r="DK53" s="4">
        <f t="shared" si="225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39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39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39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39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4"/>
        <v>NO APLICA</v>
      </c>
      <c r="HJ53" s="2"/>
      <c r="HK53" s="6"/>
      <c r="HL53" s="4"/>
      <c r="HM53" s="8"/>
      <c r="HN53" s="5" t="str">
        <f t="shared" si="228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780</v>
      </c>
      <c r="JD53" s="3"/>
      <c r="JE53" s="4"/>
      <c r="JF53" s="8"/>
      <c r="JG53" s="5"/>
      <c r="JH53" s="3" t="s">
        <v>780</v>
      </c>
      <c r="JI53" s="6"/>
      <c r="JJ53" s="6"/>
      <c r="JK53" s="6"/>
      <c r="JL53" s="5"/>
      <c r="JM53" s="6" t="s">
        <v>780</v>
      </c>
      <c r="JN53" s="6"/>
      <c r="JO53" s="6"/>
      <c r="JP53" s="6"/>
      <c r="JQ53" s="5"/>
      <c r="JR53" s="6" t="s">
        <v>780</v>
      </c>
      <c r="JS53" s="6"/>
      <c r="JT53" s="6"/>
      <c r="JU53" s="6"/>
      <c r="JV53" s="5"/>
      <c r="JW53" s="6" t="s">
        <v>780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hidden="1" thickTop="1" thickBot="1" x14ac:dyDescent="0.35">
      <c r="A54" s="26">
        <v>51</v>
      </c>
      <c r="B54" s="27">
        <v>1401</v>
      </c>
      <c r="C54" s="28" t="s">
        <v>224</v>
      </c>
      <c r="D54" s="29" t="s">
        <v>68</v>
      </c>
      <c r="E54" s="30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9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30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39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46135</v>
      </c>
      <c r="BW54" s="4">
        <f>DATE(YEAR(BV54)+2,MONTH(BV54),DAY(BV54)-1)</f>
        <v>46865</v>
      </c>
      <c r="BX54" s="8">
        <f t="shared" ca="1" si="25"/>
        <v>720</v>
      </c>
      <c r="BY54" s="5" t="str">
        <f t="shared" ca="1" si="26"/>
        <v>VIGENTE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39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39">
        <v>45689</v>
      </c>
      <c r="DF54" s="4">
        <f t="shared" si="227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39">
        <v>45975</v>
      </c>
      <c r="DK54" s="4">
        <f t="shared" si="225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39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39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39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39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4"/>
        <v>VIGENTE</v>
      </c>
      <c r="HJ54" s="2"/>
      <c r="HK54" s="6"/>
      <c r="HL54" s="4"/>
      <c r="HM54" s="8"/>
      <c r="HN54" s="5" t="str">
        <f t="shared" si="228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780</v>
      </c>
      <c r="JD54" s="3"/>
      <c r="JE54" s="4"/>
      <c r="JF54" s="8"/>
      <c r="JG54" s="5"/>
      <c r="JH54" s="3" t="s">
        <v>780</v>
      </c>
      <c r="JI54" s="6"/>
      <c r="JJ54" s="6"/>
      <c r="JK54" s="6"/>
      <c r="JL54" s="5"/>
      <c r="JM54" s="6" t="s">
        <v>780</v>
      </c>
      <c r="JN54" s="6"/>
      <c r="JO54" s="6"/>
      <c r="JP54" s="6"/>
      <c r="JQ54" s="5"/>
      <c r="JR54" s="6" t="s">
        <v>780</v>
      </c>
      <c r="JS54" s="6"/>
      <c r="JT54" s="6"/>
      <c r="JU54" s="6"/>
      <c r="JV54" s="5"/>
      <c r="JW54" s="6" t="s">
        <v>780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hidden="1" thickTop="1" thickBot="1" x14ac:dyDescent="0.35">
      <c r="A55" s="26">
        <v>52</v>
      </c>
      <c r="B55" s="31">
        <v>1670</v>
      </c>
      <c r="C55" s="28" t="s">
        <v>227</v>
      </c>
      <c r="D55" s="29" t="s">
        <v>113</v>
      </c>
      <c r="E55" s="30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9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30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39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39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39">
        <v>45689</v>
      </c>
      <c r="DF55" s="4">
        <f t="shared" si="227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39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39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39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39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39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4"/>
        <v>NO APLICA</v>
      </c>
      <c r="HJ55" s="2"/>
      <c r="HK55" s="6"/>
      <c r="HL55" s="4"/>
      <c r="HM55" s="8"/>
      <c r="HN55" s="5" t="str">
        <f t="shared" si="228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780</v>
      </c>
      <c r="JD55" s="3"/>
      <c r="JE55" s="4"/>
      <c r="JF55" s="8"/>
      <c r="JG55" s="5"/>
      <c r="JH55" s="3" t="s">
        <v>780</v>
      </c>
      <c r="JI55" s="6"/>
      <c r="JJ55" s="6"/>
      <c r="JK55" s="6"/>
      <c r="JL55" s="5"/>
      <c r="JM55" s="6" t="s">
        <v>780</v>
      </c>
      <c r="JN55" s="6"/>
      <c r="JO55" s="6"/>
      <c r="JP55" s="6"/>
      <c r="JQ55" s="5"/>
      <c r="JR55" s="6" t="s">
        <v>780</v>
      </c>
      <c r="JS55" s="6"/>
      <c r="JT55" s="6"/>
      <c r="JU55" s="6"/>
      <c r="JV55" s="5"/>
      <c r="JW55" s="6" t="s">
        <v>780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hidden="1" thickTop="1" thickBot="1" x14ac:dyDescent="0.35">
      <c r="A56" s="26">
        <v>53</v>
      </c>
      <c r="B56" s="27">
        <v>1253</v>
      </c>
      <c r="C56" s="28" t="s">
        <v>229</v>
      </c>
      <c r="D56" s="29" t="s">
        <v>68</v>
      </c>
      <c r="E56" s="30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9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46118</v>
      </c>
      <c r="BC56" s="4">
        <f>DATE(YEAR(BB56)+2,MONTH(BB56),DAY(BB56)-1)</f>
        <v>46848</v>
      </c>
      <c r="BD56" s="8">
        <f t="shared" ca="1" si="17"/>
        <v>703</v>
      </c>
      <c r="BE56" s="5" t="str">
        <f t="shared" ca="1" si="18"/>
        <v>VIGENTE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30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39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46126</v>
      </c>
      <c r="BW56" s="4">
        <f>DATE(YEAR(BV56)+2,MONTH(BV56),DAY(BV56)-1)</f>
        <v>46856</v>
      </c>
      <c r="BX56" s="8">
        <f t="shared" ca="1" si="25"/>
        <v>711</v>
      </c>
      <c r="BY56" s="5" t="str">
        <f t="shared" ca="1" si="26"/>
        <v>VIGENTE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39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39">
        <v>45689</v>
      </c>
      <c r="DF56" s="4">
        <f t="shared" si="227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39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46128</v>
      </c>
      <c r="DP56" s="4">
        <f>DATE(YEAR(DO56)+2,MONTH(DO56),DAY(DO56)-1)</f>
        <v>46858</v>
      </c>
      <c r="DQ56" s="8">
        <f t="shared" ca="1" si="46"/>
        <v>713</v>
      </c>
      <c r="DR56" s="5" t="str">
        <f t="shared" ca="1" si="47"/>
        <v>VIGENTE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39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39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39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39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4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8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780</v>
      </c>
      <c r="JD56" s="3"/>
      <c r="JE56" s="4"/>
      <c r="JF56" s="8"/>
      <c r="JG56" s="5"/>
      <c r="JH56" s="3" t="s">
        <v>780</v>
      </c>
      <c r="JI56" s="6"/>
      <c r="JJ56" s="6"/>
      <c r="JK56" s="6"/>
      <c r="JL56" s="5"/>
      <c r="JM56" s="6" t="s">
        <v>780</v>
      </c>
      <c r="JN56" s="6"/>
      <c r="JO56" s="6"/>
      <c r="JP56" s="6"/>
      <c r="JQ56" s="5"/>
      <c r="JR56" s="6" t="s">
        <v>780</v>
      </c>
      <c r="JS56" s="6"/>
      <c r="JT56" s="6"/>
      <c r="JU56" s="6"/>
      <c r="JV56" s="5"/>
      <c r="JW56" s="6" t="s">
        <v>780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hidden="1" thickTop="1" thickBot="1" x14ac:dyDescent="0.35">
      <c r="A57" s="26">
        <v>54</v>
      </c>
      <c r="B57" s="27">
        <v>400</v>
      </c>
      <c r="C57" s="28" t="s">
        <v>232</v>
      </c>
      <c r="D57" s="29" t="s">
        <v>68</v>
      </c>
      <c r="E57" s="30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9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30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39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39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39">
        <v>45689</v>
      </c>
      <c r="DF57" s="4">
        <f t="shared" si="227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39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39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46123</v>
      </c>
      <c r="EJ57" s="4">
        <f t="shared" si="131"/>
        <v>46488</v>
      </c>
      <c r="EK57" s="8">
        <f t="shared" ca="1" si="54"/>
        <v>343</v>
      </c>
      <c r="EL57" s="5" t="str">
        <f t="shared" ca="1" si="55"/>
        <v>VIGENTE</v>
      </c>
      <c r="EM57" s="4"/>
      <c r="EN57" s="4">
        <v>45737</v>
      </c>
      <c r="EO57" s="4">
        <f t="shared" ref="EO57:EO62" si="231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39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39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39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4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8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780</v>
      </c>
      <c r="JD57" s="3"/>
      <c r="JE57" s="4"/>
      <c r="JF57" s="8"/>
      <c r="JG57" s="5"/>
      <c r="JH57" s="3" t="s">
        <v>780</v>
      </c>
      <c r="JI57" s="6"/>
      <c r="JJ57" s="6"/>
      <c r="JK57" s="6"/>
      <c r="JL57" s="5"/>
      <c r="JM57" s="6" t="s">
        <v>780</v>
      </c>
      <c r="JN57" s="6"/>
      <c r="JO57" s="6"/>
      <c r="JP57" s="6"/>
      <c r="JQ57" s="5"/>
      <c r="JR57" s="6" t="s">
        <v>780</v>
      </c>
      <c r="JS57" s="6"/>
      <c r="JT57" s="6"/>
      <c r="JU57" s="6"/>
      <c r="JV57" s="5"/>
      <c r="JW57" s="6" t="s">
        <v>780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hidden="1" thickTop="1" thickBot="1" x14ac:dyDescent="0.35">
      <c r="A58" s="26">
        <v>55</v>
      </c>
      <c r="B58" s="27">
        <v>1569</v>
      </c>
      <c r="C58" s="28" t="s">
        <v>235</v>
      </c>
      <c r="D58" s="29" t="s">
        <v>68</v>
      </c>
      <c r="E58" s="30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9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30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39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39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39">
        <v>45689</v>
      </c>
      <c r="DF58" s="4">
        <f t="shared" si="227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39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39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1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39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39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39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4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8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780</v>
      </c>
      <c r="JD58" s="3"/>
      <c r="JE58" s="4"/>
      <c r="JF58" s="8"/>
      <c r="JG58" s="5"/>
      <c r="JH58" s="3" t="s">
        <v>780</v>
      </c>
      <c r="JI58" s="6"/>
      <c r="JJ58" s="6"/>
      <c r="JK58" s="6"/>
      <c r="JL58" s="5"/>
      <c r="JM58" s="6" t="s">
        <v>780</v>
      </c>
      <c r="JN58" s="6"/>
      <c r="JO58" s="6"/>
      <c r="JP58" s="6"/>
      <c r="JQ58" s="5"/>
      <c r="JR58" s="6" t="s">
        <v>780</v>
      </c>
      <c r="JS58" s="6"/>
      <c r="JT58" s="6"/>
      <c r="JU58" s="6"/>
      <c r="JV58" s="5"/>
      <c r="JW58" s="6" t="s">
        <v>780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hidden="1" thickTop="1" thickBot="1" x14ac:dyDescent="0.35">
      <c r="A59" s="26">
        <v>56</v>
      </c>
      <c r="B59" s="27">
        <v>605</v>
      </c>
      <c r="C59" s="28" t="s">
        <v>756</v>
      </c>
      <c r="D59" s="29" t="s">
        <v>68</v>
      </c>
      <c r="E59" s="30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9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2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3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30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39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39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39">
        <v>45535</v>
      </c>
      <c r="DF59" s="4">
        <f t="shared" si="227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39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46128</v>
      </c>
      <c r="DP59" s="4">
        <f>DATE(YEAR(DO59)+2,MONTH(DO59),DAY(DO59)-1)</f>
        <v>46858</v>
      </c>
      <c r="DQ59" s="8">
        <f t="shared" ca="1" si="46"/>
        <v>713</v>
      </c>
      <c r="DR59" s="5" t="str">
        <f t="shared" ca="1" si="47"/>
        <v>VIGENTE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39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46115</v>
      </c>
      <c r="EJ59" s="4">
        <f t="shared" si="131"/>
        <v>46480</v>
      </c>
      <c r="EK59" s="8">
        <f t="shared" ca="1" si="54"/>
        <v>335</v>
      </c>
      <c r="EL59" s="5" t="str">
        <f t="shared" ca="1" si="55"/>
        <v>VIGENTE</v>
      </c>
      <c r="EM59" s="3"/>
      <c r="EN59" s="4">
        <v>45671</v>
      </c>
      <c r="EO59" s="4">
        <f t="shared" si="231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39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4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5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6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39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39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4"/>
        <v>VIGENTE</v>
      </c>
      <c r="HJ59" s="2"/>
      <c r="HK59" s="6"/>
      <c r="HL59" s="4"/>
      <c r="HM59" s="8"/>
      <c r="HN59" s="5" t="str">
        <f t="shared" si="228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780</v>
      </c>
      <c r="JD59" s="3"/>
      <c r="JE59" s="4"/>
      <c r="JF59" s="8"/>
      <c r="JG59" s="5"/>
      <c r="JH59" s="3" t="s">
        <v>780</v>
      </c>
      <c r="JI59" s="6"/>
      <c r="JJ59" s="6"/>
      <c r="JK59" s="6"/>
      <c r="JL59" s="5"/>
      <c r="JM59" s="6" t="s">
        <v>780</v>
      </c>
      <c r="JN59" s="6"/>
      <c r="JO59" s="6"/>
      <c r="JP59" s="6"/>
      <c r="JQ59" s="5"/>
      <c r="JR59" s="6" t="s">
        <v>780</v>
      </c>
      <c r="JS59" s="6"/>
      <c r="JT59" s="6"/>
      <c r="JU59" s="6"/>
      <c r="JV59" s="5"/>
      <c r="JW59" s="6" t="s">
        <v>780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hidden="1" thickTop="1" thickBot="1" x14ac:dyDescent="0.35">
      <c r="A60" s="26">
        <v>57</v>
      </c>
      <c r="B60" s="27">
        <v>1550</v>
      </c>
      <c r="C60" s="28" t="s">
        <v>772</v>
      </c>
      <c r="D60" s="29" t="s">
        <v>68</v>
      </c>
      <c r="E60" s="30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7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2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3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30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39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39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39">
        <v>45689</v>
      </c>
      <c r="DF60" s="4">
        <f t="shared" si="227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39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39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1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39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4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5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6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39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39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4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8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780</v>
      </c>
      <c r="JD60" s="3"/>
      <c r="JE60" s="4"/>
      <c r="JF60" s="8"/>
      <c r="JG60" s="5"/>
      <c r="JH60" s="3" t="s">
        <v>780</v>
      </c>
      <c r="JI60" s="6"/>
      <c r="JJ60" s="6"/>
      <c r="JK60" s="6"/>
      <c r="JL60" s="5"/>
      <c r="JM60" s="6" t="s">
        <v>780</v>
      </c>
      <c r="JN60" s="6"/>
      <c r="JO60" s="6"/>
      <c r="JP60" s="6"/>
      <c r="JQ60" s="5"/>
      <c r="JR60" s="6" t="s">
        <v>780</v>
      </c>
      <c r="JS60" s="6"/>
      <c r="JT60" s="6"/>
      <c r="JU60" s="6"/>
      <c r="JV60" s="5"/>
      <c r="JW60" s="6" t="s">
        <v>780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hidden="1" thickTop="1" thickBot="1" x14ac:dyDescent="0.35">
      <c r="A61" s="26">
        <v>58</v>
      </c>
      <c r="B61" s="27">
        <v>1366</v>
      </c>
      <c r="C61" s="28" t="s">
        <v>242</v>
      </c>
      <c r="D61" s="29" t="s">
        <v>113</v>
      </c>
      <c r="E61" s="30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7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2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3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39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39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39">
        <v>45607</v>
      </c>
      <c r="DF61" s="4">
        <f t="shared" si="227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39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39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1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39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4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5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6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39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39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4"/>
        <v>NO APLICA</v>
      </c>
      <c r="HJ61" s="2"/>
      <c r="HK61" s="6"/>
      <c r="HL61" s="4"/>
      <c r="HM61" s="8"/>
      <c r="HN61" s="5" t="str">
        <f t="shared" si="228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780</v>
      </c>
      <c r="JD61" s="3"/>
      <c r="JE61" s="4"/>
      <c r="JF61" s="8"/>
      <c r="JG61" s="5"/>
      <c r="JH61" s="3" t="s">
        <v>780</v>
      </c>
      <c r="JI61" s="6"/>
      <c r="JJ61" s="6"/>
      <c r="JK61" s="6"/>
      <c r="JL61" s="5"/>
      <c r="JM61" s="6" t="s">
        <v>780</v>
      </c>
      <c r="JN61" s="6"/>
      <c r="JO61" s="6"/>
      <c r="JP61" s="6"/>
      <c r="JQ61" s="5"/>
      <c r="JR61" s="6" t="s">
        <v>780</v>
      </c>
      <c r="JS61" s="6"/>
      <c r="JT61" s="6"/>
      <c r="JU61" s="6"/>
      <c r="JV61" s="5"/>
      <c r="JW61" s="6" t="s">
        <v>780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hidden="1" thickTop="1" thickBot="1" x14ac:dyDescent="0.35">
      <c r="A62" s="26">
        <v>59</v>
      </c>
      <c r="B62" s="27">
        <v>1619</v>
      </c>
      <c r="C62" s="28" t="s">
        <v>244</v>
      </c>
      <c r="D62" s="29" t="s">
        <v>68</v>
      </c>
      <c r="E62" s="30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7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2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3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39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39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39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39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39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46123</v>
      </c>
      <c r="EJ62" s="4">
        <f t="shared" si="131"/>
        <v>46488</v>
      </c>
      <c r="EK62" s="8">
        <f t="shared" ca="1" si="54"/>
        <v>343</v>
      </c>
      <c r="EL62" s="5" t="str">
        <f t="shared" ca="1" si="55"/>
        <v>VIGENTE</v>
      </c>
      <c r="EM62" s="3"/>
      <c r="EN62" s="4">
        <v>45737</v>
      </c>
      <c r="EO62" s="4">
        <f t="shared" si="231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39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4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5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6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39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39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8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4"/>
        <v>VIGENTE</v>
      </c>
      <c r="HJ62" s="2"/>
      <c r="HK62" s="6"/>
      <c r="HL62" s="4"/>
      <c r="HM62" s="8"/>
      <c r="HN62" s="5" t="str">
        <f t="shared" si="228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780</v>
      </c>
      <c r="JD62" s="3"/>
      <c r="JE62" s="4"/>
      <c r="JF62" s="8"/>
      <c r="JG62" s="5"/>
      <c r="JH62" s="3" t="s">
        <v>780</v>
      </c>
      <c r="JI62" s="6"/>
      <c r="JJ62" s="6"/>
      <c r="JK62" s="6"/>
      <c r="JL62" s="5"/>
      <c r="JM62" s="6" t="s">
        <v>780</v>
      </c>
      <c r="JN62" s="6"/>
      <c r="JO62" s="6"/>
      <c r="JP62" s="6"/>
      <c r="JQ62" s="5"/>
      <c r="JR62" s="6" t="s">
        <v>780</v>
      </c>
      <c r="JS62" s="6"/>
      <c r="JT62" s="6"/>
      <c r="JU62" s="6"/>
      <c r="JV62" s="5"/>
      <c r="JW62" s="6" t="s">
        <v>780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hidden="1" thickTop="1" thickBot="1" x14ac:dyDescent="0.35">
      <c r="A63" s="26">
        <v>60</v>
      </c>
      <c r="B63" s="27">
        <v>920</v>
      </c>
      <c r="C63" s="28" t="s">
        <v>247</v>
      </c>
      <c r="D63" s="29" t="s">
        <v>68</v>
      </c>
      <c r="E63" s="30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7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2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3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39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9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39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39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39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39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39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4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5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6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39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39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8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4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8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780</v>
      </c>
      <c r="JD63" s="3"/>
      <c r="JE63" s="4"/>
      <c r="JF63" s="8"/>
      <c r="JG63" s="5"/>
      <c r="JH63" s="3" t="s">
        <v>780</v>
      </c>
      <c r="JI63" s="6"/>
      <c r="JJ63" s="6"/>
      <c r="JK63" s="6"/>
      <c r="JL63" s="5"/>
      <c r="JM63" s="6" t="s">
        <v>780</v>
      </c>
      <c r="JN63" s="6"/>
      <c r="JO63" s="6"/>
      <c r="JP63" s="6"/>
      <c r="JQ63" s="5"/>
      <c r="JR63" s="6" t="s">
        <v>780</v>
      </c>
      <c r="JS63" s="6"/>
      <c r="JT63" s="6"/>
      <c r="JU63" s="6"/>
      <c r="JV63" s="5"/>
      <c r="JW63" s="6" t="s">
        <v>780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hidden="1" thickTop="1" thickBot="1" x14ac:dyDescent="0.35">
      <c r="A64" s="26">
        <v>61</v>
      </c>
      <c r="B64" s="27">
        <v>1327</v>
      </c>
      <c r="C64" s="28" t="s">
        <v>250</v>
      </c>
      <c r="D64" s="29" t="s">
        <v>68</v>
      </c>
      <c r="E64" s="30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7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2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3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39">
        <v>46120</v>
      </c>
      <c r="BR64" s="4">
        <f>DATE(YEAR(BQ64)+2,MONTH(BQ64),DAY(BQ64)-1)</f>
        <v>46850</v>
      </c>
      <c r="BS64" s="8">
        <f t="shared" ca="1" si="23"/>
        <v>705</v>
      </c>
      <c r="BT64" s="5" t="str">
        <f t="shared" ca="1" si="24"/>
        <v>VIGENTE</v>
      </c>
      <c r="BU64" s="3"/>
      <c r="BV64" s="4">
        <v>46116</v>
      </c>
      <c r="BW64" s="4">
        <f>DATE(YEAR(BV64)+2,MONTH(BV64),DAY(BV64)-1)</f>
        <v>46846</v>
      </c>
      <c r="BX64" s="8">
        <f t="shared" ca="1" si="25"/>
        <v>701</v>
      </c>
      <c r="BY64" s="5" t="str">
        <f t="shared" ca="1" si="26"/>
        <v>VIGENTE</v>
      </c>
      <c r="BZ64" s="3"/>
      <c r="CA64" s="4">
        <v>45974</v>
      </c>
      <c r="CB64" s="4">
        <f t="shared" si="239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39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39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39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39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46135</v>
      </c>
      <c r="EO64" s="4">
        <f>DATE(YEAR(EN64)+2,MONTH(EN64),DAY(EN64)-1)</f>
        <v>46865</v>
      </c>
      <c r="EP64" s="8">
        <f t="shared" ca="1" si="56"/>
        <v>720</v>
      </c>
      <c r="EQ64" s="5" t="str">
        <f t="shared" ca="1" si="57"/>
        <v>VIGENTE</v>
      </c>
      <c r="ER64" s="3"/>
      <c r="ES64" s="39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4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5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6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39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39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8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4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8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780</v>
      </c>
      <c r="JD64" s="3"/>
      <c r="JE64" s="4"/>
      <c r="JF64" s="8"/>
      <c r="JG64" s="5"/>
      <c r="JH64" s="3" t="s">
        <v>780</v>
      </c>
      <c r="JI64" s="6"/>
      <c r="JJ64" s="6"/>
      <c r="JK64" s="6"/>
      <c r="JL64" s="5"/>
      <c r="JM64" s="6" t="s">
        <v>780</v>
      </c>
      <c r="JN64" s="6"/>
      <c r="JO64" s="6"/>
      <c r="JP64" s="6"/>
      <c r="JQ64" s="5"/>
      <c r="JR64" s="6" t="s">
        <v>780</v>
      </c>
      <c r="JS64" s="6"/>
      <c r="JT64" s="6"/>
      <c r="JU64" s="6"/>
      <c r="JV64" s="5"/>
      <c r="JW64" s="6" t="s">
        <v>780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hidden="1" thickTop="1" thickBot="1" x14ac:dyDescent="0.35">
      <c r="A65" s="26">
        <v>62</v>
      </c>
      <c r="B65" s="27">
        <v>370</v>
      </c>
      <c r="C65" s="28" t="s">
        <v>253</v>
      </c>
      <c r="D65" s="29" t="s">
        <v>68</v>
      </c>
      <c r="E65" s="30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7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2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46118</v>
      </c>
      <c r="BC65" s="4">
        <f>DATE(YEAR(BB65)+2,MONTH(BB65),DAY(BB65)-1)</f>
        <v>46848</v>
      </c>
      <c r="BD65" s="8">
        <f t="shared" ca="1" si="17"/>
        <v>703</v>
      </c>
      <c r="BE65" s="5" t="str">
        <f t="shared" ca="1" si="18"/>
        <v>VIGENTE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39">
        <v>46120</v>
      </c>
      <c r="BR65" s="4">
        <f>DATE(YEAR(BQ65)+2,MONTH(BQ65),DAY(BQ65)-1)</f>
        <v>46850</v>
      </c>
      <c r="BS65" s="8">
        <f t="shared" ca="1" si="23"/>
        <v>705</v>
      </c>
      <c r="BT65" s="5" t="str">
        <f t="shared" ca="1" si="24"/>
        <v>VIGENTE</v>
      </c>
      <c r="BU65" s="3"/>
      <c r="BV65" s="4">
        <v>46116</v>
      </c>
      <c r="BW65" s="4">
        <f>DATE(YEAR(BV65)+2,MONTH(BV65),DAY(BV65)-1)</f>
        <v>46846</v>
      </c>
      <c r="BX65" s="8">
        <f t="shared" ca="1" si="25"/>
        <v>701</v>
      </c>
      <c r="BY65" s="5" t="str">
        <f t="shared" ca="1" si="26"/>
        <v>VIGENTE</v>
      </c>
      <c r="BZ65" s="3"/>
      <c r="CA65" s="4">
        <v>45944</v>
      </c>
      <c r="CB65" s="4">
        <f t="shared" si="239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39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39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39">
        <v>46126</v>
      </c>
      <c r="DK65" s="4">
        <f>DATE(YEAR(DJ65)+2,MONTH(DJ65),DAY(DJ65)-1)</f>
        <v>46856</v>
      </c>
      <c r="DL65" s="8">
        <f t="shared" ca="1" si="43"/>
        <v>711</v>
      </c>
      <c r="DM65" s="5" t="str">
        <f t="shared" ca="1" si="44"/>
        <v>VIGENTE</v>
      </c>
      <c r="DN65" s="3"/>
      <c r="DO65" s="4">
        <v>46128</v>
      </c>
      <c r="DP65" s="4">
        <f>DATE(YEAR(DO65)+2,MONTH(DO65),DAY(DO65)-1)</f>
        <v>46858</v>
      </c>
      <c r="DQ65" s="8">
        <f t="shared" ca="1" si="46"/>
        <v>713</v>
      </c>
      <c r="DR65" s="5" t="str">
        <f t="shared" ca="1" si="47"/>
        <v>VIGENTE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39">
        <v>46112</v>
      </c>
      <c r="EE65" s="4">
        <f>DATE(YEAR(ED65)+2,MONTH(ED65),DAY(ED65)-1)</f>
        <v>46842</v>
      </c>
      <c r="EF65" s="8">
        <f t="shared" ca="1" si="52"/>
        <v>697</v>
      </c>
      <c r="EG65" s="5" t="str">
        <f t="shared" ca="1" si="53"/>
        <v>VIGENTE</v>
      </c>
      <c r="EH65" s="3"/>
      <c r="EI65" s="4">
        <v>46123</v>
      </c>
      <c r="EJ65" s="4">
        <f t="shared" si="131"/>
        <v>46488</v>
      </c>
      <c r="EK65" s="8">
        <f t="shared" ca="1" si="54"/>
        <v>343</v>
      </c>
      <c r="EL65" s="5" t="str">
        <f t="shared" ca="1" si="55"/>
        <v>VIGENTE</v>
      </c>
      <c r="EM65" s="3"/>
      <c r="EN65" s="4">
        <v>46135</v>
      </c>
      <c r="EO65" s="4">
        <f>DATE(YEAR(EN65)+2,MONTH(EN65),DAY(EN65)-1)</f>
        <v>46865</v>
      </c>
      <c r="EP65" s="8">
        <f t="shared" ca="1" si="56"/>
        <v>720</v>
      </c>
      <c r="EQ65" s="5" t="str">
        <f t="shared" ca="1" si="57"/>
        <v>VIGENTE</v>
      </c>
      <c r="ER65" s="3"/>
      <c r="ES65" s="39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4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5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6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39">
        <v>46129</v>
      </c>
      <c r="FN65" s="4">
        <f>DATE(YEAR(FM65)+2,MONTH(FM65),DAY(FM65)-1)</f>
        <v>46859</v>
      </c>
      <c r="FO65" s="8">
        <f t="shared" ca="1" si="67"/>
        <v>714</v>
      </c>
      <c r="FP65" s="5" t="str">
        <f t="shared" ca="1" si="68"/>
        <v>VIGENTE</v>
      </c>
      <c r="FQ65" s="3"/>
      <c r="FR65" s="39">
        <v>46132</v>
      </c>
      <c r="FS65" s="4">
        <f>DATE(YEAR(FR65)+2,MONTH(FR65),DAY(FR65)-1)</f>
        <v>46862</v>
      </c>
      <c r="FT65" s="8">
        <f t="shared" ca="1" si="69"/>
        <v>717</v>
      </c>
      <c r="FU65" s="5" t="str">
        <f t="shared" ca="1" si="70"/>
        <v>VIGENTE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8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4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8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780</v>
      </c>
      <c r="JD65" s="3"/>
      <c r="JE65" s="4"/>
      <c r="JF65" s="8"/>
      <c r="JG65" s="5"/>
      <c r="JH65" s="3" t="s">
        <v>780</v>
      </c>
      <c r="JI65" s="6"/>
      <c r="JJ65" s="6"/>
      <c r="JK65" s="6"/>
      <c r="JL65" s="5"/>
      <c r="JM65" s="6" t="s">
        <v>780</v>
      </c>
      <c r="JN65" s="6"/>
      <c r="JO65" s="6"/>
      <c r="JP65" s="6"/>
      <c r="JQ65" s="5"/>
      <c r="JR65" s="6" t="s">
        <v>780</v>
      </c>
      <c r="JS65" s="6"/>
      <c r="JT65" s="6"/>
      <c r="JU65" s="6"/>
      <c r="JV65" s="5"/>
      <c r="JW65" s="6" t="s">
        <v>780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hidden="1" thickTop="1" thickBot="1" x14ac:dyDescent="0.35">
      <c r="A66" s="26">
        <v>63</v>
      </c>
      <c r="B66" s="27">
        <v>458</v>
      </c>
      <c r="C66" s="28" t="s">
        <v>256</v>
      </c>
      <c r="D66" s="29" t="s">
        <v>64</v>
      </c>
      <c r="E66" s="30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7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2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39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9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39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39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39">
        <v>45779</v>
      </c>
      <c r="DK66" s="4">
        <f t="shared" ref="DK66:DK72" si="240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39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39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4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5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6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39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39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8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4"/>
        <v>VIGENTE</v>
      </c>
      <c r="HJ66" s="2"/>
      <c r="HK66" s="6"/>
      <c r="HL66" s="4"/>
      <c r="HM66" s="8"/>
      <c r="HN66" s="5" t="str">
        <f t="shared" si="228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780</v>
      </c>
      <c r="JD66" s="3"/>
      <c r="JE66" s="4"/>
      <c r="JF66" s="8"/>
      <c r="JG66" s="5"/>
      <c r="JH66" s="3" t="s">
        <v>780</v>
      </c>
      <c r="JI66" s="6"/>
      <c r="JJ66" s="6"/>
      <c r="JK66" s="6"/>
      <c r="JL66" s="5"/>
      <c r="JM66" s="6" t="s">
        <v>780</v>
      </c>
      <c r="JN66" s="6"/>
      <c r="JO66" s="6"/>
      <c r="JP66" s="6"/>
      <c r="JQ66" s="5"/>
      <c r="JR66" s="6" t="s">
        <v>780</v>
      </c>
      <c r="JS66" s="6"/>
      <c r="JT66" s="6"/>
      <c r="JU66" s="6"/>
      <c r="JV66" s="5"/>
      <c r="JW66" s="6" t="s">
        <v>780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hidden="1" thickTop="1" thickBot="1" x14ac:dyDescent="0.35">
      <c r="A67" s="26">
        <v>64</v>
      </c>
      <c r="B67" s="31">
        <v>1660</v>
      </c>
      <c r="C67" s="28" t="s">
        <v>259</v>
      </c>
      <c r="D67" s="29" t="s">
        <v>113</v>
      </c>
      <c r="E67" s="30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1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7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2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39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9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39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39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39">
        <v>45975</v>
      </c>
      <c r="DK67" s="4">
        <f t="shared" si="240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39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39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4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5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6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39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39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8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4"/>
        <v>NO APLICA</v>
      </c>
      <c r="HJ67" s="2"/>
      <c r="HK67" s="6"/>
      <c r="HL67" s="4"/>
      <c r="HM67" s="8"/>
      <c r="HN67" s="5" t="str">
        <f t="shared" si="228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780</v>
      </c>
      <c r="JD67" s="3"/>
      <c r="JE67" s="4"/>
      <c r="JF67" s="8"/>
      <c r="JG67" s="5"/>
      <c r="JH67" s="3" t="s">
        <v>780</v>
      </c>
      <c r="JI67" s="6"/>
      <c r="JJ67" s="6"/>
      <c r="JK67" s="6"/>
      <c r="JL67" s="5"/>
      <c r="JM67" s="6" t="s">
        <v>780</v>
      </c>
      <c r="JN67" s="6"/>
      <c r="JO67" s="6"/>
      <c r="JP67" s="6"/>
      <c r="JQ67" s="5"/>
      <c r="JR67" s="6" t="s">
        <v>780</v>
      </c>
      <c r="JS67" s="6"/>
      <c r="JT67" s="6"/>
      <c r="JU67" s="6"/>
      <c r="JV67" s="5"/>
      <c r="JW67" s="6" t="s">
        <v>780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hidden="1" thickTop="1" thickBot="1" x14ac:dyDescent="0.35">
      <c r="A68" s="26">
        <v>65</v>
      </c>
      <c r="B68" s="27">
        <v>503</v>
      </c>
      <c r="C68" s="28" t="s">
        <v>757</v>
      </c>
      <c r="D68" s="29" t="s">
        <v>113</v>
      </c>
      <c r="E68" s="30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2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3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4">DATE(YEAR(W68)+5,MONTH(W68),DAY(W68))</f>
        <v>46664</v>
      </c>
      <c r="Y68" s="8">
        <f t="shared" ref="Y68:Y108" ca="1" si="245">X68-TODAY()</f>
        <v>519</v>
      </c>
      <c r="Z68" s="5" t="str">
        <f t="shared" ref="Z68:Z108" ca="1" si="246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7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8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1"/>
        <v>46710</v>
      </c>
      <c r="AO68" s="8">
        <f t="shared" ref="AO68:AO131" ca="1" si="249">AN68-TODAY()</f>
        <v>565</v>
      </c>
      <c r="AP68" s="5" t="str">
        <f t="shared" ref="AP68:AP131" ca="1" si="250">IF(AO68&gt;=91,"VIGENTE",IF(AO68&gt;=1,"POR VENCER",IF(AO68&lt;=-1,"VENCIDA",IF(AM68=0,"NO APLICA"))))</f>
        <v>VIGENTE</v>
      </c>
      <c r="AQ68" s="3"/>
      <c r="AR68" s="4">
        <v>45996</v>
      </c>
      <c r="AS68" s="4">
        <f t="shared" si="237"/>
        <v>46726</v>
      </c>
      <c r="AT68" s="8">
        <f t="shared" ref="AT68:AT131" ca="1" si="251">AS68-TODAY()</f>
        <v>581</v>
      </c>
      <c r="AU68" s="5" t="str">
        <f t="shared" ref="AU68:AU131" ca="1" si="252">IF(AT68&gt;=91,"VIGENTE",IF(AT68&gt;=1,"POR VENCER",IF(AT68&lt;=-1,"VENCIDA",IF(AR68=0,"NO APLICA"))))</f>
        <v>VIGENTE</v>
      </c>
      <c r="AV68" s="3"/>
      <c r="AW68" s="4">
        <v>45927</v>
      </c>
      <c r="AX68" s="4">
        <f t="shared" si="232"/>
        <v>46657</v>
      </c>
      <c r="AY68" s="8">
        <f t="shared" ref="AY68:AY131" ca="1" si="253">AX68-TODAY()</f>
        <v>512</v>
      </c>
      <c r="AZ68" s="5" t="str">
        <f t="shared" ref="AZ68:AZ131" ca="1" si="254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5">BC68-TODAY()</f>
        <v>326</v>
      </c>
      <c r="BE68" s="5" t="str">
        <f t="shared" ref="BE68:BE131" ca="1" si="256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7">BH68-TODAY()</f>
        <v>189</v>
      </c>
      <c r="BJ68" s="5" t="str">
        <f t="shared" ref="BJ68:BJ131" ca="1" si="258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9">BM68-TODAY()</f>
        <v>283</v>
      </c>
      <c r="BO68" s="5" t="str">
        <f t="shared" ref="BO68:BO131" ca="1" si="260">IF(BN68&gt;=91,"VIGENTE",IF(BN68&gt;=1,"POR VENCER",IF(BN68&lt;=-1,"VENCIDA",IF(BL68=0,"NO APLICA"))))</f>
        <v>VIGENTE</v>
      </c>
      <c r="BP68" s="3"/>
      <c r="BQ68" s="39">
        <v>45701</v>
      </c>
      <c r="BR68" s="4">
        <f>DATE(YEAR(BQ68)+2,MONTH(BQ68),DAY(BQ68)-1)</f>
        <v>46430</v>
      </c>
      <c r="BS68" s="8">
        <f t="shared" ref="BS68:BS131" ca="1" si="261">BR68-TODAY()</f>
        <v>285</v>
      </c>
      <c r="BT68" s="5" t="str">
        <f t="shared" ref="BT68:BT131" ca="1" si="262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3">BW68-TODAY()</f>
        <v>320</v>
      </c>
      <c r="BY68" s="5" t="str">
        <f t="shared" ref="BY68:BY131" ca="1" si="264">IF(BX68&gt;=91,"VIGENTE",IF(BX68&gt;=1,"POR VENCER",IF(BX68&lt;=-1,"VENCIDA",IF(BV68=0,"NO APLICA"))))</f>
        <v>VIGENTE</v>
      </c>
      <c r="BZ68" s="3"/>
      <c r="CA68" s="4">
        <v>45954</v>
      </c>
      <c r="CB68" s="4">
        <f t="shared" si="239"/>
        <v>46684</v>
      </c>
      <c r="CC68" s="8">
        <f t="shared" ref="CC68:CC131" ca="1" si="265">CB68-TODAY()</f>
        <v>539</v>
      </c>
      <c r="CD68" s="5" t="str">
        <f t="shared" ref="CD68:CD131" ca="1" si="266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7">DATE(YEAR(CF68)+4,MONTH(CF68),DAY(CF68))</f>
        <v>47077</v>
      </c>
      <c r="CH68" s="8">
        <f t="shared" ref="CH68:CH84" ca="1" si="268">CG68-TODAY()</f>
        <v>932</v>
      </c>
      <c r="CI68" s="5" t="str">
        <f t="shared" ref="CI68:CI109" ca="1" si="269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0">CL68-TODAY()</f>
        <v>362</v>
      </c>
      <c r="CN68" s="5" t="str">
        <f t="shared" ref="CN68:CN131" ca="1" si="271">IF(CM68&gt;=91,"VIGENTE",IF(CM68&gt;=1,"POR VENCER",IF(CM68&lt;=-1,"VENCIDA",IF(CK68=0,"NO APLICA"))))</f>
        <v>VIGENTE</v>
      </c>
      <c r="CO68" s="3"/>
      <c r="CP68" s="39">
        <v>45684</v>
      </c>
      <c r="CQ68" s="4">
        <f>DATE(YEAR(CP68)+2,MONTH(CP68),DAY(CP68)-1)</f>
        <v>46413</v>
      </c>
      <c r="CR68" s="8">
        <f t="shared" ref="CR68:CR131" ca="1" si="272">CQ68-TODAY()</f>
        <v>268</v>
      </c>
      <c r="CS68" s="5" t="str">
        <f t="shared" ref="CS68:CS131" ca="1" si="273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4">CV68-TODAY()</f>
        <v>628</v>
      </c>
      <c r="CX68" s="5" t="str">
        <f t="shared" ref="CX68:CX131" ca="1" si="275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6">DA68-TODAY()</f>
        <v>585</v>
      </c>
      <c r="DC68" s="5" t="str">
        <f t="shared" ref="DC68:DC131" ca="1" si="277">IF(DB68&gt;=91,"VIGENTE",IF(DB68&gt;=1,"POR VENCER",IF(DB68&lt;=-1,"VENCIDA",IF(CZ68=0,"NO APLICA"))))</f>
        <v>VIGENTE</v>
      </c>
      <c r="DD68" s="3"/>
      <c r="DE68" s="39">
        <v>45723</v>
      </c>
      <c r="DF68" s="4">
        <f>DATE(YEAR(DE68)+2,MONTH(DE68),DAY(DE68)-1)</f>
        <v>46452</v>
      </c>
      <c r="DG68" s="8">
        <f t="shared" ref="DG68:DG131" ca="1" si="278">DF68-TODAY()</f>
        <v>307</v>
      </c>
      <c r="DH68" s="5" t="str">
        <f t="shared" ref="DH68:DH131" ca="1" si="279">IF(DG68&gt;=91,"VIGENTE",IF(DG68&gt;=1,"POR VENCER",IF(DG68&lt;=-1,"VENCIDA",IF(DE68=0,"NO APLICA"))))</f>
        <v>VIGENTE</v>
      </c>
      <c r="DI68" s="3"/>
      <c r="DJ68" s="39">
        <v>45975</v>
      </c>
      <c r="DK68" s="4">
        <f t="shared" si="240"/>
        <v>46705</v>
      </c>
      <c r="DL68" s="8">
        <f t="shared" ref="DL68:DL131" ca="1" si="280">DK68-TODAY()</f>
        <v>560</v>
      </c>
      <c r="DM68" s="5" t="str">
        <f t="shared" ref="DM68:DM131" ca="1" si="281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2">DP68-TODAY()</f>
        <v>631</v>
      </c>
      <c r="DR68" s="5" t="str">
        <f t="shared" ref="DR68:DR131" ca="1" si="283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4">DU68-TODAY()</f>
        <v>327</v>
      </c>
      <c r="DW68" s="5" t="str">
        <f t="shared" ref="DW68:DW131" ca="1" si="285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6">DZ68-TODAY()</f>
        <v>354</v>
      </c>
      <c r="EB68" s="5" t="str">
        <f t="shared" ref="EB68:EB131" ca="1" si="287">IF(EA68&gt;=91,"VIGENTE",IF(EA68&gt;=1,"POR VENCER",IF(EA68&lt;=-1,"VENCIDA",IF(DY68=0,"NO APLICA"))))</f>
        <v>VIGENTE</v>
      </c>
      <c r="EC68" s="3"/>
      <c r="ED68" s="39">
        <v>45768</v>
      </c>
      <c r="EE68" s="4">
        <f>DATE(YEAR(ED68)+2,MONTH(ED68),DAY(ED68))</f>
        <v>46498</v>
      </c>
      <c r="EF68" s="8">
        <f t="shared" ref="EF68:EF131" ca="1" si="288">EE68-TODAY()</f>
        <v>353</v>
      </c>
      <c r="EG68" s="5" t="str">
        <f t="shared" ref="EG68:EG131" ca="1" si="289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90">EJ68-TODAY()</f>
        <v>305</v>
      </c>
      <c r="EL68" s="5" t="str">
        <f t="shared" ref="EL68:EL131" ca="1" si="291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2">EO68-TODAY()</f>
        <v>255</v>
      </c>
      <c r="EQ68" s="5" t="str">
        <f t="shared" ref="EQ68:EQ131" ca="1" si="293">IF(EP68&gt;=91,"VIGENTE",IF(EP68&gt;=1,"POR VENCER",IF(EP68&lt;=-1,"VENCIDA",IF(EN68=0,"NO APLICA"))))</f>
        <v>VIGENTE</v>
      </c>
      <c r="ER68" s="3"/>
      <c r="ES68" s="39">
        <v>45677</v>
      </c>
      <c r="ET68" s="4">
        <f>DATE(YEAR(ES68)+2,MONTH(ES68),DAY(ES68)-1)</f>
        <v>46406</v>
      </c>
      <c r="EU68" s="8">
        <f t="shared" ref="EU68:EU131" ca="1" si="294">ET68-TODAY()</f>
        <v>261</v>
      </c>
      <c r="EV68" s="5" t="str">
        <f t="shared" ref="EV68:EV131" ca="1" si="295">IF(EU68&gt;=91,"VIGENTE",IF(EU68&gt;=1,"POR VENCER",IF(EU68&lt;=-1,"VENCIDA",IF(ES68=0,"NO APLICA"))))</f>
        <v>VIGENTE</v>
      </c>
      <c r="EW68" s="3"/>
      <c r="EX68" s="4">
        <v>45917</v>
      </c>
      <c r="EY68" s="4">
        <f t="shared" si="234"/>
        <v>46647</v>
      </c>
      <c r="EZ68" s="8">
        <f t="shared" ref="EZ68:EZ131" ca="1" si="296">EY68-TODAY()</f>
        <v>502</v>
      </c>
      <c r="FA68" s="5" t="str">
        <f t="shared" ref="FA68:FA131" ca="1" si="297">IF(EZ68&gt;=91,"VIGENTE",IF(EZ68&gt;=1,"POR VENCER",IF(EZ68&lt;=-1,"VENCIDA",IF(EX68=0,"NO APLICA"))))</f>
        <v>VIGENTE</v>
      </c>
      <c r="FB68" s="3"/>
      <c r="FC68" s="4">
        <v>45931</v>
      </c>
      <c r="FD68" s="4">
        <f t="shared" si="235"/>
        <v>46661</v>
      </c>
      <c r="FE68" s="8">
        <f t="shared" ref="FE68:FE131" ca="1" si="298">FD68-TODAY()</f>
        <v>516</v>
      </c>
      <c r="FF68" s="5" t="str">
        <f t="shared" ref="FF68:FF131" ca="1" si="299">IF(FE68&gt;=91,"VIGENTE",IF(FE68&gt;=1,"POR VENCER",IF(FE68&lt;=-1,"VENCIDA",IF(FC68=0,"NO APLICA"))))</f>
        <v>VIGENTE</v>
      </c>
      <c r="FG68" s="3"/>
      <c r="FH68" s="4">
        <v>45919</v>
      </c>
      <c r="FI68" s="4">
        <f t="shared" si="236"/>
        <v>46649</v>
      </c>
      <c r="FJ68" s="8">
        <f t="shared" ref="FJ68:FJ131" ca="1" si="300">FI68-TODAY()</f>
        <v>504</v>
      </c>
      <c r="FK68" s="5" t="str">
        <f t="shared" ref="FK68:FK131" ca="1" si="301">IF(FJ68&gt;=91,"VIGENTE",IF(FJ68&gt;=1,"POR VENCER",IF(FJ68&lt;=-1,"VENCIDA",IF(FH68=0,"NO APLICA"))))</f>
        <v>VIGENTE</v>
      </c>
      <c r="FL68" s="3"/>
      <c r="FM68" s="39">
        <v>45670</v>
      </c>
      <c r="FN68" s="4">
        <f>DATE(YEAR(FM68)+2,MONTH(FM68),DAY(FM68)-1)</f>
        <v>46399</v>
      </c>
      <c r="FO68" s="8">
        <f t="shared" ref="FO68:FO131" ca="1" si="302">FN68-TODAY()</f>
        <v>254</v>
      </c>
      <c r="FP68" s="5" t="str">
        <f t="shared" ref="FP68:FP131" ca="1" si="303">IF(FO68&gt;=91,"VIGENTE",IF(FO68&gt;=1,"POR VENCER",IF(FO68&lt;=-1,"VENCIDA",IF(FM68=0,"NO APLICA"))))</f>
        <v>VIGENTE</v>
      </c>
      <c r="FQ68" s="3"/>
      <c r="FR68" s="39">
        <v>45747</v>
      </c>
      <c r="FS68" s="4">
        <f>DATE(YEAR(FR68)+2,MONTH(FR68),DAY(FR68)-1)</f>
        <v>46476</v>
      </c>
      <c r="FT68" s="8">
        <f t="shared" ref="FT68:FT131" ca="1" si="304">FS68-TODAY()</f>
        <v>331</v>
      </c>
      <c r="FU68" s="5" t="str">
        <f t="shared" ref="FU68:FU131" ca="1" si="305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6">FX68-TODAY()</f>
        <v>546</v>
      </c>
      <c r="FZ68" s="5" t="str">
        <f t="shared" ref="FZ68:FZ131" ca="1" si="307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8">GC68-TODAY()</f>
        <v>299</v>
      </c>
      <c r="GE68" s="5" t="str">
        <f t="shared" ref="GE68:GE131" ca="1" si="309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0">GH68-TODAY()</f>
        <v>315</v>
      </c>
      <c r="GJ68" s="5" t="str">
        <f t="shared" ref="GJ68:GJ131" ca="1" si="311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2">GM68-TODAY()</f>
        <v>271</v>
      </c>
      <c r="GO68" s="5" t="str">
        <f t="shared" ref="GO68:GO131" ca="1" si="313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4">DATE(YEAR(GQ68)+5,MONTH(GQ68),DAY(GQ68))</f>
        <v>46899</v>
      </c>
      <c r="GS68" s="8">
        <f t="shared" ca="1" si="176"/>
        <v>754</v>
      </c>
      <c r="GT68" s="5" t="str">
        <f t="shared" ref="GT68:GT72" ca="1" si="315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6">DATE(YEAR(GV68)+5,MONTH(GV68),DAY(GV68))</f>
        <v>46810</v>
      </c>
      <c r="GX68" s="8">
        <f t="shared" ref="GX68:GX131" ca="1" si="317">GW68-TODAY()</f>
        <v>665</v>
      </c>
      <c r="GY68" s="5" t="str">
        <f t="shared" ref="GY68:GY72" ca="1" si="318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9">DATE(YEAR(HA68)+5,MONTH(HA68),DAY(HA68))</f>
        <v>46830</v>
      </c>
      <c r="HC68" s="8">
        <f t="shared" ref="HC68:HC131" ca="1" si="320">HB68-TODAY()</f>
        <v>685</v>
      </c>
      <c r="HD68" s="5" t="str">
        <f t="shared" ref="HD68:HD72" ca="1" si="321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4"/>
        <v>NO APLICA</v>
      </c>
      <c r="HJ68" s="2"/>
      <c r="HK68" s="6"/>
      <c r="HL68" s="4"/>
      <c r="HM68" s="8"/>
      <c r="HN68" s="5" t="str">
        <f t="shared" si="228"/>
        <v>NO APLICA</v>
      </c>
      <c r="HO68" s="2"/>
      <c r="HP68" s="5"/>
      <c r="HQ68" s="4"/>
      <c r="HR68" s="5"/>
      <c r="HS68" s="5" t="str">
        <f t="shared" ref="HS68:HS131" si="322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3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4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5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6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7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8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9">IF(JA68&gt;=61,"VIGENTE",IF(JA68&gt;=1,"POR VENCER",IF(JA68&lt;=-1,"VENCIDA",IF(IY68=0,"NO APLICA"))))</f>
        <v>NO APLICA</v>
      </c>
      <c r="JC68" s="3" t="s">
        <v>780</v>
      </c>
      <c r="JD68" s="3"/>
      <c r="JE68" s="4"/>
      <c r="JF68" s="8"/>
      <c r="JG68" s="5"/>
      <c r="JH68" s="3" t="s">
        <v>780</v>
      </c>
      <c r="JI68" s="6"/>
      <c r="JJ68" s="6"/>
      <c r="JK68" s="6"/>
      <c r="JL68" s="5"/>
      <c r="JM68" s="6" t="s">
        <v>780</v>
      </c>
      <c r="JN68" s="6"/>
      <c r="JO68" s="6"/>
      <c r="JP68" s="6"/>
      <c r="JQ68" s="5"/>
      <c r="JR68" s="6" t="s">
        <v>780</v>
      </c>
      <c r="JS68" s="6"/>
      <c r="JT68" s="6"/>
      <c r="JU68" s="6"/>
      <c r="JV68" s="5"/>
      <c r="JW68" s="6" t="s">
        <v>780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30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1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2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3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4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5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6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7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8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9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0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1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2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3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4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5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6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7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8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9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0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1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2">IF(PY68&gt;=61,"VIGENTE",IF(PY68&gt;=1,"POR VENCER",IF(PY68&lt;=-1,"VENCIDA",IF(PW68=0,"NO APLICA"))))</f>
        <v>NO APLICA</v>
      </c>
    </row>
    <row r="69" spans="1:442" ht="15.6" hidden="1" thickTop="1" thickBot="1" x14ac:dyDescent="0.35">
      <c r="A69" s="26">
        <v>66</v>
      </c>
      <c r="B69" s="27">
        <v>1179</v>
      </c>
      <c r="C69" s="28" t="s">
        <v>262</v>
      </c>
      <c r="D69" s="29" t="s">
        <v>68</v>
      </c>
      <c r="E69" s="30" t="s">
        <v>122</v>
      </c>
      <c r="F69" s="5"/>
      <c r="G69" s="6"/>
      <c r="H69" s="4"/>
      <c r="I69" s="8"/>
      <c r="J69" s="5" t="str">
        <f t="shared" si="242"/>
        <v>NO APLICA</v>
      </c>
      <c r="K69" s="5"/>
      <c r="L69" s="6"/>
      <c r="M69" s="6"/>
      <c r="N69" s="8"/>
      <c r="O69" s="5" t="str">
        <f t="shared" si="243"/>
        <v>NO APLICA</v>
      </c>
      <c r="P69" s="6"/>
      <c r="Q69" s="6"/>
      <c r="R69" s="4"/>
      <c r="S69" s="8"/>
      <c r="T69" s="5" t="str">
        <f t="shared" ref="T69:T132" si="353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4"/>
        <v>46655</v>
      </c>
      <c r="Y69" s="8">
        <f t="shared" ca="1" si="245"/>
        <v>510</v>
      </c>
      <c r="Z69" s="5" t="str">
        <f t="shared" ca="1" si="246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7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8"/>
        <v>173</v>
      </c>
      <c r="AK69" s="5" t="str">
        <f t="shared" ca="1" si="219"/>
        <v>VIGENTE</v>
      </c>
      <c r="AL69" s="3"/>
      <c r="AM69" s="4">
        <v>45926</v>
      </c>
      <c r="AN69" s="4">
        <f t="shared" si="241"/>
        <v>46656</v>
      </c>
      <c r="AO69" s="8">
        <f t="shared" ca="1" si="249"/>
        <v>511</v>
      </c>
      <c r="AP69" s="5" t="str">
        <f t="shared" ca="1" si="250"/>
        <v>VIGENTE</v>
      </c>
      <c r="AQ69" s="3"/>
      <c r="AR69" s="4">
        <v>45967</v>
      </c>
      <c r="AS69" s="4">
        <f t="shared" si="237"/>
        <v>46697</v>
      </c>
      <c r="AT69" s="8">
        <f t="shared" ca="1" si="251"/>
        <v>552</v>
      </c>
      <c r="AU69" s="5" t="str">
        <f t="shared" ca="1" si="252"/>
        <v>VIGENTE</v>
      </c>
      <c r="AV69" s="3"/>
      <c r="AW69" s="4">
        <v>45990</v>
      </c>
      <c r="AX69" s="4">
        <f t="shared" si="232"/>
        <v>46720</v>
      </c>
      <c r="AY69" s="8">
        <f t="shared" ca="1" si="253"/>
        <v>575</v>
      </c>
      <c r="AZ69" s="5" t="str">
        <f t="shared" ca="1" si="254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5"/>
        <v>528</v>
      </c>
      <c r="BE69" s="5" t="str">
        <f t="shared" ca="1" si="256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7"/>
        <v>553</v>
      </c>
      <c r="BJ69" s="5" t="str">
        <f t="shared" ca="1" si="258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9"/>
        <v>641</v>
      </c>
      <c r="BO69" s="5" t="str">
        <f t="shared" ca="1" si="260"/>
        <v>VIGENTE</v>
      </c>
      <c r="BP69" s="3"/>
      <c r="BQ69" s="39">
        <v>46120</v>
      </c>
      <c r="BR69" s="4">
        <f>DATE(YEAR(BQ69)+2,MONTH(BQ69),DAY(BQ69)-1)</f>
        <v>46850</v>
      </c>
      <c r="BS69" s="8">
        <f t="shared" ca="1" si="261"/>
        <v>705</v>
      </c>
      <c r="BT69" s="5" t="str">
        <f t="shared" ca="1" si="262"/>
        <v>VIGENTE</v>
      </c>
      <c r="BU69" s="3"/>
      <c r="BV69" s="4">
        <v>45950</v>
      </c>
      <c r="BW69" s="4">
        <f>DATE(YEAR(BV69)+2,MONTH(BV69),DAY(BV69))</f>
        <v>46680</v>
      </c>
      <c r="BX69" s="8">
        <f t="shared" ca="1" si="263"/>
        <v>535</v>
      </c>
      <c r="BY69" s="5" t="str">
        <f t="shared" ca="1" si="264"/>
        <v>VIGENTE</v>
      </c>
      <c r="BZ69" s="3"/>
      <c r="CA69" s="4">
        <v>45944</v>
      </c>
      <c r="CB69" s="4">
        <f t="shared" si="239"/>
        <v>46674</v>
      </c>
      <c r="CC69" s="8">
        <f t="shared" ca="1" si="265"/>
        <v>529</v>
      </c>
      <c r="CD69" s="5" t="str">
        <f t="shared" ca="1" si="266"/>
        <v>VIGENTE</v>
      </c>
      <c r="CE69" s="6"/>
      <c r="CF69" s="4">
        <v>45241</v>
      </c>
      <c r="CG69" s="4">
        <f t="shared" si="267"/>
        <v>46702</v>
      </c>
      <c r="CH69" s="8">
        <f t="shared" ca="1" si="268"/>
        <v>557</v>
      </c>
      <c r="CI69" s="5" t="str">
        <f t="shared" ca="1" si="269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0"/>
        <v>480</v>
      </c>
      <c r="CN69" s="5" t="str">
        <f t="shared" ca="1" si="271"/>
        <v>VIGENTE</v>
      </c>
      <c r="CO69" s="3"/>
      <c r="CP69" s="39">
        <v>45882</v>
      </c>
      <c r="CQ69" s="4">
        <f>DATE(YEAR(CP69)+2,MONTH(CP69),DAY(CP69))</f>
        <v>46612</v>
      </c>
      <c r="CR69" s="8">
        <f t="shared" ca="1" si="272"/>
        <v>467</v>
      </c>
      <c r="CS69" s="5" t="str">
        <f t="shared" ca="1" si="273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4"/>
        <v>229</v>
      </c>
      <c r="CX69" s="5" t="str">
        <f t="shared" ca="1" si="275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6"/>
        <v>249</v>
      </c>
      <c r="DC69" s="5" t="str">
        <f t="shared" ca="1" si="277"/>
        <v>VIGENTE</v>
      </c>
      <c r="DD69" s="3"/>
      <c r="DE69" s="39">
        <v>45689</v>
      </c>
      <c r="DF69" s="4">
        <f>DATE(YEAR(DE69)+2,MONTH(DE69),DAY(DE69)-1)</f>
        <v>46418</v>
      </c>
      <c r="DG69" s="8">
        <f t="shared" ca="1" si="278"/>
        <v>273</v>
      </c>
      <c r="DH69" s="5" t="str">
        <f t="shared" ca="1" si="279"/>
        <v>VIGENTE</v>
      </c>
      <c r="DI69" s="3"/>
      <c r="DJ69" s="39">
        <v>45955</v>
      </c>
      <c r="DK69" s="4">
        <f t="shared" si="240"/>
        <v>46685</v>
      </c>
      <c r="DL69" s="8">
        <f t="shared" ca="1" si="280"/>
        <v>540</v>
      </c>
      <c r="DM69" s="5" t="str">
        <f t="shared" ca="1" si="281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2"/>
        <v>104</v>
      </c>
      <c r="DR69" s="5" t="str">
        <f t="shared" ca="1" si="283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4"/>
        <v>603</v>
      </c>
      <c r="DW69" s="5" t="str">
        <f t="shared" ca="1" si="285"/>
        <v>VIGENTE</v>
      </c>
      <c r="DX69" s="3"/>
      <c r="DY69" s="4">
        <v>45682</v>
      </c>
      <c r="DZ69" s="4">
        <f t="shared" ref="DZ69:DZ81" si="354">DATE(YEAR(DY69)+2,MONTH(DY69),DAY(DY69)-1)</f>
        <v>46411</v>
      </c>
      <c r="EA69" s="8">
        <f t="shared" ca="1" si="286"/>
        <v>266</v>
      </c>
      <c r="EB69" s="5" t="str">
        <f t="shared" ca="1" si="287"/>
        <v>VIGENTE</v>
      </c>
      <c r="EC69" s="3"/>
      <c r="ED69" s="39">
        <v>45674</v>
      </c>
      <c r="EE69" s="4">
        <f>DATE(YEAR(ED69)+2,MONTH(ED69),DAY(ED69)-1)</f>
        <v>46403</v>
      </c>
      <c r="EF69" s="8">
        <f t="shared" ca="1" si="288"/>
        <v>258</v>
      </c>
      <c r="EG69" s="5" t="str">
        <f t="shared" ca="1" si="289"/>
        <v>VIGENTE</v>
      </c>
      <c r="EH69" s="3"/>
      <c r="EI69" s="4">
        <v>46123</v>
      </c>
      <c r="EJ69" s="4">
        <f t="shared" ref="EJ69:EJ132" si="355">DATE(YEAR(EI69)+1,MONTH(EI69),DAY(EI69))</f>
        <v>46488</v>
      </c>
      <c r="EK69" s="8">
        <f t="shared" ca="1" si="290"/>
        <v>343</v>
      </c>
      <c r="EL69" s="5" t="str">
        <f t="shared" ca="1" si="291"/>
        <v>VIGENTE</v>
      </c>
      <c r="EM69" s="3"/>
      <c r="EN69" s="4">
        <v>45671</v>
      </c>
      <c r="EO69" s="4">
        <f>DATE(YEAR(EN69)+2,MONTH(EN69),DAY(EN69)-1)</f>
        <v>46400</v>
      </c>
      <c r="EP69" s="8">
        <f t="shared" ca="1" si="292"/>
        <v>255</v>
      </c>
      <c r="EQ69" s="5" t="str">
        <f t="shared" ca="1" si="293"/>
        <v>VIGENTE</v>
      </c>
      <c r="ER69" s="3"/>
      <c r="ES69" s="39">
        <v>45999</v>
      </c>
      <c r="ET69" s="4">
        <f>DATE(YEAR(ES69)+2,MONTH(ES69),DAY(ES69))</f>
        <v>46729</v>
      </c>
      <c r="EU69" s="8">
        <f t="shared" ca="1" si="294"/>
        <v>584</v>
      </c>
      <c r="EV69" s="5" t="str">
        <f t="shared" ca="1" si="295"/>
        <v>VIGENTE</v>
      </c>
      <c r="EW69" s="3"/>
      <c r="EX69" s="4">
        <v>45953</v>
      </c>
      <c r="EY69" s="4">
        <f t="shared" si="234"/>
        <v>46683</v>
      </c>
      <c r="EZ69" s="8">
        <f t="shared" ca="1" si="296"/>
        <v>538</v>
      </c>
      <c r="FA69" s="5" t="str">
        <f t="shared" ca="1" si="297"/>
        <v>VIGENTE</v>
      </c>
      <c r="FB69" s="3"/>
      <c r="FC69" s="4">
        <v>45951</v>
      </c>
      <c r="FD69" s="4">
        <f t="shared" si="235"/>
        <v>46681</v>
      </c>
      <c r="FE69" s="8">
        <f t="shared" ca="1" si="298"/>
        <v>536</v>
      </c>
      <c r="FF69" s="5" t="str">
        <f t="shared" ca="1" si="299"/>
        <v>VIGENTE</v>
      </c>
      <c r="FG69" s="3"/>
      <c r="FH69" s="4">
        <v>45932</v>
      </c>
      <c r="FI69" s="4">
        <f t="shared" si="236"/>
        <v>46662</v>
      </c>
      <c r="FJ69" s="8">
        <f t="shared" ca="1" si="300"/>
        <v>517</v>
      </c>
      <c r="FK69" s="5" t="str">
        <f t="shared" ca="1" si="301"/>
        <v>VIGENTE</v>
      </c>
      <c r="FL69" s="3"/>
      <c r="FM69" s="39">
        <v>45933</v>
      </c>
      <c r="FN69" s="4">
        <f>DATE(YEAR(FM69)+2,MONTH(FM69),DAY(FM69))</f>
        <v>46663</v>
      </c>
      <c r="FO69" s="8">
        <f t="shared" ca="1" si="302"/>
        <v>518</v>
      </c>
      <c r="FP69" s="5" t="str">
        <f t="shared" ca="1" si="303"/>
        <v>VIGENTE</v>
      </c>
      <c r="FQ69" s="3"/>
      <c r="FR69" s="39">
        <v>46034</v>
      </c>
      <c r="FS69" s="4">
        <f>DATE(YEAR(FR69)+2,MONTH(FR69),DAY(FR69))</f>
        <v>46764</v>
      </c>
      <c r="FT69" s="8">
        <f t="shared" ca="1" si="304"/>
        <v>619</v>
      </c>
      <c r="FU69" s="5" t="str">
        <f t="shared" ca="1" si="305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6"/>
        <v>599</v>
      </c>
      <c r="FZ69" s="5" t="str">
        <f t="shared" ca="1" si="307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8"/>
        <v>510</v>
      </c>
      <c r="GE69" s="5" t="str">
        <f t="shared" ca="1" si="309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0"/>
        <v>570</v>
      </c>
      <c r="GJ69" s="5" t="str">
        <f t="shared" ca="1" si="311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2"/>
        <v>530</v>
      </c>
      <c r="GO69" s="5" t="str">
        <f t="shared" ca="1" si="313"/>
        <v>VIGENTE</v>
      </c>
      <c r="GP69" s="4"/>
      <c r="GQ69" s="4">
        <v>45295</v>
      </c>
      <c r="GR69" s="4">
        <f t="shared" si="314"/>
        <v>47122</v>
      </c>
      <c r="GS69" s="8">
        <f t="shared" ca="1" si="176"/>
        <v>977</v>
      </c>
      <c r="GT69" s="5" t="str">
        <f t="shared" ca="1" si="315"/>
        <v>VIGENTE</v>
      </c>
      <c r="GU69" s="3"/>
      <c r="GV69" s="4">
        <v>45252</v>
      </c>
      <c r="GW69" s="4">
        <f t="shared" si="316"/>
        <v>47079</v>
      </c>
      <c r="GX69" s="8">
        <f t="shared" ca="1" si="317"/>
        <v>934</v>
      </c>
      <c r="GY69" s="5" t="str">
        <f t="shared" ca="1" si="318"/>
        <v>VIGENTE</v>
      </c>
      <c r="GZ69" s="3"/>
      <c r="HA69" s="4">
        <v>45251</v>
      </c>
      <c r="HB69" s="4">
        <f t="shared" si="319"/>
        <v>47078</v>
      </c>
      <c r="HC69" s="8">
        <f t="shared" ca="1" si="320"/>
        <v>933</v>
      </c>
      <c r="HD69" s="5" t="str">
        <f t="shared" ca="1" si="321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4"/>
        <v>VIGENTE</v>
      </c>
      <c r="HJ69" s="2"/>
      <c r="HK69" s="6"/>
      <c r="HL69" s="4"/>
      <c r="HM69" s="8"/>
      <c r="HN69" s="5" t="str">
        <f t="shared" si="228"/>
        <v>NO APLICA</v>
      </c>
      <c r="HO69" s="2"/>
      <c r="HP69" s="2"/>
      <c r="HQ69" s="4"/>
      <c r="HR69" s="2"/>
      <c r="HS69" s="5" t="str">
        <f t="shared" si="322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3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4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5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6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7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8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9"/>
        <v>VIGENTE</v>
      </c>
      <c r="JC69" s="3" t="s">
        <v>780</v>
      </c>
      <c r="JD69" s="3"/>
      <c r="JE69" s="4"/>
      <c r="JF69" s="8"/>
      <c r="JG69" s="5"/>
      <c r="JH69" s="3" t="s">
        <v>780</v>
      </c>
      <c r="JI69" s="6"/>
      <c r="JJ69" s="6"/>
      <c r="JK69" s="6"/>
      <c r="JL69" s="5"/>
      <c r="JM69" s="6" t="s">
        <v>780</v>
      </c>
      <c r="JN69" s="6"/>
      <c r="JO69" s="6"/>
      <c r="JP69" s="6"/>
      <c r="JQ69" s="5"/>
      <c r="JR69" s="6" t="s">
        <v>780</v>
      </c>
      <c r="JS69" s="6"/>
      <c r="JT69" s="6"/>
      <c r="JU69" s="6"/>
      <c r="JV69" s="5"/>
      <c r="JW69" s="6" t="s">
        <v>780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30"/>
        <v>NO APLICA</v>
      </c>
      <c r="KG69" s="5"/>
      <c r="KH69" s="2"/>
      <c r="KI69" s="4"/>
      <c r="KJ69" s="8"/>
      <c r="KK69" s="5" t="str">
        <f t="shared" ref="KK69:KK132" si="356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1"/>
        <v>NO APLICA</v>
      </c>
      <c r="KQ69" s="5"/>
      <c r="KR69" s="2"/>
      <c r="KS69" s="4"/>
      <c r="KT69" s="8"/>
      <c r="KU69" s="5" t="str">
        <f t="shared" ref="KU69:KU132" si="357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8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2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9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0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1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3"/>
        <v>NO APLICA</v>
      </c>
      <c r="MJ69" s="2"/>
      <c r="MK69" s="2"/>
      <c r="ML69" s="4"/>
      <c r="MM69" s="8"/>
      <c r="MN69" s="5" t="str">
        <f t="shared" si="334"/>
        <v>NO APLICA</v>
      </c>
      <c r="MO69" s="5"/>
      <c r="MP69" s="2"/>
      <c r="MQ69" s="4"/>
      <c r="MR69" s="8"/>
      <c r="MS69" s="5" t="str">
        <f t="shared" si="335"/>
        <v>NO APLICA</v>
      </c>
      <c r="MT69" s="5"/>
      <c r="MU69" s="2"/>
      <c r="MV69" s="4"/>
      <c r="MW69" s="2"/>
      <c r="MX69" s="5" t="str">
        <f t="shared" si="336"/>
        <v>NO APLICA</v>
      </c>
      <c r="MY69" s="2"/>
      <c r="MZ69" s="6"/>
      <c r="NA69" s="4"/>
      <c r="NB69" s="8"/>
      <c r="NC69" s="5" t="str">
        <f t="shared" si="337"/>
        <v>NO APLICA</v>
      </c>
      <c r="ND69" s="2"/>
      <c r="NE69" s="6"/>
      <c r="NF69" s="4"/>
      <c r="NG69" s="8"/>
      <c r="NH69" s="5" t="str">
        <f t="shared" si="338"/>
        <v>NO APLICA</v>
      </c>
      <c r="NI69" s="2"/>
      <c r="NJ69" s="6"/>
      <c r="NK69" s="4"/>
      <c r="NL69" s="8"/>
      <c r="NM69" s="5" t="str">
        <f t="shared" si="339"/>
        <v>NO APLICA</v>
      </c>
      <c r="NN69" s="2"/>
      <c r="NO69" s="2"/>
      <c r="NP69" s="4"/>
      <c r="NQ69" s="2"/>
      <c r="NR69" s="5" t="str">
        <f t="shared" si="340"/>
        <v>NO APLICA</v>
      </c>
      <c r="NS69" s="2"/>
      <c r="NT69" s="2"/>
      <c r="NU69" s="4"/>
      <c r="NV69" s="2"/>
      <c r="NW69" s="5" t="str">
        <f t="shared" si="341"/>
        <v>NO APLICA</v>
      </c>
      <c r="NX69" s="6"/>
      <c r="NY69" s="6"/>
      <c r="NZ69" s="4"/>
      <c r="OA69" s="8"/>
      <c r="OB69" s="5" t="str">
        <f t="shared" si="342"/>
        <v>NO APLICA</v>
      </c>
      <c r="OC69" s="6"/>
      <c r="OD69" s="6"/>
      <c r="OE69" s="6"/>
      <c r="OF69" s="6"/>
      <c r="OG69" s="5" t="str">
        <f t="shared" si="343"/>
        <v>NO APLICA</v>
      </c>
      <c r="OH69" s="6"/>
      <c r="OI69" s="6"/>
      <c r="OJ69" s="4"/>
      <c r="OK69" s="8"/>
      <c r="OL69" s="5" t="str">
        <f t="shared" si="344"/>
        <v>NO APLICA</v>
      </c>
      <c r="OM69" s="6"/>
      <c r="ON69" s="6"/>
      <c r="OO69" s="6"/>
      <c r="OP69" s="6"/>
      <c r="OQ69" s="5" t="str">
        <f t="shared" si="345"/>
        <v>NO APLICA</v>
      </c>
      <c r="OR69" s="6"/>
      <c r="OS69" s="6"/>
      <c r="OT69" s="6"/>
      <c r="OU69" s="6"/>
      <c r="OV69" s="5" t="str">
        <f t="shared" si="346"/>
        <v>NO APLICA</v>
      </c>
      <c r="OW69" s="6"/>
      <c r="OX69" s="6"/>
      <c r="OY69" s="6"/>
      <c r="OZ69" s="6"/>
      <c r="PA69" s="5" t="str">
        <f t="shared" si="347"/>
        <v>NO APLICA</v>
      </c>
      <c r="PB69" s="6"/>
      <c r="PC69" s="6"/>
      <c r="PD69" s="6"/>
      <c r="PE69" s="6"/>
      <c r="PF69" s="5" t="str">
        <f t="shared" si="348"/>
        <v>NO APLICA</v>
      </c>
      <c r="PG69" s="6"/>
      <c r="PH69" s="6"/>
      <c r="PI69" s="6"/>
      <c r="PJ69" s="6"/>
      <c r="PK69" s="5" t="str">
        <f t="shared" si="349"/>
        <v>NO APLICA</v>
      </c>
      <c r="PL69" s="5"/>
      <c r="PM69" s="6"/>
      <c r="PN69" s="4"/>
      <c r="PO69" s="8"/>
      <c r="PP69" s="5" t="str">
        <f t="shared" si="350"/>
        <v>NO APLICA</v>
      </c>
      <c r="PQ69" s="6"/>
      <c r="PR69" s="6"/>
      <c r="PS69" s="6"/>
      <c r="PT69" s="6"/>
      <c r="PU69" s="5" t="str">
        <f t="shared" si="351"/>
        <v>NO APLICA</v>
      </c>
      <c r="PV69" s="5"/>
      <c r="PW69" s="6"/>
      <c r="PX69" s="6"/>
      <c r="PY69" s="6"/>
      <c r="PZ69" s="5" t="str">
        <f t="shared" si="352"/>
        <v>NO APLICA</v>
      </c>
    </row>
    <row r="70" spans="1:442" ht="15.6" hidden="1" thickTop="1" thickBot="1" x14ac:dyDescent="0.35">
      <c r="A70" s="26">
        <v>67</v>
      </c>
      <c r="B70" s="27">
        <v>926</v>
      </c>
      <c r="C70" s="28" t="s">
        <v>265</v>
      </c>
      <c r="D70" s="29" t="s">
        <v>113</v>
      </c>
      <c r="E70" s="30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2"/>
        <v>VIGENTE</v>
      </c>
      <c r="K70" s="5"/>
      <c r="L70" s="6"/>
      <c r="M70" s="6"/>
      <c r="N70" s="8"/>
      <c r="O70" s="5" t="str">
        <f t="shared" si="243"/>
        <v>NO APLICA</v>
      </c>
      <c r="P70" s="6"/>
      <c r="Q70" s="6"/>
      <c r="R70" s="4"/>
      <c r="S70" s="8"/>
      <c r="T70" s="5" t="str">
        <f t="shared" si="353"/>
        <v>NO APLICA</v>
      </c>
      <c r="U70" s="5"/>
      <c r="V70" s="2" t="s">
        <v>266</v>
      </c>
      <c r="W70" s="4">
        <v>45282</v>
      </c>
      <c r="X70" s="4">
        <f t="shared" si="244"/>
        <v>47109</v>
      </c>
      <c r="Y70" s="8">
        <f t="shared" ca="1" si="245"/>
        <v>964</v>
      </c>
      <c r="Z70" s="5" t="str">
        <f t="shared" ca="1" si="246"/>
        <v>VIGENTE</v>
      </c>
      <c r="AA70" s="5"/>
      <c r="AB70" s="2"/>
      <c r="AC70" s="6"/>
      <c r="AD70" s="4"/>
      <c r="AE70" s="8"/>
      <c r="AF70" s="5" t="str">
        <f t="shared" si="247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8"/>
        <v>487</v>
      </c>
      <c r="AK70" s="5" t="str">
        <f t="shared" ca="1" si="219"/>
        <v>VIGENTE</v>
      </c>
      <c r="AL70" s="3"/>
      <c r="AM70" s="4">
        <v>45937</v>
      </c>
      <c r="AN70" s="4">
        <f t="shared" si="241"/>
        <v>46667</v>
      </c>
      <c r="AO70" s="8">
        <f t="shared" ca="1" si="249"/>
        <v>522</v>
      </c>
      <c r="AP70" s="5" t="str">
        <f t="shared" ca="1" si="250"/>
        <v>VIGENTE</v>
      </c>
      <c r="AQ70" s="3"/>
      <c r="AR70" s="4">
        <v>45904</v>
      </c>
      <c r="AS70" s="4">
        <f t="shared" si="237"/>
        <v>46634</v>
      </c>
      <c r="AT70" s="8">
        <f t="shared" ca="1" si="251"/>
        <v>489</v>
      </c>
      <c r="AU70" s="5" t="str">
        <f t="shared" ca="1" si="252"/>
        <v>VIGENTE</v>
      </c>
      <c r="AV70" s="3"/>
      <c r="AW70" s="4">
        <v>45927</v>
      </c>
      <c r="AX70" s="4">
        <f t="shared" si="232"/>
        <v>46657</v>
      </c>
      <c r="AY70" s="8">
        <f t="shared" ca="1" si="253"/>
        <v>512</v>
      </c>
      <c r="AZ70" s="5" t="str">
        <f t="shared" ca="1" si="254"/>
        <v>VIGENTE</v>
      </c>
      <c r="BA70" s="3"/>
      <c r="BB70" s="4">
        <v>45742</v>
      </c>
      <c r="BC70" s="4">
        <f t="shared" ref="BC70:BC75" si="362">DATE(YEAR(BB70)+2,MONTH(BB70),DAY(BB70)-1)</f>
        <v>46471</v>
      </c>
      <c r="BD70" s="8">
        <f t="shared" ca="1" si="255"/>
        <v>326</v>
      </c>
      <c r="BE70" s="5" t="str">
        <f t="shared" ca="1" si="256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7"/>
        <v>282</v>
      </c>
      <c r="BJ70" s="5" t="str">
        <f t="shared" ca="1" si="258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9"/>
        <v>283</v>
      </c>
      <c r="BO70" s="5" t="str">
        <f t="shared" ca="1" si="260"/>
        <v>VIGENTE</v>
      </c>
      <c r="BP70" s="3"/>
      <c r="BQ70" s="39">
        <v>45621</v>
      </c>
      <c r="BR70" s="4">
        <f>DATE(YEAR(BQ70)+2,MONTH(BQ70),DAY(BQ70)-1)</f>
        <v>46350</v>
      </c>
      <c r="BS70" s="8">
        <f t="shared" ca="1" si="261"/>
        <v>205</v>
      </c>
      <c r="BT70" s="5" t="str">
        <f t="shared" ca="1" si="262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3"/>
        <v>195</v>
      </c>
      <c r="BY70" s="5" t="str">
        <f t="shared" ca="1" si="264"/>
        <v>VIGENTE</v>
      </c>
      <c r="BZ70" s="3"/>
      <c r="CA70" s="4">
        <v>45911</v>
      </c>
      <c r="CB70" s="4">
        <f t="shared" si="239"/>
        <v>46641</v>
      </c>
      <c r="CC70" s="8">
        <f t="shared" ca="1" si="265"/>
        <v>496</v>
      </c>
      <c r="CD70" s="5" t="str">
        <f t="shared" ca="1" si="266"/>
        <v>VIGENTE</v>
      </c>
      <c r="CE70" s="6"/>
      <c r="CF70" s="4">
        <v>45828</v>
      </c>
      <c r="CG70" s="4">
        <f t="shared" si="267"/>
        <v>47289</v>
      </c>
      <c r="CH70" s="8">
        <f t="shared" ca="1" si="268"/>
        <v>1144</v>
      </c>
      <c r="CI70" s="5" t="str">
        <f t="shared" ca="1" si="269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0"/>
        <v>272</v>
      </c>
      <c r="CN70" s="5" t="str">
        <f t="shared" ca="1" si="271"/>
        <v>VIGENTE</v>
      </c>
      <c r="CO70" s="3"/>
      <c r="CP70" s="39">
        <v>45684</v>
      </c>
      <c r="CQ70" s="4">
        <f>DATE(YEAR(CP70)+2,MONTH(CP70),DAY(CP70)-1)</f>
        <v>46413</v>
      </c>
      <c r="CR70" s="8">
        <f t="shared" ca="1" si="272"/>
        <v>268</v>
      </c>
      <c r="CS70" s="5" t="str">
        <f t="shared" ca="1" si="273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4"/>
        <v>490</v>
      </c>
      <c r="CX70" s="5" t="str">
        <f t="shared" ca="1" si="275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6"/>
        <v>420</v>
      </c>
      <c r="DC70" s="5" t="str">
        <f t="shared" ca="1" si="277"/>
        <v>VIGENTE</v>
      </c>
      <c r="DD70" s="3"/>
      <c r="DE70" s="39">
        <v>45723</v>
      </c>
      <c r="DF70" s="4">
        <f>DATE(YEAR(DE70)+2,MONTH(DE70),DAY(DE70)-1)</f>
        <v>46452</v>
      </c>
      <c r="DG70" s="8">
        <f t="shared" ca="1" si="278"/>
        <v>307</v>
      </c>
      <c r="DH70" s="5" t="str">
        <f t="shared" ca="1" si="279"/>
        <v>VIGENTE</v>
      </c>
      <c r="DI70" s="3"/>
      <c r="DJ70" s="39">
        <v>45899</v>
      </c>
      <c r="DK70" s="4">
        <f t="shared" si="240"/>
        <v>46629</v>
      </c>
      <c r="DL70" s="8">
        <f t="shared" ca="1" si="280"/>
        <v>484</v>
      </c>
      <c r="DM70" s="5" t="str">
        <f t="shared" ca="1" si="281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2"/>
        <v>567</v>
      </c>
      <c r="DR70" s="5" t="str">
        <f t="shared" ca="1" si="283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4"/>
        <v>327</v>
      </c>
      <c r="DW70" s="5" t="str">
        <f t="shared" ca="1" si="285"/>
        <v>VIGENTE</v>
      </c>
      <c r="DX70" s="3"/>
      <c r="DY70" s="4">
        <v>45663</v>
      </c>
      <c r="DZ70" s="4">
        <f t="shared" si="354"/>
        <v>46392</v>
      </c>
      <c r="EA70" s="8">
        <f t="shared" ca="1" si="286"/>
        <v>247</v>
      </c>
      <c r="EB70" s="5" t="str">
        <f t="shared" ca="1" si="287"/>
        <v>VIGENTE</v>
      </c>
      <c r="EC70" s="3"/>
      <c r="ED70" s="39">
        <v>45674</v>
      </c>
      <c r="EE70" s="4">
        <f>DATE(YEAR(ED70)+2,MONTH(ED70),DAY(ED70)-1)</f>
        <v>46403</v>
      </c>
      <c r="EF70" s="8">
        <f t="shared" ca="1" si="288"/>
        <v>258</v>
      </c>
      <c r="EG70" s="5" t="str">
        <f t="shared" ca="1" si="289"/>
        <v>VIGENTE</v>
      </c>
      <c r="EH70" s="3"/>
      <c r="EI70" s="3">
        <v>46085</v>
      </c>
      <c r="EJ70" s="4">
        <f t="shared" si="355"/>
        <v>46450</v>
      </c>
      <c r="EK70" s="8">
        <f t="shared" ca="1" si="290"/>
        <v>305</v>
      </c>
      <c r="EL70" s="5" t="str">
        <f t="shared" ca="1" si="291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2"/>
        <v>321</v>
      </c>
      <c r="EQ70" s="5" t="str">
        <f t="shared" ca="1" si="293"/>
        <v>VIGENTE</v>
      </c>
      <c r="ER70" s="3"/>
      <c r="ES70" s="39">
        <v>45677</v>
      </c>
      <c r="ET70" s="4">
        <f t="shared" ref="ET70:ET76" si="363">DATE(YEAR(ES70)+2,MONTH(ES70),DAY(ES70)-1)</f>
        <v>46406</v>
      </c>
      <c r="EU70" s="8">
        <f t="shared" ca="1" si="294"/>
        <v>261</v>
      </c>
      <c r="EV70" s="5" t="str">
        <f t="shared" ca="1" si="295"/>
        <v>VIGENTE</v>
      </c>
      <c r="EW70" s="3"/>
      <c r="EX70" s="4">
        <v>45917</v>
      </c>
      <c r="EY70" s="4">
        <f t="shared" si="234"/>
        <v>46647</v>
      </c>
      <c r="EZ70" s="8">
        <f t="shared" ca="1" si="296"/>
        <v>502</v>
      </c>
      <c r="FA70" s="5" t="str">
        <f t="shared" ca="1" si="297"/>
        <v>VIGENTE</v>
      </c>
      <c r="FB70" s="3"/>
      <c r="FC70" s="4">
        <v>45931</v>
      </c>
      <c r="FD70" s="4">
        <f t="shared" si="235"/>
        <v>46661</v>
      </c>
      <c r="FE70" s="8">
        <f t="shared" ca="1" si="298"/>
        <v>516</v>
      </c>
      <c r="FF70" s="5" t="str">
        <f t="shared" ca="1" si="299"/>
        <v>VIGENTE</v>
      </c>
      <c r="FG70" s="3"/>
      <c r="FH70" s="4">
        <v>45932</v>
      </c>
      <c r="FI70" s="4">
        <f t="shared" si="236"/>
        <v>46662</v>
      </c>
      <c r="FJ70" s="8">
        <f t="shared" ca="1" si="300"/>
        <v>517</v>
      </c>
      <c r="FK70" s="5" t="str">
        <f t="shared" ca="1" si="301"/>
        <v>VIGENTE</v>
      </c>
      <c r="FL70" s="3"/>
      <c r="FM70" s="39">
        <v>45588</v>
      </c>
      <c r="FN70" s="4">
        <f t="shared" ref="FN70:FN76" si="364">DATE(YEAR(FM70)+2,MONTH(FM70),DAY(FM70)-1)</f>
        <v>46317</v>
      </c>
      <c r="FO70" s="8">
        <f t="shared" ca="1" si="302"/>
        <v>172</v>
      </c>
      <c r="FP70" s="5" t="str">
        <f t="shared" ca="1" si="303"/>
        <v>VIGENTE</v>
      </c>
      <c r="FQ70" s="3"/>
      <c r="FR70" s="39">
        <v>45747</v>
      </c>
      <c r="FS70" s="4">
        <f>DATE(YEAR(FR70)+2,MONTH(FR70),DAY(FR70)-1)</f>
        <v>46476</v>
      </c>
      <c r="FT70" s="8">
        <f t="shared" ca="1" si="304"/>
        <v>331</v>
      </c>
      <c r="FU70" s="5" t="str">
        <f t="shared" ca="1" si="305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6"/>
        <v>578</v>
      </c>
      <c r="FZ70" s="5" t="str">
        <f t="shared" ca="1" si="307"/>
        <v>VIGENTE</v>
      </c>
      <c r="GA70" s="3"/>
      <c r="GB70" s="4">
        <v>45715</v>
      </c>
      <c r="GC70" s="4">
        <f t="shared" ref="GC70:GC75" si="365">DATE(YEAR(GB70)+2,MONTH(GB70),DAY(GB70)-1)</f>
        <v>46444</v>
      </c>
      <c r="GD70" s="8">
        <f t="shared" ca="1" si="308"/>
        <v>299</v>
      </c>
      <c r="GE70" s="5" t="str">
        <f t="shared" ca="1" si="309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0"/>
        <v>315</v>
      </c>
      <c r="GJ70" s="5" t="str">
        <f t="shared" ca="1" si="311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2"/>
        <v>199</v>
      </c>
      <c r="GO70" s="5" t="str">
        <f t="shared" ca="1" si="313"/>
        <v>VIGENTE</v>
      </c>
      <c r="GP70" s="4"/>
      <c r="GQ70" s="4">
        <v>45072</v>
      </c>
      <c r="GR70" s="4">
        <f t="shared" si="314"/>
        <v>46899</v>
      </c>
      <c r="GS70" s="8">
        <f t="shared" ca="1" si="176"/>
        <v>754</v>
      </c>
      <c r="GT70" s="5" t="str">
        <f t="shared" ca="1" si="315"/>
        <v>VIGENTE</v>
      </c>
      <c r="GU70" s="3"/>
      <c r="GV70" s="4">
        <v>44984</v>
      </c>
      <c r="GW70" s="4">
        <f t="shared" si="316"/>
        <v>46810</v>
      </c>
      <c r="GX70" s="8">
        <f t="shared" ca="1" si="317"/>
        <v>665</v>
      </c>
      <c r="GY70" s="5" t="str">
        <f t="shared" ca="1" si="318"/>
        <v>VIGENTE</v>
      </c>
      <c r="GZ70" s="2"/>
      <c r="HA70" s="4">
        <v>45003</v>
      </c>
      <c r="HB70" s="4">
        <f t="shared" si="319"/>
        <v>46830</v>
      </c>
      <c r="HC70" s="8">
        <f t="shared" ca="1" si="320"/>
        <v>685</v>
      </c>
      <c r="HD70" s="5" t="str">
        <f t="shared" ca="1" si="321"/>
        <v>VIGENTE</v>
      </c>
      <c r="HE70" s="6"/>
      <c r="HF70" s="6"/>
      <c r="HG70" s="4"/>
      <c r="HH70" s="8"/>
      <c r="HI70" s="5" t="str">
        <f t="shared" si="224"/>
        <v>NO APLICA</v>
      </c>
      <c r="HJ70" s="2"/>
      <c r="HK70" s="6"/>
      <c r="HL70" s="4"/>
      <c r="HM70" s="8"/>
      <c r="HN70" s="5" t="str">
        <f t="shared" si="228"/>
        <v>NO APLICA</v>
      </c>
      <c r="HO70" s="2"/>
      <c r="HP70" s="2"/>
      <c r="HQ70" s="4"/>
      <c r="HR70" s="2"/>
      <c r="HS70" s="5" t="str">
        <f t="shared" si="322"/>
        <v>NO APLICA</v>
      </c>
      <c r="HT70" s="2"/>
      <c r="HU70" s="6"/>
      <c r="HV70" s="4"/>
      <c r="HW70" s="8"/>
      <c r="HX70" s="5" t="str">
        <f t="shared" si="323"/>
        <v>NO APLICA</v>
      </c>
      <c r="HY70" s="2"/>
      <c r="HZ70" s="6"/>
      <c r="IA70" s="4"/>
      <c r="IB70" s="8"/>
      <c r="IC70" s="5" t="str">
        <f t="shared" si="324"/>
        <v>NO APLICA</v>
      </c>
      <c r="ID70" s="2"/>
      <c r="IE70" s="6"/>
      <c r="IF70" s="4"/>
      <c r="IG70" s="8"/>
      <c r="IH70" s="5" t="str">
        <f t="shared" si="325"/>
        <v>NO APLICA</v>
      </c>
      <c r="II70" s="6"/>
      <c r="IJ70" s="6"/>
      <c r="IK70" s="4"/>
      <c r="IL70" s="8"/>
      <c r="IM70" s="5" t="str">
        <f t="shared" si="326"/>
        <v>NO APLICA</v>
      </c>
      <c r="IN70" s="2"/>
      <c r="IO70" s="6"/>
      <c r="IP70" s="4"/>
      <c r="IQ70" s="8"/>
      <c r="IR70" s="5" t="str">
        <f t="shared" si="327"/>
        <v>NO APLICA</v>
      </c>
      <c r="IS70" s="2"/>
      <c r="IT70" s="6"/>
      <c r="IU70" s="4"/>
      <c r="IV70" s="8"/>
      <c r="IW70" s="5" t="str">
        <f t="shared" si="328"/>
        <v>NO APLICA</v>
      </c>
      <c r="IX70" s="2"/>
      <c r="IY70" s="6"/>
      <c r="IZ70" s="4"/>
      <c r="JA70" s="8"/>
      <c r="JB70" s="5" t="str">
        <f t="shared" si="329"/>
        <v>NO APLICA</v>
      </c>
      <c r="JC70" s="3" t="s">
        <v>780</v>
      </c>
      <c r="JD70" s="3"/>
      <c r="JE70" s="4"/>
      <c r="JF70" s="8"/>
      <c r="JG70" s="5"/>
      <c r="JH70" s="3" t="s">
        <v>780</v>
      </c>
      <c r="JI70" s="6"/>
      <c r="JJ70" s="6"/>
      <c r="JK70" s="6"/>
      <c r="JL70" s="5"/>
      <c r="JM70" s="6" t="s">
        <v>780</v>
      </c>
      <c r="JN70" s="6"/>
      <c r="JO70" s="6"/>
      <c r="JP70" s="6"/>
      <c r="JQ70" s="5"/>
      <c r="JR70" s="6" t="s">
        <v>780</v>
      </c>
      <c r="JS70" s="6"/>
      <c r="JT70" s="6"/>
      <c r="JU70" s="6"/>
      <c r="JV70" s="5"/>
      <c r="JW70" s="6" t="s">
        <v>780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30"/>
        <v>NO APLICA</v>
      </c>
      <c r="KG70" s="5"/>
      <c r="KH70" s="2"/>
      <c r="KI70" s="4"/>
      <c r="KJ70" s="8"/>
      <c r="KK70" s="5" t="str">
        <f t="shared" si="356"/>
        <v>NO APLICA</v>
      </c>
      <c r="KL70" s="5"/>
      <c r="KM70" s="2"/>
      <c r="KN70" s="4"/>
      <c r="KO70" s="8"/>
      <c r="KP70" s="5" t="str">
        <f t="shared" si="331"/>
        <v>NO APLICA</v>
      </c>
      <c r="KQ70" s="5"/>
      <c r="KR70" s="2"/>
      <c r="KS70" s="4"/>
      <c r="KT70" s="8"/>
      <c r="KU70" s="5" t="str">
        <f t="shared" si="357"/>
        <v>NO APLICA</v>
      </c>
      <c r="KV70" s="2"/>
      <c r="KW70" s="6"/>
      <c r="KX70" s="4"/>
      <c r="KY70" s="8"/>
      <c r="KZ70" s="5" t="str">
        <f t="shared" ref="KZ70:KZ133" si="366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8"/>
        <v>NO APLICA</v>
      </c>
      <c r="LF70" s="6"/>
      <c r="LG70" s="6"/>
      <c r="LH70" s="4"/>
      <c r="LI70" s="8"/>
      <c r="LJ70" s="5" t="str">
        <f t="shared" si="332"/>
        <v>NO APLICA</v>
      </c>
      <c r="LK70" s="5"/>
      <c r="LL70" s="5"/>
      <c r="LM70" s="4"/>
      <c r="LN70" s="8"/>
      <c r="LO70" s="5" t="str">
        <f t="shared" ref="LO70:LO133" si="367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9"/>
        <v>NO APLICA</v>
      </c>
      <c r="LU70" s="6"/>
      <c r="LV70" s="6"/>
      <c r="LW70" s="4"/>
      <c r="LX70" s="8"/>
      <c r="LY70" s="5" t="str">
        <f t="shared" si="360"/>
        <v>NO APLICA</v>
      </c>
      <c r="LZ70" s="6"/>
      <c r="MA70" s="6"/>
      <c r="MB70" s="4"/>
      <c r="MC70" s="8"/>
      <c r="MD70" s="5" t="str">
        <f t="shared" si="361"/>
        <v>NO APLICA</v>
      </c>
      <c r="ME70" s="2"/>
      <c r="MF70" s="2"/>
      <c r="MG70" s="4"/>
      <c r="MH70" s="8"/>
      <c r="MI70" s="5" t="str">
        <f t="shared" si="333"/>
        <v>NO APLICA</v>
      </c>
      <c r="MJ70" s="2"/>
      <c r="MK70" s="2"/>
      <c r="ML70" s="4"/>
      <c r="MM70" s="8"/>
      <c r="MN70" s="5" t="str">
        <f t="shared" si="334"/>
        <v>NO APLICA</v>
      </c>
      <c r="MO70" s="5"/>
      <c r="MP70" s="2"/>
      <c r="MQ70" s="4"/>
      <c r="MR70" s="8"/>
      <c r="MS70" s="5" t="str">
        <f t="shared" si="335"/>
        <v>NO APLICA</v>
      </c>
      <c r="MT70" s="5"/>
      <c r="MU70" s="2"/>
      <c r="MV70" s="4"/>
      <c r="MW70" s="2"/>
      <c r="MX70" s="5" t="str">
        <f t="shared" si="336"/>
        <v>NO APLICA</v>
      </c>
      <c r="MY70" s="2"/>
      <c r="MZ70" s="6"/>
      <c r="NA70" s="4"/>
      <c r="NB70" s="8"/>
      <c r="NC70" s="5" t="str">
        <f t="shared" si="337"/>
        <v>NO APLICA</v>
      </c>
      <c r="ND70" s="2"/>
      <c r="NE70" s="6"/>
      <c r="NF70" s="4"/>
      <c r="NG70" s="8"/>
      <c r="NH70" s="5" t="str">
        <f t="shared" si="338"/>
        <v>NO APLICA</v>
      </c>
      <c r="NI70" s="2"/>
      <c r="NJ70" s="6"/>
      <c r="NK70" s="4"/>
      <c r="NL70" s="8"/>
      <c r="NM70" s="5" t="str">
        <f t="shared" si="339"/>
        <v>NO APLICA</v>
      </c>
      <c r="NN70" s="2"/>
      <c r="NO70" s="2"/>
      <c r="NP70" s="4"/>
      <c r="NQ70" s="2"/>
      <c r="NR70" s="5" t="str">
        <f t="shared" si="340"/>
        <v>NO APLICA</v>
      </c>
      <c r="NS70" s="2"/>
      <c r="NT70" s="2"/>
      <c r="NU70" s="2"/>
      <c r="NV70" s="2"/>
      <c r="NW70" s="5" t="str">
        <f t="shared" si="341"/>
        <v>NO APLICA</v>
      </c>
      <c r="NX70" s="6"/>
      <c r="NY70" s="6"/>
      <c r="NZ70" s="4"/>
      <c r="OA70" s="8"/>
      <c r="OB70" s="5" t="str">
        <f t="shared" si="342"/>
        <v>NO APLICA</v>
      </c>
      <c r="OC70" s="6"/>
      <c r="OD70" s="6"/>
      <c r="OE70" s="6"/>
      <c r="OF70" s="6"/>
      <c r="OG70" s="5" t="str">
        <f t="shared" si="343"/>
        <v>NO APLICA</v>
      </c>
      <c r="OH70" s="2"/>
      <c r="OI70" s="2"/>
      <c r="OJ70" s="4"/>
      <c r="OK70" s="8"/>
      <c r="OL70" s="5" t="str">
        <f t="shared" si="344"/>
        <v>NO APLICA</v>
      </c>
      <c r="OM70" s="6"/>
      <c r="ON70" s="6"/>
      <c r="OO70" s="6"/>
      <c r="OP70" s="6"/>
      <c r="OQ70" s="5" t="str">
        <f t="shared" si="345"/>
        <v>NO APLICA</v>
      </c>
      <c r="OR70" s="6"/>
      <c r="OS70" s="6"/>
      <c r="OT70" s="6"/>
      <c r="OU70" s="6"/>
      <c r="OV70" s="5" t="str">
        <f t="shared" si="346"/>
        <v>NO APLICA</v>
      </c>
      <c r="OW70" s="6"/>
      <c r="OX70" s="6"/>
      <c r="OY70" s="6"/>
      <c r="OZ70" s="6"/>
      <c r="PA70" s="5" t="str">
        <f t="shared" si="347"/>
        <v>NO APLICA</v>
      </c>
      <c r="PB70" s="6"/>
      <c r="PC70" s="6"/>
      <c r="PD70" s="6"/>
      <c r="PE70" s="6"/>
      <c r="PF70" s="5" t="str">
        <f t="shared" si="348"/>
        <v>NO APLICA</v>
      </c>
      <c r="PG70" s="6"/>
      <c r="PH70" s="6"/>
      <c r="PI70" s="6"/>
      <c r="PJ70" s="6"/>
      <c r="PK70" s="5" t="str">
        <f t="shared" si="349"/>
        <v>NO APLICA</v>
      </c>
      <c r="PL70" s="5"/>
      <c r="PM70" s="6"/>
      <c r="PN70" s="4"/>
      <c r="PO70" s="8"/>
      <c r="PP70" s="5" t="str">
        <f t="shared" si="350"/>
        <v>NO APLICA</v>
      </c>
      <c r="PQ70" s="6"/>
      <c r="PR70" s="6"/>
      <c r="PS70" s="6"/>
      <c r="PT70" s="6"/>
      <c r="PU70" s="5" t="str">
        <f t="shared" si="351"/>
        <v>NO APLICA</v>
      </c>
      <c r="PV70" s="5"/>
      <c r="PW70" s="6"/>
      <c r="PX70" s="6"/>
      <c r="PY70" s="6"/>
      <c r="PZ70" s="5" t="str">
        <f t="shared" si="352"/>
        <v>NO APLICA</v>
      </c>
    </row>
    <row r="71" spans="1:442" ht="15.6" hidden="1" thickTop="1" thickBot="1" x14ac:dyDescent="0.35">
      <c r="A71" s="26">
        <v>68</v>
      </c>
      <c r="B71" s="27">
        <v>1583</v>
      </c>
      <c r="C71" s="28" t="s">
        <v>267</v>
      </c>
      <c r="D71" s="29" t="s">
        <v>113</v>
      </c>
      <c r="E71" s="30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2"/>
        <v>VIGENTE</v>
      </c>
      <c r="K71" s="3"/>
      <c r="L71" s="4"/>
      <c r="M71" s="6"/>
      <c r="N71" s="8"/>
      <c r="O71" s="5" t="str">
        <f t="shared" si="243"/>
        <v>NO APLICA</v>
      </c>
      <c r="P71" s="6"/>
      <c r="Q71" s="6"/>
      <c r="R71" s="4"/>
      <c r="S71" s="8"/>
      <c r="T71" s="5" t="str">
        <f t="shared" si="353"/>
        <v>NO APLICA</v>
      </c>
      <c r="U71" s="5"/>
      <c r="V71" s="2" t="s">
        <v>268</v>
      </c>
      <c r="W71" s="4">
        <v>46069</v>
      </c>
      <c r="X71" s="4">
        <f t="shared" si="244"/>
        <v>47895</v>
      </c>
      <c r="Y71" s="8">
        <f t="shared" ca="1" si="245"/>
        <v>1750</v>
      </c>
      <c r="Z71" s="5" t="str">
        <f t="shared" ca="1" si="246"/>
        <v>VIGENTE</v>
      </c>
      <c r="AA71" s="5"/>
      <c r="AB71" s="2"/>
      <c r="AC71" s="6"/>
      <c r="AD71" s="4"/>
      <c r="AE71" s="8"/>
      <c r="AF71" s="5" t="str">
        <f t="shared" si="247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8"/>
        <v>487</v>
      </c>
      <c r="AK71" s="5" t="str">
        <f t="shared" ca="1" si="219"/>
        <v>VIGENTE</v>
      </c>
      <c r="AL71" s="3"/>
      <c r="AM71" s="4">
        <v>45903</v>
      </c>
      <c r="AN71" s="4">
        <f t="shared" si="241"/>
        <v>46633</v>
      </c>
      <c r="AO71" s="8">
        <f t="shared" ca="1" si="249"/>
        <v>488</v>
      </c>
      <c r="AP71" s="5" t="str">
        <f t="shared" ca="1" si="250"/>
        <v>VIGENTE</v>
      </c>
      <c r="AQ71" s="3"/>
      <c r="AR71" s="4">
        <v>45904</v>
      </c>
      <c r="AS71" s="4">
        <f t="shared" si="237"/>
        <v>46634</v>
      </c>
      <c r="AT71" s="8">
        <f t="shared" ca="1" si="251"/>
        <v>489</v>
      </c>
      <c r="AU71" s="5" t="str">
        <f t="shared" ca="1" si="252"/>
        <v>VIGENTE</v>
      </c>
      <c r="AV71" s="3"/>
      <c r="AW71" s="4">
        <v>45927</v>
      </c>
      <c r="AX71" s="4">
        <f t="shared" si="232"/>
        <v>46657</v>
      </c>
      <c r="AY71" s="8">
        <f t="shared" ca="1" si="253"/>
        <v>512</v>
      </c>
      <c r="AZ71" s="5" t="str">
        <f t="shared" ca="1" si="254"/>
        <v>VIGENTE</v>
      </c>
      <c r="BA71" s="3"/>
      <c r="BB71" s="4">
        <v>45742</v>
      </c>
      <c r="BC71" s="4">
        <f t="shared" si="362"/>
        <v>46471</v>
      </c>
      <c r="BD71" s="8">
        <f t="shared" ca="1" si="255"/>
        <v>326</v>
      </c>
      <c r="BE71" s="5" t="str">
        <f t="shared" ca="1" si="256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7"/>
        <v>282</v>
      </c>
      <c r="BJ71" s="5" t="str">
        <f t="shared" ca="1" si="258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9"/>
        <v>641</v>
      </c>
      <c r="BO71" s="5" t="str">
        <f t="shared" ca="1" si="260"/>
        <v>VIGENTE</v>
      </c>
      <c r="BP71" s="3"/>
      <c r="BQ71" s="39">
        <v>46050</v>
      </c>
      <c r="BR71" s="4">
        <f>DATE(YEAR(BQ71)+2,MONTH(BQ71),DAY(BQ71))</f>
        <v>46780</v>
      </c>
      <c r="BS71" s="8">
        <f t="shared" ca="1" si="261"/>
        <v>635</v>
      </c>
      <c r="BT71" s="5" t="str">
        <f t="shared" ca="1" si="262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3"/>
        <v>152</v>
      </c>
      <c r="BY71" s="5" t="str">
        <f t="shared" ca="1" si="264"/>
        <v>VIGENTE</v>
      </c>
      <c r="BZ71" s="3"/>
      <c r="CA71" s="4">
        <v>45911</v>
      </c>
      <c r="CB71" s="4">
        <f t="shared" si="239"/>
        <v>46641</v>
      </c>
      <c r="CC71" s="8">
        <f t="shared" ca="1" si="265"/>
        <v>496</v>
      </c>
      <c r="CD71" s="5" t="str">
        <f t="shared" ca="1" si="266"/>
        <v>VIGENTE</v>
      </c>
      <c r="CE71" s="6"/>
      <c r="CF71" s="4">
        <v>45723</v>
      </c>
      <c r="CG71" s="4">
        <f t="shared" si="267"/>
        <v>47184</v>
      </c>
      <c r="CH71" s="8">
        <f t="shared" ca="1" si="268"/>
        <v>1039</v>
      </c>
      <c r="CI71" s="5" t="str">
        <f t="shared" ca="1" si="269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0"/>
        <v>185</v>
      </c>
      <c r="CN71" s="5" t="str">
        <f t="shared" ca="1" si="271"/>
        <v>VIGENTE</v>
      </c>
      <c r="CO71" s="3"/>
      <c r="CP71" s="39">
        <v>45769</v>
      </c>
      <c r="CQ71" s="4">
        <f>DATE(YEAR(CP71)+2,MONTH(CP71),DAY(CP71))</f>
        <v>46499</v>
      </c>
      <c r="CR71" s="8">
        <f t="shared" ca="1" si="272"/>
        <v>354</v>
      </c>
      <c r="CS71" s="5" t="str">
        <f t="shared" ca="1" si="273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4"/>
        <v>628</v>
      </c>
      <c r="CX71" s="5" t="str">
        <f t="shared" ca="1" si="275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6"/>
        <v>684</v>
      </c>
      <c r="DC71" s="5" t="str">
        <f t="shared" ca="1" si="277"/>
        <v>VIGENTE</v>
      </c>
      <c r="DD71" s="3"/>
      <c r="DE71" s="39">
        <v>46076</v>
      </c>
      <c r="DF71" s="4">
        <f>DATE(YEAR(DE71)+2,MONTH(DE71),DAY(DE71))</f>
        <v>46806</v>
      </c>
      <c r="DG71" s="8">
        <f t="shared" ca="1" si="278"/>
        <v>661</v>
      </c>
      <c r="DH71" s="5" t="str">
        <f t="shared" ca="1" si="279"/>
        <v>VIGENTE</v>
      </c>
      <c r="DI71" s="3"/>
      <c r="DJ71" s="39">
        <v>45975</v>
      </c>
      <c r="DK71" s="4">
        <f t="shared" si="240"/>
        <v>46705</v>
      </c>
      <c r="DL71" s="8">
        <f t="shared" ca="1" si="280"/>
        <v>560</v>
      </c>
      <c r="DM71" s="5" t="str">
        <f t="shared" ca="1" si="281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2"/>
        <v>567</v>
      </c>
      <c r="DR71" s="5" t="str">
        <f t="shared" ca="1" si="283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4"/>
        <v>192</v>
      </c>
      <c r="DW71" s="5" t="str">
        <f t="shared" ca="1" si="285"/>
        <v>VIGENTE</v>
      </c>
      <c r="DX71" s="3"/>
      <c r="DY71" s="4">
        <v>45663</v>
      </c>
      <c r="DZ71" s="4">
        <f t="shared" si="354"/>
        <v>46392</v>
      </c>
      <c r="EA71" s="8">
        <f t="shared" ca="1" si="286"/>
        <v>247</v>
      </c>
      <c r="EB71" s="5" t="str">
        <f t="shared" ca="1" si="287"/>
        <v>VIGENTE</v>
      </c>
      <c r="EC71" s="3"/>
      <c r="ED71" s="39">
        <v>45730</v>
      </c>
      <c r="EE71" s="4">
        <f>DATE(YEAR(ED71)+2,MONTH(ED71),DAY(ED71)-1)</f>
        <v>46459</v>
      </c>
      <c r="EF71" s="8">
        <f t="shared" ca="1" si="288"/>
        <v>314</v>
      </c>
      <c r="EG71" s="5" t="str">
        <f t="shared" ca="1" si="289"/>
        <v>VIGENTE</v>
      </c>
      <c r="EH71" s="3"/>
      <c r="EI71" s="3">
        <v>46085</v>
      </c>
      <c r="EJ71" s="4">
        <f t="shared" si="355"/>
        <v>46450</v>
      </c>
      <c r="EK71" s="8">
        <f t="shared" ca="1" si="290"/>
        <v>305</v>
      </c>
      <c r="EL71" s="5" t="str">
        <f t="shared" ca="1" si="291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2"/>
        <v>686</v>
      </c>
      <c r="EQ71" s="5" t="str">
        <f t="shared" ca="1" si="293"/>
        <v>VIGENTE</v>
      </c>
      <c r="ER71" s="3"/>
      <c r="ES71" s="39">
        <v>45575</v>
      </c>
      <c r="ET71" s="4">
        <f t="shared" si="363"/>
        <v>46304</v>
      </c>
      <c r="EU71" s="8">
        <f t="shared" ca="1" si="294"/>
        <v>159</v>
      </c>
      <c r="EV71" s="5" t="str">
        <f t="shared" ca="1" si="295"/>
        <v>VIGENTE</v>
      </c>
      <c r="EW71" s="3"/>
      <c r="EX71" s="4">
        <v>45917</v>
      </c>
      <c r="EY71" s="4">
        <f t="shared" si="234"/>
        <v>46647</v>
      </c>
      <c r="EZ71" s="8">
        <f t="shared" ca="1" si="296"/>
        <v>502</v>
      </c>
      <c r="FA71" s="5" t="str">
        <f t="shared" ca="1" si="297"/>
        <v>VIGENTE</v>
      </c>
      <c r="FB71" s="3"/>
      <c r="FC71" s="4">
        <v>45931</v>
      </c>
      <c r="FD71" s="4">
        <f t="shared" si="235"/>
        <v>46661</v>
      </c>
      <c r="FE71" s="8">
        <f t="shared" ca="1" si="298"/>
        <v>516</v>
      </c>
      <c r="FF71" s="5" t="str">
        <f t="shared" ca="1" si="299"/>
        <v>VIGENTE</v>
      </c>
      <c r="FG71" s="3"/>
      <c r="FH71" s="4">
        <v>45932</v>
      </c>
      <c r="FI71" s="4">
        <f t="shared" si="236"/>
        <v>46662</v>
      </c>
      <c r="FJ71" s="8">
        <f t="shared" ca="1" si="300"/>
        <v>517</v>
      </c>
      <c r="FK71" s="5" t="str">
        <f t="shared" ca="1" si="301"/>
        <v>VIGENTE</v>
      </c>
      <c r="FL71" s="3"/>
      <c r="FM71" s="39">
        <v>45576</v>
      </c>
      <c r="FN71" s="4">
        <f t="shared" si="364"/>
        <v>46305</v>
      </c>
      <c r="FO71" s="8">
        <f t="shared" ca="1" si="302"/>
        <v>160</v>
      </c>
      <c r="FP71" s="5" t="str">
        <f t="shared" ca="1" si="303"/>
        <v>VIGENTE</v>
      </c>
      <c r="FQ71" s="3"/>
      <c r="FR71" s="39">
        <v>46077</v>
      </c>
      <c r="FS71" s="4">
        <f>DATE(YEAR(FR71)+2,MONTH(FR71),DAY(FR71))</f>
        <v>46807</v>
      </c>
      <c r="FT71" s="8">
        <f t="shared" ca="1" si="304"/>
        <v>662</v>
      </c>
      <c r="FU71" s="5" t="str">
        <f t="shared" ca="1" si="305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6"/>
        <v>526</v>
      </c>
      <c r="FZ71" s="5" t="str">
        <f t="shared" ca="1" si="307"/>
        <v>VIGENTE</v>
      </c>
      <c r="GA71" s="3"/>
      <c r="GB71" s="4">
        <v>45667</v>
      </c>
      <c r="GC71" s="4">
        <f t="shared" si="365"/>
        <v>46396</v>
      </c>
      <c r="GD71" s="8">
        <f t="shared" ca="1" si="308"/>
        <v>251</v>
      </c>
      <c r="GE71" s="5" t="str">
        <f t="shared" ca="1" si="309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0"/>
        <v>621</v>
      </c>
      <c r="GJ71" s="5" t="str">
        <f t="shared" ca="1" si="311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2"/>
        <v>271</v>
      </c>
      <c r="GO71" s="5" t="str">
        <f t="shared" ca="1" si="313"/>
        <v>VIGENTE</v>
      </c>
      <c r="GP71" s="4"/>
      <c r="GQ71" s="4">
        <v>45013</v>
      </c>
      <c r="GR71" s="4">
        <f t="shared" si="314"/>
        <v>46840</v>
      </c>
      <c r="GS71" s="8">
        <f t="shared" ca="1" si="176"/>
        <v>695</v>
      </c>
      <c r="GT71" s="5" t="str">
        <f t="shared" ca="1" si="315"/>
        <v>VIGENTE</v>
      </c>
      <c r="GU71" s="3"/>
      <c r="GV71" s="4">
        <v>44952</v>
      </c>
      <c r="GW71" s="4">
        <f t="shared" si="316"/>
        <v>46778</v>
      </c>
      <c r="GX71" s="8">
        <f t="shared" ca="1" si="317"/>
        <v>633</v>
      </c>
      <c r="GY71" s="5" t="str">
        <f t="shared" ca="1" si="318"/>
        <v>VIGENTE</v>
      </c>
      <c r="GZ71" s="2"/>
      <c r="HA71" s="4">
        <v>45016</v>
      </c>
      <c r="HB71" s="4">
        <f t="shared" si="319"/>
        <v>46843</v>
      </c>
      <c r="HC71" s="8">
        <f t="shared" ca="1" si="320"/>
        <v>698</v>
      </c>
      <c r="HD71" s="5" t="str">
        <f t="shared" ca="1" si="321"/>
        <v>VIGENTE</v>
      </c>
      <c r="HE71" s="6"/>
      <c r="HF71" s="6"/>
      <c r="HG71" s="4"/>
      <c r="HH71" s="8"/>
      <c r="HI71" s="5" t="str">
        <f t="shared" si="224"/>
        <v>NO APLICA</v>
      </c>
      <c r="HJ71" s="2"/>
      <c r="HK71" s="6"/>
      <c r="HL71" s="4"/>
      <c r="HM71" s="8"/>
      <c r="HN71" s="5" t="str">
        <f t="shared" si="228"/>
        <v>NO APLICA</v>
      </c>
      <c r="HO71" s="2"/>
      <c r="HP71" s="2"/>
      <c r="HQ71" s="4"/>
      <c r="HR71" s="2"/>
      <c r="HS71" s="5" t="str">
        <f t="shared" si="322"/>
        <v>NO APLICA</v>
      </c>
      <c r="HT71" s="2"/>
      <c r="HU71" s="6"/>
      <c r="HV71" s="4"/>
      <c r="HW71" s="8"/>
      <c r="HX71" s="5" t="str">
        <f t="shared" si="323"/>
        <v>NO APLICA</v>
      </c>
      <c r="HY71" s="2"/>
      <c r="HZ71" s="6"/>
      <c r="IA71" s="4"/>
      <c r="IB71" s="8"/>
      <c r="IC71" s="5" t="str">
        <f t="shared" si="324"/>
        <v>NO APLICA</v>
      </c>
      <c r="ID71" s="2"/>
      <c r="IE71" s="6"/>
      <c r="IF71" s="4"/>
      <c r="IG71" s="8"/>
      <c r="IH71" s="5" t="str">
        <f t="shared" si="325"/>
        <v>NO APLICA</v>
      </c>
      <c r="II71" s="6"/>
      <c r="IJ71" s="6"/>
      <c r="IK71" s="4"/>
      <c r="IL71" s="8"/>
      <c r="IM71" s="5" t="str">
        <f t="shared" si="326"/>
        <v>NO APLICA</v>
      </c>
      <c r="IN71" s="2"/>
      <c r="IO71" s="6"/>
      <c r="IP71" s="4"/>
      <c r="IQ71" s="8"/>
      <c r="IR71" s="5" t="str">
        <f t="shared" si="327"/>
        <v>NO APLICA</v>
      </c>
      <c r="IS71" s="2"/>
      <c r="IT71" s="6"/>
      <c r="IU71" s="4"/>
      <c r="IV71" s="8"/>
      <c r="IW71" s="5" t="str">
        <f t="shared" si="328"/>
        <v>NO APLICA</v>
      </c>
      <c r="IX71" s="2"/>
      <c r="IY71" s="6"/>
      <c r="IZ71" s="4"/>
      <c r="JA71" s="8"/>
      <c r="JB71" s="5" t="str">
        <f t="shared" si="329"/>
        <v>NO APLICA</v>
      </c>
      <c r="JC71" s="3" t="s">
        <v>780</v>
      </c>
      <c r="JD71" s="3"/>
      <c r="JE71" s="4"/>
      <c r="JF71" s="8"/>
      <c r="JG71" s="5"/>
      <c r="JH71" s="3" t="s">
        <v>780</v>
      </c>
      <c r="JI71" s="6"/>
      <c r="JJ71" s="6"/>
      <c r="JK71" s="6"/>
      <c r="JL71" s="5"/>
      <c r="JM71" s="6" t="s">
        <v>780</v>
      </c>
      <c r="JN71" s="6"/>
      <c r="JO71" s="6"/>
      <c r="JP71" s="6"/>
      <c r="JQ71" s="5"/>
      <c r="JR71" s="6" t="s">
        <v>780</v>
      </c>
      <c r="JS71" s="6"/>
      <c r="JT71" s="6"/>
      <c r="JU71" s="6"/>
      <c r="JV71" s="5"/>
      <c r="JW71" s="6" t="s">
        <v>780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30"/>
        <v>NO APLICA</v>
      </c>
      <c r="KG71" s="5"/>
      <c r="KH71" s="2"/>
      <c r="KI71" s="4"/>
      <c r="KJ71" s="8"/>
      <c r="KK71" s="5" t="str">
        <f t="shared" si="356"/>
        <v>NO APLICA</v>
      </c>
      <c r="KL71" s="5"/>
      <c r="KM71" s="2"/>
      <c r="KN71" s="4"/>
      <c r="KO71" s="8"/>
      <c r="KP71" s="5" t="str">
        <f t="shared" si="331"/>
        <v>NO APLICA</v>
      </c>
      <c r="KQ71" s="5"/>
      <c r="KR71" s="2"/>
      <c r="KS71" s="4"/>
      <c r="KT71" s="8"/>
      <c r="KU71" s="5" t="str">
        <f t="shared" si="357"/>
        <v>NO APLICA</v>
      </c>
      <c r="KV71" s="2"/>
      <c r="KW71" s="6"/>
      <c r="KX71" s="4"/>
      <c r="KY71" s="8"/>
      <c r="KZ71" s="5" t="str">
        <f t="shared" si="366"/>
        <v>NO APLICA</v>
      </c>
      <c r="LA71" s="5"/>
      <c r="LB71" s="6"/>
      <c r="LC71" s="4"/>
      <c r="LD71" s="8"/>
      <c r="LE71" s="5" t="str">
        <f t="shared" si="358"/>
        <v>NO APLICA</v>
      </c>
      <c r="LF71" s="6"/>
      <c r="LG71" s="6"/>
      <c r="LH71" s="4"/>
      <c r="LI71" s="8"/>
      <c r="LJ71" s="5" t="str">
        <f t="shared" si="332"/>
        <v>NO APLICA</v>
      </c>
      <c r="LK71" s="5"/>
      <c r="LL71" s="5"/>
      <c r="LM71" s="4"/>
      <c r="LN71" s="8"/>
      <c r="LO71" s="5" t="str">
        <f t="shared" si="367"/>
        <v>NO APLICA</v>
      </c>
      <c r="LP71" s="2"/>
      <c r="LQ71" s="6"/>
      <c r="LR71" s="4"/>
      <c r="LS71" s="8"/>
      <c r="LT71" s="5" t="str">
        <f t="shared" si="359"/>
        <v>NO APLICA</v>
      </c>
      <c r="LU71" s="6"/>
      <c r="LV71" s="6"/>
      <c r="LW71" s="4"/>
      <c r="LX71" s="8"/>
      <c r="LY71" s="5" t="str">
        <f t="shared" si="360"/>
        <v>NO APLICA</v>
      </c>
      <c r="LZ71" s="6"/>
      <c r="MA71" s="6"/>
      <c r="MB71" s="4"/>
      <c r="MC71" s="8"/>
      <c r="MD71" s="5" t="str">
        <f t="shared" si="361"/>
        <v>NO APLICA</v>
      </c>
      <c r="ME71" s="2"/>
      <c r="MF71" s="2"/>
      <c r="MG71" s="4"/>
      <c r="MH71" s="8"/>
      <c r="MI71" s="5" t="str">
        <f t="shared" si="333"/>
        <v>NO APLICA</v>
      </c>
      <c r="MJ71" s="2"/>
      <c r="MK71" s="2"/>
      <c r="ML71" s="4"/>
      <c r="MM71" s="8"/>
      <c r="MN71" s="5" t="str">
        <f t="shared" si="334"/>
        <v>NO APLICA</v>
      </c>
      <c r="MO71" s="5"/>
      <c r="MP71" s="2"/>
      <c r="MQ71" s="4"/>
      <c r="MR71" s="8"/>
      <c r="MS71" s="5" t="str">
        <f t="shared" si="335"/>
        <v>NO APLICA</v>
      </c>
      <c r="MT71" s="5"/>
      <c r="MU71" s="2"/>
      <c r="MV71" s="4"/>
      <c r="MW71" s="2"/>
      <c r="MX71" s="5" t="str">
        <f t="shared" si="336"/>
        <v>NO APLICA</v>
      </c>
      <c r="MY71" s="2"/>
      <c r="MZ71" s="6"/>
      <c r="NA71" s="4"/>
      <c r="NB71" s="8"/>
      <c r="NC71" s="5" t="str">
        <f t="shared" si="337"/>
        <v>NO APLICA</v>
      </c>
      <c r="ND71" s="2"/>
      <c r="NE71" s="6"/>
      <c r="NF71" s="4"/>
      <c r="NG71" s="8"/>
      <c r="NH71" s="5" t="str">
        <f t="shared" si="338"/>
        <v>NO APLICA</v>
      </c>
      <c r="NI71" s="2"/>
      <c r="NJ71" s="6"/>
      <c r="NK71" s="4"/>
      <c r="NL71" s="8"/>
      <c r="NM71" s="5" t="str">
        <f t="shared" si="339"/>
        <v>NO APLICA</v>
      </c>
      <c r="NN71" s="2"/>
      <c r="NO71" s="2"/>
      <c r="NP71" s="4"/>
      <c r="NQ71" s="8"/>
      <c r="NR71" s="5" t="str">
        <f t="shared" si="340"/>
        <v>NO APLICA</v>
      </c>
      <c r="NS71" s="2"/>
      <c r="NT71" s="2"/>
      <c r="NU71" s="4"/>
      <c r="NV71" s="2"/>
      <c r="NW71" s="5" t="str">
        <f t="shared" si="341"/>
        <v>NO APLICA</v>
      </c>
      <c r="NX71" s="6"/>
      <c r="NY71" s="6"/>
      <c r="NZ71" s="4"/>
      <c r="OA71" s="8"/>
      <c r="OB71" s="5" t="str">
        <f t="shared" si="342"/>
        <v>NO APLICA</v>
      </c>
      <c r="OC71" s="6"/>
      <c r="OD71" s="6"/>
      <c r="OE71" s="6"/>
      <c r="OF71" s="6"/>
      <c r="OG71" s="5" t="str">
        <f t="shared" si="343"/>
        <v>NO APLICA</v>
      </c>
      <c r="OH71" s="2"/>
      <c r="OI71" s="2"/>
      <c r="OJ71" s="4"/>
      <c r="OK71" s="8"/>
      <c r="OL71" s="5" t="str">
        <f t="shared" si="344"/>
        <v>NO APLICA</v>
      </c>
      <c r="OM71" s="6"/>
      <c r="ON71" s="6"/>
      <c r="OO71" s="6"/>
      <c r="OP71" s="6"/>
      <c r="OQ71" s="5" t="str">
        <f t="shared" si="345"/>
        <v>NO APLICA</v>
      </c>
      <c r="OR71" s="6"/>
      <c r="OS71" s="6"/>
      <c r="OT71" s="6"/>
      <c r="OU71" s="6"/>
      <c r="OV71" s="5" t="str">
        <f t="shared" si="346"/>
        <v>NO APLICA</v>
      </c>
      <c r="OW71" s="6"/>
      <c r="OX71" s="6"/>
      <c r="OY71" s="6"/>
      <c r="OZ71" s="6"/>
      <c r="PA71" s="5" t="str">
        <f t="shared" si="347"/>
        <v>NO APLICA</v>
      </c>
      <c r="PB71" s="6"/>
      <c r="PC71" s="6"/>
      <c r="PD71" s="6"/>
      <c r="PE71" s="6"/>
      <c r="PF71" s="5" t="str">
        <f t="shared" si="348"/>
        <v>NO APLICA</v>
      </c>
      <c r="PG71" s="6"/>
      <c r="PH71" s="6"/>
      <c r="PI71" s="6"/>
      <c r="PJ71" s="6"/>
      <c r="PK71" s="5" t="str">
        <f t="shared" si="349"/>
        <v>NO APLICA</v>
      </c>
      <c r="PL71" s="5"/>
      <c r="PM71" s="6"/>
      <c r="PN71" s="4"/>
      <c r="PO71" s="8"/>
      <c r="PP71" s="5" t="str">
        <f t="shared" si="350"/>
        <v>NO APLICA</v>
      </c>
      <c r="PQ71" s="6"/>
      <c r="PR71" s="6"/>
      <c r="PS71" s="6"/>
      <c r="PT71" s="6"/>
      <c r="PU71" s="5" t="str">
        <f t="shared" si="351"/>
        <v>NO APLICA</v>
      </c>
      <c r="PV71" s="5"/>
      <c r="PW71" s="6"/>
      <c r="PX71" s="6"/>
      <c r="PY71" s="6"/>
      <c r="PZ71" s="5" t="str">
        <f t="shared" si="352"/>
        <v>NO APLICA</v>
      </c>
    </row>
    <row r="72" spans="1:442" ht="15.6" hidden="1" thickTop="1" thickBot="1" x14ac:dyDescent="0.35">
      <c r="A72" s="26">
        <v>69</v>
      </c>
      <c r="B72" s="27">
        <v>1027</v>
      </c>
      <c r="C72" s="28" t="s">
        <v>269</v>
      </c>
      <c r="D72" s="29" t="s">
        <v>68</v>
      </c>
      <c r="E72" s="30" t="s">
        <v>77</v>
      </c>
      <c r="F72" s="5"/>
      <c r="G72" s="6"/>
      <c r="H72" s="4"/>
      <c r="I72" s="8"/>
      <c r="J72" s="5" t="str">
        <f t="shared" si="242"/>
        <v>NO APLICA</v>
      </c>
      <c r="K72" s="5"/>
      <c r="L72" s="6"/>
      <c r="M72" s="6"/>
      <c r="N72" s="8"/>
      <c r="O72" s="5" t="str">
        <f t="shared" si="243"/>
        <v>NO APLICA</v>
      </c>
      <c r="P72" s="6"/>
      <c r="Q72" s="6"/>
      <c r="R72" s="4"/>
      <c r="S72" s="8"/>
      <c r="T72" s="5" t="str">
        <f t="shared" si="353"/>
        <v>NO APLICA</v>
      </c>
      <c r="U72" s="5"/>
      <c r="V72" s="2" t="s">
        <v>270</v>
      </c>
      <c r="W72" s="4">
        <v>45401</v>
      </c>
      <c r="X72" s="4">
        <f t="shared" si="244"/>
        <v>47227</v>
      </c>
      <c r="Y72" s="8">
        <f t="shared" ca="1" si="245"/>
        <v>1082</v>
      </c>
      <c r="Z72" s="5" t="str">
        <f t="shared" ca="1" si="246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7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8"/>
        <v>264</v>
      </c>
      <c r="AK72" s="5" t="str">
        <f t="shared" ca="1" si="219"/>
        <v>VIGENTE</v>
      </c>
      <c r="AL72" s="3"/>
      <c r="AM72" s="4">
        <v>45959</v>
      </c>
      <c r="AN72" s="4">
        <f t="shared" si="241"/>
        <v>46689</v>
      </c>
      <c r="AO72" s="8">
        <f t="shared" ca="1" si="249"/>
        <v>544</v>
      </c>
      <c r="AP72" s="5" t="str">
        <f t="shared" ca="1" si="250"/>
        <v>VIGENTE</v>
      </c>
      <c r="AQ72" s="3"/>
      <c r="AR72" s="4">
        <v>45904</v>
      </c>
      <c r="AS72" s="4">
        <f t="shared" si="237"/>
        <v>46634</v>
      </c>
      <c r="AT72" s="8">
        <f t="shared" ca="1" si="251"/>
        <v>489</v>
      </c>
      <c r="AU72" s="5" t="str">
        <f t="shared" ca="1" si="252"/>
        <v>VIGENTE</v>
      </c>
      <c r="AV72" s="3"/>
      <c r="AW72" s="4">
        <v>45972</v>
      </c>
      <c r="AX72" s="4">
        <f t="shared" si="232"/>
        <v>46702</v>
      </c>
      <c r="AY72" s="8">
        <f t="shared" ca="1" si="253"/>
        <v>557</v>
      </c>
      <c r="AZ72" s="5" t="str">
        <f t="shared" ca="1" si="254"/>
        <v>VIGENTE</v>
      </c>
      <c r="BA72" s="3"/>
      <c r="BB72" s="4">
        <v>46118</v>
      </c>
      <c r="BC72" s="4">
        <f t="shared" si="362"/>
        <v>46848</v>
      </c>
      <c r="BD72" s="8">
        <f t="shared" ca="1" si="255"/>
        <v>703</v>
      </c>
      <c r="BE72" s="5" t="str">
        <f t="shared" ca="1" si="256"/>
        <v>VIGENTE</v>
      </c>
      <c r="BF72" s="3"/>
      <c r="BG72" s="4">
        <v>46067</v>
      </c>
      <c r="BH72" s="4">
        <f>DATE(YEAR(BG72)+2,MONTH(BG72),DAY(BG72))</f>
        <v>46797</v>
      </c>
      <c r="BI72" s="8">
        <f t="shared" ca="1" si="257"/>
        <v>652</v>
      </c>
      <c r="BJ72" s="5" t="str">
        <f t="shared" ca="1" si="258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9"/>
        <v>650</v>
      </c>
      <c r="BO72" s="5" t="str">
        <f t="shared" ca="1" si="260"/>
        <v>VIGENTE</v>
      </c>
      <c r="BP72" s="3"/>
      <c r="BQ72" s="39">
        <v>46120</v>
      </c>
      <c r="BR72" s="4">
        <f>DATE(YEAR(BQ72)+2,MONTH(BQ72),DAY(BQ72)-1)</f>
        <v>46850</v>
      </c>
      <c r="BS72" s="8">
        <f t="shared" ca="1" si="261"/>
        <v>705</v>
      </c>
      <c r="BT72" s="5" t="str">
        <f t="shared" ca="1" si="262"/>
        <v>VIGENTE</v>
      </c>
      <c r="BU72" s="3"/>
      <c r="BV72" s="4">
        <v>46063</v>
      </c>
      <c r="BW72" s="4">
        <f>DATE(YEAR(BV72)+2,MONTH(BV72),DAY(BV72))</f>
        <v>46793</v>
      </c>
      <c r="BX72" s="8">
        <f t="shared" ca="1" si="263"/>
        <v>648</v>
      </c>
      <c r="BY72" s="5" t="str">
        <f t="shared" ca="1" si="264"/>
        <v>VIGENTE</v>
      </c>
      <c r="BZ72" s="3"/>
      <c r="CA72" s="4">
        <v>46119</v>
      </c>
      <c r="CB72" s="4">
        <f>DATE(YEAR(CA72)+2,MONTH(CA72),DAY(CA72)-1)</f>
        <v>46849</v>
      </c>
      <c r="CC72" s="8">
        <f t="shared" ca="1" si="265"/>
        <v>704</v>
      </c>
      <c r="CD72" s="5" t="str">
        <f t="shared" ca="1" si="266"/>
        <v>VIGENTE</v>
      </c>
      <c r="CE72" s="6"/>
      <c r="CF72" s="4">
        <v>45227</v>
      </c>
      <c r="CG72" s="4">
        <f t="shared" si="267"/>
        <v>46688</v>
      </c>
      <c r="CH72" s="8">
        <f t="shared" ca="1" si="268"/>
        <v>543</v>
      </c>
      <c r="CI72" s="5" t="str">
        <f t="shared" ca="1" si="269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0"/>
        <v>514</v>
      </c>
      <c r="CN72" s="5" t="str">
        <f t="shared" ca="1" si="271"/>
        <v>VIGENTE</v>
      </c>
      <c r="CO72" s="3"/>
      <c r="CP72" s="39">
        <v>45513</v>
      </c>
      <c r="CQ72" s="4">
        <f t="shared" ref="CQ72:CQ80" si="368">DATE(YEAR(CP72)+2,MONTH(CP72),DAY(CP72)-1)</f>
        <v>46242</v>
      </c>
      <c r="CR72" s="8">
        <f t="shared" ca="1" si="272"/>
        <v>97</v>
      </c>
      <c r="CS72" s="5" t="str">
        <f t="shared" ca="1" si="273"/>
        <v>VIGENTE</v>
      </c>
      <c r="CT72" s="3"/>
      <c r="CU72" s="4">
        <v>45631</v>
      </c>
      <c r="CV72" s="4">
        <f t="shared" ref="CV72:CV77" si="369">DATE(YEAR(CU72)+2,MONTH(CU72),DAY(CU72)-1)</f>
        <v>46360</v>
      </c>
      <c r="CW72" s="8">
        <f t="shared" ca="1" si="274"/>
        <v>215</v>
      </c>
      <c r="CX72" s="5" t="str">
        <f t="shared" ca="1" si="275"/>
        <v>VIGENTE</v>
      </c>
      <c r="CY72" s="3"/>
      <c r="CZ72" s="4">
        <v>45661</v>
      </c>
      <c r="DA72" s="4">
        <f t="shared" ref="DA72:DA77" si="370">DATE(YEAR(CZ72)+2,MONTH(CZ72),DAY(CZ72)-1)</f>
        <v>46390</v>
      </c>
      <c r="DB72" s="8">
        <f t="shared" ca="1" si="276"/>
        <v>245</v>
      </c>
      <c r="DC72" s="5" t="str">
        <f t="shared" ca="1" si="277"/>
        <v>VIGENTE</v>
      </c>
      <c r="DD72" s="3"/>
      <c r="DE72" s="39">
        <v>45596</v>
      </c>
      <c r="DF72" s="4">
        <f>DATE(YEAR(DE72)+2,MONTH(DE72),DAY(DE72)-1)</f>
        <v>46325</v>
      </c>
      <c r="DG72" s="8">
        <f t="shared" ca="1" si="278"/>
        <v>180</v>
      </c>
      <c r="DH72" s="5" t="str">
        <f t="shared" ca="1" si="279"/>
        <v>VIGENTE</v>
      </c>
      <c r="DI72" s="3"/>
      <c r="DJ72" s="39">
        <v>45779</v>
      </c>
      <c r="DK72" s="4">
        <f t="shared" si="240"/>
        <v>46509</v>
      </c>
      <c r="DL72" s="8">
        <f t="shared" ca="1" si="280"/>
        <v>364</v>
      </c>
      <c r="DM72" s="5" t="str">
        <f t="shared" ca="1" si="281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2"/>
        <v>567</v>
      </c>
      <c r="DR72" s="5" t="str">
        <f t="shared" ca="1" si="283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4"/>
        <v>638</v>
      </c>
      <c r="DW72" s="5" t="str">
        <f t="shared" ca="1" si="285"/>
        <v>VIGENTE</v>
      </c>
      <c r="DX72" s="3"/>
      <c r="DY72" s="4">
        <v>45663</v>
      </c>
      <c r="DZ72" s="4">
        <f t="shared" si="354"/>
        <v>46392</v>
      </c>
      <c r="EA72" s="8">
        <f t="shared" ca="1" si="286"/>
        <v>247</v>
      </c>
      <c r="EB72" s="5" t="str">
        <f t="shared" ca="1" si="287"/>
        <v>VIGENTE</v>
      </c>
      <c r="EC72" s="3"/>
      <c r="ED72" s="39">
        <v>45674</v>
      </c>
      <c r="EE72" s="4">
        <f>DATE(YEAR(ED72)+2,MONTH(ED72),DAY(ED72)-1)</f>
        <v>46403</v>
      </c>
      <c r="EF72" s="8">
        <f t="shared" ca="1" si="288"/>
        <v>258</v>
      </c>
      <c r="EG72" s="5" t="str">
        <f t="shared" ca="1" si="289"/>
        <v>VIGENTE</v>
      </c>
      <c r="EH72" s="3"/>
      <c r="EI72" s="4">
        <v>46115</v>
      </c>
      <c r="EJ72" s="4">
        <f t="shared" si="355"/>
        <v>46480</v>
      </c>
      <c r="EK72" s="8">
        <f t="shared" ca="1" si="290"/>
        <v>335</v>
      </c>
      <c r="EL72" s="5" t="str">
        <f t="shared" ca="1" si="291"/>
        <v>VIGENTE</v>
      </c>
      <c r="EM72" s="3"/>
      <c r="EN72" s="4">
        <v>45660</v>
      </c>
      <c r="EO72" s="4">
        <f t="shared" ref="EO72:EO81" si="371">DATE(YEAR(EN72)+2,MONTH(EN72),DAY(EN72)-1)</f>
        <v>46389</v>
      </c>
      <c r="EP72" s="8">
        <f t="shared" ca="1" si="292"/>
        <v>244</v>
      </c>
      <c r="EQ72" s="5" t="str">
        <f t="shared" ca="1" si="293"/>
        <v>VIGENTE</v>
      </c>
      <c r="ER72" s="3"/>
      <c r="ES72" s="39">
        <v>46130</v>
      </c>
      <c r="ET72" s="4">
        <f t="shared" si="363"/>
        <v>46860</v>
      </c>
      <c r="EU72" s="8">
        <f t="shared" ca="1" si="294"/>
        <v>715</v>
      </c>
      <c r="EV72" s="5" t="str">
        <f t="shared" ca="1" si="295"/>
        <v>VIGENTE</v>
      </c>
      <c r="EW72" s="3"/>
      <c r="EX72" s="4">
        <v>45694</v>
      </c>
      <c r="EY72" s="4">
        <f>DATE(YEAR(EX72)+2,MONTH(EX72),DAY(EX72)-1)</f>
        <v>46423</v>
      </c>
      <c r="EZ72" s="8">
        <f t="shared" ca="1" si="296"/>
        <v>278</v>
      </c>
      <c r="FA72" s="5" t="str">
        <f t="shared" ca="1" si="297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8"/>
        <v>216</v>
      </c>
      <c r="FF72" s="5" t="str">
        <f t="shared" ca="1" si="299"/>
        <v>VIGENTE</v>
      </c>
      <c r="FG72" s="3"/>
      <c r="FH72" s="4">
        <v>45722</v>
      </c>
      <c r="FI72" s="4">
        <f t="shared" si="236"/>
        <v>46452</v>
      </c>
      <c r="FJ72" s="8">
        <f t="shared" ca="1" si="300"/>
        <v>307</v>
      </c>
      <c r="FK72" s="5" t="str">
        <f t="shared" ca="1" si="301"/>
        <v>VIGENTE</v>
      </c>
      <c r="FL72" s="3"/>
      <c r="FM72" s="39">
        <v>45576</v>
      </c>
      <c r="FN72" s="4">
        <f t="shared" si="364"/>
        <v>46305</v>
      </c>
      <c r="FO72" s="8">
        <f t="shared" ca="1" si="302"/>
        <v>160</v>
      </c>
      <c r="FP72" s="5" t="str">
        <f t="shared" ca="1" si="303"/>
        <v>VIGENTE</v>
      </c>
      <c r="FQ72" s="3"/>
      <c r="FR72" s="39">
        <v>45678</v>
      </c>
      <c r="FS72" s="4">
        <f t="shared" ref="FS72:FS80" si="372">DATE(YEAR(FR72)+2,MONTH(FR72),DAY(FR72)-1)</f>
        <v>46407</v>
      </c>
      <c r="FT72" s="8">
        <f t="shared" ca="1" si="304"/>
        <v>262</v>
      </c>
      <c r="FU72" s="5" t="str">
        <f t="shared" ca="1" si="305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6"/>
        <v>171</v>
      </c>
      <c r="FZ72" s="5" t="str">
        <f t="shared" ca="1" si="307"/>
        <v>VIGENTE</v>
      </c>
      <c r="GA72" s="3"/>
      <c r="GB72" s="4">
        <v>45469</v>
      </c>
      <c r="GC72" s="4">
        <f t="shared" si="365"/>
        <v>46198</v>
      </c>
      <c r="GD72" s="8">
        <f t="shared" ca="1" si="308"/>
        <v>53</v>
      </c>
      <c r="GE72" s="5" t="str">
        <f t="shared" ca="1" si="309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0"/>
        <v>300</v>
      </c>
      <c r="GJ72" s="5" t="str">
        <f t="shared" ca="1" si="311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2"/>
        <v>508</v>
      </c>
      <c r="GO72" s="5" t="str">
        <f t="shared" ca="1" si="313"/>
        <v>VIGENTE</v>
      </c>
      <c r="GP72" s="4"/>
      <c r="GQ72" s="4">
        <v>45224</v>
      </c>
      <c r="GR72" s="4">
        <f t="shared" si="314"/>
        <v>47051</v>
      </c>
      <c r="GS72" s="8">
        <f t="shared" ca="1" si="176"/>
        <v>906</v>
      </c>
      <c r="GT72" s="5" t="str">
        <f t="shared" ca="1" si="315"/>
        <v>VIGENTE</v>
      </c>
      <c r="GU72" s="3"/>
      <c r="GV72" s="4">
        <v>44952</v>
      </c>
      <c r="GW72" s="4">
        <f t="shared" si="316"/>
        <v>46778</v>
      </c>
      <c r="GX72" s="8">
        <f t="shared" ca="1" si="317"/>
        <v>633</v>
      </c>
      <c r="GY72" s="5" t="str">
        <f t="shared" ca="1" si="318"/>
        <v>VIGENTE</v>
      </c>
      <c r="GZ72" s="3"/>
      <c r="HA72" s="4">
        <v>45251</v>
      </c>
      <c r="HB72" s="4">
        <f t="shared" si="319"/>
        <v>47078</v>
      </c>
      <c r="HC72" s="8">
        <f t="shared" ca="1" si="320"/>
        <v>933</v>
      </c>
      <c r="HD72" s="5" t="str">
        <f t="shared" ca="1" si="321"/>
        <v>VIGENTE</v>
      </c>
      <c r="HE72" s="6"/>
      <c r="HF72" s="4">
        <v>44887</v>
      </c>
      <c r="HG72" s="4">
        <f t="shared" ref="HG72:HG83" si="373">DATE(YEAR(HF72)+5,MONTH(HF72),DAY(HF72))</f>
        <v>46713</v>
      </c>
      <c r="HH72" s="8">
        <f t="shared" ref="HH72:HH83" ca="1" si="374">HG72-TODAY()</f>
        <v>568</v>
      </c>
      <c r="HI72" s="5" t="str">
        <f t="shared" ca="1" si="224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8"/>
        <v>VIGENTE</v>
      </c>
      <c r="HO72" s="2"/>
      <c r="HP72" s="2"/>
      <c r="HQ72" s="4"/>
      <c r="HR72" s="2"/>
      <c r="HS72" s="5" t="str">
        <f t="shared" si="322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3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4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5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6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7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8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9"/>
        <v>VIGENTE</v>
      </c>
      <c r="JC72" s="3" t="s">
        <v>780</v>
      </c>
      <c r="JD72" s="3"/>
      <c r="JE72" s="4"/>
      <c r="JF72" s="8"/>
      <c r="JG72" s="5"/>
      <c r="JH72" s="3" t="s">
        <v>780</v>
      </c>
      <c r="JI72" s="6"/>
      <c r="JJ72" s="6"/>
      <c r="JK72" s="6"/>
      <c r="JL72" s="5"/>
      <c r="JM72" s="6" t="s">
        <v>780</v>
      </c>
      <c r="JN72" s="6"/>
      <c r="JO72" s="6"/>
      <c r="JP72" s="6"/>
      <c r="JQ72" s="5"/>
      <c r="JR72" s="6" t="s">
        <v>780</v>
      </c>
      <c r="JS72" s="6"/>
      <c r="JT72" s="6"/>
      <c r="JU72" s="6"/>
      <c r="JV72" s="5"/>
      <c r="JW72" s="6" t="s">
        <v>780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30"/>
        <v>NO APLICA</v>
      </c>
      <c r="KG72" s="5"/>
      <c r="KH72" s="2"/>
      <c r="KI72" s="4"/>
      <c r="KJ72" s="8"/>
      <c r="KK72" s="5" t="str">
        <f t="shared" si="356"/>
        <v>NO APLICA</v>
      </c>
      <c r="KL72" s="5"/>
      <c r="KM72" s="2"/>
      <c r="KN72" s="4"/>
      <c r="KO72" s="8"/>
      <c r="KP72" s="5" t="str">
        <f t="shared" si="331"/>
        <v>NO APLICA</v>
      </c>
      <c r="KQ72" s="5"/>
      <c r="KR72" s="2"/>
      <c r="KS72" s="4"/>
      <c r="KT72" s="8"/>
      <c r="KU72" s="5" t="str">
        <f t="shared" si="357"/>
        <v>NO APLICA</v>
      </c>
      <c r="KV72" s="2"/>
      <c r="KW72" s="6"/>
      <c r="KX72" s="4"/>
      <c r="KY72" s="8"/>
      <c r="KZ72" s="5" t="str">
        <f t="shared" si="366"/>
        <v>NO APLICA</v>
      </c>
      <c r="LA72" s="5"/>
      <c r="LB72" s="6"/>
      <c r="LC72" s="4"/>
      <c r="LD72" s="8"/>
      <c r="LE72" s="5" t="str">
        <f t="shared" si="358"/>
        <v>NO APLICA</v>
      </c>
      <c r="LF72" s="6"/>
      <c r="LG72" s="4"/>
      <c r="LH72" s="4"/>
      <c r="LI72" s="8"/>
      <c r="LJ72" s="5" t="str">
        <f t="shared" si="332"/>
        <v>NO APLICA</v>
      </c>
      <c r="LK72" s="5"/>
      <c r="LL72" s="5"/>
      <c r="LM72" s="4"/>
      <c r="LN72" s="8"/>
      <c r="LO72" s="5" t="str">
        <f t="shared" si="367"/>
        <v>NO APLICA</v>
      </c>
      <c r="LP72" s="2"/>
      <c r="LQ72" s="6"/>
      <c r="LR72" s="4"/>
      <c r="LS72" s="8"/>
      <c r="LT72" s="5" t="str">
        <f t="shared" si="359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60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1"/>
        <v>VIGENTE</v>
      </c>
      <c r="ME72" s="2"/>
      <c r="MF72" s="2"/>
      <c r="MG72" s="4"/>
      <c r="MH72" s="8"/>
      <c r="MI72" s="5" t="str">
        <f t="shared" si="333"/>
        <v>NO APLICA</v>
      </c>
      <c r="MJ72" s="2"/>
      <c r="MK72" s="2"/>
      <c r="ML72" s="4"/>
      <c r="MM72" s="8"/>
      <c r="MN72" s="5" t="str">
        <f t="shared" si="334"/>
        <v>NO APLICA</v>
      </c>
      <c r="MO72" s="5"/>
      <c r="MP72" s="2"/>
      <c r="MQ72" s="4"/>
      <c r="MR72" s="8"/>
      <c r="MS72" s="5" t="str">
        <f t="shared" si="335"/>
        <v>NO APLICA</v>
      </c>
      <c r="MT72" s="5"/>
      <c r="MU72" s="2"/>
      <c r="MV72" s="4"/>
      <c r="MW72" s="2"/>
      <c r="MX72" s="5" t="str">
        <f t="shared" si="336"/>
        <v>NO APLICA</v>
      </c>
      <c r="MY72" s="2"/>
      <c r="MZ72" s="6"/>
      <c r="NA72" s="4"/>
      <c r="NB72" s="8"/>
      <c r="NC72" s="5" t="str">
        <f t="shared" si="337"/>
        <v>NO APLICA</v>
      </c>
      <c r="ND72" s="2"/>
      <c r="NE72" s="6"/>
      <c r="NF72" s="4"/>
      <c r="NG72" s="8"/>
      <c r="NH72" s="5" t="str">
        <f t="shared" si="338"/>
        <v>NO APLICA</v>
      </c>
      <c r="NI72" s="2"/>
      <c r="NJ72" s="6"/>
      <c r="NK72" s="4"/>
      <c r="NL72" s="8"/>
      <c r="NM72" s="5" t="str">
        <f t="shared" si="339"/>
        <v>NO APLICA</v>
      </c>
      <c r="NN72" s="2"/>
      <c r="NO72" s="2"/>
      <c r="NP72" s="4"/>
      <c r="NQ72" s="8"/>
      <c r="NR72" s="5" t="str">
        <f t="shared" si="340"/>
        <v>NO APLICA</v>
      </c>
      <c r="NS72" s="2"/>
      <c r="NT72" s="2"/>
      <c r="NU72" s="2"/>
      <c r="NV72" s="2"/>
      <c r="NW72" s="5" t="str">
        <f t="shared" si="341"/>
        <v>NO APLICA</v>
      </c>
      <c r="NX72" s="6"/>
      <c r="NY72" s="6"/>
      <c r="NZ72" s="4"/>
      <c r="OA72" s="8"/>
      <c r="OB72" s="5" t="str">
        <f t="shared" si="342"/>
        <v>NO APLICA</v>
      </c>
      <c r="OC72" s="6"/>
      <c r="OD72" s="6"/>
      <c r="OE72" s="6"/>
      <c r="OF72" s="6"/>
      <c r="OG72" s="5" t="str">
        <f t="shared" si="343"/>
        <v>NO APLICA</v>
      </c>
      <c r="OH72" s="2"/>
      <c r="OI72" s="2"/>
      <c r="OJ72" s="4"/>
      <c r="OK72" s="8"/>
      <c r="OL72" s="5" t="str">
        <f t="shared" si="344"/>
        <v>NO APLICA</v>
      </c>
      <c r="OM72" s="6"/>
      <c r="ON72" s="6"/>
      <c r="OO72" s="6"/>
      <c r="OP72" s="6"/>
      <c r="OQ72" s="5" t="str">
        <f t="shared" si="345"/>
        <v>NO APLICA</v>
      </c>
      <c r="OR72" s="6"/>
      <c r="OS72" s="6"/>
      <c r="OT72" s="6"/>
      <c r="OU72" s="6"/>
      <c r="OV72" s="5" t="str">
        <f t="shared" si="346"/>
        <v>NO APLICA</v>
      </c>
      <c r="OW72" s="6"/>
      <c r="OX72" s="6"/>
      <c r="OY72" s="6"/>
      <c r="OZ72" s="6"/>
      <c r="PA72" s="5" t="str">
        <f t="shared" si="347"/>
        <v>NO APLICA</v>
      </c>
      <c r="PB72" s="6"/>
      <c r="PC72" s="6"/>
      <c r="PD72" s="6"/>
      <c r="PE72" s="6"/>
      <c r="PF72" s="5" t="str">
        <f t="shared" si="348"/>
        <v>NO APLICA</v>
      </c>
      <c r="PG72" s="6"/>
      <c r="PH72" s="6"/>
      <c r="PI72" s="6"/>
      <c r="PJ72" s="6"/>
      <c r="PK72" s="5" t="str">
        <f t="shared" si="349"/>
        <v>NO APLICA</v>
      </c>
      <c r="PL72" s="5"/>
      <c r="PM72" s="6"/>
      <c r="PN72" s="4"/>
      <c r="PO72" s="8"/>
      <c r="PP72" s="5" t="str">
        <f t="shared" si="350"/>
        <v>NO APLICA</v>
      </c>
      <c r="PQ72" s="6"/>
      <c r="PR72" s="6"/>
      <c r="PS72" s="6"/>
      <c r="PT72" s="6"/>
      <c r="PU72" s="5" t="str">
        <f t="shared" si="351"/>
        <v>NO APLICA</v>
      </c>
      <c r="PV72" s="5"/>
      <c r="PW72" s="6"/>
      <c r="PX72" s="6"/>
      <c r="PY72" s="6"/>
      <c r="PZ72" s="5" t="str">
        <f t="shared" si="352"/>
        <v>NO APLICA</v>
      </c>
    </row>
    <row r="73" spans="1:442" ht="15.6" hidden="1" thickTop="1" thickBot="1" x14ac:dyDescent="0.35">
      <c r="A73" s="26">
        <v>70</v>
      </c>
      <c r="B73" s="27">
        <v>938</v>
      </c>
      <c r="C73" s="28" t="s">
        <v>272</v>
      </c>
      <c r="D73" s="29" t="s">
        <v>68</v>
      </c>
      <c r="E73" s="30" t="s">
        <v>73</v>
      </c>
      <c r="F73" s="6"/>
      <c r="G73" s="6"/>
      <c r="H73" s="6"/>
      <c r="I73" s="6"/>
      <c r="J73" s="5" t="str">
        <f t="shared" si="242"/>
        <v>NO APLICA</v>
      </c>
      <c r="K73" s="6"/>
      <c r="L73" s="6"/>
      <c r="M73" s="6"/>
      <c r="N73" s="6"/>
      <c r="O73" s="5" t="str">
        <f t="shared" si="243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3"/>
        <v>VIGENTE</v>
      </c>
      <c r="U73" s="5"/>
      <c r="V73" s="6" t="s">
        <v>273</v>
      </c>
      <c r="W73" s="4">
        <v>45693</v>
      </c>
      <c r="X73" s="4">
        <f t="shared" si="244"/>
        <v>47519</v>
      </c>
      <c r="Y73" s="8">
        <f t="shared" ca="1" si="245"/>
        <v>1374</v>
      </c>
      <c r="Z73" s="5" t="str">
        <f t="shared" ca="1" si="246"/>
        <v>VIGENTE</v>
      </c>
      <c r="AA73" s="5"/>
      <c r="AB73" s="6"/>
      <c r="AC73" s="6"/>
      <c r="AD73" s="4"/>
      <c r="AE73" s="8"/>
      <c r="AF73" s="5" t="str">
        <f t="shared" si="247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8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9"/>
        <v>186</v>
      </c>
      <c r="AP73" s="5" t="str">
        <f t="shared" ca="1" si="250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1"/>
        <v>224</v>
      </c>
      <c r="AU73" s="5" t="str">
        <f t="shared" ca="1" si="252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3"/>
        <v>228</v>
      </c>
      <c r="AZ73" s="5" t="str">
        <f t="shared" ca="1" si="254"/>
        <v>VIGENTE</v>
      </c>
      <c r="BA73" s="4"/>
      <c r="BB73" s="4">
        <v>45603</v>
      </c>
      <c r="BC73" s="4">
        <f t="shared" si="362"/>
        <v>46332</v>
      </c>
      <c r="BD73" s="8">
        <f t="shared" ca="1" si="255"/>
        <v>187</v>
      </c>
      <c r="BE73" s="5" t="str">
        <f t="shared" ca="1" si="256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7"/>
        <v>227</v>
      </c>
      <c r="BJ73" s="5" t="str">
        <f t="shared" ca="1" si="258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9"/>
        <v>283</v>
      </c>
      <c r="BO73" s="5" t="str">
        <f t="shared" ca="1" si="260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1"/>
        <v>285</v>
      </c>
      <c r="BT73" s="5" t="str">
        <f t="shared" ca="1" si="262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3"/>
        <v>279</v>
      </c>
      <c r="BY73" s="5" t="str">
        <f t="shared" ca="1" si="264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5"/>
        <v>314</v>
      </c>
      <c r="CD73" s="5" t="str">
        <f t="shared" ca="1" si="266"/>
        <v>VIGENTE</v>
      </c>
      <c r="CE73" s="6"/>
      <c r="CF73" s="4">
        <v>45723</v>
      </c>
      <c r="CG73" s="4">
        <f t="shared" si="267"/>
        <v>47184</v>
      </c>
      <c r="CH73" s="8">
        <f t="shared" ca="1" si="268"/>
        <v>1039</v>
      </c>
      <c r="CI73" s="5" t="str">
        <f t="shared" ca="1" si="269"/>
        <v>VIGENTE</v>
      </c>
      <c r="CJ73" s="6"/>
      <c r="CK73" s="4">
        <v>45688</v>
      </c>
      <c r="CL73" s="4">
        <f t="shared" ref="CL73:CL81" si="375">DATE(YEAR(CK73)+2,MONTH(CK73),DAY(CK73)-1)</f>
        <v>46417</v>
      </c>
      <c r="CM73" s="8">
        <f t="shared" ca="1" si="270"/>
        <v>272</v>
      </c>
      <c r="CN73" s="5" t="str">
        <f t="shared" ca="1" si="271"/>
        <v>VIGENTE</v>
      </c>
      <c r="CO73" s="6"/>
      <c r="CP73" s="4">
        <v>45684</v>
      </c>
      <c r="CQ73" s="4">
        <f t="shared" si="368"/>
        <v>46413</v>
      </c>
      <c r="CR73" s="8">
        <f t="shared" ca="1" si="272"/>
        <v>268</v>
      </c>
      <c r="CS73" s="5" t="str">
        <f t="shared" ca="1" si="273"/>
        <v>VIGENTE</v>
      </c>
      <c r="CT73" s="6"/>
      <c r="CU73" s="4">
        <v>45639</v>
      </c>
      <c r="CV73" s="4">
        <f t="shared" si="369"/>
        <v>46368</v>
      </c>
      <c r="CW73" s="8">
        <f t="shared" ca="1" si="274"/>
        <v>223</v>
      </c>
      <c r="CX73" s="5" t="str">
        <f t="shared" ca="1" si="275"/>
        <v>VIGENTE</v>
      </c>
      <c r="CY73" s="4"/>
      <c r="CZ73" s="4">
        <v>45646</v>
      </c>
      <c r="DA73" s="4">
        <f t="shared" si="370"/>
        <v>46375</v>
      </c>
      <c r="DB73" s="8">
        <f t="shared" ca="1" si="276"/>
        <v>230</v>
      </c>
      <c r="DC73" s="5" t="str">
        <f t="shared" ca="1" si="277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8"/>
        <v>273</v>
      </c>
      <c r="DH73" s="5" t="str">
        <f t="shared" ca="1" si="279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0"/>
        <v>280</v>
      </c>
      <c r="DM73" s="5" t="str">
        <f t="shared" ca="1" si="281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2"/>
        <v>315</v>
      </c>
      <c r="DR73" s="5" t="str">
        <f t="shared" ca="1" si="283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4"/>
        <v>203</v>
      </c>
      <c r="DW73" s="5" t="str">
        <f t="shared" ca="1" si="285"/>
        <v>VIGENTE</v>
      </c>
      <c r="DX73" s="4"/>
      <c r="DY73" s="4">
        <v>45663</v>
      </c>
      <c r="DZ73" s="4">
        <f t="shared" si="354"/>
        <v>46392</v>
      </c>
      <c r="EA73" s="8">
        <f t="shared" ca="1" si="286"/>
        <v>247</v>
      </c>
      <c r="EB73" s="5" t="str">
        <f t="shared" ca="1" si="287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8"/>
        <v>226</v>
      </c>
      <c r="EG73" s="5" t="str">
        <f t="shared" ca="1" si="289"/>
        <v>VIGENTE</v>
      </c>
      <c r="EH73" s="4"/>
      <c r="EI73" s="4">
        <v>46123</v>
      </c>
      <c r="EJ73" s="4">
        <f t="shared" si="355"/>
        <v>46488</v>
      </c>
      <c r="EK73" s="8">
        <f t="shared" ca="1" si="290"/>
        <v>343</v>
      </c>
      <c r="EL73" s="5" t="str">
        <f t="shared" ca="1" si="291"/>
        <v>VIGENTE</v>
      </c>
      <c r="EM73" s="4"/>
      <c r="EN73" s="4">
        <v>45612</v>
      </c>
      <c r="EO73" s="4">
        <f t="shared" si="371"/>
        <v>46341</v>
      </c>
      <c r="EP73" s="8">
        <f t="shared" ca="1" si="292"/>
        <v>196</v>
      </c>
      <c r="EQ73" s="5" t="str">
        <f t="shared" ca="1" si="293"/>
        <v>VIGENTE</v>
      </c>
      <c r="ER73" s="6"/>
      <c r="ES73" s="4">
        <v>45677</v>
      </c>
      <c r="ET73" s="4">
        <f t="shared" si="363"/>
        <v>46406</v>
      </c>
      <c r="EU73" s="8">
        <f t="shared" ca="1" si="294"/>
        <v>261</v>
      </c>
      <c r="EV73" s="5" t="str">
        <f t="shared" ca="1" si="295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6"/>
        <v>194</v>
      </c>
      <c r="FA73" s="5" t="str">
        <f t="shared" ca="1" si="297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8"/>
        <v>195</v>
      </c>
      <c r="FF73" s="5" t="str">
        <f t="shared" ca="1" si="299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0"/>
        <v>252</v>
      </c>
      <c r="FK73" s="5" t="str">
        <f t="shared" ca="1" si="301"/>
        <v>VIGENTE</v>
      </c>
      <c r="FL73" s="4"/>
      <c r="FM73" s="4">
        <v>45637</v>
      </c>
      <c r="FN73" s="4">
        <f t="shared" si="364"/>
        <v>46366</v>
      </c>
      <c r="FO73" s="8">
        <f t="shared" ca="1" si="302"/>
        <v>221</v>
      </c>
      <c r="FP73" s="5" t="str">
        <f t="shared" ca="1" si="303"/>
        <v>VIGENTE</v>
      </c>
      <c r="FQ73" s="4"/>
      <c r="FR73" s="4">
        <v>45605</v>
      </c>
      <c r="FS73" s="4">
        <f t="shared" si="372"/>
        <v>46334</v>
      </c>
      <c r="FT73" s="8">
        <f t="shared" ca="1" si="304"/>
        <v>189</v>
      </c>
      <c r="FU73" s="5" t="str">
        <f t="shared" ca="1" si="305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6"/>
        <v>200</v>
      </c>
      <c r="FZ73" s="5" t="str">
        <f t="shared" ca="1" si="307"/>
        <v>VIGENTE</v>
      </c>
      <c r="GA73" s="4"/>
      <c r="GB73" s="4">
        <v>45626</v>
      </c>
      <c r="GC73" s="4">
        <f t="shared" si="365"/>
        <v>46355</v>
      </c>
      <c r="GD73" s="8">
        <f t="shared" ca="1" si="308"/>
        <v>210</v>
      </c>
      <c r="GE73" s="5" t="str">
        <f t="shared" ca="1" si="309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0"/>
        <v>256</v>
      </c>
      <c r="GJ73" s="5" t="str">
        <f t="shared" ca="1" si="311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2"/>
        <v>192</v>
      </c>
      <c r="GO73" s="5" t="str">
        <f t="shared" ca="1" si="313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8"/>
        <v>NO APLICA</v>
      </c>
      <c r="HO73" s="6"/>
      <c r="HP73" s="6"/>
      <c r="HQ73" s="4"/>
      <c r="HR73" s="6"/>
      <c r="HS73" s="5" t="str">
        <f t="shared" si="322"/>
        <v>NO APLICA</v>
      </c>
      <c r="HT73" s="6"/>
      <c r="HU73" s="6"/>
      <c r="HV73" s="6"/>
      <c r="HW73" s="6"/>
      <c r="HX73" s="5" t="str">
        <f t="shared" si="323"/>
        <v>NO APLICA</v>
      </c>
      <c r="HY73" s="6"/>
      <c r="HZ73" s="6"/>
      <c r="IA73" s="6"/>
      <c r="IB73" s="6"/>
      <c r="IC73" s="5" t="str">
        <f t="shared" si="324"/>
        <v>NO APLICA</v>
      </c>
      <c r="ID73" s="6"/>
      <c r="IE73" s="6"/>
      <c r="IF73" s="6"/>
      <c r="IG73" s="6"/>
      <c r="IH73" s="5" t="str">
        <f t="shared" si="325"/>
        <v>NO APLICA</v>
      </c>
      <c r="II73" s="6"/>
      <c r="IJ73" s="6"/>
      <c r="IK73" s="6"/>
      <c r="IL73" s="6"/>
      <c r="IM73" s="5" t="str">
        <f t="shared" si="326"/>
        <v>NO APLICA</v>
      </c>
      <c r="IN73" s="6"/>
      <c r="IO73" s="6"/>
      <c r="IP73" s="6"/>
      <c r="IQ73" s="6"/>
      <c r="IR73" s="5" t="str">
        <f t="shared" si="327"/>
        <v>NO APLICA</v>
      </c>
      <c r="IS73" s="6"/>
      <c r="IT73" s="6"/>
      <c r="IU73" s="6"/>
      <c r="IV73" s="6"/>
      <c r="IW73" s="5" t="str">
        <f t="shared" si="328"/>
        <v>NO APLICA</v>
      </c>
      <c r="IX73" s="6"/>
      <c r="IY73" s="6"/>
      <c r="IZ73" s="6"/>
      <c r="JA73" s="6"/>
      <c r="JB73" s="5" t="str">
        <f t="shared" si="329"/>
        <v>NO APLICA</v>
      </c>
      <c r="JC73" s="3" t="s">
        <v>780</v>
      </c>
      <c r="JD73" s="6"/>
      <c r="JE73" s="6"/>
      <c r="JF73" s="6"/>
      <c r="JG73" s="5"/>
      <c r="JH73" s="3" t="s">
        <v>780</v>
      </c>
      <c r="JI73" s="6"/>
      <c r="JJ73" s="6"/>
      <c r="JK73" s="6"/>
      <c r="JL73" s="5"/>
      <c r="JM73" s="6" t="s">
        <v>780</v>
      </c>
      <c r="JN73" s="6"/>
      <c r="JO73" s="6"/>
      <c r="JP73" s="6"/>
      <c r="JQ73" s="5"/>
      <c r="JR73" s="6" t="s">
        <v>780</v>
      </c>
      <c r="JS73" s="6"/>
      <c r="JT73" s="6"/>
      <c r="JU73" s="6"/>
      <c r="JV73" s="5"/>
      <c r="JW73" s="6" t="s">
        <v>780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30"/>
        <v>NO APLICA</v>
      </c>
      <c r="KG73" s="5"/>
      <c r="KH73" s="6"/>
      <c r="KI73" s="6"/>
      <c r="KJ73" s="6"/>
      <c r="KK73" s="5" t="str">
        <f t="shared" si="356"/>
        <v>NO APLICA</v>
      </c>
      <c r="KL73" s="5"/>
      <c r="KM73" s="6"/>
      <c r="KN73" s="6"/>
      <c r="KO73" s="6"/>
      <c r="KP73" s="5" t="str">
        <f t="shared" si="331"/>
        <v>NO APLICA</v>
      </c>
      <c r="KQ73" s="5"/>
      <c r="KR73" s="6"/>
      <c r="KS73" s="6"/>
      <c r="KT73" s="6"/>
      <c r="KU73" s="5" t="str">
        <f t="shared" si="357"/>
        <v>NO APLICA</v>
      </c>
      <c r="KV73" s="6"/>
      <c r="KW73" s="6"/>
      <c r="KX73" s="6"/>
      <c r="KY73" s="6"/>
      <c r="KZ73" s="5" t="str">
        <f t="shared" si="366"/>
        <v>NO APLICA</v>
      </c>
      <c r="LA73" s="5"/>
      <c r="LB73" s="6"/>
      <c r="LC73" s="6"/>
      <c r="LD73" s="6"/>
      <c r="LE73" s="5" t="str">
        <f t="shared" si="358"/>
        <v>NO APLICA</v>
      </c>
      <c r="LF73" s="6"/>
      <c r="LG73" s="6"/>
      <c r="LH73" s="6"/>
      <c r="LI73" s="6"/>
      <c r="LJ73" s="5" t="str">
        <f t="shared" si="332"/>
        <v>NO APLICA</v>
      </c>
      <c r="LK73" s="5"/>
      <c r="LL73" s="5"/>
      <c r="LM73" s="5"/>
      <c r="LN73" s="5"/>
      <c r="LO73" s="5" t="str">
        <f t="shared" si="367"/>
        <v>NO APLICA</v>
      </c>
      <c r="LP73" s="6"/>
      <c r="LQ73" s="6"/>
      <c r="LR73" s="6"/>
      <c r="LS73" s="6"/>
      <c r="LT73" s="5" t="str">
        <f t="shared" si="359"/>
        <v>NO APLICA</v>
      </c>
      <c r="LU73" s="6"/>
      <c r="LV73" s="6"/>
      <c r="LW73" s="6"/>
      <c r="LX73" s="6"/>
      <c r="LY73" s="5" t="str">
        <f t="shared" si="360"/>
        <v>NO APLICA</v>
      </c>
      <c r="LZ73" s="6"/>
      <c r="MA73" s="6"/>
      <c r="MB73" s="6"/>
      <c r="MC73" s="6"/>
      <c r="MD73" s="5" t="str">
        <f t="shared" si="361"/>
        <v>NO APLICA</v>
      </c>
      <c r="ME73" s="6"/>
      <c r="MF73" s="6"/>
      <c r="MG73" s="6"/>
      <c r="MH73" s="6"/>
      <c r="MI73" s="5" t="str">
        <f t="shared" si="333"/>
        <v>NO APLICA</v>
      </c>
      <c r="MJ73" s="6"/>
      <c r="MK73" s="6"/>
      <c r="ML73" s="6"/>
      <c r="MM73" s="6"/>
      <c r="MN73" s="5" t="str">
        <f t="shared" si="334"/>
        <v>NO APLICA</v>
      </c>
      <c r="MO73" s="5"/>
      <c r="MP73" s="6"/>
      <c r="MQ73" s="6"/>
      <c r="MR73" s="6"/>
      <c r="MS73" s="5" t="str">
        <f t="shared" si="335"/>
        <v>NO APLICA</v>
      </c>
      <c r="MT73" s="5"/>
      <c r="MU73" s="6"/>
      <c r="MV73" s="6"/>
      <c r="MW73" s="6"/>
      <c r="MX73" s="5" t="str">
        <f t="shared" si="336"/>
        <v>NO APLICA</v>
      </c>
      <c r="MY73" s="6"/>
      <c r="MZ73" s="6"/>
      <c r="NA73" s="6"/>
      <c r="NB73" s="6"/>
      <c r="NC73" s="5" t="str">
        <f t="shared" si="337"/>
        <v>NO APLICA</v>
      </c>
      <c r="ND73" s="6"/>
      <c r="NE73" s="6"/>
      <c r="NF73" s="6"/>
      <c r="NG73" s="6"/>
      <c r="NH73" s="5" t="str">
        <f t="shared" si="338"/>
        <v>NO APLICA</v>
      </c>
      <c r="NI73" s="6"/>
      <c r="NJ73" s="6"/>
      <c r="NK73" s="6"/>
      <c r="NL73" s="6"/>
      <c r="NM73" s="5" t="str">
        <f t="shared" si="339"/>
        <v>NO APLICA</v>
      </c>
      <c r="NN73" s="6"/>
      <c r="NO73" s="6"/>
      <c r="NP73" s="6"/>
      <c r="NQ73" s="6"/>
      <c r="NR73" s="5" t="str">
        <f t="shared" si="340"/>
        <v>NO APLICA</v>
      </c>
      <c r="NS73" s="6"/>
      <c r="NT73" s="6"/>
      <c r="NU73" s="6"/>
      <c r="NV73" s="6"/>
      <c r="NW73" s="5" t="str">
        <f t="shared" si="341"/>
        <v>NO APLICA</v>
      </c>
      <c r="NX73" s="6"/>
      <c r="NY73" s="6"/>
      <c r="NZ73" s="6"/>
      <c r="OA73" s="6"/>
      <c r="OB73" s="5" t="str">
        <f t="shared" si="342"/>
        <v>NO APLICA</v>
      </c>
      <c r="OC73" s="6"/>
      <c r="OD73" s="6"/>
      <c r="OE73" s="6"/>
      <c r="OF73" s="6"/>
      <c r="OG73" s="5" t="str">
        <f t="shared" si="343"/>
        <v>NO APLICA</v>
      </c>
      <c r="OH73" s="6"/>
      <c r="OI73" s="6"/>
      <c r="OJ73" s="6"/>
      <c r="OK73" s="6"/>
      <c r="OL73" s="5" t="str">
        <f t="shared" si="344"/>
        <v>NO APLICA</v>
      </c>
      <c r="OM73" s="6"/>
      <c r="ON73" s="6"/>
      <c r="OO73" s="6"/>
      <c r="OP73" s="6"/>
      <c r="OQ73" s="5" t="str">
        <f t="shared" si="345"/>
        <v>NO APLICA</v>
      </c>
      <c r="OR73" s="6"/>
      <c r="OS73" s="6"/>
      <c r="OT73" s="6"/>
      <c r="OU73" s="6"/>
      <c r="OV73" s="5" t="str">
        <f t="shared" si="346"/>
        <v>NO APLICA</v>
      </c>
      <c r="OW73" s="6"/>
      <c r="OX73" s="6"/>
      <c r="OY73" s="6"/>
      <c r="OZ73" s="6"/>
      <c r="PA73" s="5" t="str">
        <f t="shared" si="347"/>
        <v>NO APLICA</v>
      </c>
      <c r="PB73" s="6"/>
      <c r="PC73" s="6"/>
      <c r="PD73" s="6"/>
      <c r="PE73" s="6"/>
      <c r="PF73" s="5" t="str">
        <f t="shared" si="348"/>
        <v>NO APLICA</v>
      </c>
      <c r="PG73" s="6"/>
      <c r="PH73" s="6"/>
      <c r="PI73" s="6"/>
      <c r="PJ73" s="6"/>
      <c r="PK73" s="5" t="str">
        <f t="shared" si="349"/>
        <v>NO APLICA</v>
      </c>
      <c r="PL73" s="5"/>
      <c r="PM73" s="6"/>
      <c r="PN73" s="6"/>
      <c r="PO73" s="6"/>
      <c r="PP73" s="5" t="str">
        <f t="shared" si="350"/>
        <v>NO APLICA</v>
      </c>
      <c r="PQ73" s="6"/>
      <c r="PR73" s="6"/>
      <c r="PS73" s="6"/>
      <c r="PT73" s="6"/>
      <c r="PU73" s="5" t="str">
        <f t="shared" si="351"/>
        <v>NO APLICA</v>
      </c>
      <c r="PV73" s="5"/>
      <c r="PW73" s="6"/>
      <c r="PX73" s="6"/>
      <c r="PY73" s="6"/>
      <c r="PZ73" s="5" t="str">
        <f t="shared" si="352"/>
        <v>NO APLICA</v>
      </c>
    </row>
    <row r="74" spans="1:442" ht="15.6" hidden="1" thickTop="1" thickBot="1" x14ac:dyDescent="0.35">
      <c r="A74" s="26">
        <v>71</v>
      </c>
      <c r="B74" s="27">
        <v>153</v>
      </c>
      <c r="C74" s="28" t="s">
        <v>758</v>
      </c>
      <c r="D74" s="29" t="s">
        <v>64</v>
      </c>
      <c r="E74" s="30" t="s">
        <v>65</v>
      </c>
      <c r="F74" s="5"/>
      <c r="G74" s="6"/>
      <c r="H74" s="4"/>
      <c r="I74" s="8"/>
      <c r="J74" s="5" t="str">
        <f t="shared" si="242"/>
        <v>NO APLICA</v>
      </c>
      <c r="K74" s="5"/>
      <c r="L74" s="6"/>
      <c r="M74" s="6"/>
      <c r="N74" s="8"/>
      <c r="O74" s="5" t="str">
        <f t="shared" si="243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3"/>
        <v>VIGENTE</v>
      </c>
      <c r="U74" s="5"/>
      <c r="V74" s="2" t="s">
        <v>274</v>
      </c>
      <c r="W74" s="4">
        <v>45282</v>
      </c>
      <c r="X74" s="4">
        <f t="shared" si="244"/>
        <v>47109</v>
      </c>
      <c r="Y74" s="8">
        <f t="shared" ca="1" si="245"/>
        <v>964</v>
      </c>
      <c r="Z74" s="5" t="str">
        <f t="shared" ca="1" si="246"/>
        <v>VIGENTE</v>
      </c>
      <c r="AA74" s="5"/>
      <c r="AB74" s="2" t="s">
        <v>275</v>
      </c>
      <c r="AC74" s="4">
        <v>45190</v>
      </c>
      <c r="AD74" s="4">
        <f t="shared" ref="AD74:AD83" si="376">DATE(YEAR(AC74)+5,MONTH(AC74),DAY(AC74))</f>
        <v>47017</v>
      </c>
      <c r="AE74" s="8">
        <f t="shared" ref="AE74:AE83" ca="1" si="377">AD74-TODAY()</f>
        <v>872</v>
      </c>
      <c r="AF74" s="5" t="str">
        <f t="shared" ca="1" si="247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8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9"/>
        <v>186</v>
      </c>
      <c r="AP74" s="5" t="str">
        <f t="shared" ca="1" si="250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1"/>
        <v>324</v>
      </c>
      <c r="AU74" s="5" t="str">
        <f t="shared" ca="1" si="252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3"/>
        <v>286</v>
      </c>
      <c r="AZ74" s="5" t="str">
        <f t="shared" ca="1" si="254"/>
        <v>VIGENTE</v>
      </c>
      <c r="BA74" s="3"/>
      <c r="BB74" s="4">
        <v>45603</v>
      </c>
      <c r="BC74" s="4">
        <f t="shared" si="362"/>
        <v>46332</v>
      </c>
      <c r="BD74" s="8">
        <f t="shared" ca="1" si="255"/>
        <v>187</v>
      </c>
      <c r="BE74" s="5" t="str">
        <f t="shared" ca="1" si="256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7"/>
        <v>282</v>
      </c>
      <c r="BJ74" s="5" t="str">
        <f t="shared" ca="1" si="258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9"/>
        <v>184</v>
      </c>
      <c r="BO74" s="5" t="str">
        <f t="shared" ca="1" si="260"/>
        <v>VIGENTE</v>
      </c>
      <c r="BP74" s="3"/>
      <c r="BQ74" s="39">
        <v>45701</v>
      </c>
      <c r="BR74" s="4">
        <f>DATE(YEAR(BQ74)+2,MONTH(BQ74),DAY(BQ74)-1)</f>
        <v>46430</v>
      </c>
      <c r="BS74" s="8">
        <f t="shared" ca="1" si="261"/>
        <v>285</v>
      </c>
      <c r="BT74" s="5" t="str">
        <f t="shared" ca="1" si="262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3"/>
        <v>152</v>
      </c>
      <c r="BY74" s="5" t="str">
        <f t="shared" ca="1" si="264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5"/>
        <v>529</v>
      </c>
      <c r="CD74" s="5" t="str">
        <f t="shared" ca="1" si="266"/>
        <v>VIGENTE</v>
      </c>
      <c r="CE74" s="6"/>
      <c r="CF74" s="4">
        <v>45828</v>
      </c>
      <c r="CG74" s="4">
        <f t="shared" si="267"/>
        <v>47289</v>
      </c>
      <c r="CH74" s="8">
        <f t="shared" ca="1" si="268"/>
        <v>1144</v>
      </c>
      <c r="CI74" s="5" t="str">
        <f t="shared" ca="1" si="269"/>
        <v>VIGENTE</v>
      </c>
      <c r="CJ74" s="4"/>
      <c r="CK74" s="4">
        <v>45601</v>
      </c>
      <c r="CL74" s="4">
        <f t="shared" si="375"/>
        <v>46330</v>
      </c>
      <c r="CM74" s="8">
        <f t="shared" ca="1" si="270"/>
        <v>185</v>
      </c>
      <c r="CN74" s="5" t="str">
        <f t="shared" ca="1" si="271"/>
        <v>VIGENTE</v>
      </c>
      <c r="CO74" s="3"/>
      <c r="CP74" s="39">
        <v>45684</v>
      </c>
      <c r="CQ74" s="4">
        <f t="shared" si="368"/>
        <v>46413</v>
      </c>
      <c r="CR74" s="8">
        <f t="shared" ca="1" si="272"/>
        <v>268</v>
      </c>
      <c r="CS74" s="5" t="str">
        <f t="shared" ca="1" si="273"/>
        <v>VIGENTE</v>
      </c>
      <c r="CT74" s="3"/>
      <c r="CU74" s="4">
        <v>45727</v>
      </c>
      <c r="CV74" s="4">
        <f t="shared" si="369"/>
        <v>46456</v>
      </c>
      <c r="CW74" s="8">
        <f t="shared" ca="1" si="274"/>
        <v>311</v>
      </c>
      <c r="CX74" s="5" t="str">
        <f t="shared" ca="1" si="275"/>
        <v>VIGENTE</v>
      </c>
      <c r="CY74" s="3"/>
      <c r="CZ74" s="4">
        <v>45665</v>
      </c>
      <c r="DA74" s="4">
        <f t="shared" si="370"/>
        <v>46394</v>
      </c>
      <c r="DB74" s="8">
        <f t="shared" ca="1" si="276"/>
        <v>249</v>
      </c>
      <c r="DC74" s="5" t="str">
        <f t="shared" ca="1" si="277"/>
        <v>VIGENTE</v>
      </c>
      <c r="DD74" s="3"/>
      <c r="DE74" s="39">
        <v>45761</v>
      </c>
      <c r="DF74" s="4">
        <f>DATE(YEAR(DE74)+2,MONTH(DE74),DAY(DE74))</f>
        <v>46491</v>
      </c>
      <c r="DG74" s="8">
        <f t="shared" ca="1" si="278"/>
        <v>346</v>
      </c>
      <c r="DH74" s="5" t="str">
        <f t="shared" ca="1" si="279"/>
        <v>VIGENTE</v>
      </c>
      <c r="DI74" s="2"/>
      <c r="DJ74" s="39">
        <v>45734</v>
      </c>
      <c r="DK74" s="4">
        <f>DATE(YEAR(DJ74)+2,MONTH(DJ74),DAY(DJ74)-1)</f>
        <v>46463</v>
      </c>
      <c r="DL74" s="8">
        <f t="shared" ca="1" si="280"/>
        <v>318</v>
      </c>
      <c r="DM74" s="5" t="str">
        <f t="shared" ca="1" si="281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2"/>
        <v>315</v>
      </c>
      <c r="DR74" s="5" t="str">
        <f t="shared" ca="1" si="283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4"/>
        <v>192</v>
      </c>
      <c r="DW74" s="5" t="str">
        <f t="shared" ca="1" si="285"/>
        <v>VIGENTE</v>
      </c>
      <c r="DX74" s="3"/>
      <c r="DY74" s="4">
        <v>45582</v>
      </c>
      <c r="DZ74" s="4">
        <f t="shared" si="354"/>
        <v>46311</v>
      </c>
      <c r="EA74" s="8">
        <f t="shared" ca="1" si="286"/>
        <v>166</v>
      </c>
      <c r="EB74" s="5" t="str">
        <f t="shared" ca="1" si="287"/>
        <v>VIGENTE</v>
      </c>
      <c r="EC74" s="3"/>
      <c r="ED74" s="39">
        <v>45768</v>
      </c>
      <c r="EE74" s="4">
        <f>DATE(YEAR(ED74)+2,MONTH(ED74),DAY(ED74))</f>
        <v>46498</v>
      </c>
      <c r="EF74" s="8">
        <f t="shared" ca="1" si="288"/>
        <v>353</v>
      </c>
      <c r="EG74" s="5" t="str">
        <f t="shared" ca="1" si="289"/>
        <v>VIGENTE</v>
      </c>
      <c r="EH74" s="3"/>
      <c r="EI74" s="3">
        <v>46107</v>
      </c>
      <c r="EJ74" s="4">
        <f t="shared" si="355"/>
        <v>46472</v>
      </c>
      <c r="EK74" s="8">
        <f t="shared" ca="1" si="290"/>
        <v>327</v>
      </c>
      <c r="EL74" s="5" t="str">
        <f t="shared" ca="1" si="291"/>
        <v>VIGENTE</v>
      </c>
      <c r="EM74" s="3"/>
      <c r="EN74" s="4">
        <v>45584</v>
      </c>
      <c r="EO74" s="4">
        <f t="shared" si="371"/>
        <v>46313</v>
      </c>
      <c r="EP74" s="8">
        <f t="shared" ca="1" si="292"/>
        <v>168</v>
      </c>
      <c r="EQ74" s="5" t="str">
        <f t="shared" ca="1" si="293"/>
        <v>VIGENTE</v>
      </c>
      <c r="ER74" s="3"/>
      <c r="ES74" s="39">
        <v>45575</v>
      </c>
      <c r="ET74" s="4">
        <f t="shared" si="363"/>
        <v>46304</v>
      </c>
      <c r="EU74" s="8">
        <f t="shared" ca="1" si="294"/>
        <v>159</v>
      </c>
      <c r="EV74" s="5" t="str">
        <f t="shared" ca="1" si="295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6"/>
        <v>502</v>
      </c>
      <c r="FA74" s="5" t="str">
        <f t="shared" ca="1" si="297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8"/>
        <v>516</v>
      </c>
      <c r="FF74" s="5" t="str">
        <f t="shared" ca="1" si="299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0"/>
        <v>504</v>
      </c>
      <c r="FK74" s="5" t="str">
        <f t="shared" ca="1" si="301"/>
        <v>VIGENTE</v>
      </c>
      <c r="FL74" s="3"/>
      <c r="FM74" s="39">
        <v>45588</v>
      </c>
      <c r="FN74" s="4">
        <f t="shared" si="364"/>
        <v>46317</v>
      </c>
      <c r="FO74" s="8">
        <f t="shared" ca="1" si="302"/>
        <v>172</v>
      </c>
      <c r="FP74" s="5" t="str">
        <f t="shared" ca="1" si="303"/>
        <v>VIGENTE</v>
      </c>
      <c r="FQ74" s="3"/>
      <c r="FR74" s="39">
        <v>45724</v>
      </c>
      <c r="FS74" s="4">
        <f t="shared" si="372"/>
        <v>46453</v>
      </c>
      <c r="FT74" s="8">
        <f t="shared" ca="1" si="304"/>
        <v>308</v>
      </c>
      <c r="FU74" s="5" t="str">
        <f t="shared" ca="1" si="305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6"/>
        <v>526</v>
      </c>
      <c r="FZ74" s="5" t="str">
        <f t="shared" ca="1" si="307"/>
        <v>VIGENTE</v>
      </c>
      <c r="GA74" s="3"/>
      <c r="GB74" s="4">
        <v>45667</v>
      </c>
      <c r="GC74" s="4">
        <f t="shared" si="365"/>
        <v>46396</v>
      </c>
      <c r="GD74" s="8">
        <f t="shared" ca="1" si="308"/>
        <v>251</v>
      </c>
      <c r="GE74" s="5" t="str">
        <f t="shared" ca="1" si="309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0"/>
        <v>337</v>
      </c>
      <c r="GJ74" s="5" t="str">
        <f t="shared" ca="1" si="311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2"/>
        <v>217</v>
      </c>
      <c r="GO74" s="5" t="str">
        <f t="shared" ca="1" si="313"/>
        <v>VIGENTE</v>
      </c>
      <c r="GP74" s="4"/>
      <c r="GQ74" s="4">
        <v>44952</v>
      </c>
      <c r="GR74" s="4">
        <f t="shared" si="314"/>
        <v>46778</v>
      </c>
      <c r="GS74" s="8">
        <f t="shared" ca="1" si="176"/>
        <v>633</v>
      </c>
      <c r="GT74" s="5" t="str">
        <f t="shared" ref="GT74:GT108" ca="1" si="378">IF(GS74&gt;=91,"VIGENTE",IF(GS74&gt;=1,"POR VENCER",IF(GS74&lt;=-1,"VENCIDA",IF(GQ74=0,"NO APLICA"))))</f>
        <v>VIGENTE</v>
      </c>
      <c r="GU74" s="3"/>
      <c r="GV74" s="4">
        <v>45099</v>
      </c>
      <c r="GW74" s="4">
        <f t="shared" si="316"/>
        <v>46926</v>
      </c>
      <c r="GX74" s="8">
        <f t="shared" ca="1" si="317"/>
        <v>781</v>
      </c>
      <c r="GY74" s="5" t="str">
        <f t="shared" ref="GY74:GY105" ca="1" si="379">IF(GX74&gt;=91,"VIGENTE",IF(GX74&gt;=1,"POR VENCER",IF(GX74&lt;=-1,"VENCIDA",IF(GV74=0,"NO APLICA"))))</f>
        <v>VIGENTE</v>
      </c>
      <c r="GZ74" s="3"/>
      <c r="HA74" s="4">
        <v>45268</v>
      </c>
      <c r="HB74" s="4">
        <f t="shared" si="319"/>
        <v>47095</v>
      </c>
      <c r="HC74" s="8">
        <f t="shared" ca="1" si="320"/>
        <v>950</v>
      </c>
      <c r="HD74" s="5" t="str">
        <f t="shared" ref="HD74:HD98" ca="1" si="380">IF(HC74&gt;=91,"VIGENTE",IF(HC74&gt;=1,"POR VENCER",IF(HC74&lt;=-1,"VENCIDA",IF(HA74=0,"NO APLICA"))))</f>
        <v>VIGENTE</v>
      </c>
      <c r="HE74" s="6"/>
      <c r="HF74" s="4">
        <v>44956</v>
      </c>
      <c r="HG74" s="4">
        <f t="shared" si="373"/>
        <v>46782</v>
      </c>
      <c r="HH74" s="8">
        <f t="shared" ca="1" si="374"/>
        <v>637</v>
      </c>
      <c r="HI74" s="5" t="str">
        <f t="shared" ref="HI74:HI84" ca="1" si="38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8"/>
        <v>NO APLICA</v>
      </c>
      <c r="HO74" s="2"/>
      <c r="HP74" s="5"/>
      <c r="HQ74" s="5"/>
      <c r="HR74" s="5"/>
      <c r="HS74" s="5" t="str">
        <f t="shared" si="322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3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4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5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6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7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8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9"/>
        <v>VIGENTE</v>
      </c>
      <c r="JC74" s="3" t="s">
        <v>780</v>
      </c>
      <c r="JD74" s="3"/>
      <c r="JE74" s="4"/>
      <c r="JF74" s="8"/>
      <c r="JG74" s="5"/>
      <c r="JH74" s="3" t="s">
        <v>780</v>
      </c>
      <c r="JI74" s="6"/>
      <c r="JJ74" s="6"/>
      <c r="JK74" s="6"/>
      <c r="JL74" s="5"/>
      <c r="JM74" s="6" t="s">
        <v>780</v>
      </c>
      <c r="JN74" s="6"/>
      <c r="JO74" s="6"/>
      <c r="JP74" s="6"/>
      <c r="JQ74" s="5"/>
      <c r="JR74" s="6" t="s">
        <v>780</v>
      </c>
      <c r="JS74" s="6"/>
      <c r="JT74" s="6"/>
      <c r="JU74" s="6"/>
      <c r="JV74" s="5"/>
      <c r="JW74" s="6" t="s">
        <v>780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30"/>
        <v>NO APLICA</v>
      </c>
      <c r="KG74" s="5"/>
      <c r="KH74" s="5"/>
      <c r="KI74" s="4"/>
      <c r="KJ74" s="8"/>
      <c r="KK74" s="5" t="str">
        <f t="shared" si="356"/>
        <v>NO APLICA</v>
      </c>
      <c r="KL74" s="5"/>
      <c r="KM74" s="5"/>
      <c r="KN74" s="4"/>
      <c r="KO74" s="8"/>
      <c r="KP74" s="5" t="str">
        <f t="shared" si="331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7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6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8"/>
        <v>VIGENTE</v>
      </c>
      <c r="LF74" s="6"/>
      <c r="LG74" s="6"/>
      <c r="LH74" s="4"/>
      <c r="LI74" s="8"/>
      <c r="LJ74" s="5" t="str">
        <f t="shared" si="332"/>
        <v>NO APLICA</v>
      </c>
      <c r="LK74" s="5"/>
      <c r="LL74" s="5"/>
      <c r="LM74" s="5"/>
      <c r="LN74" s="5"/>
      <c r="LO74" s="5" t="str">
        <f t="shared" si="367"/>
        <v>NO APLICA</v>
      </c>
      <c r="LP74" s="5"/>
      <c r="LQ74" s="6"/>
      <c r="LR74" s="4"/>
      <c r="LS74" s="8"/>
      <c r="LT74" s="5" t="str">
        <f t="shared" si="359"/>
        <v>NO APLICA</v>
      </c>
      <c r="LU74" s="6"/>
      <c r="LV74" s="6"/>
      <c r="LW74" s="4"/>
      <c r="LX74" s="8"/>
      <c r="LY74" s="5" t="str">
        <f t="shared" si="360"/>
        <v>NO APLICA</v>
      </c>
      <c r="LZ74" s="6"/>
      <c r="MA74" s="6"/>
      <c r="MB74" s="4"/>
      <c r="MC74" s="8"/>
      <c r="MD74" s="5" t="str">
        <f t="shared" si="361"/>
        <v>NO APLICA</v>
      </c>
      <c r="ME74" s="5"/>
      <c r="MF74" s="5"/>
      <c r="MG74" s="4"/>
      <c r="MH74" s="8"/>
      <c r="MI74" s="5" t="str">
        <f t="shared" si="333"/>
        <v>NO APLICA</v>
      </c>
      <c r="MJ74" s="5"/>
      <c r="MK74" s="5"/>
      <c r="ML74" s="4"/>
      <c r="MM74" s="8"/>
      <c r="MN74" s="5" t="str">
        <f t="shared" si="334"/>
        <v>NO APLICA</v>
      </c>
      <c r="MO74" s="5"/>
      <c r="MP74" s="5"/>
      <c r="MQ74" s="4"/>
      <c r="MR74" s="8"/>
      <c r="MS74" s="5" t="str">
        <f t="shared" si="335"/>
        <v>NO APLICA</v>
      </c>
      <c r="MT74" s="5"/>
      <c r="MU74" s="5"/>
      <c r="MV74" s="4"/>
      <c r="MW74" s="5"/>
      <c r="MX74" s="5" t="str">
        <f t="shared" si="336"/>
        <v>NO APLICA</v>
      </c>
      <c r="MY74" s="5"/>
      <c r="MZ74" s="6"/>
      <c r="NA74" s="4"/>
      <c r="NB74" s="8"/>
      <c r="NC74" s="5" t="str">
        <f t="shared" si="337"/>
        <v>NO APLICA</v>
      </c>
      <c r="ND74" s="5"/>
      <c r="NE74" s="6"/>
      <c r="NF74" s="4"/>
      <c r="NG74" s="8"/>
      <c r="NH74" s="5" t="str">
        <f t="shared" si="338"/>
        <v>NO APLICA</v>
      </c>
      <c r="NI74" s="5"/>
      <c r="NJ74" s="6"/>
      <c r="NK74" s="4"/>
      <c r="NL74" s="8"/>
      <c r="NM74" s="5" t="str">
        <f t="shared" si="339"/>
        <v>NO APLICA</v>
      </c>
      <c r="NN74" s="5"/>
      <c r="NO74" s="5"/>
      <c r="NP74" s="5"/>
      <c r="NQ74" s="5"/>
      <c r="NR74" s="5" t="str">
        <f t="shared" si="340"/>
        <v>NO APLICA</v>
      </c>
      <c r="NS74" s="5"/>
      <c r="NT74" s="5"/>
      <c r="NU74" s="5"/>
      <c r="NV74" s="5"/>
      <c r="NW74" s="5" t="str">
        <f t="shared" si="341"/>
        <v>NO APLICA</v>
      </c>
      <c r="NX74" s="6"/>
      <c r="NY74" s="6"/>
      <c r="NZ74" s="6"/>
      <c r="OA74" s="6"/>
      <c r="OB74" s="5" t="str">
        <f t="shared" si="342"/>
        <v>NO APLICA</v>
      </c>
      <c r="OC74" s="6"/>
      <c r="OD74" s="6"/>
      <c r="OE74" s="6"/>
      <c r="OF74" s="6"/>
      <c r="OG74" s="5" t="str">
        <f t="shared" si="343"/>
        <v>NO APLICA</v>
      </c>
      <c r="OH74" s="6"/>
      <c r="OI74" s="6"/>
      <c r="OJ74" s="4"/>
      <c r="OK74" s="8"/>
      <c r="OL74" s="5" t="str">
        <f t="shared" si="344"/>
        <v>NO APLICA</v>
      </c>
      <c r="OM74" s="6"/>
      <c r="ON74" s="6"/>
      <c r="OO74" s="6"/>
      <c r="OP74" s="6"/>
      <c r="OQ74" s="5" t="str">
        <f t="shared" si="345"/>
        <v>NO APLICA</v>
      </c>
      <c r="OR74" s="6"/>
      <c r="OS74" s="6"/>
      <c r="OT74" s="6"/>
      <c r="OU74" s="6"/>
      <c r="OV74" s="5" t="str">
        <f t="shared" si="346"/>
        <v>NO APLICA</v>
      </c>
      <c r="OW74" s="6"/>
      <c r="OX74" s="6"/>
      <c r="OY74" s="6"/>
      <c r="OZ74" s="6"/>
      <c r="PA74" s="5" t="str">
        <f t="shared" si="347"/>
        <v>NO APLICA</v>
      </c>
      <c r="PB74" s="6"/>
      <c r="PC74" s="6"/>
      <c r="PD74" s="6"/>
      <c r="PE74" s="6"/>
      <c r="PF74" s="5" t="str">
        <f t="shared" si="348"/>
        <v>NO APLICA</v>
      </c>
      <c r="PG74" s="6"/>
      <c r="PH74" s="6"/>
      <c r="PI74" s="6"/>
      <c r="PJ74" s="6"/>
      <c r="PK74" s="5" t="str">
        <f t="shared" si="349"/>
        <v>NO APLICA</v>
      </c>
      <c r="PL74" s="5"/>
      <c r="PM74" s="6"/>
      <c r="PN74" s="4"/>
      <c r="PO74" s="8"/>
      <c r="PP74" s="5" t="str">
        <f t="shared" si="350"/>
        <v>NO APLICA</v>
      </c>
      <c r="PQ74" s="6"/>
      <c r="PR74" s="6"/>
      <c r="PS74" s="6"/>
      <c r="PT74" s="6"/>
      <c r="PU74" s="5" t="str">
        <f t="shared" si="351"/>
        <v>NO APLICA</v>
      </c>
      <c r="PV74" s="5"/>
      <c r="PW74" s="6"/>
      <c r="PX74" s="6"/>
      <c r="PY74" s="6"/>
      <c r="PZ74" s="5" t="str">
        <f t="shared" si="352"/>
        <v>NO APLICA</v>
      </c>
    </row>
    <row r="75" spans="1:442" ht="15.6" hidden="1" thickTop="1" thickBot="1" x14ac:dyDescent="0.35">
      <c r="A75" s="26">
        <v>72</v>
      </c>
      <c r="B75" s="27">
        <v>1168</v>
      </c>
      <c r="C75" s="28" t="s">
        <v>276</v>
      </c>
      <c r="D75" s="29" t="s">
        <v>68</v>
      </c>
      <c r="E75" s="30" t="s">
        <v>153</v>
      </c>
      <c r="F75" s="5"/>
      <c r="G75" s="6"/>
      <c r="H75" s="4"/>
      <c r="I75" s="8"/>
      <c r="J75" s="5" t="str">
        <f t="shared" si="242"/>
        <v>NO APLICA</v>
      </c>
      <c r="K75" s="5"/>
      <c r="L75" s="6"/>
      <c r="M75" s="6"/>
      <c r="N75" s="8"/>
      <c r="O75" s="5" t="str">
        <f t="shared" si="243"/>
        <v>NO APLICA</v>
      </c>
      <c r="P75" s="6"/>
      <c r="Q75" s="6"/>
      <c r="R75" s="4"/>
      <c r="S75" s="8"/>
      <c r="T75" s="5" t="str">
        <f t="shared" si="353"/>
        <v>NO APLICA</v>
      </c>
      <c r="U75" s="5"/>
      <c r="V75" s="2" t="s">
        <v>277</v>
      </c>
      <c r="W75" s="4">
        <v>44786</v>
      </c>
      <c r="X75" s="4">
        <f t="shared" si="244"/>
        <v>46612</v>
      </c>
      <c r="Y75" s="8">
        <f t="shared" ca="1" si="245"/>
        <v>467</v>
      </c>
      <c r="Z75" s="5" t="str">
        <f t="shared" ca="1" si="246"/>
        <v>VIGENTE</v>
      </c>
      <c r="AA75" s="5"/>
      <c r="AB75" s="2" t="s">
        <v>278</v>
      </c>
      <c r="AC75" s="4">
        <v>45499</v>
      </c>
      <c r="AD75" s="4">
        <f t="shared" si="376"/>
        <v>47325</v>
      </c>
      <c r="AE75" s="8">
        <f t="shared" ca="1" si="377"/>
        <v>1180</v>
      </c>
      <c r="AF75" s="5" t="str">
        <f t="shared" ca="1" si="24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8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9"/>
        <v>511</v>
      </c>
      <c r="AP75" s="5" t="str">
        <f t="shared" ca="1" si="250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1"/>
        <v>556</v>
      </c>
      <c r="AU75" s="5" t="str">
        <f t="shared" ca="1" si="252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3"/>
        <v>557</v>
      </c>
      <c r="AZ75" s="5" t="str">
        <f t="shared" ca="1" si="254"/>
        <v>VIGENTE</v>
      </c>
      <c r="BA75" s="3"/>
      <c r="BB75" s="4">
        <v>45742</v>
      </c>
      <c r="BC75" s="4">
        <f t="shared" si="362"/>
        <v>46471</v>
      </c>
      <c r="BD75" s="8">
        <f t="shared" ca="1" si="255"/>
        <v>326</v>
      </c>
      <c r="BE75" s="5" t="str">
        <f t="shared" ca="1" si="256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7"/>
        <v>572</v>
      </c>
      <c r="BJ75" s="5" t="str">
        <f t="shared" ca="1" si="258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9"/>
        <v>620</v>
      </c>
      <c r="BO75" s="5" t="str">
        <f t="shared" ca="1" si="260"/>
        <v>VIGENTE</v>
      </c>
      <c r="BP75" s="3"/>
      <c r="BQ75" s="39">
        <v>46069</v>
      </c>
      <c r="BR75" s="4">
        <f>DATE(YEAR(BQ75)+2,MONTH(BQ75),DAY(BQ75))</f>
        <v>46799</v>
      </c>
      <c r="BS75" s="8">
        <f t="shared" ca="1" si="261"/>
        <v>654</v>
      </c>
      <c r="BT75" s="5" t="str">
        <f t="shared" ca="1" si="262"/>
        <v>VIGENTE</v>
      </c>
      <c r="BU75" s="3"/>
      <c r="BV75" s="4">
        <v>46116</v>
      </c>
      <c r="BW75" s="4">
        <f>DATE(YEAR(BV75)+2,MONTH(BV75),DAY(BV75)-1)</f>
        <v>46846</v>
      </c>
      <c r="BX75" s="8">
        <f t="shared" ca="1" si="263"/>
        <v>701</v>
      </c>
      <c r="BY75" s="5" t="str">
        <f t="shared" ca="1" si="264"/>
        <v>VIGENTE</v>
      </c>
      <c r="BZ75" s="3"/>
      <c r="CA75" s="4">
        <v>45974</v>
      </c>
      <c r="CB75" s="4">
        <f>DATE(YEAR(CA75)+2,MONTH(CA75),DAY(CA75))</f>
        <v>46704</v>
      </c>
      <c r="CC75" s="8">
        <f t="shared" ca="1" si="265"/>
        <v>559</v>
      </c>
      <c r="CD75" s="5" t="str">
        <f t="shared" ca="1" si="266"/>
        <v>VIGENTE</v>
      </c>
      <c r="CE75" s="6"/>
      <c r="CF75" s="4">
        <v>45227</v>
      </c>
      <c r="CG75" s="4">
        <f t="shared" si="267"/>
        <v>46688</v>
      </c>
      <c r="CH75" s="8">
        <f t="shared" ca="1" si="268"/>
        <v>543</v>
      </c>
      <c r="CI75" s="5" t="str">
        <f t="shared" ca="1" si="269"/>
        <v>VIGENTE</v>
      </c>
      <c r="CJ75" s="4"/>
      <c r="CK75" s="4">
        <v>45504</v>
      </c>
      <c r="CL75" s="4">
        <f t="shared" si="375"/>
        <v>46233</v>
      </c>
      <c r="CM75" s="8">
        <f t="shared" ca="1" si="270"/>
        <v>88</v>
      </c>
      <c r="CN75" s="5" t="str">
        <f t="shared" ca="1" si="271"/>
        <v>POR VENCER</v>
      </c>
      <c r="CO75" s="4"/>
      <c r="CP75" s="39">
        <v>45726</v>
      </c>
      <c r="CQ75" s="4">
        <f t="shared" si="368"/>
        <v>46455</v>
      </c>
      <c r="CR75" s="8">
        <f t="shared" ca="1" si="272"/>
        <v>310</v>
      </c>
      <c r="CS75" s="5" t="str">
        <f t="shared" ca="1" si="273"/>
        <v>VIGENTE</v>
      </c>
      <c r="CT75" s="3"/>
      <c r="CU75" s="4">
        <v>45639</v>
      </c>
      <c r="CV75" s="4">
        <f t="shared" si="369"/>
        <v>46368</v>
      </c>
      <c r="CW75" s="8">
        <f t="shared" ca="1" si="274"/>
        <v>223</v>
      </c>
      <c r="CX75" s="5" t="str">
        <f t="shared" ca="1" si="275"/>
        <v>VIGENTE</v>
      </c>
      <c r="CY75" s="3"/>
      <c r="CZ75" s="4">
        <v>45665</v>
      </c>
      <c r="DA75" s="4">
        <f t="shared" si="370"/>
        <v>46394</v>
      </c>
      <c r="DB75" s="8">
        <f t="shared" ca="1" si="276"/>
        <v>249</v>
      </c>
      <c r="DC75" s="5" t="str">
        <f t="shared" ca="1" si="277"/>
        <v>VIGENTE</v>
      </c>
      <c r="DD75" s="4"/>
      <c r="DE75" s="39">
        <v>45689</v>
      </c>
      <c r="DF75" s="4">
        <f t="shared" ref="DF75:DF80" si="382">DATE(YEAR(DE75)+2,MONTH(DE75),DAY(DE75)-1)</f>
        <v>46418</v>
      </c>
      <c r="DG75" s="8">
        <f t="shared" ca="1" si="278"/>
        <v>273</v>
      </c>
      <c r="DH75" s="5" t="str">
        <f t="shared" ca="1" si="279"/>
        <v>VIGENTE</v>
      </c>
      <c r="DI75" s="4"/>
      <c r="DJ75" s="39">
        <v>45696</v>
      </c>
      <c r="DK75" s="4">
        <f>DATE(YEAR(DJ75)+2,MONTH(DJ75),DAY(DJ75)-1)</f>
        <v>46425</v>
      </c>
      <c r="DL75" s="8">
        <f t="shared" ca="1" si="280"/>
        <v>280</v>
      </c>
      <c r="DM75" s="5" t="str">
        <f t="shared" ca="1" si="281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2"/>
        <v>631</v>
      </c>
      <c r="DR75" s="5" t="str">
        <f t="shared" ca="1" si="283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4"/>
        <v>312</v>
      </c>
      <c r="DW75" s="5" t="str">
        <f t="shared" ca="1" si="285"/>
        <v>VIGENTE</v>
      </c>
      <c r="DX75" s="4"/>
      <c r="DY75" s="4">
        <v>45709</v>
      </c>
      <c r="DZ75" s="4">
        <f t="shared" si="354"/>
        <v>46438</v>
      </c>
      <c r="EA75" s="8">
        <f t="shared" ca="1" si="286"/>
        <v>293</v>
      </c>
      <c r="EB75" s="5" t="str">
        <f t="shared" ca="1" si="287"/>
        <v>VIGENTE</v>
      </c>
      <c r="EC75" s="4"/>
      <c r="ED75" s="39">
        <v>45674</v>
      </c>
      <c r="EE75" s="4">
        <f>DATE(YEAR(ED75)+2,MONTH(ED75),DAY(ED75)-1)</f>
        <v>46403</v>
      </c>
      <c r="EF75" s="8">
        <f t="shared" ca="1" si="288"/>
        <v>258</v>
      </c>
      <c r="EG75" s="5" t="str">
        <f t="shared" ca="1" si="289"/>
        <v>VIGENTE</v>
      </c>
      <c r="EH75" s="3"/>
      <c r="EI75" s="3">
        <v>46085</v>
      </c>
      <c r="EJ75" s="4">
        <f t="shared" si="355"/>
        <v>46450</v>
      </c>
      <c r="EK75" s="8">
        <f t="shared" ca="1" si="290"/>
        <v>305</v>
      </c>
      <c r="EL75" s="5" t="str">
        <f t="shared" ca="1" si="291"/>
        <v>VIGENTE</v>
      </c>
      <c r="EM75" s="4"/>
      <c r="EN75" s="4">
        <v>45671</v>
      </c>
      <c r="EO75" s="4">
        <f t="shared" si="371"/>
        <v>46400</v>
      </c>
      <c r="EP75" s="8">
        <f t="shared" ca="1" si="292"/>
        <v>255</v>
      </c>
      <c r="EQ75" s="5" t="str">
        <f t="shared" ca="1" si="293"/>
        <v>VIGENTE</v>
      </c>
      <c r="ER75" s="4"/>
      <c r="ES75" s="39">
        <v>45755</v>
      </c>
      <c r="ET75" s="4">
        <f t="shared" si="363"/>
        <v>46484</v>
      </c>
      <c r="EU75" s="8">
        <f t="shared" ca="1" si="294"/>
        <v>339</v>
      </c>
      <c r="EV75" s="5" t="str">
        <f t="shared" ca="1" si="295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6"/>
        <v>549</v>
      </c>
      <c r="FA75" s="5" t="str">
        <f t="shared" ca="1" si="297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8"/>
        <v>573</v>
      </c>
      <c r="FF75" s="5" t="str">
        <f t="shared" ca="1" si="299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0"/>
        <v>554</v>
      </c>
      <c r="FK75" s="5" t="str">
        <f t="shared" ca="1" si="301"/>
        <v>VIGENTE</v>
      </c>
      <c r="FL75" s="3"/>
      <c r="FM75" s="39">
        <v>45738</v>
      </c>
      <c r="FN75" s="4">
        <f t="shared" si="364"/>
        <v>46467</v>
      </c>
      <c r="FO75" s="8">
        <f t="shared" ca="1" si="302"/>
        <v>322</v>
      </c>
      <c r="FP75" s="5" t="str">
        <f t="shared" ca="1" si="303"/>
        <v>VIGENTE</v>
      </c>
      <c r="FQ75" s="4"/>
      <c r="FR75" s="39">
        <v>45678</v>
      </c>
      <c r="FS75" s="4">
        <f t="shared" si="372"/>
        <v>46407</v>
      </c>
      <c r="FT75" s="8">
        <f t="shared" ca="1" si="304"/>
        <v>262</v>
      </c>
      <c r="FU75" s="5" t="str">
        <f t="shared" ca="1" si="305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6"/>
        <v>578</v>
      </c>
      <c r="FZ75" s="5" t="str">
        <f t="shared" ca="1" si="307"/>
        <v>VIGENTE</v>
      </c>
      <c r="GA75" s="3"/>
      <c r="GB75" s="4">
        <v>45741</v>
      </c>
      <c r="GC75" s="4">
        <f t="shared" si="365"/>
        <v>46470</v>
      </c>
      <c r="GD75" s="8">
        <f t="shared" ca="1" si="308"/>
        <v>325</v>
      </c>
      <c r="GE75" s="5" t="str">
        <f t="shared" ca="1" si="309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0"/>
        <v>336</v>
      </c>
      <c r="GJ75" s="5" t="str">
        <f t="shared" ca="1" si="311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2"/>
        <v>433</v>
      </c>
      <c r="GO75" s="5" t="str">
        <f t="shared" ca="1" si="313"/>
        <v>VIGENTE</v>
      </c>
      <c r="GP75" s="4"/>
      <c r="GQ75" s="4">
        <v>45164</v>
      </c>
      <c r="GR75" s="4">
        <f t="shared" si="314"/>
        <v>46991</v>
      </c>
      <c r="GS75" s="8">
        <f t="shared" ca="1" si="176"/>
        <v>846</v>
      </c>
      <c r="GT75" s="5" t="str">
        <f t="shared" ca="1" si="378"/>
        <v>VIGENTE</v>
      </c>
      <c r="GU75" s="3"/>
      <c r="GV75" s="4">
        <v>45200</v>
      </c>
      <c r="GW75" s="4">
        <f t="shared" si="316"/>
        <v>47027</v>
      </c>
      <c r="GX75" s="8">
        <f t="shared" ca="1" si="317"/>
        <v>882</v>
      </c>
      <c r="GY75" s="5" t="str">
        <f t="shared" ca="1" si="379"/>
        <v>VIGENTE</v>
      </c>
      <c r="GZ75" s="3"/>
      <c r="HA75" s="4">
        <v>45163</v>
      </c>
      <c r="HB75" s="4">
        <f t="shared" si="319"/>
        <v>46990</v>
      </c>
      <c r="HC75" s="8">
        <f t="shared" ca="1" si="320"/>
        <v>845</v>
      </c>
      <c r="HD75" s="5" t="str">
        <f t="shared" ca="1" si="380"/>
        <v>VIGENTE</v>
      </c>
      <c r="HE75" s="6"/>
      <c r="HF75" s="4">
        <v>44865</v>
      </c>
      <c r="HG75" s="4">
        <f t="shared" si="373"/>
        <v>46691</v>
      </c>
      <c r="HH75" s="8">
        <f t="shared" ca="1" si="374"/>
        <v>546</v>
      </c>
      <c r="HI75" s="5" t="str">
        <f t="shared" ca="1" si="381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8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2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3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4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5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6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7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8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9"/>
        <v>VIGENTE</v>
      </c>
      <c r="JC75" s="3" t="s">
        <v>780</v>
      </c>
      <c r="JD75" s="3"/>
      <c r="JE75" s="4"/>
      <c r="JF75" s="8"/>
      <c r="JG75" s="5"/>
      <c r="JH75" s="3" t="s">
        <v>780</v>
      </c>
      <c r="JI75" s="6"/>
      <c r="JJ75" s="6"/>
      <c r="JK75" s="6"/>
      <c r="JL75" s="5"/>
      <c r="JM75" s="6" t="s">
        <v>780</v>
      </c>
      <c r="JN75" s="6"/>
      <c r="JO75" s="6"/>
      <c r="JP75" s="6"/>
      <c r="JQ75" s="5"/>
      <c r="JR75" s="6" t="s">
        <v>780</v>
      </c>
      <c r="JS75" s="6"/>
      <c r="JT75" s="6"/>
      <c r="JU75" s="6"/>
      <c r="JV75" s="5"/>
      <c r="JW75" s="6" t="s">
        <v>780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30"/>
        <v>NO APLICA</v>
      </c>
      <c r="KG75" s="5"/>
      <c r="KH75" s="2"/>
      <c r="KI75" s="4"/>
      <c r="KJ75" s="8"/>
      <c r="KK75" s="5" t="str">
        <f t="shared" si="356"/>
        <v>NO APLICA</v>
      </c>
      <c r="KL75" s="5"/>
      <c r="KM75" s="2"/>
      <c r="KN75" s="4"/>
      <c r="KO75" s="8"/>
      <c r="KP75" s="5" t="str">
        <f t="shared" si="331"/>
        <v>NO APLICA</v>
      </c>
      <c r="KQ75" s="5"/>
      <c r="KR75" s="2"/>
      <c r="KS75" s="4"/>
      <c r="KT75" s="8"/>
      <c r="KU75" s="5" t="str">
        <f t="shared" si="357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6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8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2"/>
        <v>VIGENTE</v>
      </c>
      <c r="LK75" s="5"/>
      <c r="LL75" s="5"/>
      <c r="LM75" s="4"/>
      <c r="LN75" s="8"/>
      <c r="LO75" s="5" t="str">
        <f t="shared" si="367"/>
        <v>NO APLICA</v>
      </c>
      <c r="LP75" s="2"/>
      <c r="LQ75" s="6"/>
      <c r="LR75" s="4"/>
      <c r="LS75" s="8"/>
      <c r="LT75" s="5" t="str">
        <f t="shared" si="359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60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1"/>
        <v>VIGENTE</v>
      </c>
      <c r="ME75" s="2"/>
      <c r="MF75" s="2"/>
      <c r="MG75" s="4"/>
      <c r="MH75" s="8"/>
      <c r="MI75" s="5" t="str">
        <f t="shared" si="333"/>
        <v>NO APLICA</v>
      </c>
      <c r="MJ75" s="2"/>
      <c r="MK75" s="2"/>
      <c r="ML75" s="4"/>
      <c r="MM75" s="8"/>
      <c r="MN75" s="5" t="str">
        <f t="shared" si="334"/>
        <v>NO APLICA</v>
      </c>
      <c r="MO75" s="5"/>
      <c r="MP75" s="2"/>
      <c r="MQ75" s="4"/>
      <c r="MR75" s="8"/>
      <c r="MS75" s="5" t="str">
        <f t="shared" si="335"/>
        <v>NO APLICA</v>
      </c>
      <c r="MT75" s="5"/>
      <c r="MU75" s="2"/>
      <c r="MV75" s="4"/>
      <c r="MW75" s="2"/>
      <c r="MX75" s="5" t="str">
        <f t="shared" si="336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7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8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9"/>
        <v>VIGENTE</v>
      </c>
      <c r="NN75" s="2"/>
      <c r="NO75" s="2"/>
      <c r="NP75" s="4"/>
      <c r="NQ75" s="8"/>
      <c r="NR75" s="5" t="str">
        <f t="shared" si="340"/>
        <v>NO APLICA</v>
      </c>
      <c r="NS75" s="2"/>
      <c r="NT75" s="2"/>
      <c r="NU75" s="4"/>
      <c r="NV75" s="2"/>
      <c r="NW75" s="5" t="str">
        <f t="shared" si="341"/>
        <v>NO APLICA</v>
      </c>
      <c r="NX75" s="6"/>
      <c r="NY75" s="6"/>
      <c r="NZ75" s="4"/>
      <c r="OA75" s="8"/>
      <c r="OB75" s="5" t="str">
        <f t="shared" si="342"/>
        <v>NO APLICA</v>
      </c>
      <c r="OC75" s="6"/>
      <c r="OD75" s="6"/>
      <c r="OE75" s="6"/>
      <c r="OF75" s="6"/>
      <c r="OG75" s="5" t="str">
        <f t="shared" si="343"/>
        <v>NO APLICA</v>
      </c>
      <c r="OH75" s="2"/>
      <c r="OI75" s="2"/>
      <c r="OJ75" s="4"/>
      <c r="OK75" s="8"/>
      <c r="OL75" s="5" t="str">
        <f t="shared" si="344"/>
        <v>NO APLICA</v>
      </c>
      <c r="OM75" s="6"/>
      <c r="ON75" s="6"/>
      <c r="OO75" s="6"/>
      <c r="OP75" s="6"/>
      <c r="OQ75" s="5" t="str">
        <f t="shared" si="345"/>
        <v>NO APLICA</v>
      </c>
      <c r="OR75" s="6"/>
      <c r="OS75" s="6"/>
      <c r="OT75" s="6"/>
      <c r="OU75" s="6"/>
      <c r="OV75" s="5" t="str">
        <f t="shared" si="346"/>
        <v>NO APLICA</v>
      </c>
      <c r="OW75" s="6"/>
      <c r="OX75" s="6"/>
      <c r="OY75" s="6"/>
      <c r="OZ75" s="6"/>
      <c r="PA75" s="5" t="str">
        <f t="shared" si="347"/>
        <v>NO APLICA</v>
      </c>
      <c r="PB75" s="6"/>
      <c r="PC75" s="6"/>
      <c r="PD75" s="6"/>
      <c r="PE75" s="6"/>
      <c r="PF75" s="5" t="str">
        <f t="shared" si="348"/>
        <v>NO APLICA</v>
      </c>
      <c r="PG75" s="6"/>
      <c r="PH75" s="6"/>
      <c r="PI75" s="6"/>
      <c r="PJ75" s="6"/>
      <c r="PK75" s="5" t="str">
        <f t="shared" si="349"/>
        <v>NO APLICA</v>
      </c>
      <c r="PL75" s="5"/>
      <c r="PM75" s="6"/>
      <c r="PN75" s="4"/>
      <c r="PO75" s="8"/>
      <c r="PP75" s="5" t="str">
        <f t="shared" si="350"/>
        <v>NO APLICA</v>
      </c>
      <c r="PQ75" s="6"/>
      <c r="PR75" s="6"/>
      <c r="PS75" s="6"/>
      <c r="PT75" s="6"/>
      <c r="PU75" s="5" t="str">
        <f t="shared" si="351"/>
        <v>NO APLICA</v>
      </c>
      <c r="PV75" s="5"/>
      <c r="PW75" s="6"/>
      <c r="PX75" s="6"/>
      <c r="PY75" s="6"/>
      <c r="PZ75" s="5" t="str">
        <f t="shared" si="352"/>
        <v>NO APLICA</v>
      </c>
    </row>
    <row r="76" spans="1:442" ht="15.6" hidden="1" thickTop="1" thickBot="1" x14ac:dyDescent="0.35">
      <c r="A76" s="26">
        <v>73</v>
      </c>
      <c r="B76" s="27">
        <v>899</v>
      </c>
      <c r="C76" s="28" t="s">
        <v>279</v>
      </c>
      <c r="D76" s="29" t="s">
        <v>68</v>
      </c>
      <c r="E76" s="30" t="s">
        <v>164</v>
      </c>
      <c r="F76" s="5"/>
      <c r="G76" s="6"/>
      <c r="H76" s="4"/>
      <c r="I76" s="8"/>
      <c r="J76" s="5" t="str">
        <f t="shared" si="242"/>
        <v>NO APLICA</v>
      </c>
      <c r="K76" s="2"/>
      <c r="L76" s="6"/>
      <c r="M76" s="6"/>
      <c r="N76" s="8"/>
      <c r="O76" s="5" t="str">
        <f t="shared" si="243"/>
        <v>NO APLICA</v>
      </c>
      <c r="P76" s="6"/>
      <c r="Q76" s="6"/>
      <c r="R76" s="4"/>
      <c r="S76" s="8"/>
      <c r="T76" s="5" t="str">
        <f t="shared" si="353"/>
        <v>NO APLICA</v>
      </c>
      <c r="U76" s="5"/>
      <c r="V76" s="2" t="s">
        <v>280</v>
      </c>
      <c r="W76" s="4">
        <v>44801</v>
      </c>
      <c r="X76" s="4">
        <f t="shared" si="244"/>
        <v>46627</v>
      </c>
      <c r="Y76" s="8">
        <f t="shared" ca="1" si="245"/>
        <v>482</v>
      </c>
      <c r="Z76" s="5" t="str">
        <f t="shared" ca="1" si="246"/>
        <v>VIGENTE</v>
      </c>
      <c r="AA76" s="5"/>
      <c r="AB76" s="2" t="s">
        <v>281</v>
      </c>
      <c r="AC76" s="4">
        <v>44831</v>
      </c>
      <c r="AD76" s="4">
        <f t="shared" si="376"/>
        <v>46657</v>
      </c>
      <c r="AE76" s="8">
        <f t="shared" ca="1" si="377"/>
        <v>512</v>
      </c>
      <c r="AF76" s="5" t="str">
        <f t="shared" ca="1" si="24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8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9"/>
        <v>522</v>
      </c>
      <c r="AP76" s="5" t="str">
        <f t="shared" ca="1" si="250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1"/>
        <v>552</v>
      </c>
      <c r="AU76" s="5" t="str">
        <f t="shared" ca="1" si="252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3"/>
        <v>537</v>
      </c>
      <c r="AZ76" s="5" t="str">
        <f t="shared" ca="1" si="254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5"/>
        <v>656</v>
      </c>
      <c r="BE76" s="5" t="str">
        <f t="shared" ca="1" si="256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7"/>
        <v>572</v>
      </c>
      <c r="BJ76" s="5" t="str">
        <f t="shared" ca="1" si="258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9"/>
        <v>636</v>
      </c>
      <c r="BO76" s="5" t="str">
        <f t="shared" ca="1" si="260"/>
        <v>VIGENTE</v>
      </c>
      <c r="BP76" s="3"/>
      <c r="BQ76" s="39">
        <v>46120</v>
      </c>
      <c r="BR76" s="4">
        <f>DATE(YEAR(BQ76)+2,MONTH(BQ76),DAY(BQ76)-1)</f>
        <v>46850</v>
      </c>
      <c r="BS76" s="8">
        <f t="shared" ca="1" si="261"/>
        <v>705</v>
      </c>
      <c r="BT76" s="5" t="str">
        <f t="shared" ca="1" si="262"/>
        <v>VIGENTE</v>
      </c>
      <c r="BU76" s="3"/>
      <c r="BV76" s="4">
        <v>46116</v>
      </c>
      <c r="BW76" s="4">
        <f>DATE(YEAR(BV76)+2,MONTH(BV76),DAY(BV76)-1)</f>
        <v>46846</v>
      </c>
      <c r="BX76" s="8">
        <f t="shared" ca="1" si="263"/>
        <v>701</v>
      </c>
      <c r="BY76" s="5" t="str">
        <f t="shared" ca="1" si="264"/>
        <v>VIGENTE</v>
      </c>
      <c r="BZ76" s="3"/>
      <c r="CA76" s="4">
        <v>45954</v>
      </c>
      <c r="CB76" s="4">
        <f>DATE(YEAR(CA76)+2,MONTH(CA76),DAY(CA76))</f>
        <v>46684</v>
      </c>
      <c r="CC76" s="8">
        <f t="shared" ca="1" si="265"/>
        <v>539</v>
      </c>
      <c r="CD76" s="5" t="str">
        <f t="shared" ca="1" si="266"/>
        <v>VIGENTE</v>
      </c>
      <c r="CE76" s="6"/>
      <c r="CF76" s="4">
        <v>45262</v>
      </c>
      <c r="CG76" s="4">
        <f t="shared" si="267"/>
        <v>46723</v>
      </c>
      <c r="CH76" s="8">
        <f t="shared" ca="1" si="268"/>
        <v>578</v>
      </c>
      <c r="CI76" s="5" t="str">
        <f t="shared" ca="1" si="269"/>
        <v>VIGENTE</v>
      </c>
      <c r="CJ76" s="4"/>
      <c r="CK76" s="4">
        <v>45504</v>
      </c>
      <c r="CL76" s="4">
        <f t="shared" si="375"/>
        <v>46233</v>
      </c>
      <c r="CM76" s="8">
        <f t="shared" ca="1" si="270"/>
        <v>88</v>
      </c>
      <c r="CN76" s="5" t="str">
        <f t="shared" ca="1" si="271"/>
        <v>POR VENCER</v>
      </c>
      <c r="CO76" s="3"/>
      <c r="CP76" s="39">
        <v>45517</v>
      </c>
      <c r="CQ76" s="4">
        <f t="shared" si="368"/>
        <v>46246</v>
      </c>
      <c r="CR76" s="8">
        <f t="shared" ca="1" si="272"/>
        <v>101</v>
      </c>
      <c r="CS76" s="5" t="str">
        <f t="shared" ca="1" si="273"/>
        <v>VIGENTE</v>
      </c>
      <c r="CT76" s="3"/>
      <c r="CU76" s="4">
        <v>45631</v>
      </c>
      <c r="CV76" s="4">
        <f t="shared" si="369"/>
        <v>46360</v>
      </c>
      <c r="CW76" s="8">
        <f t="shared" ca="1" si="274"/>
        <v>215</v>
      </c>
      <c r="CX76" s="5" t="str">
        <f t="shared" ca="1" si="275"/>
        <v>VIGENTE</v>
      </c>
      <c r="CY76" s="3"/>
      <c r="CZ76" s="4">
        <v>45665</v>
      </c>
      <c r="DA76" s="4">
        <f t="shared" si="370"/>
        <v>46394</v>
      </c>
      <c r="DB76" s="8">
        <f t="shared" ca="1" si="276"/>
        <v>249</v>
      </c>
      <c r="DC76" s="5" t="str">
        <f t="shared" ca="1" si="277"/>
        <v>VIGENTE</v>
      </c>
      <c r="DD76" s="3"/>
      <c r="DE76" s="39">
        <v>45689</v>
      </c>
      <c r="DF76" s="4">
        <f t="shared" si="382"/>
        <v>46418</v>
      </c>
      <c r="DG76" s="8">
        <f t="shared" ca="1" si="278"/>
        <v>273</v>
      </c>
      <c r="DH76" s="5" t="str">
        <f t="shared" ca="1" si="279"/>
        <v>VIGENTE</v>
      </c>
      <c r="DI76" s="3"/>
      <c r="DJ76" s="39">
        <v>46029</v>
      </c>
      <c r="DK76" s="4">
        <f>DATE(YEAR(DJ76)+2,MONTH(DJ76),DAY(DJ76))</f>
        <v>46759</v>
      </c>
      <c r="DL76" s="8">
        <f t="shared" ca="1" si="280"/>
        <v>614</v>
      </c>
      <c r="DM76" s="5" t="str">
        <f t="shared" ca="1" si="281"/>
        <v>VIGENTE</v>
      </c>
      <c r="DN76" s="3"/>
      <c r="DO76" s="4">
        <v>46128</v>
      </c>
      <c r="DP76" s="4">
        <f>DATE(YEAR(DO76)+2,MONTH(DO76),DAY(DO76)-1)</f>
        <v>46858</v>
      </c>
      <c r="DQ76" s="8">
        <f t="shared" ca="1" si="282"/>
        <v>713</v>
      </c>
      <c r="DR76" s="5" t="str">
        <f t="shared" ca="1" si="283"/>
        <v>VIGENTE</v>
      </c>
      <c r="DS76" s="3"/>
      <c r="DT76" s="4">
        <v>46053</v>
      </c>
      <c r="DU76" s="4">
        <f>DATE(YEAR(DT76)+2,MONTH(DT76),DAY(DT76))</f>
        <v>46783</v>
      </c>
      <c r="DV76" s="8">
        <f t="shared" ca="1" si="284"/>
        <v>638</v>
      </c>
      <c r="DW76" s="5" t="str">
        <f t="shared" ca="1" si="285"/>
        <v>VIGENTE</v>
      </c>
      <c r="DX76" s="3"/>
      <c r="DY76" s="4">
        <v>45474</v>
      </c>
      <c r="DZ76" s="4">
        <f t="shared" si="354"/>
        <v>46203</v>
      </c>
      <c r="EA76" s="8">
        <f t="shared" ca="1" si="286"/>
        <v>58</v>
      </c>
      <c r="EB76" s="5" t="str">
        <f t="shared" ca="1" si="287"/>
        <v>POR VENCER</v>
      </c>
      <c r="EC76" s="3"/>
      <c r="ED76" s="39">
        <v>46112</v>
      </c>
      <c r="EE76" s="4">
        <f>DATE(YEAR(ED76)+2,MONTH(ED76),DAY(ED76)-1)</f>
        <v>46842</v>
      </c>
      <c r="EF76" s="8">
        <f t="shared" ca="1" si="288"/>
        <v>697</v>
      </c>
      <c r="EG76" s="5" t="str">
        <f t="shared" ca="1" si="289"/>
        <v>VIGENTE</v>
      </c>
      <c r="EH76" s="3"/>
      <c r="EI76" s="3">
        <v>46015</v>
      </c>
      <c r="EJ76" s="4">
        <f t="shared" si="355"/>
        <v>46380</v>
      </c>
      <c r="EK76" s="8">
        <f t="shared" ca="1" si="290"/>
        <v>235</v>
      </c>
      <c r="EL76" s="5" t="str">
        <f t="shared" ca="1" si="291"/>
        <v>VIGENTE</v>
      </c>
      <c r="EM76" s="3"/>
      <c r="EN76" s="4">
        <v>46135</v>
      </c>
      <c r="EO76" s="4">
        <f t="shared" si="371"/>
        <v>46865</v>
      </c>
      <c r="EP76" s="8">
        <f t="shared" ca="1" si="292"/>
        <v>720</v>
      </c>
      <c r="EQ76" s="5" t="str">
        <f t="shared" ca="1" si="293"/>
        <v>VIGENTE</v>
      </c>
      <c r="ER76" s="3"/>
      <c r="ES76" s="39">
        <v>46130</v>
      </c>
      <c r="ET76" s="4">
        <f t="shared" si="363"/>
        <v>46860</v>
      </c>
      <c r="EU76" s="8">
        <f t="shared" ca="1" si="294"/>
        <v>715</v>
      </c>
      <c r="EV76" s="5" t="str">
        <f t="shared" ca="1" si="295"/>
        <v>VIGENTE</v>
      </c>
      <c r="EW76" s="3"/>
      <c r="EX76" s="4">
        <v>45953</v>
      </c>
      <c r="EY76" s="4">
        <f>DATE(YEAR(EX76)+2,MONTH(EX76),DAY(EX76))</f>
        <v>46683</v>
      </c>
      <c r="EZ76" s="8">
        <f t="shared" ca="1" si="296"/>
        <v>538</v>
      </c>
      <c r="FA76" s="5" t="str">
        <f t="shared" ca="1" si="297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8"/>
        <v>536</v>
      </c>
      <c r="FF76" s="5" t="str">
        <f t="shared" ca="1" si="299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0"/>
        <v>547</v>
      </c>
      <c r="FK76" s="5" t="str">
        <f t="shared" ca="1" si="301"/>
        <v>VIGENTE</v>
      </c>
      <c r="FL76" s="3"/>
      <c r="FM76" s="39">
        <v>45686</v>
      </c>
      <c r="FN76" s="4">
        <f t="shared" si="364"/>
        <v>46415</v>
      </c>
      <c r="FO76" s="8">
        <f t="shared" ca="1" si="302"/>
        <v>270</v>
      </c>
      <c r="FP76" s="5" t="str">
        <f t="shared" ca="1" si="303"/>
        <v>VIGENTE</v>
      </c>
      <c r="FQ76" s="3"/>
      <c r="FR76" s="39">
        <v>46132</v>
      </c>
      <c r="FS76" s="4">
        <f t="shared" si="372"/>
        <v>46862</v>
      </c>
      <c r="FT76" s="8">
        <f t="shared" ca="1" si="304"/>
        <v>717</v>
      </c>
      <c r="FU76" s="5" t="str">
        <f t="shared" ca="1" si="305"/>
        <v>VIGENTE</v>
      </c>
      <c r="FV76" s="4"/>
      <c r="FW76" s="4">
        <v>45587</v>
      </c>
      <c r="FX76" s="4">
        <f t="shared" ref="FX76:FX81" si="383">DATE(YEAR(FW76)+2,MONTH(FW76),DAY(FW76)-1)</f>
        <v>46316</v>
      </c>
      <c r="FY76" s="8">
        <f t="shared" ca="1" si="306"/>
        <v>171</v>
      </c>
      <c r="FZ76" s="5" t="str">
        <f t="shared" ca="1" si="307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8"/>
        <v>615</v>
      </c>
      <c r="GE76" s="5" t="str">
        <f t="shared" ca="1" si="309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0"/>
        <v>56</v>
      </c>
      <c r="GJ76" s="5" t="str">
        <f t="shared" ca="1" si="311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2"/>
        <v>508</v>
      </c>
      <c r="GO76" s="5" t="str">
        <f t="shared" ca="1" si="313"/>
        <v>VIGENTE</v>
      </c>
      <c r="GP76" s="4"/>
      <c r="GQ76" s="4">
        <v>45244</v>
      </c>
      <c r="GR76" s="4">
        <f t="shared" si="314"/>
        <v>47071</v>
      </c>
      <c r="GS76" s="8">
        <f t="shared" ca="1" si="176"/>
        <v>926</v>
      </c>
      <c r="GT76" s="5" t="str">
        <f t="shared" ca="1" si="378"/>
        <v>VIGENTE</v>
      </c>
      <c r="GU76" s="3"/>
      <c r="GV76" s="4">
        <v>45245</v>
      </c>
      <c r="GW76" s="4">
        <f t="shared" si="316"/>
        <v>47072</v>
      </c>
      <c r="GX76" s="8">
        <f t="shared" ca="1" si="317"/>
        <v>927</v>
      </c>
      <c r="GY76" s="5" t="str">
        <f t="shared" ca="1" si="379"/>
        <v>VIGENTE</v>
      </c>
      <c r="GZ76" s="3"/>
      <c r="HA76" s="4">
        <v>45251</v>
      </c>
      <c r="HB76" s="4">
        <f t="shared" si="319"/>
        <v>47078</v>
      </c>
      <c r="HC76" s="8">
        <f t="shared" ca="1" si="320"/>
        <v>933</v>
      </c>
      <c r="HD76" s="5" t="str">
        <f t="shared" ca="1" si="380"/>
        <v>VIGENTE</v>
      </c>
      <c r="HE76" s="6"/>
      <c r="HF76" s="4">
        <v>44862</v>
      </c>
      <c r="HG76" s="4">
        <f t="shared" si="373"/>
        <v>46688</v>
      </c>
      <c r="HH76" s="8">
        <f t="shared" ca="1" si="374"/>
        <v>543</v>
      </c>
      <c r="HI76" s="5" t="str">
        <f t="shared" ca="1" si="381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8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2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3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4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5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6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7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8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9"/>
        <v>VIGENTE</v>
      </c>
      <c r="JC76" s="3" t="s">
        <v>780</v>
      </c>
      <c r="JD76" s="3"/>
      <c r="JE76" s="4"/>
      <c r="JF76" s="8"/>
      <c r="JG76" s="5"/>
      <c r="JH76" s="3" t="s">
        <v>780</v>
      </c>
      <c r="JI76" s="6"/>
      <c r="JJ76" s="6"/>
      <c r="JK76" s="6"/>
      <c r="JL76" s="5"/>
      <c r="JM76" s="6" t="s">
        <v>780</v>
      </c>
      <c r="JN76" s="6"/>
      <c r="JO76" s="6"/>
      <c r="JP76" s="6"/>
      <c r="JQ76" s="5"/>
      <c r="JR76" s="6" t="s">
        <v>780</v>
      </c>
      <c r="JS76" s="6"/>
      <c r="JT76" s="6"/>
      <c r="JU76" s="6"/>
      <c r="JV76" s="5"/>
      <c r="JW76" s="6" t="s">
        <v>780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30"/>
        <v>NO APLICA</v>
      </c>
      <c r="KG76" s="5"/>
      <c r="KH76" s="2"/>
      <c r="KI76" s="4"/>
      <c r="KJ76" s="8"/>
      <c r="KK76" s="5" t="str">
        <f t="shared" si="356"/>
        <v>NO APLICA</v>
      </c>
      <c r="KL76" s="5"/>
      <c r="KM76" s="2"/>
      <c r="KN76" s="4"/>
      <c r="KO76" s="8"/>
      <c r="KP76" s="5" t="str">
        <f t="shared" si="331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7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6"/>
        <v>VIGENTE</v>
      </c>
      <c r="LA76" s="5"/>
      <c r="LB76" s="6"/>
      <c r="LC76" s="4"/>
      <c r="LD76" s="8"/>
      <c r="LE76" s="5" t="str">
        <f t="shared" si="358"/>
        <v>NO APLICA</v>
      </c>
      <c r="LF76" s="4"/>
      <c r="LG76" s="4"/>
      <c r="LH76" s="4"/>
      <c r="LI76" s="8"/>
      <c r="LJ76" s="5" t="str">
        <f t="shared" si="332"/>
        <v>NO APLICA</v>
      </c>
      <c r="LK76" s="5"/>
      <c r="LL76" s="5"/>
      <c r="LM76" s="4"/>
      <c r="LN76" s="8"/>
      <c r="LO76" s="5" t="str">
        <f t="shared" si="367"/>
        <v>NO APLICA</v>
      </c>
      <c r="LP76" s="2"/>
      <c r="LQ76" s="6"/>
      <c r="LR76" s="4"/>
      <c r="LS76" s="8"/>
      <c r="LT76" s="5" t="str">
        <f t="shared" si="359"/>
        <v>NO APLICA</v>
      </c>
      <c r="LU76" s="6"/>
      <c r="LV76" s="6"/>
      <c r="LW76" s="4"/>
      <c r="LX76" s="8"/>
      <c r="LY76" s="5" t="str">
        <f t="shared" si="360"/>
        <v>NO APLICA</v>
      </c>
      <c r="LZ76" s="6"/>
      <c r="MA76" s="6"/>
      <c r="MB76" s="4"/>
      <c r="MC76" s="8"/>
      <c r="MD76" s="5" t="str">
        <f t="shared" si="361"/>
        <v>NO APLICA</v>
      </c>
      <c r="ME76" s="2"/>
      <c r="MF76" s="2"/>
      <c r="MG76" s="4"/>
      <c r="MH76" s="8"/>
      <c r="MI76" s="5" t="str">
        <f t="shared" si="333"/>
        <v>NO APLICA</v>
      </c>
      <c r="MJ76" s="2"/>
      <c r="MK76" s="2"/>
      <c r="ML76" s="4"/>
      <c r="MM76" s="8"/>
      <c r="MN76" s="5" t="str">
        <f t="shared" si="334"/>
        <v>NO APLICA</v>
      </c>
      <c r="MO76" s="5"/>
      <c r="MP76" s="2"/>
      <c r="MQ76" s="4"/>
      <c r="MR76" s="8"/>
      <c r="MS76" s="5" t="str">
        <f t="shared" si="335"/>
        <v>NO APLICA</v>
      </c>
      <c r="MT76" s="5"/>
      <c r="MU76" s="2"/>
      <c r="MV76" s="4"/>
      <c r="MW76" s="2"/>
      <c r="MX76" s="5" t="str">
        <f t="shared" si="336"/>
        <v>NO APLICA</v>
      </c>
      <c r="MY76" s="2"/>
      <c r="MZ76" s="6"/>
      <c r="NA76" s="4"/>
      <c r="NB76" s="8"/>
      <c r="NC76" s="5" t="str">
        <f t="shared" si="337"/>
        <v>NO APLICA</v>
      </c>
      <c r="ND76" s="2"/>
      <c r="NE76" s="6"/>
      <c r="NF76" s="4"/>
      <c r="NG76" s="8"/>
      <c r="NH76" s="5" t="str">
        <f t="shared" si="338"/>
        <v>NO APLICA</v>
      </c>
      <c r="NI76" s="2"/>
      <c r="NJ76" s="6"/>
      <c r="NK76" s="4"/>
      <c r="NL76" s="8"/>
      <c r="NM76" s="5" t="str">
        <f t="shared" si="339"/>
        <v>NO APLICA</v>
      </c>
      <c r="NN76" s="2"/>
      <c r="NO76" s="2"/>
      <c r="NP76" s="4"/>
      <c r="NQ76" s="8"/>
      <c r="NR76" s="5" t="str">
        <f t="shared" si="340"/>
        <v>NO APLICA</v>
      </c>
      <c r="NS76" s="2"/>
      <c r="NT76" s="2"/>
      <c r="NU76" s="2"/>
      <c r="NV76" s="2"/>
      <c r="NW76" s="5" t="str">
        <f t="shared" si="341"/>
        <v>NO APLICA</v>
      </c>
      <c r="NX76" s="6"/>
      <c r="NY76" s="6"/>
      <c r="NZ76" s="4"/>
      <c r="OA76" s="8"/>
      <c r="OB76" s="5" t="str">
        <f t="shared" si="342"/>
        <v>NO APLICA</v>
      </c>
      <c r="OC76" s="6"/>
      <c r="OD76" s="6"/>
      <c r="OE76" s="6"/>
      <c r="OF76" s="6"/>
      <c r="OG76" s="5" t="str">
        <f t="shared" si="343"/>
        <v>NO APLICA</v>
      </c>
      <c r="OH76" s="6"/>
      <c r="OI76" s="6"/>
      <c r="OJ76" s="4"/>
      <c r="OK76" s="8"/>
      <c r="OL76" s="5" t="str">
        <f t="shared" si="344"/>
        <v>NO APLICA</v>
      </c>
      <c r="OM76" s="6"/>
      <c r="ON76" s="6"/>
      <c r="OO76" s="6"/>
      <c r="OP76" s="6"/>
      <c r="OQ76" s="5" t="str">
        <f t="shared" si="345"/>
        <v>NO APLICA</v>
      </c>
      <c r="OR76" s="6"/>
      <c r="OS76" s="6"/>
      <c r="OT76" s="6"/>
      <c r="OU76" s="6"/>
      <c r="OV76" s="5" t="str">
        <f t="shared" si="346"/>
        <v>NO APLICA</v>
      </c>
      <c r="OW76" s="6"/>
      <c r="OX76" s="6"/>
      <c r="OY76" s="6"/>
      <c r="OZ76" s="6"/>
      <c r="PA76" s="5" t="str">
        <f t="shared" si="347"/>
        <v>NO APLICA</v>
      </c>
      <c r="PB76" s="6"/>
      <c r="PC76" s="6"/>
      <c r="PD76" s="6"/>
      <c r="PE76" s="6"/>
      <c r="PF76" s="5" t="str">
        <f t="shared" si="348"/>
        <v>NO APLICA</v>
      </c>
      <c r="PG76" s="6"/>
      <c r="PH76" s="6"/>
      <c r="PI76" s="6"/>
      <c r="PJ76" s="6"/>
      <c r="PK76" s="5" t="str">
        <f t="shared" si="349"/>
        <v>NO APLICA</v>
      </c>
      <c r="PL76" s="5"/>
      <c r="PM76" s="6"/>
      <c r="PN76" s="4"/>
      <c r="PO76" s="8"/>
      <c r="PP76" s="5" t="str">
        <f t="shared" si="350"/>
        <v>NO APLICA</v>
      </c>
      <c r="PQ76" s="6"/>
      <c r="PR76" s="6"/>
      <c r="PS76" s="6"/>
      <c r="PT76" s="6"/>
      <c r="PU76" s="5" t="str">
        <f t="shared" si="351"/>
        <v>NO APLICA</v>
      </c>
      <c r="PV76" s="5"/>
      <c r="PW76" s="6"/>
      <c r="PX76" s="6"/>
      <c r="PY76" s="6"/>
      <c r="PZ76" s="5" t="str">
        <f t="shared" si="352"/>
        <v>NO APLICA</v>
      </c>
    </row>
    <row r="77" spans="1:442" ht="15.6" hidden="1" thickTop="1" thickBot="1" x14ac:dyDescent="0.35">
      <c r="A77" s="26">
        <v>74</v>
      </c>
      <c r="B77" s="31">
        <v>1628</v>
      </c>
      <c r="C77" s="28" t="s">
        <v>282</v>
      </c>
      <c r="D77" s="29" t="s">
        <v>68</v>
      </c>
      <c r="E77" s="30" t="s">
        <v>73</v>
      </c>
      <c r="F77" s="5"/>
      <c r="G77" s="6"/>
      <c r="H77" s="4"/>
      <c r="I77" s="8"/>
      <c r="J77" s="5" t="str">
        <f t="shared" si="242"/>
        <v>NO APLICA</v>
      </c>
      <c r="K77" s="2"/>
      <c r="L77" s="6"/>
      <c r="M77" s="6"/>
      <c r="N77" s="8"/>
      <c r="O77" s="5" t="str">
        <f t="shared" si="243"/>
        <v>NO APLICA</v>
      </c>
      <c r="P77" s="6"/>
      <c r="Q77" s="6"/>
      <c r="R77" s="4"/>
      <c r="S77" s="8"/>
      <c r="T77" s="5" t="str">
        <f t="shared" si="353"/>
        <v>NO APLICA</v>
      </c>
      <c r="U77" s="5"/>
      <c r="V77" s="2" t="s">
        <v>283</v>
      </c>
      <c r="W77" s="4">
        <v>45500</v>
      </c>
      <c r="X77" s="4">
        <f t="shared" si="244"/>
        <v>47326</v>
      </c>
      <c r="Y77" s="8">
        <f t="shared" ca="1" si="245"/>
        <v>1181</v>
      </c>
      <c r="Z77" s="5" t="str">
        <f t="shared" ca="1" si="246"/>
        <v>VIGENTE</v>
      </c>
      <c r="AA77" s="5"/>
      <c r="AB77" s="2" t="s">
        <v>284</v>
      </c>
      <c r="AC77" s="4">
        <v>44988</v>
      </c>
      <c r="AD77" s="4">
        <f t="shared" si="376"/>
        <v>46815</v>
      </c>
      <c r="AE77" s="8">
        <f t="shared" ca="1" si="377"/>
        <v>670</v>
      </c>
      <c r="AF77" s="5" t="str">
        <f t="shared" ca="1" si="24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8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9"/>
        <v>102</v>
      </c>
      <c r="AP77" s="5" t="str">
        <f t="shared" ca="1" si="250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1"/>
        <v>669</v>
      </c>
      <c r="AU77" s="5" t="str">
        <f t="shared" ca="1" si="252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3"/>
        <v>655</v>
      </c>
      <c r="AZ77" s="5" t="str">
        <f t="shared" ca="1" si="254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5"/>
        <v>38</v>
      </c>
      <c r="BE77" s="5" t="str">
        <f t="shared" ca="1" si="256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7"/>
        <v>652</v>
      </c>
      <c r="BJ77" s="5" t="str">
        <f t="shared" ca="1" si="258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9"/>
        <v>636</v>
      </c>
      <c r="BO77" s="5" t="str">
        <f t="shared" ca="1" si="260"/>
        <v>VIGENTE</v>
      </c>
      <c r="BP77" s="3"/>
      <c r="BQ77" s="39">
        <v>46120</v>
      </c>
      <c r="BR77" s="4">
        <f>DATE(YEAR(BQ77)+2,MONTH(BQ77),DAY(BQ77)-1)</f>
        <v>46850</v>
      </c>
      <c r="BS77" s="8">
        <f t="shared" ca="1" si="261"/>
        <v>705</v>
      </c>
      <c r="BT77" s="5" t="str">
        <f t="shared" ca="1" si="262"/>
        <v>VIGENTE</v>
      </c>
      <c r="BU77" s="3"/>
      <c r="BV77" s="4">
        <v>46063</v>
      </c>
      <c r="BW77" s="4">
        <f>DATE(YEAR(BV77)+2,MONTH(BV77),DAY(BV77))</f>
        <v>46793</v>
      </c>
      <c r="BX77" s="8">
        <f t="shared" ca="1" si="263"/>
        <v>648</v>
      </c>
      <c r="BY77" s="5" t="str">
        <f t="shared" ca="1" si="264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5"/>
        <v>64</v>
      </c>
      <c r="CD77" s="5" t="str">
        <f t="shared" ca="1" si="266"/>
        <v>POR VENCER</v>
      </c>
      <c r="CE77" s="6"/>
      <c r="CF77" s="4">
        <v>45241</v>
      </c>
      <c r="CG77" s="4">
        <f t="shared" si="267"/>
        <v>46702</v>
      </c>
      <c r="CH77" s="8">
        <f t="shared" ca="1" si="268"/>
        <v>557</v>
      </c>
      <c r="CI77" s="5" t="str">
        <f t="shared" ca="1" si="269"/>
        <v>VIGENTE</v>
      </c>
      <c r="CJ77" s="4"/>
      <c r="CK77" s="4">
        <v>45511</v>
      </c>
      <c r="CL77" s="4">
        <f t="shared" si="375"/>
        <v>46240</v>
      </c>
      <c r="CM77" s="8">
        <f t="shared" ca="1" si="270"/>
        <v>95</v>
      </c>
      <c r="CN77" s="5" t="str">
        <f t="shared" ca="1" si="271"/>
        <v>VIGENTE</v>
      </c>
      <c r="CO77" s="3"/>
      <c r="CP77" s="39">
        <v>45481</v>
      </c>
      <c r="CQ77" s="4">
        <f t="shared" si="368"/>
        <v>46210</v>
      </c>
      <c r="CR77" s="8">
        <f t="shared" ca="1" si="272"/>
        <v>65</v>
      </c>
      <c r="CS77" s="5" t="str">
        <f t="shared" ca="1" si="273"/>
        <v>POR VENCER</v>
      </c>
      <c r="CT77" s="3"/>
      <c r="CU77" s="4">
        <v>45645</v>
      </c>
      <c r="CV77" s="4">
        <f t="shared" si="369"/>
        <v>46374</v>
      </c>
      <c r="CW77" s="8">
        <f t="shared" ca="1" si="274"/>
        <v>229</v>
      </c>
      <c r="CX77" s="5" t="str">
        <f t="shared" ca="1" si="275"/>
        <v>VIGENTE</v>
      </c>
      <c r="CY77" s="3"/>
      <c r="CZ77" s="4">
        <v>45665</v>
      </c>
      <c r="DA77" s="4">
        <f t="shared" si="370"/>
        <v>46394</v>
      </c>
      <c r="DB77" s="8">
        <f t="shared" ca="1" si="276"/>
        <v>249</v>
      </c>
      <c r="DC77" s="5" t="str">
        <f t="shared" ca="1" si="277"/>
        <v>VIGENTE</v>
      </c>
      <c r="DD77" s="3"/>
      <c r="DE77" s="39">
        <v>45689</v>
      </c>
      <c r="DF77" s="4">
        <f t="shared" si="382"/>
        <v>46418</v>
      </c>
      <c r="DG77" s="8">
        <f t="shared" ca="1" si="278"/>
        <v>273</v>
      </c>
      <c r="DH77" s="5" t="str">
        <f t="shared" ca="1" si="279"/>
        <v>VIGENTE</v>
      </c>
      <c r="DI77" s="3"/>
      <c r="DJ77" s="39">
        <v>45509</v>
      </c>
      <c r="DK77" s="4">
        <f>DATE(YEAR(DJ77)+2,MONTH(DJ77),DAY(DJ77)-1)</f>
        <v>46238</v>
      </c>
      <c r="DL77" s="8">
        <f t="shared" ca="1" si="280"/>
        <v>93</v>
      </c>
      <c r="DM77" s="5" t="str">
        <f t="shared" ca="1" si="281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2"/>
        <v>104</v>
      </c>
      <c r="DR77" s="5" t="str">
        <f t="shared" ca="1" si="283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4"/>
        <v>657</v>
      </c>
      <c r="DW77" s="5" t="str">
        <f t="shared" ca="1" si="285"/>
        <v>VIGENTE</v>
      </c>
      <c r="DX77" s="3"/>
      <c r="DY77" s="4">
        <v>45510</v>
      </c>
      <c r="DZ77" s="4">
        <f t="shared" si="354"/>
        <v>46239</v>
      </c>
      <c r="EA77" s="8">
        <f t="shared" ca="1" si="286"/>
        <v>94</v>
      </c>
      <c r="EB77" s="5" t="str">
        <f t="shared" ca="1" si="287"/>
        <v>VIGENTE</v>
      </c>
      <c r="EC77" s="3"/>
      <c r="ED77" s="39">
        <v>46104</v>
      </c>
      <c r="EE77" s="4">
        <f>DATE(YEAR(ED77)+2,MONTH(ED77),DAY(ED77))</f>
        <v>46835</v>
      </c>
      <c r="EF77" s="8">
        <f t="shared" ca="1" si="288"/>
        <v>690</v>
      </c>
      <c r="EG77" s="5" t="str">
        <f t="shared" ca="1" si="289"/>
        <v>VIGENTE</v>
      </c>
      <c r="EH77" s="3"/>
      <c r="EI77" s="4">
        <v>46115</v>
      </c>
      <c r="EJ77" s="4">
        <f t="shared" si="355"/>
        <v>46480</v>
      </c>
      <c r="EK77" s="8">
        <f t="shared" ca="1" si="290"/>
        <v>335</v>
      </c>
      <c r="EL77" s="5" t="str">
        <f t="shared" ca="1" si="291"/>
        <v>VIGENTE</v>
      </c>
      <c r="EM77" s="3"/>
      <c r="EN77" s="4">
        <v>46135</v>
      </c>
      <c r="EO77" s="4">
        <f t="shared" si="371"/>
        <v>46865</v>
      </c>
      <c r="EP77" s="8">
        <f t="shared" ca="1" si="292"/>
        <v>720</v>
      </c>
      <c r="EQ77" s="5" t="str">
        <f t="shared" ca="1" si="293"/>
        <v>VIGENTE</v>
      </c>
      <c r="ER77" s="3"/>
      <c r="ES77" s="39">
        <v>46094</v>
      </c>
      <c r="ET77" s="4">
        <f>DATE(YEAR(ES77)+2,MONTH(ES77),DAY(ES77))</f>
        <v>46825</v>
      </c>
      <c r="EU77" s="8">
        <f t="shared" ca="1" si="294"/>
        <v>680</v>
      </c>
      <c r="EV77" s="5" t="str">
        <f t="shared" ca="1" si="295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6"/>
        <v>86</v>
      </c>
      <c r="FA77" s="5" t="str">
        <f t="shared" ca="1" si="297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8"/>
        <v>66</v>
      </c>
      <c r="FF77" s="5" t="str">
        <f t="shared" ca="1" si="299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0"/>
        <v>651</v>
      </c>
      <c r="FK77" s="5" t="str">
        <f t="shared" ca="1" si="301"/>
        <v>VIGENTE</v>
      </c>
      <c r="FL77" s="3"/>
      <c r="FM77" s="39">
        <v>46039</v>
      </c>
      <c r="FN77" s="4">
        <f>DATE(YEAR(FM77)+2,MONTH(FM77),DAY(FM77))</f>
        <v>46769</v>
      </c>
      <c r="FO77" s="8">
        <f t="shared" ca="1" si="302"/>
        <v>624</v>
      </c>
      <c r="FP77" s="5" t="str">
        <f t="shared" ca="1" si="303"/>
        <v>VIGENTE</v>
      </c>
      <c r="FQ77" s="3"/>
      <c r="FR77" s="39">
        <v>46132</v>
      </c>
      <c r="FS77" s="4">
        <f t="shared" si="372"/>
        <v>46862</v>
      </c>
      <c r="FT77" s="8">
        <f t="shared" ca="1" si="304"/>
        <v>717</v>
      </c>
      <c r="FU77" s="5" t="str">
        <f t="shared" ca="1" si="305"/>
        <v>VIGENTE</v>
      </c>
      <c r="FV77" s="4"/>
      <c r="FW77" s="4">
        <v>45574</v>
      </c>
      <c r="FX77" s="4">
        <f t="shared" si="383"/>
        <v>46303</v>
      </c>
      <c r="FY77" s="8">
        <f t="shared" ca="1" si="306"/>
        <v>158</v>
      </c>
      <c r="FZ77" s="5" t="str">
        <f t="shared" ca="1" si="307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8"/>
        <v>615</v>
      </c>
      <c r="GE77" s="5" t="str">
        <f t="shared" ca="1" si="309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0"/>
        <v>678</v>
      </c>
      <c r="GJ77" s="5" t="str">
        <f t="shared" ca="1" si="311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2"/>
        <v>77</v>
      </c>
      <c r="GO77" s="5" t="str">
        <f t="shared" ca="1" si="313"/>
        <v>VIGENTE</v>
      </c>
      <c r="GP77" s="4"/>
      <c r="GQ77" s="4">
        <v>45459</v>
      </c>
      <c r="GR77" s="4">
        <f t="shared" si="314"/>
        <v>47285</v>
      </c>
      <c r="GS77" s="8">
        <f t="shared" ca="1" si="176"/>
        <v>1140</v>
      </c>
      <c r="GT77" s="5" t="str">
        <f t="shared" ca="1" si="378"/>
        <v>VIGENTE</v>
      </c>
      <c r="GU77" s="3"/>
      <c r="GV77" s="4">
        <v>45507</v>
      </c>
      <c r="GW77" s="4">
        <f t="shared" si="316"/>
        <v>47333</v>
      </c>
      <c r="GX77" s="8">
        <f t="shared" ca="1" si="317"/>
        <v>1188</v>
      </c>
      <c r="GY77" s="5" t="str">
        <f t="shared" ca="1" si="379"/>
        <v>VIGENTE</v>
      </c>
      <c r="GZ77" s="3"/>
      <c r="HA77" s="4">
        <v>45479</v>
      </c>
      <c r="HB77" s="4">
        <f t="shared" si="319"/>
        <v>47305</v>
      </c>
      <c r="HC77" s="8">
        <f t="shared" ca="1" si="320"/>
        <v>1160</v>
      </c>
      <c r="HD77" s="5" t="str">
        <f t="shared" ca="1" si="380"/>
        <v>VIGENTE</v>
      </c>
      <c r="HE77" s="6"/>
      <c r="HF77" s="4">
        <v>44879</v>
      </c>
      <c r="HG77" s="4">
        <f t="shared" si="373"/>
        <v>46705</v>
      </c>
      <c r="HH77" s="8">
        <f t="shared" ca="1" si="374"/>
        <v>560</v>
      </c>
      <c r="HI77" s="5" t="str">
        <f t="shared" ca="1" si="38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8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2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3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4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5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6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7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8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9"/>
        <v>VIGENTE</v>
      </c>
      <c r="JC77" s="3" t="s">
        <v>780</v>
      </c>
      <c r="JD77" s="3"/>
      <c r="JE77" s="4"/>
      <c r="JF77" s="8"/>
      <c r="JG77" s="5"/>
      <c r="JH77" s="3" t="s">
        <v>780</v>
      </c>
      <c r="JI77" s="6"/>
      <c r="JJ77" s="6"/>
      <c r="JK77" s="6"/>
      <c r="JL77" s="5"/>
      <c r="JM77" s="6" t="s">
        <v>780</v>
      </c>
      <c r="JN77" s="6"/>
      <c r="JO77" s="6"/>
      <c r="JP77" s="6"/>
      <c r="JQ77" s="5"/>
      <c r="JR77" s="6" t="s">
        <v>780</v>
      </c>
      <c r="JS77" s="6"/>
      <c r="JT77" s="6"/>
      <c r="JU77" s="6"/>
      <c r="JV77" s="5"/>
      <c r="JW77" s="6" t="s">
        <v>780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30"/>
        <v>NO APLICA</v>
      </c>
      <c r="KG77" s="5"/>
      <c r="KH77" s="2"/>
      <c r="KI77" s="4"/>
      <c r="KJ77" s="8"/>
      <c r="KK77" s="5" t="str">
        <f t="shared" si="356"/>
        <v>NO APLICA</v>
      </c>
      <c r="KL77" s="5"/>
      <c r="KM77" s="2"/>
      <c r="KN77" s="4"/>
      <c r="KO77" s="8"/>
      <c r="KP77" s="5" t="str">
        <f t="shared" si="331"/>
        <v>NO APLICA</v>
      </c>
      <c r="KQ77" s="5"/>
      <c r="KR77" s="2"/>
      <c r="KS77" s="4"/>
      <c r="KT77" s="8"/>
      <c r="KU77" s="5" t="str">
        <f t="shared" si="357"/>
        <v>NO APLICA</v>
      </c>
      <c r="KV77" s="2"/>
      <c r="KW77" s="6"/>
      <c r="KX77" s="4"/>
      <c r="KY77" s="8"/>
      <c r="KZ77" s="5" t="str">
        <f t="shared" si="366"/>
        <v>NO APLICA</v>
      </c>
      <c r="LA77" s="5"/>
      <c r="LB77" s="6"/>
      <c r="LC77" s="4"/>
      <c r="LD77" s="8"/>
      <c r="LE77" s="5" t="str">
        <f t="shared" si="358"/>
        <v>NO APLICA</v>
      </c>
      <c r="LF77" s="6"/>
      <c r="LG77" s="6"/>
      <c r="LH77" s="4"/>
      <c r="LI77" s="8"/>
      <c r="LJ77" s="5" t="str">
        <f t="shared" si="332"/>
        <v>NO APLICA</v>
      </c>
      <c r="LK77" s="5"/>
      <c r="LL77" s="5"/>
      <c r="LM77" s="4"/>
      <c r="LN77" s="8"/>
      <c r="LO77" s="5" t="str">
        <f t="shared" si="367"/>
        <v>NO APLICA</v>
      </c>
      <c r="LP77" s="2"/>
      <c r="LQ77" s="6"/>
      <c r="LR77" s="4"/>
      <c r="LS77" s="8"/>
      <c r="LT77" s="5" t="str">
        <f t="shared" si="359"/>
        <v>NO APLICA</v>
      </c>
      <c r="LU77" s="6"/>
      <c r="LV77" s="6"/>
      <c r="LW77" s="4"/>
      <c r="LX77" s="8"/>
      <c r="LY77" s="5" t="str">
        <f t="shared" si="360"/>
        <v>NO APLICA</v>
      </c>
      <c r="LZ77" s="6"/>
      <c r="MA77" s="6"/>
      <c r="MB77" s="4"/>
      <c r="MC77" s="8"/>
      <c r="MD77" s="5" t="str">
        <f t="shared" si="361"/>
        <v>NO APLICA</v>
      </c>
      <c r="ME77" s="2"/>
      <c r="MF77" s="2"/>
      <c r="MG77" s="4"/>
      <c r="MH77" s="8"/>
      <c r="MI77" s="5" t="str">
        <f t="shared" si="333"/>
        <v>NO APLICA</v>
      </c>
      <c r="MJ77" s="2"/>
      <c r="MK77" s="2"/>
      <c r="ML77" s="4"/>
      <c r="MM77" s="8"/>
      <c r="MN77" s="5" t="str">
        <f t="shared" si="334"/>
        <v>NO APLICA</v>
      </c>
      <c r="MO77" s="5"/>
      <c r="MP77" s="2"/>
      <c r="MQ77" s="4"/>
      <c r="MR77" s="8"/>
      <c r="MS77" s="5" t="str">
        <f t="shared" si="335"/>
        <v>NO APLICA</v>
      </c>
      <c r="MT77" s="5"/>
      <c r="MU77" s="2"/>
      <c r="MV77" s="4"/>
      <c r="MW77" s="2"/>
      <c r="MX77" s="5" t="str">
        <f t="shared" si="336"/>
        <v>NO APLICA</v>
      </c>
      <c r="MY77" s="2"/>
      <c r="MZ77" s="6"/>
      <c r="NA77" s="4"/>
      <c r="NB77" s="8"/>
      <c r="NC77" s="5" t="str">
        <f t="shared" si="337"/>
        <v>NO APLICA</v>
      </c>
      <c r="ND77" s="2"/>
      <c r="NE77" s="6"/>
      <c r="NF77" s="4"/>
      <c r="NG77" s="8"/>
      <c r="NH77" s="5" t="str">
        <f t="shared" si="338"/>
        <v>NO APLICA</v>
      </c>
      <c r="NI77" s="2"/>
      <c r="NJ77" s="6"/>
      <c r="NK77" s="4"/>
      <c r="NL77" s="8"/>
      <c r="NM77" s="5" t="str">
        <f t="shared" si="339"/>
        <v>NO APLICA</v>
      </c>
      <c r="NN77" s="2"/>
      <c r="NO77" s="2"/>
      <c r="NP77" s="4"/>
      <c r="NQ77" s="8"/>
      <c r="NR77" s="5" t="str">
        <f t="shared" si="340"/>
        <v>NO APLICA</v>
      </c>
      <c r="NS77" s="2"/>
      <c r="NT77" s="2"/>
      <c r="NU77" s="4"/>
      <c r="NV77" s="2"/>
      <c r="NW77" s="5" t="str">
        <f t="shared" si="341"/>
        <v>NO APLICA</v>
      </c>
      <c r="NX77" s="6"/>
      <c r="NY77" s="6"/>
      <c r="NZ77" s="4"/>
      <c r="OA77" s="8"/>
      <c r="OB77" s="5" t="str">
        <f t="shared" si="342"/>
        <v>NO APLICA</v>
      </c>
      <c r="OC77" s="6"/>
      <c r="OD77" s="6"/>
      <c r="OE77" s="6"/>
      <c r="OF77" s="6"/>
      <c r="OG77" s="5" t="str">
        <f t="shared" si="343"/>
        <v>NO APLICA</v>
      </c>
      <c r="OH77" s="2"/>
      <c r="OI77" s="2"/>
      <c r="OJ77" s="4"/>
      <c r="OK77" s="8"/>
      <c r="OL77" s="5" t="str">
        <f t="shared" si="344"/>
        <v>NO APLICA</v>
      </c>
      <c r="OM77" s="6"/>
      <c r="ON77" s="6"/>
      <c r="OO77" s="6"/>
      <c r="OP77" s="6"/>
      <c r="OQ77" s="5" t="str">
        <f t="shared" si="345"/>
        <v>NO APLICA</v>
      </c>
      <c r="OR77" s="6"/>
      <c r="OS77" s="6"/>
      <c r="OT77" s="6"/>
      <c r="OU77" s="6"/>
      <c r="OV77" s="5" t="str">
        <f t="shared" si="346"/>
        <v>NO APLICA</v>
      </c>
      <c r="OW77" s="6"/>
      <c r="OX77" s="6"/>
      <c r="OY77" s="6"/>
      <c r="OZ77" s="6"/>
      <c r="PA77" s="5" t="str">
        <f t="shared" si="347"/>
        <v>NO APLICA</v>
      </c>
      <c r="PB77" s="6"/>
      <c r="PC77" s="6"/>
      <c r="PD77" s="6"/>
      <c r="PE77" s="6"/>
      <c r="PF77" s="5" t="str">
        <f t="shared" si="348"/>
        <v>NO APLICA</v>
      </c>
      <c r="PG77" s="6"/>
      <c r="PH77" s="6"/>
      <c r="PI77" s="6"/>
      <c r="PJ77" s="6"/>
      <c r="PK77" s="5" t="str">
        <f t="shared" si="349"/>
        <v>NO APLICA</v>
      </c>
      <c r="PL77" s="5"/>
      <c r="PM77" s="6"/>
      <c r="PN77" s="4"/>
      <c r="PO77" s="8"/>
      <c r="PP77" s="5" t="str">
        <f t="shared" si="350"/>
        <v>NO APLICA</v>
      </c>
      <c r="PQ77" s="6"/>
      <c r="PR77" s="6"/>
      <c r="PS77" s="6"/>
      <c r="PT77" s="6"/>
      <c r="PU77" s="5" t="str">
        <f t="shared" si="351"/>
        <v>NO APLICA</v>
      </c>
      <c r="PV77" s="5"/>
      <c r="PW77" s="6"/>
      <c r="PX77" s="6"/>
      <c r="PY77" s="6"/>
      <c r="PZ77" s="5" t="str">
        <f t="shared" si="352"/>
        <v>NO APLICA</v>
      </c>
    </row>
    <row r="78" spans="1:442" ht="15.6" hidden="1" thickTop="1" thickBot="1" x14ac:dyDescent="0.35">
      <c r="A78" s="26">
        <v>75</v>
      </c>
      <c r="B78" s="27">
        <v>1607</v>
      </c>
      <c r="C78" s="28" t="s">
        <v>285</v>
      </c>
      <c r="D78" s="29" t="s">
        <v>64</v>
      </c>
      <c r="E78" s="30" t="s">
        <v>81</v>
      </c>
      <c r="F78" s="5"/>
      <c r="G78" s="6"/>
      <c r="H78" s="4"/>
      <c r="I78" s="8"/>
      <c r="J78" s="5" t="str">
        <f t="shared" si="242"/>
        <v>NO APLICA</v>
      </c>
      <c r="K78" s="5"/>
      <c r="L78" s="6"/>
      <c r="M78" s="6"/>
      <c r="N78" s="8"/>
      <c r="O78" s="5" t="str">
        <f t="shared" si="243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3"/>
        <v>VIGENTE</v>
      </c>
      <c r="U78" s="5"/>
      <c r="V78" s="2" t="s">
        <v>286</v>
      </c>
      <c r="W78" s="4">
        <v>44701</v>
      </c>
      <c r="X78" s="4">
        <f t="shared" si="244"/>
        <v>46527</v>
      </c>
      <c r="Y78" s="8">
        <f t="shared" ca="1" si="245"/>
        <v>382</v>
      </c>
      <c r="Z78" s="5" t="str">
        <f t="shared" ca="1" si="246"/>
        <v>VIGENTE</v>
      </c>
      <c r="AA78" s="5"/>
      <c r="AB78" s="2" t="s">
        <v>287</v>
      </c>
      <c r="AC78" s="4">
        <v>45162</v>
      </c>
      <c r="AD78" s="4">
        <f t="shared" si="376"/>
        <v>46989</v>
      </c>
      <c r="AE78" s="8">
        <f t="shared" ca="1" si="377"/>
        <v>844</v>
      </c>
      <c r="AF78" s="5" t="str">
        <f t="shared" ca="1" si="24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8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9"/>
        <v>186</v>
      </c>
      <c r="AP78" s="5" t="str">
        <f t="shared" ca="1" si="250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1"/>
        <v>489</v>
      </c>
      <c r="AU78" s="5" t="str">
        <f t="shared" ca="1" si="252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3"/>
        <v>512</v>
      </c>
      <c r="AZ78" s="5" t="str">
        <f t="shared" ca="1" si="254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5"/>
        <v>626</v>
      </c>
      <c r="BE78" s="5" t="str">
        <f t="shared" ca="1" si="256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7"/>
        <v>612</v>
      </c>
      <c r="BJ78" s="5" t="str">
        <f t="shared" ca="1" si="258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9"/>
        <v>184</v>
      </c>
      <c r="BO78" s="5" t="str">
        <f t="shared" ca="1" si="260"/>
        <v>VIGENTE</v>
      </c>
      <c r="BP78" s="3"/>
      <c r="BQ78" s="39">
        <v>45701</v>
      </c>
      <c r="BR78" s="4">
        <f>DATE(YEAR(BQ78)+2,MONTH(BQ78),DAY(BQ78)-1)</f>
        <v>46430</v>
      </c>
      <c r="BS78" s="8">
        <f t="shared" ca="1" si="261"/>
        <v>285</v>
      </c>
      <c r="BT78" s="5" t="str">
        <f t="shared" ca="1" si="262"/>
        <v>VIGENTE</v>
      </c>
      <c r="BU78" s="3"/>
      <c r="BV78" s="4">
        <v>46126</v>
      </c>
      <c r="BW78" s="4">
        <f>DATE(YEAR(BV78)+2,MONTH(BV78),DAY(BV78)-1)</f>
        <v>46856</v>
      </c>
      <c r="BX78" s="8">
        <f t="shared" ca="1" si="263"/>
        <v>711</v>
      </c>
      <c r="BY78" s="5" t="str">
        <f t="shared" ca="1" si="264"/>
        <v>VIGENTE</v>
      </c>
      <c r="BZ78" s="3"/>
      <c r="CA78" s="4">
        <v>45629</v>
      </c>
      <c r="CB78" s="4">
        <f>DATE(YEAR(CA78)+2,MONTH(CA78),DAY(CA78)-1)</f>
        <v>46358</v>
      </c>
      <c r="CC78" s="8">
        <f t="shared" ca="1" si="265"/>
        <v>213</v>
      </c>
      <c r="CD78" s="5" t="str">
        <f t="shared" ca="1" si="266"/>
        <v>VIGENTE</v>
      </c>
      <c r="CE78" s="6"/>
      <c r="CF78" s="4">
        <v>45832</v>
      </c>
      <c r="CG78" s="4">
        <f t="shared" si="267"/>
        <v>47293</v>
      </c>
      <c r="CH78" s="8">
        <f t="shared" ca="1" si="268"/>
        <v>1148</v>
      </c>
      <c r="CI78" s="5" t="str">
        <f t="shared" ca="1" si="269"/>
        <v>VIGENTE</v>
      </c>
      <c r="CJ78" s="4"/>
      <c r="CK78" s="4">
        <v>45601</v>
      </c>
      <c r="CL78" s="4">
        <f t="shared" si="375"/>
        <v>46330</v>
      </c>
      <c r="CM78" s="8">
        <f t="shared" ca="1" si="270"/>
        <v>185</v>
      </c>
      <c r="CN78" s="5" t="str">
        <f t="shared" ca="1" si="271"/>
        <v>VIGENTE</v>
      </c>
      <c r="CO78" s="3"/>
      <c r="CP78" s="39">
        <v>45726</v>
      </c>
      <c r="CQ78" s="4">
        <f t="shared" si="368"/>
        <v>46455</v>
      </c>
      <c r="CR78" s="8">
        <f t="shared" ca="1" si="272"/>
        <v>310</v>
      </c>
      <c r="CS78" s="5" t="str">
        <f t="shared" ca="1" si="273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4"/>
        <v>490</v>
      </c>
      <c r="CX78" s="5" t="str">
        <f t="shared" ca="1" si="275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6"/>
        <v>585</v>
      </c>
      <c r="DC78" s="5" t="str">
        <f t="shared" ca="1" si="277"/>
        <v>VIGENTE</v>
      </c>
      <c r="DD78" s="3"/>
      <c r="DE78" s="39">
        <v>45596</v>
      </c>
      <c r="DF78" s="4">
        <f t="shared" si="382"/>
        <v>46325</v>
      </c>
      <c r="DG78" s="8">
        <f t="shared" ca="1" si="278"/>
        <v>180</v>
      </c>
      <c r="DH78" s="5" t="str">
        <f t="shared" ca="1" si="279"/>
        <v>VIGENTE</v>
      </c>
      <c r="DI78" s="3"/>
      <c r="DJ78" s="39">
        <v>45975</v>
      </c>
      <c r="DK78" s="4">
        <f>DATE(YEAR(DJ78)+2,MONTH(DJ78),DAY(DJ78))</f>
        <v>46705</v>
      </c>
      <c r="DL78" s="8">
        <f t="shared" ca="1" si="280"/>
        <v>560</v>
      </c>
      <c r="DM78" s="5" t="str">
        <f t="shared" ca="1" si="281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2"/>
        <v>592</v>
      </c>
      <c r="DR78" s="5" t="str">
        <f t="shared" ca="1" si="283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4"/>
        <v>638</v>
      </c>
      <c r="DW78" s="5" t="str">
        <f t="shared" ca="1" si="285"/>
        <v>VIGENTE</v>
      </c>
      <c r="DX78" s="3"/>
      <c r="DY78" s="4">
        <v>45612</v>
      </c>
      <c r="DZ78" s="4">
        <f t="shared" si="354"/>
        <v>46341</v>
      </c>
      <c r="EA78" s="8">
        <f t="shared" ca="1" si="286"/>
        <v>196</v>
      </c>
      <c r="EB78" s="5" t="str">
        <f t="shared" ca="1" si="287"/>
        <v>VIGENTE</v>
      </c>
      <c r="EC78" s="3"/>
      <c r="ED78" s="39">
        <v>45730</v>
      </c>
      <c r="EE78" s="4">
        <f>DATE(YEAR(ED78)+2,MONTH(ED78),DAY(ED78)-1)</f>
        <v>46459</v>
      </c>
      <c r="EF78" s="8">
        <f t="shared" ca="1" si="288"/>
        <v>314</v>
      </c>
      <c r="EG78" s="5" t="str">
        <f t="shared" ca="1" si="289"/>
        <v>VIGENTE</v>
      </c>
      <c r="EH78" s="3"/>
      <c r="EI78" s="3">
        <v>46107</v>
      </c>
      <c r="EJ78" s="4">
        <f t="shared" si="355"/>
        <v>46472</v>
      </c>
      <c r="EK78" s="8">
        <f t="shared" ca="1" si="290"/>
        <v>327</v>
      </c>
      <c r="EL78" s="5" t="str">
        <f t="shared" ca="1" si="291"/>
        <v>VIGENTE</v>
      </c>
      <c r="EM78" s="3"/>
      <c r="EN78" s="4">
        <v>45584</v>
      </c>
      <c r="EO78" s="4">
        <f t="shared" si="371"/>
        <v>46313</v>
      </c>
      <c r="EP78" s="8">
        <f t="shared" ca="1" si="292"/>
        <v>168</v>
      </c>
      <c r="EQ78" s="5" t="str">
        <f t="shared" ca="1" si="293"/>
        <v>VIGENTE</v>
      </c>
      <c r="ER78" s="3"/>
      <c r="ES78" s="39">
        <v>46042</v>
      </c>
      <c r="ET78" s="4">
        <f>DATE(YEAR(ES78)+2,MONTH(ES78),DAY(ES78))</f>
        <v>46772</v>
      </c>
      <c r="EU78" s="8">
        <f t="shared" ca="1" si="294"/>
        <v>627</v>
      </c>
      <c r="EV78" s="5" t="str">
        <f t="shared" ca="1" si="295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6"/>
        <v>194</v>
      </c>
      <c r="FA78" s="5" t="str">
        <f t="shared" ca="1" si="297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8"/>
        <v>195</v>
      </c>
      <c r="FF78" s="5" t="str">
        <f t="shared" ca="1" si="299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0"/>
        <v>252</v>
      </c>
      <c r="FK78" s="5" t="str">
        <f t="shared" ca="1" si="301"/>
        <v>VIGENTE</v>
      </c>
      <c r="FL78" s="3"/>
      <c r="FM78" s="39">
        <v>45588</v>
      </c>
      <c r="FN78" s="4">
        <f>DATE(YEAR(FM78)+2,MONTH(FM78),DAY(FM78)-1)</f>
        <v>46317</v>
      </c>
      <c r="FO78" s="8">
        <f t="shared" ca="1" si="302"/>
        <v>172</v>
      </c>
      <c r="FP78" s="5" t="str">
        <f t="shared" ca="1" si="303"/>
        <v>VIGENTE</v>
      </c>
      <c r="FQ78" s="3"/>
      <c r="FR78" s="39">
        <v>45664</v>
      </c>
      <c r="FS78" s="4">
        <f t="shared" si="372"/>
        <v>46393</v>
      </c>
      <c r="FT78" s="8">
        <f t="shared" ca="1" si="304"/>
        <v>248</v>
      </c>
      <c r="FU78" s="5" t="str">
        <f t="shared" ca="1" si="305"/>
        <v>VIGENTE</v>
      </c>
      <c r="FV78" s="3"/>
      <c r="FW78" s="4">
        <v>45700</v>
      </c>
      <c r="FX78" s="4">
        <f t="shared" si="383"/>
        <v>46429</v>
      </c>
      <c r="FY78" s="8">
        <f t="shared" ca="1" si="306"/>
        <v>284</v>
      </c>
      <c r="FZ78" s="5" t="str">
        <f t="shared" ca="1" si="307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8"/>
        <v>615</v>
      </c>
      <c r="GE78" s="5" t="str">
        <f t="shared" ca="1" si="309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0"/>
        <v>256</v>
      </c>
      <c r="GJ78" s="5" t="str">
        <f t="shared" ca="1" si="311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2"/>
        <v>192</v>
      </c>
      <c r="GO78" s="5" t="str">
        <f t="shared" ca="1" si="313"/>
        <v>VIGENTE</v>
      </c>
      <c r="GP78" s="4"/>
      <c r="GQ78" s="4">
        <v>44966</v>
      </c>
      <c r="GR78" s="4">
        <f t="shared" si="314"/>
        <v>46792</v>
      </c>
      <c r="GS78" s="8">
        <f t="shared" ca="1" si="176"/>
        <v>647</v>
      </c>
      <c r="GT78" s="5" t="str">
        <f t="shared" ca="1" si="378"/>
        <v>VIGENTE</v>
      </c>
      <c r="GU78" s="3"/>
      <c r="GV78" s="4">
        <v>44952</v>
      </c>
      <c r="GW78" s="4">
        <f t="shared" si="316"/>
        <v>46778</v>
      </c>
      <c r="GX78" s="8">
        <f t="shared" ca="1" si="317"/>
        <v>633</v>
      </c>
      <c r="GY78" s="5" t="str">
        <f t="shared" ca="1" si="379"/>
        <v>VIGENTE</v>
      </c>
      <c r="GZ78" s="2"/>
      <c r="HA78" s="4">
        <v>44980</v>
      </c>
      <c r="HB78" s="4">
        <f t="shared" si="319"/>
        <v>46806</v>
      </c>
      <c r="HC78" s="8">
        <f t="shared" ca="1" si="320"/>
        <v>661</v>
      </c>
      <c r="HD78" s="5" t="str">
        <f t="shared" ca="1" si="380"/>
        <v>VIGENTE</v>
      </c>
      <c r="HE78" s="6"/>
      <c r="HF78" s="4">
        <v>44956</v>
      </c>
      <c r="HG78" s="4">
        <f t="shared" si="373"/>
        <v>46782</v>
      </c>
      <c r="HH78" s="8">
        <f t="shared" ca="1" si="374"/>
        <v>637</v>
      </c>
      <c r="HI78" s="5" t="str">
        <f t="shared" ca="1" si="381"/>
        <v>VIGENTE</v>
      </c>
      <c r="HJ78" s="2"/>
      <c r="HK78" s="6"/>
      <c r="HL78" s="4"/>
      <c r="HM78" s="8"/>
      <c r="HN78" s="5" t="str">
        <f t="shared" si="228"/>
        <v>NO APLICA</v>
      </c>
      <c r="HO78" s="2"/>
      <c r="HP78" s="2"/>
      <c r="HQ78" s="4"/>
      <c r="HR78" s="2"/>
      <c r="HS78" s="5" t="str">
        <f t="shared" si="322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3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4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5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6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7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8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9"/>
        <v>VIGENTE</v>
      </c>
      <c r="JC78" s="3" t="s">
        <v>780</v>
      </c>
      <c r="JD78" s="3"/>
      <c r="JE78" s="4"/>
      <c r="JF78" s="8"/>
      <c r="JG78" s="5"/>
      <c r="JH78" s="3" t="s">
        <v>780</v>
      </c>
      <c r="JI78" s="6"/>
      <c r="JJ78" s="6"/>
      <c r="JK78" s="6"/>
      <c r="JL78" s="5"/>
      <c r="JM78" s="6" t="s">
        <v>780</v>
      </c>
      <c r="JN78" s="6"/>
      <c r="JO78" s="6"/>
      <c r="JP78" s="6"/>
      <c r="JQ78" s="5"/>
      <c r="JR78" s="6" t="s">
        <v>780</v>
      </c>
      <c r="JS78" s="6"/>
      <c r="JT78" s="6"/>
      <c r="JU78" s="6"/>
      <c r="JV78" s="5"/>
      <c r="JW78" s="6" t="s">
        <v>780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30"/>
        <v>NO APLICA</v>
      </c>
      <c r="KG78" s="5"/>
      <c r="KH78" s="2"/>
      <c r="KI78" s="4"/>
      <c r="KJ78" s="8"/>
      <c r="KK78" s="5" t="str">
        <f t="shared" si="356"/>
        <v>NO APLICA</v>
      </c>
      <c r="KL78" s="5"/>
      <c r="KM78" s="2"/>
      <c r="KN78" s="4"/>
      <c r="KO78" s="8"/>
      <c r="KP78" s="5" t="str">
        <f t="shared" si="331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7"/>
        <v>VIGENTE</v>
      </c>
      <c r="KV78" s="2"/>
      <c r="KW78" s="6"/>
      <c r="KX78" s="4"/>
      <c r="KY78" s="8"/>
      <c r="KZ78" s="5" t="str">
        <f t="shared" si="366"/>
        <v>NO APLICA</v>
      </c>
      <c r="LA78" s="5"/>
      <c r="LB78" s="6"/>
      <c r="LC78" s="4"/>
      <c r="LD78" s="8"/>
      <c r="LE78" s="5" t="str">
        <f t="shared" si="358"/>
        <v>NO APLICA</v>
      </c>
      <c r="LF78" s="6"/>
      <c r="LG78" s="6"/>
      <c r="LH78" s="4"/>
      <c r="LI78" s="8"/>
      <c r="LJ78" s="5" t="str">
        <f t="shared" si="332"/>
        <v>NO APLICA</v>
      </c>
      <c r="LK78" s="5"/>
      <c r="LL78" s="5"/>
      <c r="LM78" s="5"/>
      <c r="LN78" s="5"/>
      <c r="LO78" s="5" t="str">
        <f t="shared" si="367"/>
        <v>NO APLICA</v>
      </c>
      <c r="LP78" s="2"/>
      <c r="LQ78" s="6"/>
      <c r="LR78" s="4"/>
      <c r="LS78" s="8"/>
      <c r="LT78" s="5" t="str">
        <f t="shared" si="359"/>
        <v>NO APLICA</v>
      </c>
      <c r="LU78" s="6"/>
      <c r="LV78" s="6"/>
      <c r="LW78" s="4"/>
      <c r="LX78" s="8"/>
      <c r="LY78" s="5" t="str">
        <f t="shared" si="360"/>
        <v>NO APLICA</v>
      </c>
      <c r="LZ78" s="6"/>
      <c r="MA78" s="6"/>
      <c r="MB78" s="4"/>
      <c r="MC78" s="8"/>
      <c r="MD78" s="5" t="str">
        <f t="shared" si="361"/>
        <v>NO APLICA</v>
      </c>
      <c r="ME78" s="2"/>
      <c r="MF78" s="2"/>
      <c r="MG78" s="4"/>
      <c r="MH78" s="8"/>
      <c r="MI78" s="5" t="str">
        <f t="shared" si="333"/>
        <v>NO APLICA</v>
      </c>
      <c r="MJ78" s="2"/>
      <c r="MK78" s="2"/>
      <c r="ML78" s="4"/>
      <c r="MM78" s="8"/>
      <c r="MN78" s="5" t="str">
        <f t="shared" si="334"/>
        <v>NO APLICA</v>
      </c>
      <c r="MO78" s="5"/>
      <c r="MP78" s="2"/>
      <c r="MQ78" s="4"/>
      <c r="MR78" s="8"/>
      <c r="MS78" s="5" t="str">
        <f t="shared" si="335"/>
        <v>NO APLICA</v>
      </c>
      <c r="MT78" s="5"/>
      <c r="MU78" s="2"/>
      <c r="MV78" s="4"/>
      <c r="MW78" s="2"/>
      <c r="MX78" s="5" t="str">
        <f t="shared" si="336"/>
        <v>NO APLICA</v>
      </c>
      <c r="MY78" s="2"/>
      <c r="MZ78" s="6"/>
      <c r="NA78" s="4"/>
      <c r="NB78" s="8"/>
      <c r="NC78" s="5" t="str">
        <f t="shared" si="337"/>
        <v>NO APLICA</v>
      </c>
      <c r="ND78" s="2"/>
      <c r="NE78" s="6"/>
      <c r="NF78" s="4"/>
      <c r="NG78" s="8"/>
      <c r="NH78" s="5" t="str">
        <f t="shared" si="338"/>
        <v>NO APLICA</v>
      </c>
      <c r="NI78" s="2"/>
      <c r="NJ78" s="6"/>
      <c r="NK78" s="4"/>
      <c r="NL78" s="8"/>
      <c r="NM78" s="5" t="str">
        <f t="shared" si="339"/>
        <v>NO APLICA</v>
      </c>
      <c r="NN78" s="2"/>
      <c r="NO78" s="2"/>
      <c r="NP78" s="4"/>
      <c r="NQ78" s="2"/>
      <c r="NR78" s="5" t="str">
        <f t="shared" si="340"/>
        <v>NO APLICA</v>
      </c>
      <c r="NS78" s="2"/>
      <c r="NT78" s="2"/>
      <c r="NU78" s="4"/>
      <c r="NV78" s="2"/>
      <c r="NW78" s="5" t="str">
        <f t="shared" si="341"/>
        <v>NO APLICA</v>
      </c>
      <c r="NX78" s="6"/>
      <c r="NY78" s="6"/>
      <c r="NZ78" s="4"/>
      <c r="OA78" s="8"/>
      <c r="OB78" s="5" t="str">
        <f t="shared" si="342"/>
        <v>NO APLICA</v>
      </c>
      <c r="OC78" s="6"/>
      <c r="OD78" s="6"/>
      <c r="OE78" s="6"/>
      <c r="OF78" s="6"/>
      <c r="OG78" s="5" t="str">
        <f t="shared" si="343"/>
        <v>NO APLICA</v>
      </c>
      <c r="OH78" s="6"/>
      <c r="OI78" s="6"/>
      <c r="OJ78" s="4"/>
      <c r="OK78" s="8"/>
      <c r="OL78" s="5" t="str">
        <f t="shared" si="344"/>
        <v>NO APLICA</v>
      </c>
      <c r="OM78" s="6"/>
      <c r="ON78" s="6"/>
      <c r="OO78" s="6"/>
      <c r="OP78" s="6"/>
      <c r="OQ78" s="5" t="str">
        <f t="shared" si="345"/>
        <v>NO APLICA</v>
      </c>
      <c r="OR78" s="6"/>
      <c r="OS78" s="6"/>
      <c r="OT78" s="6"/>
      <c r="OU78" s="6"/>
      <c r="OV78" s="5" t="str">
        <f t="shared" si="346"/>
        <v>NO APLICA</v>
      </c>
      <c r="OW78" s="6"/>
      <c r="OX78" s="6"/>
      <c r="OY78" s="6"/>
      <c r="OZ78" s="6"/>
      <c r="PA78" s="5" t="str">
        <f t="shared" si="347"/>
        <v>NO APLICA</v>
      </c>
      <c r="PB78" s="6"/>
      <c r="PC78" s="6"/>
      <c r="PD78" s="6"/>
      <c r="PE78" s="6"/>
      <c r="PF78" s="5" t="str">
        <f t="shared" si="348"/>
        <v>NO APLICA</v>
      </c>
      <c r="PG78" s="6"/>
      <c r="PH78" s="6"/>
      <c r="PI78" s="6"/>
      <c r="PJ78" s="6"/>
      <c r="PK78" s="5" t="str">
        <f t="shared" si="349"/>
        <v>NO APLICA</v>
      </c>
      <c r="PL78" s="5"/>
      <c r="PM78" s="6"/>
      <c r="PN78" s="4"/>
      <c r="PO78" s="8"/>
      <c r="PP78" s="5" t="str">
        <f t="shared" si="350"/>
        <v>NO APLICA</v>
      </c>
      <c r="PQ78" s="6"/>
      <c r="PR78" s="6"/>
      <c r="PS78" s="6"/>
      <c r="PT78" s="6"/>
      <c r="PU78" s="5" t="str">
        <f t="shared" si="351"/>
        <v>NO APLICA</v>
      </c>
      <c r="PV78" s="5"/>
      <c r="PW78" s="6"/>
      <c r="PX78" s="6"/>
      <c r="PY78" s="6"/>
      <c r="PZ78" s="5" t="str">
        <f t="shared" si="352"/>
        <v>NO APLICA</v>
      </c>
    </row>
    <row r="79" spans="1:442" ht="15.6" hidden="1" thickTop="1" thickBot="1" x14ac:dyDescent="0.35">
      <c r="A79" s="26">
        <v>76</v>
      </c>
      <c r="B79" s="27">
        <v>1646</v>
      </c>
      <c r="C79" s="28" t="s">
        <v>288</v>
      </c>
      <c r="D79" s="29" t="s">
        <v>68</v>
      </c>
      <c r="E79" s="30" t="s">
        <v>73</v>
      </c>
      <c r="F79" s="6"/>
      <c r="G79" s="6"/>
      <c r="H79" s="6"/>
      <c r="I79" s="6"/>
      <c r="J79" s="5" t="str">
        <f t="shared" si="242"/>
        <v>NO APLICA</v>
      </c>
      <c r="K79" s="6"/>
      <c r="L79" s="6"/>
      <c r="M79" s="6"/>
      <c r="N79" s="6"/>
      <c r="O79" s="5" t="str">
        <f t="shared" si="243"/>
        <v>NO APLICA</v>
      </c>
      <c r="P79" s="6"/>
      <c r="Q79" s="6"/>
      <c r="R79" s="6"/>
      <c r="S79" s="6"/>
      <c r="T79" s="5" t="str">
        <f t="shared" si="353"/>
        <v>NO APLICA</v>
      </c>
      <c r="U79" s="5"/>
      <c r="V79" s="6" t="s">
        <v>289</v>
      </c>
      <c r="W79" s="4">
        <v>45159</v>
      </c>
      <c r="X79" s="4">
        <f t="shared" si="244"/>
        <v>46986</v>
      </c>
      <c r="Y79" s="8">
        <f t="shared" ca="1" si="245"/>
        <v>841</v>
      </c>
      <c r="Z79" s="5" t="str">
        <f t="shared" ca="1" si="246"/>
        <v>VIGENTE</v>
      </c>
      <c r="AA79" s="5"/>
      <c r="AB79" s="6" t="s">
        <v>290</v>
      </c>
      <c r="AC79" s="4">
        <v>45161</v>
      </c>
      <c r="AD79" s="4">
        <f t="shared" si="376"/>
        <v>46988</v>
      </c>
      <c r="AE79" s="8">
        <f t="shared" ca="1" si="377"/>
        <v>843</v>
      </c>
      <c r="AF79" s="5" t="str">
        <f t="shared" ca="1" si="24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8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9"/>
        <v>294</v>
      </c>
      <c r="AP79" s="5" t="str">
        <f t="shared" ca="1" si="250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1"/>
        <v>224</v>
      </c>
      <c r="AU79" s="5" t="str">
        <f t="shared" ca="1" si="252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3"/>
        <v>228</v>
      </c>
      <c r="AZ79" s="5" t="str">
        <f t="shared" ca="1" si="254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5"/>
        <v>206</v>
      </c>
      <c r="BE79" s="5" t="str">
        <f t="shared" ca="1" si="256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7"/>
        <v>227</v>
      </c>
      <c r="BJ79" s="5" t="str">
        <f t="shared" ca="1" si="258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9"/>
        <v>283</v>
      </c>
      <c r="BO79" s="5" t="str">
        <f t="shared" ca="1" si="260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1"/>
        <v>205</v>
      </c>
      <c r="BT79" s="5" t="str">
        <f t="shared" ca="1" si="262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3"/>
        <v>279</v>
      </c>
      <c r="BY79" s="5" t="str">
        <f t="shared" ca="1" si="264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5"/>
        <v>213</v>
      </c>
      <c r="CD79" s="5" t="str">
        <f t="shared" ca="1" si="266"/>
        <v>VIGENTE</v>
      </c>
      <c r="CE79" s="6"/>
      <c r="CF79" s="4">
        <v>45723</v>
      </c>
      <c r="CG79" s="4">
        <f t="shared" si="267"/>
        <v>47184</v>
      </c>
      <c r="CH79" s="8">
        <f t="shared" ca="1" si="268"/>
        <v>1039</v>
      </c>
      <c r="CI79" s="5" t="str">
        <f t="shared" ca="1" si="269"/>
        <v>VIGENTE</v>
      </c>
      <c r="CJ79" s="4"/>
      <c r="CK79" s="4">
        <v>45688</v>
      </c>
      <c r="CL79" s="4">
        <f t="shared" si="375"/>
        <v>46417</v>
      </c>
      <c r="CM79" s="8">
        <f t="shared" ca="1" si="270"/>
        <v>272</v>
      </c>
      <c r="CN79" s="5" t="str">
        <f t="shared" ca="1" si="271"/>
        <v>VIGENTE</v>
      </c>
      <c r="CO79" s="4"/>
      <c r="CP79" s="4">
        <v>45684</v>
      </c>
      <c r="CQ79" s="4">
        <f t="shared" si="368"/>
        <v>46413</v>
      </c>
      <c r="CR79" s="8">
        <f t="shared" ca="1" si="272"/>
        <v>268</v>
      </c>
      <c r="CS79" s="5" t="str">
        <f t="shared" ca="1" si="273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4"/>
        <v>223</v>
      </c>
      <c r="CX79" s="5" t="str">
        <f t="shared" ca="1" si="275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6"/>
        <v>265</v>
      </c>
      <c r="DC79" s="5" t="str">
        <f t="shared" ca="1" si="277"/>
        <v>VIGENTE</v>
      </c>
      <c r="DD79" s="4"/>
      <c r="DE79" s="4">
        <v>45689</v>
      </c>
      <c r="DF79" s="4">
        <f t="shared" si="382"/>
        <v>46418</v>
      </c>
      <c r="DG79" s="8">
        <f t="shared" ca="1" si="278"/>
        <v>273</v>
      </c>
      <c r="DH79" s="5" t="str">
        <f t="shared" ca="1" si="279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0"/>
        <v>280</v>
      </c>
      <c r="DM79" s="5" t="str">
        <f t="shared" ca="1" si="281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2"/>
        <v>315</v>
      </c>
      <c r="DR79" s="5" t="str">
        <f t="shared" ca="1" si="283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4"/>
        <v>312</v>
      </c>
      <c r="DW79" s="5" t="str">
        <f t="shared" ca="1" si="285"/>
        <v>VIGENTE</v>
      </c>
      <c r="DX79" s="4"/>
      <c r="DY79" s="4">
        <v>45709</v>
      </c>
      <c r="DZ79" s="4">
        <f t="shared" si="354"/>
        <v>46438</v>
      </c>
      <c r="EA79" s="8">
        <f t="shared" ca="1" si="286"/>
        <v>293</v>
      </c>
      <c r="EB79" s="5" t="str">
        <f t="shared" ca="1" si="287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8"/>
        <v>226</v>
      </c>
      <c r="EG79" s="5" t="str">
        <f t="shared" ca="1" si="289"/>
        <v>VIGENTE</v>
      </c>
      <c r="EH79" s="4"/>
      <c r="EI79" s="4">
        <v>46123</v>
      </c>
      <c r="EJ79" s="4">
        <f t="shared" si="355"/>
        <v>46488</v>
      </c>
      <c r="EK79" s="8">
        <f t="shared" ca="1" si="290"/>
        <v>343</v>
      </c>
      <c r="EL79" s="5" t="str">
        <f t="shared" ca="1" si="291"/>
        <v>VIGENTE</v>
      </c>
      <c r="EM79" s="4"/>
      <c r="EN79" s="4">
        <v>45660</v>
      </c>
      <c r="EO79" s="4">
        <f t="shared" si="371"/>
        <v>46389</v>
      </c>
      <c r="EP79" s="8">
        <f t="shared" ca="1" si="292"/>
        <v>244</v>
      </c>
      <c r="EQ79" s="5" t="str">
        <f t="shared" ca="1" si="293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4"/>
        <v>207</v>
      </c>
      <c r="EV79" s="5" t="str">
        <f t="shared" ca="1" si="295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6"/>
        <v>194</v>
      </c>
      <c r="FA79" s="5" t="str">
        <f t="shared" ca="1" si="297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8"/>
        <v>250</v>
      </c>
      <c r="FF79" s="5" t="str">
        <f t="shared" ca="1" si="299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0"/>
        <v>341</v>
      </c>
      <c r="FK79" s="5" t="str">
        <f t="shared" ca="1" si="301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2"/>
        <v>221</v>
      </c>
      <c r="FP79" s="5" t="str">
        <f t="shared" ca="1" si="303"/>
        <v>VIGENTE</v>
      </c>
      <c r="FQ79" s="4"/>
      <c r="FR79" s="4">
        <v>45605</v>
      </c>
      <c r="FS79" s="4">
        <f t="shared" si="372"/>
        <v>46334</v>
      </c>
      <c r="FT79" s="8">
        <f t="shared" ca="1" si="304"/>
        <v>189</v>
      </c>
      <c r="FU79" s="5" t="str">
        <f t="shared" ca="1" si="305"/>
        <v>VIGENTE</v>
      </c>
      <c r="FV79" s="4"/>
      <c r="FW79" s="4">
        <v>45616</v>
      </c>
      <c r="FX79" s="4">
        <f t="shared" si="383"/>
        <v>46345</v>
      </c>
      <c r="FY79" s="8">
        <f t="shared" ca="1" si="306"/>
        <v>200</v>
      </c>
      <c r="FZ79" s="5" t="str">
        <f t="shared" ca="1" si="307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8"/>
        <v>210</v>
      </c>
      <c r="GE79" s="5" t="str">
        <f t="shared" ca="1" si="309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0"/>
        <v>256</v>
      </c>
      <c r="GJ79" s="5" t="str">
        <f t="shared" ca="1" si="311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2"/>
        <v>192</v>
      </c>
      <c r="GO79" s="5" t="str">
        <f t="shared" ca="1" si="313"/>
        <v>VIGENTE</v>
      </c>
      <c r="GP79" s="4"/>
      <c r="GQ79" s="4">
        <v>45677</v>
      </c>
      <c r="GR79" s="4">
        <f t="shared" si="314"/>
        <v>47503</v>
      </c>
      <c r="GS79" s="8">
        <f t="shared" ref="GS79:GS105" ca="1" si="384">GR79-TODAY()</f>
        <v>1358</v>
      </c>
      <c r="GT79" s="5" t="str">
        <f t="shared" ca="1" si="378"/>
        <v>VIGENTE</v>
      </c>
      <c r="GU79" s="4"/>
      <c r="GV79" s="4">
        <v>45680</v>
      </c>
      <c r="GW79" s="4">
        <f t="shared" si="316"/>
        <v>47506</v>
      </c>
      <c r="GX79" s="8">
        <f t="shared" ca="1" si="317"/>
        <v>1361</v>
      </c>
      <c r="GY79" s="5" t="str">
        <f t="shared" ca="1" si="379"/>
        <v>VIGENTE</v>
      </c>
      <c r="GZ79" s="6"/>
      <c r="HA79" s="4">
        <v>45678</v>
      </c>
      <c r="HB79" s="4">
        <f t="shared" si="319"/>
        <v>47504</v>
      </c>
      <c r="HC79" s="8">
        <f t="shared" ca="1" si="320"/>
        <v>1359</v>
      </c>
      <c r="HD79" s="5" t="str">
        <f t="shared" ca="1" si="380"/>
        <v>VIGENTE</v>
      </c>
      <c r="HE79" s="6"/>
      <c r="HF79" s="4">
        <v>45679</v>
      </c>
      <c r="HG79" s="4">
        <f t="shared" si="373"/>
        <v>47505</v>
      </c>
      <c r="HH79" s="8">
        <f t="shared" ca="1" si="374"/>
        <v>1360</v>
      </c>
      <c r="HI79" s="5" t="str">
        <f t="shared" ca="1" si="381"/>
        <v>VIGENTE</v>
      </c>
      <c r="HJ79" s="6"/>
      <c r="HK79" s="6"/>
      <c r="HL79" s="6"/>
      <c r="HM79" s="6"/>
      <c r="HN79" s="5" t="str">
        <f t="shared" si="228"/>
        <v>NO APLICA</v>
      </c>
      <c r="HO79" s="6"/>
      <c r="HP79" s="6"/>
      <c r="HQ79" s="6"/>
      <c r="HR79" s="6"/>
      <c r="HS79" s="5" t="str">
        <f t="shared" si="322"/>
        <v>NO APLICA</v>
      </c>
      <c r="HT79" s="6"/>
      <c r="HU79" s="6"/>
      <c r="HV79" s="6"/>
      <c r="HW79" s="6"/>
      <c r="HX79" s="5" t="str">
        <f t="shared" si="323"/>
        <v>NO APLICA</v>
      </c>
      <c r="HY79" s="6"/>
      <c r="HZ79" s="6"/>
      <c r="IA79" s="6"/>
      <c r="IB79" s="6"/>
      <c r="IC79" s="5" t="str">
        <f t="shared" si="324"/>
        <v>NO APLICA</v>
      </c>
      <c r="ID79" s="6"/>
      <c r="IE79" s="6"/>
      <c r="IF79" s="6"/>
      <c r="IG79" s="6"/>
      <c r="IH79" s="5" t="str">
        <f t="shared" si="325"/>
        <v>NO APLICA</v>
      </c>
      <c r="II79" s="6"/>
      <c r="IJ79" s="6"/>
      <c r="IK79" s="6"/>
      <c r="IL79" s="6"/>
      <c r="IM79" s="5" t="str">
        <f t="shared" si="326"/>
        <v>NO APLICA</v>
      </c>
      <c r="IN79" s="6"/>
      <c r="IO79" s="6"/>
      <c r="IP79" s="6"/>
      <c r="IQ79" s="6"/>
      <c r="IR79" s="5" t="str">
        <f t="shared" si="327"/>
        <v>NO APLICA</v>
      </c>
      <c r="IS79" s="6"/>
      <c r="IT79" s="6"/>
      <c r="IU79" s="6"/>
      <c r="IV79" s="6"/>
      <c r="IW79" s="5" t="str">
        <f t="shared" si="328"/>
        <v>NO APLICA</v>
      </c>
      <c r="IX79" s="6"/>
      <c r="IY79" s="6"/>
      <c r="IZ79" s="6"/>
      <c r="JA79" s="6"/>
      <c r="JB79" s="5" t="str">
        <f t="shared" si="329"/>
        <v>NO APLICA</v>
      </c>
      <c r="JC79" s="3" t="s">
        <v>780</v>
      </c>
      <c r="JD79" s="6"/>
      <c r="JE79" s="6"/>
      <c r="JF79" s="6"/>
      <c r="JG79" s="5"/>
      <c r="JH79" s="3" t="s">
        <v>780</v>
      </c>
      <c r="JI79" s="6"/>
      <c r="JJ79" s="6"/>
      <c r="JK79" s="6"/>
      <c r="JL79" s="5"/>
      <c r="JM79" s="6" t="s">
        <v>780</v>
      </c>
      <c r="JN79" s="6"/>
      <c r="JO79" s="6"/>
      <c r="JP79" s="6"/>
      <c r="JQ79" s="5"/>
      <c r="JR79" s="6" t="s">
        <v>780</v>
      </c>
      <c r="JS79" s="6"/>
      <c r="JT79" s="6"/>
      <c r="JU79" s="6"/>
      <c r="JV79" s="5"/>
      <c r="JW79" s="6" t="s">
        <v>780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30"/>
        <v>NO APLICA</v>
      </c>
      <c r="KG79" s="5"/>
      <c r="KH79" s="6"/>
      <c r="KI79" s="6"/>
      <c r="KJ79" s="6"/>
      <c r="KK79" s="5" t="str">
        <f t="shared" si="356"/>
        <v>NO APLICA</v>
      </c>
      <c r="KL79" s="5"/>
      <c r="KM79" s="6"/>
      <c r="KN79" s="6"/>
      <c r="KO79" s="6"/>
      <c r="KP79" s="5" t="str">
        <f t="shared" si="331"/>
        <v>NO APLICA</v>
      </c>
      <c r="KQ79" s="5"/>
      <c r="KR79" s="6"/>
      <c r="KS79" s="6"/>
      <c r="KT79" s="6"/>
      <c r="KU79" s="5" t="str">
        <f t="shared" si="357"/>
        <v>NO APLICA</v>
      </c>
      <c r="KV79" s="6"/>
      <c r="KW79" s="6"/>
      <c r="KX79" s="6"/>
      <c r="KY79" s="6"/>
      <c r="KZ79" s="5" t="str">
        <f t="shared" si="366"/>
        <v>NO APLICA</v>
      </c>
      <c r="LA79" s="5"/>
      <c r="LB79" s="6"/>
      <c r="LC79" s="6"/>
      <c r="LD79" s="6"/>
      <c r="LE79" s="5" t="str">
        <f t="shared" si="358"/>
        <v>NO APLICA</v>
      </c>
      <c r="LF79" s="6"/>
      <c r="LG79" s="4"/>
      <c r="LH79" s="4"/>
      <c r="LI79" s="8"/>
      <c r="LJ79" s="5" t="str">
        <f t="shared" si="332"/>
        <v>NO APLICA</v>
      </c>
      <c r="LK79" s="5"/>
      <c r="LL79" s="5"/>
      <c r="LM79" s="5"/>
      <c r="LN79" s="5"/>
      <c r="LO79" s="5" t="str">
        <f t="shared" si="367"/>
        <v>NO APLICA</v>
      </c>
      <c r="LP79" s="6"/>
      <c r="LQ79" s="6"/>
      <c r="LR79" s="6"/>
      <c r="LS79" s="6"/>
      <c r="LT79" s="5" t="str">
        <f t="shared" si="359"/>
        <v>NO APLICA</v>
      </c>
      <c r="LU79" s="6"/>
      <c r="LV79" s="6"/>
      <c r="LW79" s="6"/>
      <c r="LX79" s="6"/>
      <c r="LY79" s="5" t="str">
        <f t="shared" si="360"/>
        <v>NO APLICA</v>
      </c>
      <c r="LZ79" s="6"/>
      <c r="MA79" s="6"/>
      <c r="MB79" s="6"/>
      <c r="MC79" s="6"/>
      <c r="MD79" s="5" t="str">
        <f t="shared" si="361"/>
        <v>NO APLICA</v>
      </c>
      <c r="ME79" s="6"/>
      <c r="MF79" s="6"/>
      <c r="MG79" s="6"/>
      <c r="MH79" s="6"/>
      <c r="MI79" s="5" t="str">
        <f t="shared" si="333"/>
        <v>NO APLICA</v>
      </c>
      <c r="MJ79" s="6"/>
      <c r="MK79" s="6"/>
      <c r="ML79" s="6"/>
      <c r="MM79" s="6"/>
      <c r="MN79" s="5" t="str">
        <f t="shared" si="334"/>
        <v>NO APLICA</v>
      </c>
      <c r="MO79" s="5"/>
      <c r="MP79" s="6"/>
      <c r="MQ79" s="6"/>
      <c r="MR79" s="6"/>
      <c r="MS79" s="5" t="str">
        <f t="shared" si="335"/>
        <v>NO APLICA</v>
      </c>
      <c r="MT79" s="5"/>
      <c r="MU79" s="6"/>
      <c r="MV79" s="6"/>
      <c r="MW79" s="6"/>
      <c r="MX79" s="5" t="str">
        <f t="shared" si="336"/>
        <v>NO APLICA</v>
      </c>
      <c r="MY79" s="6"/>
      <c r="MZ79" s="6"/>
      <c r="NA79" s="6"/>
      <c r="NB79" s="6"/>
      <c r="NC79" s="5" t="str">
        <f t="shared" si="337"/>
        <v>NO APLICA</v>
      </c>
      <c r="ND79" s="6"/>
      <c r="NE79" s="6"/>
      <c r="NF79" s="6"/>
      <c r="NG79" s="6"/>
      <c r="NH79" s="5" t="str">
        <f t="shared" si="338"/>
        <v>NO APLICA</v>
      </c>
      <c r="NI79" s="6"/>
      <c r="NJ79" s="6"/>
      <c r="NK79" s="6"/>
      <c r="NL79" s="6"/>
      <c r="NM79" s="5" t="str">
        <f t="shared" si="339"/>
        <v>NO APLICA</v>
      </c>
      <c r="NN79" s="6"/>
      <c r="NO79" s="6"/>
      <c r="NP79" s="6"/>
      <c r="NQ79" s="6"/>
      <c r="NR79" s="5" t="str">
        <f t="shared" si="340"/>
        <v>NO APLICA</v>
      </c>
      <c r="NS79" s="6"/>
      <c r="NT79" s="6"/>
      <c r="NU79" s="6"/>
      <c r="NV79" s="6"/>
      <c r="NW79" s="5" t="str">
        <f t="shared" si="341"/>
        <v>NO APLICA</v>
      </c>
      <c r="NX79" s="6"/>
      <c r="NY79" s="6"/>
      <c r="NZ79" s="6"/>
      <c r="OA79" s="6"/>
      <c r="OB79" s="5" t="str">
        <f t="shared" si="342"/>
        <v>NO APLICA</v>
      </c>
      <c r="OC79" s="6"/>
      <c r="OD79" s="6"/>
      <c r="OE79" s="6"/>
      <c r="OF79" s="6"/>
      <c r="OG79" s="5" t="str">
        <f t="shared" si="343"/>
        <v>NO APLICA</v>
      </c>
      <c r="OH79" s="6"/>
      <c r="OI79" s="6"/>
      <c r="OJ79" s="6"/>
      <c r="OK79" s="6"/>
      <c r="OL79" s="5" t="str">
        <f t="shared" si="344"/>
        <v>NO APLICA</v>
      </c>
      <c r="OM79" s="6"/>
      <c r="ON79" s="6"/>
      <c r="OO79" s="6"/>
      <c r="OP79" s="6"/>
      <c r="OQ79" s="5" t="str">
        <f t="shared" si="345"/>
        <v>NO APLICA</v>
      </c>
      <c r="OR79" s="6"/>
      <c r="OS79" s="6"/>
      <c r="OT79" s="6"/>
      <c r="OU79" s="6"/>
      <c r="OV79" s="5" t="str">
        <f t="shared" si="346"/>
        <v>NO APLICA</v>
      </c>
      <c r="OW79" s="6"/>
      <c r="OX79" s="6"/>
      <c r="OY79" s="6"/>
      <c r="OZ79" s="6"/>
      <c r="PA79" s="5" t="str">
        <f t="shared" si="347"/>
        <v>NO APLICA</v>
      </c>
      <c r="PB79" s="6"/>
      <c r="PC79" s="6"/>
      <c r="PD79" s="6"/>
      <c r="PE79" s="6"/>
      <c r="PF79" s="5" t="str">
        <f t="shared" si="348"/>
        <v>NO APLICA</v>
      </c>
      <c r="PG79" s="6"/>
      <c r="PH79" s="6"/>
      <c r="PI79" s="6"/>
      <c r="PJ79" s="6"/>
      <c r="PK79" s="5" t="str">
        <f t="shared" si="349"/>
        <v>NO APLICA</v>
      </c>
      <c r="PL79" s="5"/>
      <c r="PM79" s="6"/>
      <c r="PN79" s="6"/>
      <c r="PO79" s="6"/>
      <c r="PP79" s="5" t="str">
        <f t="shared" si="350"/>
        <v>NO APLICA</v>
      </c>
      <c r="PQ79" s="6"/>
      <c r="PR79" s="6"/>
      <c r="PS79" s="6"/>
      <c r="PT79" s="6"/>
      <c r="PU79" s="5" t="str">
        <f t="shared" si="351"/>
        <v>NO APLICA</v>
      </c>
      <c r="PV79" s="5"/>
      <c r="PW79" s="6"/>
      <c r="PX79" s="6"/>
      <c r="PY79" s="6"/>
      <c r="PZ79" s="5" t="str">
        <f t="shared" si="352"/>
        <v>NO APLICA</v>
      </c>
    </row>
    <row r="80" spans="1:442" ht="15.6" hidden="1" thickTop="1" thickBot="1" x14ac:dyDescent="0.35">
      <c r="A80" s="26">
        <v>77</v>
      </c>
      <c r="B80" s="31">
        <v>1653</v>
      </c>
      <c r="C80" s="28" t="s">
        <v>291</v>
      </c>
      <c r="D80" s="29" t="s">
        <v>68</v>
      </c>
      <c r="E80" s="30" t="s">
        <v>153</v>
      </c>
      <c r="F80" s="5"/>
      <c r="G80" s="6"/>
      <c r="H80" s="4"/>
      <c r="I80" s="8"/>
      <c r="J80" s="5" t="str">
        <f t="shared" si="242"/>
        <v>NO APLICA</v>
      </c>
      <c r="K80" s="5"/>
      <c r="L80" s="6"/>
      <c r="M80" s="6"/>
      <c r="N80" s="8"/>
      <c r="O80" s="5" t="str">
        <f t="shared" si="243"/>
        <v>NO APLICA</v>
      </c>
      <c r="P80" s="6"/>
      <c r="Q80" s="6"/>
      <c r="R80" s="4"/>
      <c r="S80" s="8"/>
      <c r="T80" s="5" t="str">
        <f t="shared" si="353"/>
        <v>NO APLICA</v>
      </c>
      <c r="U80" s="5"/>
      <c r="V80" s="2" t="s">
        <v>292</v>
      </c>
      <c r="W80" s="4">
        <v>44918</v>
      </c>
      <c r="X80" s="4">
        <f t="shared" si="244"/>
        <v>46744</v>
      </c>
      <c r="Y80" s="8">
        <f t="shared" ca="1" si="245"/>
        <v>599</v>
      </c>
      <c r="Z80" s="5" t="str">
        <f t="shared" ca="1" si="246"/>
        <v>VIGENTE</v>
      </c>
      <c r="AA80" s="5"/>
      <c r="AB80" s="2" t="s">
        <v>293</v>
      </c>
      <c r="AC80" s="4">
        <v>44988</v>
      </c>
      <c r="AD80" s="4">
        <f t="shared" si="376"/>
        <v>46815</v>
      </c>
      <c r="AE80" s="8">
        <f t="shared" ca="1" si="377"/>
        <v>670</v>
      </c>
      <c r="AF80" s="5" t="str">
        <f t="shared" ca="1" si="24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8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9"/>
        <v>332</v>
      </c>
      <c r="AP80" s="5" t="str">
        <f t="shared" ca="1" si="250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1"/>
        <v>113</v>
      </c>
      <c r="AU80" s="5" t="str">
        <f t="shared" ca="1" si="252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3"/>
        <v>98</v>
      </c>
      <c r="AZ80" s="5" t="str">
        <f t="shared" ca="1" si="254"/>
        <v>VIGENTE</v>
      </c>
      <c r="BA80" s="3"/>
      <c r="BB80" s="4">
        <v>46118</v>
      </c>
      <c r="BC80" s="4">
        <f>DATE(YEAR(BB80)+2,MONTH(BB80),DAY(BB80)-1)</f>
        <v>46848</v>
      </c>
      <c r="BD80" s="8">
        <f t="shared" ca="1" si="255"/>
        <v>703</v>
      </c>
      <c r="BE80" s="5" t="str">
        <f t="shared" ca="1" si="256"/>
        <v>VIGENTE</v>
      </c>
      <c r="BF80" s="3"/>
      <c r="BG80" s="4">
        <v>45488</v>
      </c>
      <c r="BH80" s="4">
        <f>DATE(YEAR(BG80)+2,MONTH(BG80),DAY(BG80)-1)</f>
        <v>46217</v>
      </c>
      <c r="BI80" s="8">
        <f t="shared" ca="1" si="257"/>
        <v>72</v>
      </c>
      <c r="BJ80" s="5" t="str">
        <f t="shared" ca="1" si="258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9"/>
        <v>103</v>
      </c>
      <c r="BO80" s="5" t="str">
        <f t="shared" ca="1" si="260"/>
        <v>VIGENTE</v>
      </c>
      <c r="BP80" s="3"/>
      <c r="BQ80" s="39">
        <v>45701</v>
      </c>
      <c r="BR80" s="4">
        <f>DATE(YEAR(BQ80)+2,MONTH(BQ80),DAY(BQ80)-1)</f>
        <v>46430</v>
      </c>
      <c r="BS80" s="8">
        <f t="shared" ca="1" si="261"/>
        <v>285</v>
      </c>
      <c r="BT80" s="5" t="str">
        <f t="shared" ca="1" si="262"/>
        <v>VIGENTE</v>
      </c>
      <c r="BU80" s="3"/>
      <c r="BV80" s="4">
        <v>46116</v>
      </c>
      <c r="BW80" s="4">
        <f>DATE(YEAR(BV80)+2,MONTH(BV80),DAY(BV80)-1)</f>
        <v>46846</v>
      </c>
      <c r="BX80" s="8">
        <f t="shared" ca="1" si="263"/>
        <v>701</v>
      </c>
      <c r="BY80" s="5" t="str">
        <f t="shared" ca="1" si="264"/>
        <v>VIGENTE</v>
      </c>
      <c r="BZ80" s="3"/>
      <c r="CA80" s="4">
        <v>46065</v>
      </c>
      <c r="CB80" s="4">
        <f>DATE(YEAR(CA80)+2,MONTH(CA80),DAY(CA80))</f>
        <v>46795</v>
      </c>
      <c r="CC80" s="8">
        <f t="shared" ca="1" si="265"/>
        <v>650</v>
      </c>
      <c r="CD80" s="5" t="str">
        <f t="shared" ca="1" si="266"/>
        <v>VIGENTE</v>
      </c>
      <c r="CE80" s="6"/>
      <c r="CF80" s="4">
        <v>45262</v>
      </c>
      <c r="CG80" s="4">
        <f t="shared" si="267"/>
        <v>46723</v>
      </c>
      <c r="CH80" s="8">
        <f t="shared" ca="1" si="268"/>
        <v>578</v>
      </c>
      <c r="CI80" s="5" t="str">
        <f t="shared" ca="1" si="269"/>
        <v>VIGENTE</v>
      </c>
      <c r="CJ80" s="4"/>
      <c r="CK80" s="4">
        <v>46134</v>
      </c>
      <c r="CL80" s="4">
        <f t="shared" si="375"/>
        <v>46864</v>
      </c>
      <c r="CM80" s="8">
        <f t="shared" ca="1" si="270"/>
        <v>719</v>
      </c>
      <c r="CN80" s="5" t="str">
        <f t="shared" ca="1" si="271"/>
        <v>VIGENTE</v>
      </c>
      <c r="CO80" s="3"/>
      <c r="CP80" s="39">
        <v>45684</v>
      </c>
      <c r="CQ80" s="4">
        <f t="shared" si="368"/>
        <v>46413</v>
      </c>
      <c r="CR80" s="8">
        <f t="shared" ca="1" si="272"/>
        <v>268</v>
      </c>
      <c r="CS80" s="5" t="str">
        <f t="shared" ca="1" si="273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4"/>
        <v>229</v>
      </c>
      <c r="CX80" s="5" t="str">
        <f t="shared" ca="1" si="275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6"/>
        <v>249</v>
      </c>
      <c r="DC80" s="5" t="str">
        <f t="shared" ca="1" si="277"/>
        <v>VIGENTE</v>
      </c>
      <c r="DD80" s="3"/>
      <c r="DE80" s="39">
        <v>45689</v>
      </c>
      <c r="DF80" s="4">
        <f t="shared" si="382"/>
        <v>46418</v>
      </c>
      <c r="DG80" s="8">
        <f t="shared" ca="1" si="278"/>
        <v>273</v>
      </c>
      <c r="DH80" s="5" t="str">
        <f t="shared" ca="1" si="279"/>
        <v>VIGENTE</v>
      </c>
      <c r="DI80" s="3"/>
      <c r="DJ80" s="39">
        <v>45569</v>
      </c>
      <c r="DK80" s="4">
        <f>DATE(YEAR(DJ80)+2,MONTH(DJ80),DAY(DJ80)-1)</f>
        <v>46298</v>
      </c>
      <c r="DL80" s="8">
        <f t="shared" ca="1" si="280"/>
        <v>153</v>
      </c>
      <c r="DM80" s="5" t="str">
        <f t="shared" ca="1" si="281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2"/>
        <v>104</v>
      </c>
      <c r="DR80" s="5" t="str">
        <f t="shared" ca="1" si="283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4"/>
        <v>203</v>
      </c>
      <c r="DW80" s="5" t="str">
        <f t="shared" ca="1" si="285"/>
        <v>VIGENTE</v>
      </c>
      <c r="DX80" s="3"/>
      <c r="DY80" s="4">
        <v>45582</v>
      </c>
      <c r="DZ80" s="4">
        <f t="shared" si="354"/>
        <v>46311</v>
      </c>
      <c r="EA80" s="8">
        <f t="shared" ca="1" si="286"/>
        <v>166</v>
      </c>
      <c r="EB80" s="5" t="str">
        <f t="shared" ca="1" si="287"/>
        <v>VIGENTE</v>
      </c>
      <c r="EC80" s="3"/>
      <c r="ED80" s="39">
        <v>45674</v>
      </c>
      <c r="EE80" s="4">
        <f>DATE(YEAR(ED80)+2,MONTH(ED80),DAY(ED80)-1)</f>
        <v>46403</v>
      </c>
      <c r="EF80" s="8">
        <f t="shared" ca="1" si="288"/>
        <v>258</v>
      </c>
      <c r="EG80" s="5" t="str">
        <f t="shared" ca="1" si="289"/>
        <v>VIGENTE</v>
      </c>
      <c r="EH80" s="3"/>
      <c r="EI80" s="4">
        <v>45948</v>
      </c>
      <c r="EJ80" s="4">
        <f t="shared" si="355"/>
        <v>46313</v>
      </c>
      <c r="EK80" s="8">
        <f t="shared" ca="1" si="290"/>
        <v>168</v>
      </c>
      <c r="EL80" s="5" t="str">
        <f t="shared" ca="1" si="291"/>
        <v>VIGENTE</v>
      </c>
      <c r="EM80" s="3"/>
      <c r="EN80" s="4">
        <v>45660</v>
      </c>
      <c r="EO80" s="4">
        <f t="shared" si="371"/>
        <v>46389</v>
      </c>
      <c r="EP80" s="8">
        <f t="shared" ca="1" si="292"/>
        <v>244</v>
      </c>
      <c r="EQ80" s="5" t="str">
        <f t="shared" ca="1" si="293"/>
        <v>VIGENTE</v>
      </c>
      <c r="ER80" s="3"/>
      <c r="ES80" s="39">
        <v>45539</v>
      </c>
      <c r="ET80" s="4">
        <f>DATE(YEAR(ES80)+2,MONTH(ES80),DAY(ES80)-1)</f>
        <v>46268</v>
      </c>
      <c r="EU80" s="8">
        <f t="shared" ca="1" si="294"/>
        <v>123</v>
      </c>
      <c r="EV80" s="5" t="str">
        <f t="shared" ca="1" si="295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6"/>
        <v>194</v>
      </c>
      <c r="FA80" s="5" t="str">
        <f t="shared" ca="1" si="297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8"/>
        <v>250</v>
      </c>
      <c r="FF80" s="5" t="str">
        <f t="shared" ca="1" si="299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0"/>
        <v>252</v>
      </c>
      <c r="FK80" s="5" t="str">
        <f t="shared" ca="1" si="301"/>
        <v>VIGENTE</v>
      </c>
      <c r="FL80" s="3"/>
      <c r="FM80" s="39">
        <v>45528</v>
      </c>
      <c r="FN80" s="4">
        <f>DATE(YEAR(FM80)+2,MONTH(FM80),DAY(FM80)-1)</f>
        <v>46257</v>
      </c>
      <c r="FO80" s="8">
        <f t="shared" ca="1" si="302"/>
        <v>112</v>
      </c>
      <c r="FP80" s="5" t="str">
        <f t="shared" ca="1" si="303"/>
        <v>VIGENTE</v>
      </c>
      <c r="FQ80" s="3"/>
      <c r="FR80" s="39">
        <v>45556</v>
      </c>
      <c r="FS80" s="4">
        <f t="shared" si="372"/>
        <v>46285</v>
      </c>
      <c r="FT80" s="8">
        <f t="shared" ca="1" si="304"/>
        <v>140</v>
      </c>
      <c r="FU80" s="5" t="str">
        <f t="shared" ca="1" si="305"/>
        <v>VIGENTE</v>
      </c>
      <c r="FV80" s="4"/>
      <c r="FW80" s="4">
        <v>45574</v>
      </c>
      <c r="FX80" s="4">
        <f t="shared" si="383"/>
        <v>46303</v>
      </c>
      <c r="FY80" s="8">
        <f t="shared" ca="1" si="306"/>
        <v>158</v>
      </c>
      <c r="FZ80" s="5" t="str">
        <f t="shared" ca="1" si="307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8"/>
        <v>144</v>
      </c>
      <c r="GE80" s="5" t="str">
        <f t="shared" ca="1" si="309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0"/>
        <v>154</v>
      </c>
      <c r="GJ80" s="5" t="str">
        <f t="shared" ca="1" si="311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2"/>
        <v>141</v>
      </c>
      <c r="GO80" s="5" t="str">
        <f t="shared" ca="1" si="313"/>
        <v>VIGENTE</v>
      </c>
      <c r="GP80" s="4"/>
      <c r="GQ80" s="4">
        <v>44912</v>
      </c>
      <c r="GR80" s="4">
        <f t="shared" si="314"/>
        <v>46738</v>
      </c>
      <c r="GS80" s="8">
        <f t="shared" ca="1" si="384"/>
        <v>593</v>
      </c>
      <c r="GT80" s="5" t="str">
        <f t="shared" ca="1" si="378"/>
        <v>VIGENTE</v>
      </c>
      <c r="GU80" s="3"/>
      <c r="GV80" s="4">
        <v>44979</v>
      </c>
      <c r="GW80" s="4">
        <f t="shared" si="316"/>
        <v>46805</v>
      </c>
      <c r="GX80" s="8">
        <f t="shared" ca="1" si="317"/>
        <v>660</v>
      </c>
      <c r="GY80" s="5" t="str">
        <f t="shared" ca="1" si="379"/>
        <v>VIGENTE</v>
      </c>
      <c r="GZ80" s="2"/>
      <c r="HA80" s="4">
        <v>44911</v>
      </c>
      <c r="HB80" s="4">
        <f t="shared" si="319"/>
        <v>46737</v>
      </c>
      <c r="HC80" s="8">
        <f t="shared" ca="1" si="320"/>
        <v>592</v>
      </c>
      <c r="HD80" s="5" t="str">
        <f t="shared" ca="1" si="380"/>
        <v>VIGENTE</v>
      </c>
      <c r="HE80" s="6"/>
      <c r="HF80" s="4">
        <v>44956</v>
      </c>
      <c r="HG80" s="4">
        <f t="shared" si="373"/>
        <v>46782</v>
      </c>
      <c r="HH80" s="8">
        <f t="shared" ca="1" si="374"/>
        <v>637</v>
      </c>
      <c r="HI80" s="5" t="str">
        <f t="shared" ca="1" si="381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2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3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4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5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6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7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8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9"/>
        <v>VIGENTE</v>
      </c>
      <c r="JC80" s="3" t="s">
        <v>780</v>
      </c>
      <c r="JD80" s="3"/>
      <c r="JE80" s="4"/>
      <c r="JF80" s="8"/>
      <c r="JG80" s="5"/>
      <c r="JH80" s="3" t="s">
        <v>780</v>
      </c>
      <c r="JI80" s="6"/>
      <c r="JJ80" s="6"/>
      <c r="JK80" s="6"/>
      <c r="JL80" s="5"/>
      <c r="JM80" s="6" t="s">
        <v>780</v>
      </c>
      <c r="JN80" s="6"/>
      <c r="JO80" s="6"/>
      <c r="JP80" s="6"/>
      <c r="JQ80" s="5"/>
      <c r="JR80" s="6" t="s">
        <v>780</v>
      </c>
      <c r="JS80" s="6"/>
      <c r="JT80" s="6"/>
      <c r="JU80" s="6"/>
      <c r="JV80" s="5"/>
      <c r="JW80" s="6" t="s">
        <v>780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30"/>
        <v>NO APLICA</v>
      </c>
      <c r="KG80" s="5"/>
      <c r="KH80" s="2"/>
      <c r="KI80" s="4"/>
      <c r="KJ80" s="8"/>
      <c r="KK80" s="5" t="str">
        <f t="shared" si="356"/>
        <v>NO APLICA</v>
      </c>
      <c r="KL80" s="5"/>
      <c r="KM80" s="2"/>
      <c r="KN80" s="4"/>
      <c r="KO80" s="8"/>
      <c r="KP80" s="5" t="str">
        <f t="shared" si="331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7"/>
        <v>VIGENTE</v>
      </c>
      <c r="KV80" s="2"/>
      <c r="KW80" s="6"/>
      <c r="KX80" s="4"/>
      <c r="KY80" s="8"/>
      <c r="KZ80" s="5" t="str">
        <f t="shared" si="366"/>
        <v>NO APLICA</v>
      </c>
      <c r="LA80" s="5"/>
      <c r="LB80" s="6"/>
      <c r="LC80" s="4"/>
      <c r="LD80" s="8"/>
      <c r="LE80" s="5" t="str">
        <f t="shared" si="358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2"/>
        <v>VIGENTE</v>
      </c>
      <c r="LK80" s="5"/>
      <c r="LL80" s="5"/>
      <c r="LM80" s="4"/>
      <c r="LN80" s="8"/>
      <c r="LO80" s="5" t="str">
        <f t="shared" si="367"/>
        <v>NO APLICA</v>
      </c>
      <c r="LP80" s="2"/>
      <c r="LQ80" s="6"/>
      <c r="LR80" s="4"/>
      <c r="LS80" s="8"/>
      <c r="LT80" s="5" t="str">
        <f t="shared" si="359"/>
        <v>NO APLICA</v>
      </c>
      <c r="LU80" s="6"/>
      <c r="LV80" s="6"/>
      <c r="LW80" s="4"/>
      <c r="LX80" s="8"/>
      <c r="LY80" s="5" t="str">
        <f t="shared" si="360"/>
        <v>NO APLICA</v>
      </c>
      <c r="LZ80" s="6"/>
      <c r="MA80" s="6"/>
      <c r="MB80" s="4"/>
      <c r="MC80" s="8"/>
      <c r="MD80" s="5" t="str">
        <f t="shared" si="361"/>
        <v>NO APLICA</v>
      </c>
      <c r="ME80" s="2"/>
      <c r="MF80" s="2"/>
      <c r="MG80" s="4"/>
      <c r="MH80" s="8"/>
      <c r="MI80" s="5" t="str">
        <f t="shared" si="333"/>
        <v>NO APLICA</v>
      </c>
      <c r="MJ80" s="2"/>
      <c r="MK80" s="2"/>
      <c r="ML80" s="4"/>
      <c r="MM80" s="8"/>
      <c r="MN80" s="5" t="str">
        <f t="shared" si="334"/>
        <v>NO APLICA</v>
      </c>
      <c r="MO80" s="5"/>
      <c r="MP80" s="2"/>
      <c r="MQ80" s="4"/>
      <c r="MR80" s="8"/>
      <c r="MS80" s="5" t="str">
        <f t="shared" si="335"/>
        <v>NO APLICA</v>
      </c>
      <c r="MT80" s="5"/>
      <c r="MU80" s="2"/>
      <c r="MV80" s="4"/>
      <c r="MW80" s="2"/>
      <c r="MX80" s="5" t="str">
        <f t="shared" si="336"/>
        <v>NO APLICA</v>
      </c>
      <c r="MY80" s="2"/>
      <c r="MZ80" s="6"/>
      <c r="NA80" s="4"/>
      <c r="NB80" s="8"/>
      <c r="NC80" s="5" t="str">
        <f t="shared" si="337"/>
        <v>NO APLICA</v>
      </c>
      <c r="ND80" s="2"/>
      <c r="NE80" s="6"/>
      <c r="NF80" s="4"/>
      <c r="NG80" s="8"/>
      <c r="NH80" s="5" t="str">
        <f t="shared" si="338"/>
        <v>NO APLICA</v>
      </c>
      <c r="NI80" s="2"/>
      <c r="NJ80" s="6"/>
      <c r="NK80" s="4"/>
      <c r="NL80" s="8"/>
      <c r="NM80" s="5" t="str">
        <f t="shared" si="339"/>
        <v>NO APLICA</v>
      </c>
      <c r="NN80" s="2"/>
      <c r="NO80" s="2"/>
      <c r="NP80" s="4"/>
      <c r="NQ80" s="8"/>
      <c r="NR80" s="5" t="str">
        <f t="shared" si="340"/>
        <v>NO APLICA</v>
      </c>
      <c r="NS80" s="2"/>
      <c r="NT80" s="2"/>
      <c r="NU80" s="4"/>
      <c r="NV80" s="2"/>
      <c r="NW80" s="5" t="str">
        <f t="shared" si="341"/>
        <v>NO APLICA</v>
      </c>
      <c r="NX80" s="6"/>
      <c r="NY80" s="6"/>
      <c r="NZ80" s="4"/>
      <c r="OA80" s="8"/>
      <c r="OB80" s="5" t="str">
        <f t="shared" si="342"/>
        <v>NO APLICA</v>
      </c>
      <c r="OC80" s="6"/>
      <c r="OD80" s="6"/>
      <c r="OE80" s="6"/>
      <c r="OF80" s="6"/>
      <c r="OG80" s="5" t="str">
        <f t="shared" si="343"/>
        <v>NO APLICA</v>
      </c>
      <c r="OH80" s="2"/>
      <c r="OI80" s="2"/>
      <c r="OJ80" s="4"/>
      <c r="OK80" s="8"/>
      <c r="OL80" s="5" t="str">
        <f t="shared" si="344"/>
        <v>NO APLICA</v>
      </c>
      <c r="OM80" s="6"/>
      <c r="ON80" s="6"/>
      <c r="OO80" s="6"/>
      <c r="OP80" s="6"/>
      <c r="OQ80" s="5" t="str">
        <f t="shared" si="345"/>
        <v>NO APLICA</v>
      </c>
      <c r="OR80" s="6"/>
      <c r="OS80" s="6"/>
      <c r="OT80" s="6"/>
      <c r="OU80" s="6"/>
      <c r="OV80" s="5" t="str">
        <f t="shared" si="346"/>
        <v>NO APLICA</v>
      </c>
      <c r="OW80" s="6"/>
      <c r="OX80" s="6"/>
      <c r="OY80" s="6"/>
      <c r="OZ80" s="6"/>
      <c r="PA80" s="5" t="str">
        <f t="shared" si="347"/>
        <v>NO APLICA</v>
      </c>
      <c r="PB80" s="6"/>
      <c r="PC80" s="6"/>
      <c r="PD80" s="6"/>
      <c r="PE80" s="6"/>
      <c r="PF80" s="5" t="str">
        <f t="shared" si="348"/>
        <v>NO APLICA</v>
      </c>
      <c r="PG80" s="6"/>
      <c r="PH80" s="6"/>
      <c r="PI80" s="6"/>
      <c r="PJ80" s="6"/>
      <c r="PK80" s="5" t="str">
        <f t="shared" si="349"/>
        <v>NO APLICA</v>
      </c>
      <c r="PL80" s="5"/>
      <c r="PM80" s="6"/>
      <c r="PN80" s="4"/>
      <c r="PO80" s="8"/>
      <c r="PP80" s="5" t="str">
        <f t="shared" si="350"/>
        <v>NO APLICA</v>
      </c>
      <c r="PQ80" s="6"/>
      <c r="PR80" s="6"/>
      <c r="PS80" s="6"/>
      <c r="PT80" s="6"/>
      <c r="PU80" s="5" t="str">
        <f t="shared" si="351"/>
        <v>NO APLICA</v>
      </c>
      <c r="PV80" s="5"/>
      <c r="PW80" s="6"/>
      <c r="PX80" s="6"/>
      <c r="PY80" s="6"/>
      <c r="PZ80" s="5" t="str">
        <f t="shared" si="352"/>
        <v>NO APLICA</v>
      </c>
    </row>
    <row r="81" spans="1:442" ht="15.6" hidden="1" thickTop="1" thickBot="1" x14ac:dyDescent="0.35">
      <c r="A81" s="26">
        <v>78</v>
      </c>
      <c r="B81" s="31">
        <v>1270</v>
      </c>
      <c r="C81" s="28" t="s">
        <v>294</v>
      </c>
      <c r="D81" s="29" t="s">
        <v>68</v>
      </c>
      <c r="E81" s="30" t="s">
        <v>73</v>
      </c>
      <c r="F81" s="6"/>
      <c r="G81" s="6"/>
      <c r="H81" s="6"/>
      <c r="I81" s="8"/>
      <c r="J81" s="5" t="str">
        <f t="shared" si="242"/>
        <v>NO APLICA</v>
      </c>
      <c r="K81" s="6"/>
      <c r="L81" s="6"/>
      <c r="M81" s="6"/>
      <c r="N81" s="8"/>
      <c r="O81" s="5" t="str">
        <f t="shared" si="243"/>
        <v>NO APLICA</v>
      </c>
      <c r="P81" s="6"/>
      <c r="Q81" s="6"/>
      <c r="R81" s="4"/>
      <c r="S81" s="8"/>
      <c r="T81" s="5" t="str">
        <f t="shared" si="353"/>
        <v>NO APLICA</v>
      </c>
      <c r="U81" s="5"/>
      <c r="V81" s="2" t="s">
        <v>295</v>
      </c>
      <c r="W81" s="4">
        <v>45097</v>
      </c>
      <c r="X81" s="4">
        <f t="shared" si="244"/>
        <v>46924</v>
      </c>
      <c r="Y81" s="8">
        <f t="shared" ca="1" si="245"/>
        <v>779</v>
      </c>
      <c r="Z81" s="5" t="str">
        <f t="shared" ca="1" si="246"/>
        <v>VIGENTE</v>
      </c>
      <c r="AA81" s="5"/>
      <c r="AB81" s="2" t="s">
        <v>296</v>
      </c>
      <c r="AC81" s="4">
        <v>45113</v>
      </c>
      <c r="AD81" s="4">
        <f t="shared" si="376"/>
        <v>46940</v>
      </c>
      <c r="AE81" s="8">
        <f t="shared" ca="1" si="377"/>
        <v>795</v>
      </c>
      <c r="AF81" s="5" t="str">
        <f t="shared" ca="1" si="24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8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9"/>
        <v>332</v>
      </c>
      <c r="AP81" s="5" t="str">
        <f t="shared" ca="1" si="250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1"/>
        <v>360</v>
      </c>
      <c r="AU81" s="5" t="str">
        <f t="shared" ca="1" si="252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3"/>
        <v>304</v>
      </c>
      <c r="AZ81" s="5" t="str">
        <f t="shared" ca="1" si="254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5"/>
        <v>301</v>
      </c>
      <c r="BE81" s="5" t="str">
        <f t="shared" ca="1" si="256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7"/>
        <v>465</v>
      </c>
      <c r="BJ81" s="5" t="str">
        <f t="shared" ca="1" si="258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9"/>
        <v>343</v>
      </c>
      <c r="BO81" s="5" t="str">
        <f t="shared" ca="1" si="260"/>
        <v>VIGENTE</v>
      </c>
      <c r="BP81" s="4"/>
      <c r="BQ81" s="39">
        <v>45772</v>
      </c>
      <c r="BR81" s="4">
        <f>DATE(YEAR(BQ81)+2,MONTH(BQ81),DAY(BQ81))</f>
        <v>46502</v>
      </c>
      <c r="BS81" s="8">
        <f t="shared" ca="1" si="261"/>
        <v>357</v>
      </c>
      <c r="BT81" s="5" t="str">
        <f t="shared" ca="1" si="262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3"/>
        <v>361</v>
      </c>
      <c r="BY81" s="5" t="str">
        <f t="shared" ca="1" si="264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5"/>
        <v>355</v>
      </c>
      <c r="CD81" s="5" t="str">
        <f t="shared" ca="1" si="266"/>
        <v>VIGENTE</v>
      </c>
      <c r="CE81" s="6"/>
      <c r="CF81" s="4">
        <v>45301</v>
      </c>
      <c r="CG81" s="4">
        <f t="shared" si="267"/>
        <v>46762</v>
      </c>
      <c r="CH81" s="8">
        <f t="shared" ca="1" si="268"/>
        <v>617</v>
      </c>
      <c r="CI81" s="5" t="str">
        <f t="shared" ca="1" si="269"/>
        <v>VIGENTE</v>
      </c>
      <c r="CJ81" s="4"/>
      <c r="CK81" s="4">
        <v>45723</v>
      </c>
      <c r="CL81" s="4">
        <f t="shared" si="375"/>
        <v>46452</v>
      </c>
      <c r="CM81" s="8">
        <f t="shared" ca="1" si="270"/>
        <v>307</v>
      </c>
      <c r="CN81" s="5" t="str">
        <f t="shared" ca="1" si="271"/>
        <v>VIGENTE</v>
      </c>
      <c r="CO81" s="6"/>
      <c r="CP81" s="39">
        <v>45769</v>
      </c>
      <c r="CQ81" s="4">
        <f>DATE(YEAR(CP81)+2,MONTH(CP81),DAY(CP81))</f>
        <v>46499</v>
      </c>
      <c r="CR81" s="8">
        <f t="shared" ca="1" si="272"/>
        <v>354</v>
      </c>
      <c r="CS81" s="5" t="str">
        <f t="shared" ca="1" si="273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4"/>
        <v>311</v>
      </c>
      <c r="CX81" s="5" t="str">
        <f t="shared" ca="1" si="275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6"/>
        <v>370</v>
      </c>
      <c r="DC81" s="5" t="str">
        <f t="shared" ca="1" si="277"/>
        <v>VIGENTE</v>
      </c>
      <c r="DD81" s="4"/>
      <c r="DE81" s="39">
        <v>45761</v>
      </c>
      <c r="DF81" s="4">
        <f>DATE(YEAR(DE81)+2,MONTH(DE81),DAY(DE81))</f>
        <v>46491</v>
      </c>
      <c r="DG81" s="8">
        <f t="shared" ca="1" si="278"/>
        <v>346</v>
      </c>
      <c r="DH81" s="5" t="str">
        <f t="shared" ca="1" si="279"/>
        <v>VIGENTE</v>
      </c>
      <c r="DI81" s="6"/>
      <c r="DJ81" s="39">
        <v>45734</v>
      </c>
      <c r="DK81" s="4">
        <f>DATE(YEAR(DJ81)+2,MONTH(DJ81),DAY(DJ81)-1)</f>
        <v>46463</v>
      </c>
      <c r="DL81" s="8">
        <f t="shared" ca="1" si="280"/>
        <v>318</v>
      </c>
      <c r="DM81" s="5" t="str">
        <f t="shared" ca="1" si="281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2"/>
        <v>442</v>
      </c>
      <c r="DR81" s="5" t="str">
        <f t="shared" ca="1" si="283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4"/>
        <v>385</v>
      </c>
      <c r="DW81" s="5" t="str">
        <f t="shared" ca="1" si="285"/>
        <v>VIGENTE</v>
      </c>
      <c r="DX81" s="4"/>
      <c r="DY81" s="4">
        <v>45751</v>
      </c>
      <c r="DZ81" s="4">
        <f t="shared" si="354"/>
        <v>46480</v>
      </c>
      <c r="EA81" s="8">
        <f t="shared" ca="1" si="286"/>
        <v>335</v>
      </c>
      <c r="EB81" s="5" t="str">
        <f t="shared" ca="1" si="287"/>
        <v>VIGENTE</v>
      </c>
      <c r="EC81" s="4"/>
      <c r="ED81" s="39">
        <v>45829</v>
      </c>
      <c r="EE81" s="4">
        <f>DATE(YEAR(ED81)+2,MONTH(ED81),DAY(ED81))</f>
        <v>46559</v>
      </c>
      <c r="EF81" s="8">
        <f t="shared" ca="1" si="288"/>
        <v>414</v>
      </c>
      <c r="EG81" s="5" t="str">
        <f t="shared" ca="1" si="289"/>
        <v>VIGENTE</v>
      </c>
      <c r="EH81" s="3"/>
      <c r="EI81" s="3">
        <v>46085</v>
      </c>
      <c r="EJ81" s="4">
        <f t="shared" si="355"/>
        <v>46450</v>
      </c>
      <c r="EK81" s="8">
        <f t="shared" ca="1" si="290"/>
        <v>305</v>
      </c>
      <c r="EL81" s="5" t="str">
        <f t="shared" ca="1" si="291"/>
        <v>VIGENTE</v>
      </c>
      <c r="EM81" s="4"/>
      <c r="EN81" s="4">
        <v>45737</v>
      </c>
      <c r="EO81" s="4">
        <f t="shared" si="371"/>
        <v>46466</v>
      </c>
      <c r="EP81" s="8">
        <f t="shared" ca="1" si="292"/>
        <v>321</v>
      </c>
      <c r="EQ81" s="5" t="str">
        <f t="shared" ca="1" si="293"/>
        <v>VIGENTE</v>
      </c>
      <c r="ER81" s="4"/>
      <c r="ES81" s="39">
        <v>45749</v>
      </c>
      <c r="ET81" s="4">
        <f>DATE(YEAR(ES81)+2,MONTH(ES81),DAY(ES81)-1)</f>
        <v>46478</v>
      </c>
      <c r="EU81" s="8">
        <f t="shared" ca="1" si="294"/>
        <v>333</v>
      </c>
      <c r="EV81" s="5" t="str">
        <f t="shared" ca="1" si="295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6"/>
        <v>502</v>
      </c>
      <c r="FA81" s="5" t="str">
        <f t="shared" ca="1" si="297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8"/>
        <v>507</v>
      </c>
      <c r="FF81" s="5" t="str">
        <f t="shared" ca="1" si="299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0"/>
        <v>375</v>
      </c>
      <c r="FK81" s="5" t="str">
        <f t="shared" ca="1" si="301"/>
        <v>VIGENTE</v>
      </c>
      <c r="FL81" s="4"/>
      <c r="FM81" s="39">
        <v>45850</v>
      </c>
      <c r="FN81" s="4">
        <f>DATE(YEAR(FM81)+2,MONTH(FM81),DAY(FM81))</f>
        <v>46580</v>
      </c>
      <c r="FO81" s="8">
        <f t="shared" ca="1" si="302"/>
        <v>435</v>
      </c>
      <c r="FP81" s="5" t="str">
        <f t="shared" ca="1" si="303"/>
        <v>VIGENTE</v>
      </c>
      <c r="FQ81" s="4"/>
      <c r="FR81" s="39">
        <v>45846</v>
      </c>
      <c r="FS81" s="4">
        <f>DATE(YEAR(FR81)+2,MONTH(FR81),DAY(FR81))</f>
        <v>46576</v>
      </c>
      <c r="FT81" s="8">
        <f t="shared" ca="1" si="304"/>
        <v>431</v>
      </c>
      <c r="FU81" s="5" t="str">
        <f t="shared" ca="1" si="305"/>
        <v>VIGENTE</v>
      </c>
      <c r="FV81" s="4"/>
      <c r="FW81" s="4">
        <v>45758</v>
      </c>
      <c r="FX81" s="4">
        <f t="shared" si="383"/>
        <v>46487</v>
      </c>
      <c r="FY81" s="8">
        <f t="shared" ca="1" si="306"/>
        <v>342</v>
      </c>
      <c r="FZ81" s="5" t="str">
        <f t="shared" ca="1" si="307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8"/>
        <v>341</v>
      </c>
      <c r="GE81" s="5" t="str">
        <f t="shared" ca="1" si="309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0"/>
        <v>434</v>
      </c>
      <c r="GJ81" s="5" t="str">
        <f t="shared" ca="1" si="311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2"/>
        <v>433</v>
      </c>
      <c r="GO81" s="5" t="str">
        <f t="shared" ca="1" si="313"/>
        <v>VIGENTE</v>
      </c>
      <c r="GP81" s="4"/>
      <c r="GQ81" s="4">
        <v>45159</v>
      </c>
      <c r="GR81" s="4">
        <f t="shared" si="314"/>
        <v>46986</v>
      </c>
      <c r="GS81" s="8">
        <f t="shared" ca="1" si="384"/>
        <v>841</v>
      </c>
      <c r="GT81" s="5" t="str">
        <f t="shared" ca="1" si="378"/>
        <v>VIGENTE</v>
      </c>
      <c r="GU81" s="4"/>
      <c r="GV81" s="4">
        <v>45117</v>
      </c>
      <c r="GW81" s="4">
        <f t="shared" si="316"/>
        <v>46944</v>
      </c>
      <c r="GX81" s="8">
        <f t="shared" ca="1" si="317"/>
        <v>799</v>
      </c>
      <c r="GY81" s="5" t="str">
        <f t="shared" ca="1" si="379"/>
        <v>VIGENTE</v>
      </c>
      <c r="GZ81" s="6"/>
      <c r="HA81" s="4">
        <v>45160</v>
      </c>
      <c r="HB81" s="4">
        <f t="shared" si="319"/>
        <v>46987</v>
      </c>
      <c r="HC81" s="8">
        <f t="shared" ca="1" si="320"/>
        <v>842</v>
      </c>
      <c r="HD81" s="5" t="str">
        <f t="shared" ca="1" si="380"/>
        <v>VIGENTE</v>
      </c>
      <c r="HE81" s="6"/>
      <c r="HF81" s="4">
        <v>45222</v>
      </c>
      <c r="HG81" s="4">
        <f t="shared" si="373"/>
        <v>47049</v>
      </c>
      <c r="HH81" s="8">
        <f t="shared" ca="1" si="374"/>
        <v>904</v>
      </c>
      <c r="HI81" s="5" t="str">
        <f t="shared" ca="1" si="38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2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3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4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5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6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7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8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9"/>
        <v>VIGENTE</v>
      </c>
      <c r="JC81" s="3" t="s">
        <v>780</v>
      </c>
      <c r="JD81" s="3"/>
      <c r="JE81" s="4"/>
      <c r="JF81" s="8"/>
      <c r="JG81" s="5"/>
      <c r="JH81" s="3" t="s">
        <v>780</v>
      </c>
      <c r="JI81" s="6"/>
      <c r="JJ81" s="6"/>
      <c r="JK81" s="6"/>
      <c r="JL81" s="5"/>
      <c r="JM81" s="6" t="s">
        <v>780</v>
      </c>
      <c r="JN81" s="6"/>
      <c r="JO81" s="6"/>
      <c r="JP81" s="6"/>
      <c r="JQ81" s="5"/>
      <c r="JR81" s="6" t="s">
        <v>780</v>
      </c>
      <c r="JS81" s="6"/>
      <c r="JT81" s="6"/>
      <c r="JU81" s="6"/>
      <c r="JV81" s="5"/>
      <c r="JW81" s="6" t="s">
        <v>780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30"/>
        <v>NO APLICA</v>
      </c>
      <c r="KG81" s="5"/>
      <c r="KH81" s="2"/>
      <c r="KI81" s="4"/>
      <c r="KJ81" s="8"/>
      <c r="KK81" s="5" t="str">
        <f t="shared" si="356"/>
        <v>NO APLICA</v>
      </c>
      <c r="KL81" s="5"/>
      <c r="KM81" s="2"/>
      <c r="KN81" s="4"/>
      <c r="KO81" s="8"/>
      <c r="KP81" s="5" t="str">
        <f t="shared" si="331"/>
        <v>NO APLICA</v>
      </c>
      <c r="KQ81" s="5"/>
      <c r="KR81" s="2"/>
      <c r="KS81" s="4"/>
      <c r="KT81" s="8"/>
      <c r="KU81" s="5" t="str">
        <f t="shared" si="357"/>
        <v>NO APLICA</v>
      </c>
      <c r="KV81" s="6"/>
      <c r="KW81" s="6"/>
      <c r="KX81" s="4"/>
      <c r="KY81" s="8"/>
      <c r="KZ81" s="5" t="str">
        <f t="shared" si="366"/>
        <v>NO APLICA</v>
      </c>
      <c r="LA81" s="5"/>
      <c r="LB81" s="6"/>
      <c r="LC81" s="4"/>
      <c r="LD81" s="8"/>
      <c r="LE81" s="5" t="str">
        <f t="shared" si="358"/>
        <v>NO APLICA</v>
      </c>
      <c r="LF81" s="6"/>
      <c r="LG81" s="6"/>
      <c r="LH81" s="4"/>
      <c r="LI81" s="8"/>
      <c r="LJ81" s="5" t="str">
        <f t="shared" si="332"/>
        <v>NO APLICA</v>
      </c>
      <c r="LK81" s="5"/>
      <c r="LL81" s="5"/>
      <c r="LM81" s="4"/>
      <c r="LN81" s="8"/>
      <c r="LO81" s="5" t="str">
        <f t="shared" si="367"/>
        <v>NO APLICA</v>
      </c>
      <c r="LP81" s="6"/>
      <c r="LQ81" s="6"/>
      <c r="LR81" s="4"/>
      <c r="LS81" s="8"/>
      <c r="LT81" s="5" t="str">
        <f t="shared" si="359"/>
        <v>NO APLICA</v>
      </c>
      <c r="LU81" s="6"/>
      <c r="LV81" s="6"/>
      <c r="LW81" s="4"/>
      <c r="LX81" s="8"/>
      <c r="LY81" s="5" t="str">
        <f t="shared" si="360"/>
        <v>NO APLICA</v>
      </c>
      <c r="LZ81" s="6"/>
      <c r="MA81" s="6"/>
      <c r="MB81" s="4"/>
      <c r="MC81" s="8"/>
      <c r="MD81" s="5" t="str">
        <f t="shared" si="361"/>
        <v>NO APLICA</v>
      </c>
      <c r="ME81" s="2"/>
      <c r="MF81" s="2"/>
      <c r="MG81" s="4"/>
      <c r="MH81" s="8"/>
      <c r="MI81" s="5" t="str">
        <f t="shared" si="333"/>
        <v>NO APLICA</v>
      </c>
      <c r="MJ81" s="2"/>
      <c r="MK81" s="2"/>
      <c r="ML81" s="4"/>
      <c r="MM81" s="8"/>
      <c r="MN81" s="5" t="str">
        <f t="shared" si="334"/>
        <v>NO APLICA</v>
      </c>
      <c r="MO81" s="5"/>
      <c r="MP81" s="2"/>
      <c r="MQ81" s="4"/>
      <c r="MR81" s="8"/>
      <c r="MS81" s="5" t="str">
        <f t="shared" si="335"/>
        <v>NO APLICA</v>
      </c>
      <c r="MT81" s="5"/>
      <c r="MU81" s="2"/>
      <c r="MV81" s="4"/>
      <c r="MW81" s="2"/>
      <c r="MX81" s="5" t="str">
        <f t="shared" si="336"/>
        <v>NO APLICA</v>
      </c>
      <c r="MY81" s="6"/>
      <c r="MZ81" s="6"/>
      <c r="NA81" s="4"/>
      <c r="NB81" s="8"/>
      <c r="NC81" s="5" t="str">
        <f t="shared" si="337"/>
        <v>NO APLICA</v>
      </c>
      <c r="ND81" s="6"/>
      <c r="NE81" s="6"/>
      <c r="NF81" s="4"/>
      <c r="NG81" s="8"/>
      <c r="NH81" s="5" t="str">
        <f t="shared" si="338"/>
        <v>NO APLICA</v>
      </c>
      <c r="NI81" s="6"/>
      <c r="NJ81" s="6"/>
      <c r="NK81" s="4"/>
      <c r="NL81" s="8"/>
      <c r="NM81" s="5" t="str">
        <f t="shared" si="339"/>
        <v>NO APLICA</v>
      </c>
      <c r="NN81" s="2"/>
      <c r="NO81" s="2"/>
      <c r="NP81" s="4"/>
      <c r="NQ81" s="8"/>
      <c r="NR81" s="5" t="str">
        <f t="shared" si="340"/>
        <v>NO APLICA</v>
      </c>
      <c r="NS81" s="2"/>
      <c r="NT81" s="2"/>
      <c r="NU81" s="4"/>
      <c r="NV81" s="2"/>
      <c r="NW81" s="5" t="str">
        <f t="shared" si="341"/>
        <v>NO APLICA</v>
      </c>
      <c r="NX81" s="6"/>
      <c r="NY81" s="6"/>
      <c r="NZ81" s="4"/>
      <c r="OA81" s="8"/>
      <c r="OB81" s="5" t="str">
        <f t="shared" si="342"/>
        <v>NO APLICA</v>
      </c>
      <c r="OC81" s="6"/>
      <c r="OD81" s="6"/>
      <c r="OE81" s="6"/>
      <c r="OF81" s="6"/>
      <c r="OG81" s="5" t="str">
        <f t="shared" si="343"/>
        <v>NO APLICA</v>
      </c>
      <c r="OH81" s="2"/>
      <c r="OI81" s="2"/>
      <c r="OJ81" s="4"/>
      <c r="OK81" s="8"/>
      <c r="OL81" s="5" t="str">
        <f t="shared" si="344"/>
        <v>NO APLICA</v>
      </c>
      <c r="OM81" s="6"/>
      <c r="ON81" s="6"/>
      <c r="OO81" s="6"/>
      <c r="OP81" s="6"/>
      <c r="OQ81" s="5" t="str">
        <f t="shared" si="345"/>
        <v>NO APLICA</v>
      </c>
      <c r="OR81" s="6"/>
      <c r="OS81" s="6"/>
      <c r="OT81" s="6"/>
      <c r="OU81" s="6"/>
      <c r="OV81" s="5" t="str">
        <f t="shared" si="346"/>
        <v>NO APLICA</v>
      </c>
      <c r="OW81" s="6"/>
      <c r="OX81" s="6"/>
      <c r="OY81" s="6"/>
      <c r="OZ81" s="6"/>
      <c r="PA81" s="5" t="str">
        <f t="shared" si="347"/>
        <v>NO APLICA</v>
      </c>
      <c r="PB81" s="6"/>
      <c r="PC81" s="6"/>
      <c r="PD81" s="6"/>
      <c r="PE81" s="6"/>
      <c r="PF81" s="5" t="str">
        <f t="shared" si="348"/>
        <v>NO APLICA</v>
      </c>
      <c r="PG81" s="6"/>
      <c r="PH81" s="6"/>
      <c r="PI81" s="6"/>
      <c r="PJ81" s="6"/>
      <c r="PK81" s="5" t="str">
        <f t="shared" si="349"/>
        <v>NO APLICA</v>
      </c>
      <c r="PL81" s="5"/>
      <c r="PM81" s="6"/>
      <c r="PN81" s="4"/>
      <c r="PO81" s="8"/>
      <c r="PP81" s="5" t="str">
        <f t="shared" si="350"/>
        <v>NO APLICA</v>
      </c>
      <c r="PQ81" s="6"/>
      <c r="PR81" s="6"/>
      <c r="PS81" s="6"/>
      <c r="PT81" s="6"/>
      <c r="PU81" s="5" t="str">
        <f t="shared" si="351"/>
        <v>NO APLICA</v>
      </c>
      <c r="PV81" s="5"/>
      <c r="PW81" s="6"/>
      <c r="PX81" s="6"/>
      <c r="PY81" s="6"/>
      <c r="PZ81" s="5" t="str">
        <f t="shared" si="352"/>
        <v>NO APLICA</v>
      </c>
    </row>
    <row r="82" spans="1:442" ht="15.6" hidden="1" thickTop="1" thickBot="1" x14ac:dyDescent="0.35">
      <c r="A82" s="26">
        <v>79</v>
      </c>
      <c r="B82" s="31">
        <v>1694</v>
      </c>
      <c r="C82" s="28" t="s">
        <v>297</v>
      </c>
      <c r="D82" s="29" t="s">
        <v>68</v>
      </c>
      <c r="E82" s="30" t="s">
        <v>73</v>
      </c>
      <c r="F82" s="5"/>
      <c r="G82" s="6"/>
      <c r="H82" s="4"/>
      <c r="I82" s="8"/>
      <c r="J82" s="5" t="str">
        <f t="shared" si="242"/>
        <v>NO APLICA</v>
      </c>
      <c r="K82" s="2"/>
      <c r="L82" s="6"/>
      <c r="M82" s="6"/>
      <c r="N82" s="8"/>
      <c r="O82" s="5" t="str">
        <f t="shared" si="243"/>
        <v>NO APLICA</v>
      </c>
      <c r="P82" s="6"/>
      <c r="Q82" s="6"/>
      <c r="R82" s="4"/>
      <c r="S82" s="8"/>
      <c r="T82" s="5" t="str">
        <f t="shared" si="353"/>
        <v>NO APLICA</v>
      </c>
      <c r="U82" s="5"/>
      <c r="V82" s="3" t="s">
        <v>298</v>
      </c>
      <c r="W82" s="4">
        <v>45156</v>
      </c>
      <c r="X82" s="4">
        <f t="shared" si="244"/>
        <v>46983</v>
      </c>
      <c r="Y82" s="8">
        <f t="shared" ca="1" si="245"/>
        <v>838</v>
      </c>
      <c r="Z82" s="5" t="str">
        <f t="shared" ca="1" si="246"/>
        <v>VIGENTE</v>
      </c>
      <c r="AA82" s="5"/>
      <c r="AB82" s="2" t="s">
        <v>299</v>
      </c>
      <c r="AC82" s="4">
        <v>45162</v>
      </c>
      <c r="AD82" s="4">
        <f t="shared" si="376"/>
        <v>46989</v>
      </c>
      <c r="AE82" s="8">
        <f t="shared" ca="1" si="377"/>
        <v>844</v>
      </c>
      <c r="AF82" s="5" t="str">
        <f t="shared" ca="1" si="24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8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9"/>
        <v>488</v>
      </c>
      <c r="AP82" s="5" t="str">
        <f t="shared" ca="1" si="250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1"/>
        <v>405</v>
      </c>
      <c r="AU82" s="5" t="str">
        <f t="shared" ca="1" si="252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3"/>
        <v>537</v>
      </c>
      <c r="AZ82" s="5" t="str">
        <f t="shared" ca="1" si="254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5"/>
        <v>440</v>
      </c>
      <c r="BE82" s="5" t="str">
        <f t="shared" ca="1" si="256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7"/>
        <v>553</v>
      </c>
      <c r="BJ82" s="5" t="str">
        <f t="shared" ca="1" si="258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9"/>
        <v>561</v>
      </c>
      <c r="BO82" s="5" t="str">
        <f t="shared" ca="1" si="260"/>
        <v>VIGENTE</v>
      </c>
      <c r="BP82" s="3"/>
      <c r="BQ82" s="39">
        <v>45981</v>
      </c>
      <c r="BR82" s="4">
        <f>DATE(YEAR(BQ82)+2,MONTH(BQ82),DAY(BQ82))</f>
        <v>46711</v>
      </c>
      <c r="BS82" s="8">
        <f t="shared" ca="1" si="261"/>
        <v>566</v>
      </c>
      <c r="BT82" s="5" t="str">
        <f t="shared" ca="1" si="262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3"/>
        <v>535</v>
      </c>
      <c r="BY82" s="5" t="str">
        <f t="shared" ca="1" si="264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5"/>
        <v>529</v>
      </c>
      <c r="CD82" s="5" t="str">
        <f t="shared" ca="1" si="266"/>
        <v>VIGENTE</v>
      </c>
      <c r="CE82" s="6"/>
      <c r="CF82" s="4">
        <v>45164</v>
      </c>
      <c r="CG82" s="4">
        <f t="shared" si="267"/>
        <v>46625</v>
      </c>
      <c r="CH82" s="8">
        <f t="shared" ca="1" si="268"/>
        <v>480</v>
      </c>
      <c r="CI82" s="5" t="str">
        <f t="shared" ca="1" si="269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0"/>
        <v>480</v>
      </c>
      <c r="CN82" s="5" t="str">
        <f t="shared" ca="1" si="271"/>
        <v>VIGENTE</v>
      </c>
      <c r="CO82" s="4"/>
      <c r="CP82" s="39">
        <v>45979</v>
      </c>
      <c r="CQ82" s="4">
        <f>DATE(YEAR(CP82)+2,MONTH(CP82),DAY(CP82))</f>
        <v>46709</v>
      </c>
      <c r="CR82" s="8">
        <f t="shared" ca="1" si="272"/>
        <v>564</v>
      </c>
      <c r="CS82" s="5" t="str">
        <f t="shared" ca="1" si="273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4"/>
        <v>524</v>
      </c>
      <c r="CX82" s="5" t="str">
        <f t="shared" ca="1" si="275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6"/>
        <v>463</v>
      </c>
      <c r="DC82" s="5" t="str">
        <f t="shared" ca="1" si="277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8"/>
        <v>651</v>
      </c>
      <c r="DH82" s="5" t="str">
        <f t="shared" ca="1" si="279"/>
        <v>VIGENTE</v>
      </c>
      <c r="DI82" s="3"/>
      <c r="DJ82" s="39">
        <v>45779</v>
      </c>
      <c r="DK82" s="4">
        <f>DATE(YEAR(DJ82)+2,MONTH(DJ82),DAY(DJ82))</f>
        <v>46509</v>
      </c>
      <c r="DL82" s="8">
        <f t="shared" ca="1" si="280"/>
        <v>364</v>
      </c>
      <c r="DM82" s="5" t="str">
        <f t="shared" ca="1" si="281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2"/>
        <v>458</v>
      </c>
      <c r="DR82" s="5" t="str">
        <f t="shared" ca="1" si="283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4"/>
        <v>603</v>
      </c>
      <c r="DW82" s="5" t="str">
        <f t="shared" ca="1" si="285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6"/>
        <v>617</v>
      </c>
      <c r="EB82" s="5" t="str">
        <f t="shared" ca="1" si="287"/>
        <v>VIGENTE</v>
      </c>
      <c r="EC82" s="3"/>
      <c r="ED82" s="39">
        <v>45829</v>
      </c>
      <c r="EE82" s="4">
        <f>DATE(YEAR(ED82)+2,MONTH(ED82),DAY(ED82))</f>
        <v>46559</v>
      </c>
      <c r="EF82" s="8">
        <f t="shared" ca="1" si="288"/>
        <v>414</v>
      </c>
      <c r="EG82" s="5" t="str">
        <f t="shared" ca="1" si="289"/>
        <v>VIGENTE</v>
      </c>
      <c r="EH82" s="3"/>
      <c r="EI82" s="3">
        <v>46015</v>
      </c>
      <c r="EJ82" s="4">
        <f t="shared" si="355"/>
        <v>46380</v>
      </c>
      <c r="EK82" s="8">
        <f t="shared" ca="1" si="290"/>
        <v>235</v>
      </c>
      <c r="EL82" s="5" t="str">
        <f t="shared" ca="1" si="291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2"/>
        <v>551</v>
      </c>
      <c r="EQ82" s="5" t="str">
        <f t="shared" ca="1" si="293"/>
        <v>VIGENTE</v>
      </c>
      <c r="ER82" s="3"/>
      <c r="ES82" s="39">
        <v>45824</v>
      </c>
      <c r="ET82" s="4">
        <f>DATE(YEAR(ES82)+2,MONTH(ES82),DAY(ES82))</f>
        <v>46554</v>
      </c>
      <c r="EU82" s="8">
        <f t="shared" ca="1" si="294"/>
        <v>409</v>
      </c>
      <c r="EV82" s="5" t="str">
        <f t="shared" ca="1" si="295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6"/>
        <v>538</v>
      </c>
      <c r="FA82" s="5" t="str">
        <f t="shared" ca="1" si="297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8"/>
        <v>507</v>
      </c>
      <c r="FF82" s="5" t="str">
        <f t="shared" ca="1" si="299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0"/>
        <v>517</v>
      </c>
      <c r="FK82" s="5" t="str">
        <f t="shared" ca="1" si="301"/>
        <v>VIGENTE</v>
      </c>
      <c r="FL82" s="3"/>
      <c r="FM82" s="39">
        <v>45850</v>
      </c>
      <c r="FN82" s="4">
        <f>DATE(YEAR(FM82)+2,MONTH(FM82),DAY(FM82))</f>
        <v>46580</v>
      </c>
      <c r="FO82" s="8">
        <f t="shared" ca="1" si="302"/>
        <v>435</v>
      </c>
      <c r="FP82" s="5" t="str">
        <f t="shared" ca="1" si="303"/>
        <v>VIGENTE</v>
      </c>
      <c r="FQ82" s="3"/>
      <c r="FR82" s="39">
        <v>45846</v>
      </c>
      <c r="FS82" s="4">
        <f>DATE(YEAR(FR82)+2,MONTH(FR82),DAY(FR82))</f>
        <v>46576</v>
      </c>
      <c r="FT82" s="8">
        <f t="shared" ca="1" si="304"/>
        <v>431</v>
      </c>
      <c r="FU82" s="5" t="str">
        <f t="shared" ca="1" si="305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6"/>
        <v>546</v>
      </c>
      <c r="FZ82" s="5" t="str">
        <f t="shared" ca="1" si="307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8"/>
        <v>510</v>
      </c>
      <c r="GE82" s="5" t="str">
        <f t="shared" ca="1" si="309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0"/>
        <v>497</v>
      </c>
      <c r="GJ82" s="5" t="str">
        <f t="shared" ca="1" si="311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2"/>
        <v>433</v>
      </c>
      <c r="GO82" s="5" t="str">
        <f t="shared" ca="1" si="313"/>
        <v>VIGENTE</v>
      </c>
      <c r="GP82" s="4"/>
      <c r="GQ82" s="4">
        <v>45181</v>
      </c>
      <c r="GR82" s="4">
        <f t="shared" si="314"/>
        <v>47008</v>
      </c>
      <c r="GS82" s="8">
        <f t="shared" ca="1" si="384"/>
        <v>863</v>
      </c>
      <c r="GT82" s="5" t="str">
        <f t="shared" ca="1" si="378"/>
        <v>VIGENTE</v>
      </c>
      <c r="GU82" s="3"/>
      <c r="GV82" s="4">
        <v>45245</v>
      </c>
      <c r="GW82" s="4">
        <f t="shared" si="316"/>
        <v>47072</v>
      </c>
      <c r="GX82" s="8">
        <f t="shared" ca="1" si="317"/>
        <v>927</v>
      </c>
      <c r="GY82" s="5" t="str">
        <f t="shared" ca="1" si="379"/>
        <v>VIGENTE</v>
      </c>
      <c r="GZ82" s="2"/>
      <c r="HA82" s="4">
        <v>45251</v>
      </c>
      <c r="HB82" s="4">
        <f t="shared" si="319"/>
        <v>47078</v>
      </c>
      <c r="HC82" s="8">
        <f t="shared" ca="1" si="320"/>
        <v>933</v>
      </c>
      <c r="HD82" s="5" t="str">
        <f t="shared" ca="1" si="380"/>
        <v>VIGENTE</v>
      </c>
      <c r="HE82" s="6"/>
      <c r="HF82" s="4">
        <v>45317</v>
      </c>
      <c r="HG82" s="4">
        <f t="shared" si="373"/>
        <v>47144</v>
      </c>
      <c r="HH82" s="8">
        <f t="shared" ca="1" si="374"/>
        <v>999</v>
      </c>
      <c r="HI82" s="5" t="str">
        <f t="shared" ca="1" si="381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2"/>
        <v>NO APLICA</v>
      </c>
      <c r="HT82" s="2"/>
      <c r="HU82" s="6"/>
      <c r="HV82" s="4"/>
      <c r="HW82" s="8"/>
      <c r="HX82" s="5" t="str">
        <f t="shared" si="323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4"/>
        <v>VIGENTE</v>
      </c>
      <c r="ID82" s="2"/>
      <c r="IE82" s="4"/>
      <c r="IF82" s="4"/>
      <c r="IG82" s="8"/>
      <c r="IH82" s="5" t="str">
        <f t="shared" si="325"/>
        <v>NO APLICA</v>
      </c>
      <c r="II82" s="6"/>
      <c r="IJ82" s="6"/>
      <c r="IK82" s="4"/>
      <c r="IL82" s="8"/>
      <c r="IM82" s="5" t="str">
        <f t="shared" si="326"/>
        <v>NO APLICA</v>
      </c>
      <c r="IN82" s="2"/>
      <c r="IO82" s="6"/>
      <c r="IP82" s="4"/>
      <c r="IQ82" s="8"/>
      <c r="IR82" s="5" t="str">
        <f t="shared" si="327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8"/>
        <v>VIGENTE</v>
      </c>
      <c r="IX82" s="2"/>
      <c r="IY82" s="6"/>
      <c r="IZ82" s="4"/>
      <c r="JA82" s="8"/>
      <c r="JB82" s="5" t="str">
        <f t="shared" si="329"/>
        <v>NO APLICA</v>
      </c>
      <c r="JC82" s="3" t="s">
        <v>780</v>
      </c>
      <c r="JD82" s="3"/>
      <c r="JE82" s="4"/>
      <c r="JF82" s="8"/>
      <c r="JG82" s="5"/>
      <c r="JH82" s="3" t="s">
        <v>780</v>
      </c>
      <c r="JI82" s="6"/>
      <c r="JJ82" s="6"/>
      <c r="JK82" s="6"/>
      <c r="JL82" s="5"/>
      <c r="JM82" s="6" t="s">
        <v>780</v>
      </c>
      <c r="JN82" s="6"/>
      <c r="JO82" s="6"/>
      <c r="JP82" s="6"/>
      <c r="JQ82" s="5"/>
      <c r="JR82" s="6" t="s">
        <v>780</v>
      </c>
      <c r="JS82" s="6"/>
      <c r="JT82" s="6"/>
      <c r="JU82" s="6"/>
      <c r="JV82" s="5"/>
      <c r="JW82" s="6" t="s">
        <v>780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30"/>
        <v>NO APLICA</v>
      </c>
      <c r="KG82" s="5"/>
      <c r="KH82" s="2"/>
      <c r="KI82" s="4"/>
      <c r="KJ82" s="8"/>
      <c r="KK82" s="5" t="str">
        <f t="shared" si="356"/>
        <v>NO APLICA</v>
      </c>
      <c r="KL82" s="5"/>
      <c r="KM82" s="2"/>
      <c r="KN82" s="4"/>
      <c r="KO82" s="8"/>
      <c r="KP82" s="5" t="str">
        <f t="shared" si="331"/>
        <v>NO APLICA</v>
      </c>
      <c r="KQ82" s="5"/>
      <c r="KR82" s="2"/>
      <c r="KS82" s="4"/>
      <c r="KT82" s="8"/>
      <c r="KU82" s="5" t="str">
        <f t="shared" si="357"/>
        <v>NO APLICA</v>
      </c>
      <c r="KV82" s="2"/>
      <c r="KW82" s="6"/>
      <c r="KX82" s="4"/>
      <c r="KY82" s="8"/>
      <c r="KZ82" s="5" t="str">
        <f t="shared" si="366"/>
        <v>NO APLICA</v>
      </c>
      <c r="LA82" s="5"/>
      <c r="LB82" s="6"/>
      <c r="LC82" s="4"/>
      <c r="LD82" s="8"/>
      <c r="LE82" s="5" t="str">
        <f t="shared" si="358"/>
        <v>NO APLICA</v>
      </c>
      <c r="LF82" s="6"/>
      <c r="LG82" s="6"/>
      <c r="LH82" s="4"/>
      <c r="LI82" s="8"/>
      <c r="LJ82" s="5" t="str">
        <f t="shared" si="332"/>
        <v>NO APLICA</v>
      </c>
      <c r="LK82" s="5"/>
      <c r="LL82" s="5"/>
      <c r="LM82" s="4"/>
      <c r="LN82" s="8"/>
      <c r="LO82" s="5" t="str">
        <f t="shared" si="367"/>
        <v>NO APLICA</v>
      </c>
      <c r="LP82" s="2"/>
      <c r="LQ82" s="6"/>
      <c r="LR82" s="4"/>
      <c r="LS82" s="8"/>
      <c r="LT82" s="5" t="str">
        <f t="shared" si="359"/>
        <v>NO APLICA</v>
      </c>
      <c r="LU82" s="6"/>
      <c r="LV82" s="6"/>
      <c r="LW82" s="4"/>
      <c r="LX82" s="8"/>
      <c r="LY82" s="5" t="str">
        <f t="shared" si="360"/>
        <v>NO APLICA</v>
      </c>
      <c r="LZ82" s="6"/>
      <c r="MA82" s="6"/>
      <c r="MB82" s="4"/>
      <c r="MC82" s="8"/>
      <c r="MD82" s="5" t="str">
        <f t="shared" si="361"/>
        <v>NO APLICA</v>
      </c>
      <c r="ME82" s="2"/>
      <c r="MF82" s="2"/>
      <c r="MG82" s="4"/>
      <c r="MH82" s="8"/>
      <c r="MI82" s="5" t="str">
        <f t="shared" si="333"/>
        <v>NO APLICA</v>
      </c>
      <c r="MJ82" s="2"/>
      <c r="MK82" s="2"/>
      <c r="ML82" s="4"/>
      <c r="MM82" s="8"/>
      <c r="MN82" s="5" t="str">
        <f t="shared" si="334"/>
        <v>NO APLICA</v>
      </c>
      <c r="MO82" s="5"/>
      <c r="MP82" s="2"/>
      <c r="MQ82" s="4"/>
      <c r="MR82" s="8"/>
      <c r="MS82" s="5" t="str">
        <f t="shared" si="335"/>
        <v>NO APLICA</v>
      </c>
      <c r="MT82" s="5"/>
      <c r="MU82" s="2"/>
      <c r="MV82" s="4"/>
      <c r="MW82" s="2"/>
      <c r="MX82" s="5" t="str">
        <f t="shared" si="336"/>
        <v>NO APLICA</v>
      </c>
      <c r="MY82" s="2"/>
      <c r="MZ82" s="6"/>
      <c r="NA82" s="4"/>
      <c r="NB82" s="8"/>
      <c r="NC82" s="5" t="str">
        <f t="shared" si="337"/>
        <v>NO APLICA</v>
      </c>
      <c r="ND82" s="2"/>
      <c r="NE82" s="6"/>
      <c r="NF82" s="4"/>
      <c r="NG82" s="8"/>
      <c r="NH82" s="5" t="str">
        <f t="shared" si="338"/>
        <v>NO APLICA</v>
      </c>
      <c r="NI82" s="2"/>
      <c r="NJ82" s="6"/>
      <c r="NK82" s="4"/>
      <c r="NL82" s="8"/>
      <c r="NM82" s="5" t="str">
        <f t="shared" si="339"/>
        <v>NO APLICA</v>
      </c>
      <c r="NN82" s="2"/>
      <c r="NO82" s="2"/>
      <c r="NP82" s="4"/>
      <c r="NQ82" s="8"/>
      <c r="NR82" s="5" t="str">
        <f t="shared" si="340"/>
        <v>NO APLICA</v>
      </c>
      <c r="NS82" s="2"/>
      <c r="NT82" s="2"/>
      <c r="NU82" s="4"/>
      <c r="NV82" s="2"/>
      <c r="NW82" s="5" t="str">
        <f t="shared" si="341"/>
        <v>NO APLICA</v>
      </c>
      <c r="NX82" s="6"/>
      <c r="NY82" s="6"/>
      <c r="NZ82" s="4"/>
      <c r="OA82" s="8"/>
      <c r="OB82" s="5" t="str">
        <f t="shared" si="342"/>
        <v>NO APLICA</v>
      </c>
      <c r="OC82" s="6"/>
      <c r="OD82" s="6"/>
      <c r="OE82" s="6"/>
      <c r="OF82" s="6"/>
      <c r="OG82" s="5" t="str">
        <f t="shared" si="343"/>
        <v>NO APLICA</v>
      </c>
      <c r="OH82" s="6"/>
      <c r="OI82" s="6"/>
      <c r="OJ82" s="4"/>
      <c r="OK82" s="8"/>
      <c r="OL82" s="5" t="str">
        <f t="shared" si="344"/>
        <v>NO APLICA</v>
      </c>
      <c r="OM82" s="6"/>
      <c r="ON82" s="6"/>
      <c r="OO82" s="6"/>
      <c r="OP82" s="6"/>
      <c r="OQ82" s="5" t="str">
        <f t="shared" si="345"/>
        <v>NO APLICA</v>
      </c>
      <c r="OR82" s="6"/>
      <c r="OS82" s="6"/>
      <c r="OT82" s="6"/>
      <c r="OU82" s="6"/>
      <c r="OV82" s="5" t="str">
        <f t="shared" si="346"/>
        <v>NO APLICA</v>
      </c>
      <c r="OW82" s="6"/>
      <c r="OX82" s="6"/>
      <c r="OY82" s="6"/>
      <c r="OZ82" s="6"/>
      <c r="PA82" s="5" t="str">
        <f t="shared" si="347"/>
        <v>NO APLICA</v>
      </c>
      <c r="PB82" s="6"/>
      <c r="PC82" s="6"/>
      <c r="PD82" s="6"/>
      <c r="PE82" s="6"/>
      <c r="PF82" s="5" t="str">
        <f t="shared" si="348"/>
        <v>NO APLICA</v>
      </c>
      <c r="PG82" s="6"/>
      <c r="PH82" s="6"/>
      <c r="PI82" s="6"/>
      <c r="PJ82" s="6"/>
      <c r="PK82" s="5" t="str">
        <f t="shared" si="349"/>
        <v>NO APLICA</v>
      </c>
      <c r="PL82" s="5"/>
      <c r="PM82" s="6"/>
      <c r="PN82" s="4"/>
      <c r="PO82" s="8"/>
      <c r="PP82" s="5" t="str">
        <f t="shared" si="350"/>
        <v>NO APLICA</v>
      </c>
      <c r="PQ82" s="6"/>
      <c r="PR82" s="6"/>
      <c r="PS82" s="6"/>
      <c r="PT82" s="6"/>
      <c r="PU82" s="5" t="str">
        <f t="shared" si="351"/>
        <v>NO APLICA</v>
      </c>
      <c r="PV82" s="5"/>
      <c r="PW82" s="6"/>
      <c r="PX82" s="6"/>
      <c r="PY82" s="6"/>
      <c r="PZ82" s="5" t="str">
        <f t="shared" si="352"/>
        <v>NO APLICA</v>
      </c>
    </row>
    <row r="83" spans="1:442" ht="15.6" hidden="1" thickTop="1" thickBot="1" x14ac:dyDescent="0.35">
      <c r="A83" s="26">
        <v>80</v>
      </c>
      <c r="B83" s="31">
        <v>1691</v>
      </c>
      <c r="C83" s="28" t="s">
        <v>300</v>
      </c>
      <c r="D83" s="29" t="s">
        <v>64</v>
      </c>
      <c r="E83" s="30" t="s">
        <v>81</v>
      </c>
      <c r="F83" s="5"/>
      <c r="G83" s="6"/>
      <c r="H83" s="4"/>
      <c r="I83" s="8"/>
      <c r="J83" s="5" t="str">
        <f t="shared" si="242"/>
        <v>NO APLICA</v>
      </c>
      <c r="K83" s="5"/>
      <c r="L83" s="6"/>
      <c r="M83" s="6"/>
      <c r="N83" s="8"/>
      <c r="O83" s="5" t="str">
        <f t="shared" si="243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3"/>
        <v>VIGENTE</v>
      </c>
      <c r="U83" s="5"/>
      <c r="V83" s="2" t="s">
        <v>301</v>
      </c>
      <c r="W83" s="4">
        <v>45142</v>
      </c>
      <c r="X83" s="4">
        <f t="shared" si="244"/>
        <v>46969</v>
      </c>
      <c r="Y83" s="8">
        <f t="shared" ca="1" si="245"/>
        <v>824</v>
      </c>
      <c r="Z83" s="5" t="str">
        <f t="shared" ca="1" si="246"/>
        <v>VIGENTE</v>
      </c>
      <c r="AA83" s="5"/>
      <c r="AB83" s="2" t="s">
        <v>302</v>
      </c>
      <c r="AC83" s="4">
        <v>45192</v>
      </c>
      <c r="AD83" s="4">
        <f t="shared" si="376"/>
        <v>47019</v>
      </c>
      <c r="AE83" s="8">
        <f t="shared" ca="1" si="377"/>
        <v>874</v>
      </c>
      <c r="AF83" s="5" t="str">
        <f t="shared" ca="1" si="24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8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9"/>
        <v>522</v>
      </c>
      <c r="AP83" s="5" t="str">
        <f t="shared" ca="1" si="250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1"/>
        <v>489</v>
      </c>
      <c r="AU83" s="5" t="str">
        <f t="shared" ca="1" si="252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3"/>
        <v>512</v>
      </c>
      <c r="AZ83" s="5" t="str">
        <f t="shared" ca="1" si="254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5"/>
        <v>626</v>
      </c>
      <c r="BE83" s="5" t="str">
        <f t="shared" ca="1" si="256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7"/>
        <v>582</v>
      </c>
      <c r="BJ83" s="5" t="str">
        <f t="shared" ca="1" si="258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9"/>
        <v>602</v>
      </c>
      <c r="BO83" s="5" t="str">
        <f t="shared" ca="1" si="260"/>
        <v>VIGENTE</v>
      </c>
      <c r="BP83" s="3"/>
      <c r="BQ83" s="39">
        <v>45988</v>
      </c>
      <c r="BR83" s="4">
        <f>DATE(YEAR(BQ83)+2,MONTH(BQ83),DAY(BQ83))</f>
        <v>46718</v>
      </c>
      <c r="BS83" s="8">
        <f t="shared" ca="1" si="261"/>
        <v>573</v>
      </c>
      <c r="BT83" s="5" t="str">
        <f t="shared" ca="1" si="262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3"/>
        <v>616</v>
      </c>
      <c r="BY83" s="5" t="str">
        <f t="shared" ca="1" si="264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5"/>
        <v>571</v>
      </c>
      <c r="CD83" s="5" t="str">
        <f t="shared" ca="1" si="266"/>
        <v>VIGENTE</v>
      </c>
      <c r="CE83" s="6"/>
      <c r="CF83" s="4">
        <v>45164</v>
      </c>
      <c r="CG83" s="4">
        <f t="shared" si="267"/>
        <v>46625</v>
      </c>
      <c r="CH83" s="8">
        <f t="shared" ca="1" si="268"/>
        <v>480</v>
      </c>
      <c r="CI83" s="5" t="str">
        <f t="shared" ca="1" si="269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0"/>
        <v>603</v>
      </c>
      <c r="CN83" s="5" t="str">
        <f t="shared" ca="1" si="271"/>
        <v>VIGENTE</v>
      </c>
      <c r="CO83" s="3"/>
      <c r="CP83" s="39">
        <v>45994</v>
      </c>
      <c r="CQ83" s="4">
        <f>DATE(YEAR(CP83)+2,MONTH(CP83),DAY(CP83))</f>
        <v>46724</v>
      </c>
      <c r="CR83" s="8">
        <f t="shared" ca="1" si="272"/>
        <v>579</v>
      </c>
      <c r="CS83" s="5" t="str">
        <f t="shared" ca="1" si="273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4"/>
        <v>490</v>
      </c>
      <c r="CX83" s="5" t="str">
        <f t="shared" ca="1" si="275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6"/>
        <v>585</v>
      </c>
      <c r="DC83" s="5" t="str">
        <f t="shared" ca="1" si="277"/>
        <v>VIGENTE</v>
      </c>
      <c r="DD83" s="3"/>
      <c r="DE83" s="39">
        <v>45996</v>
      </c>
      <c r="DF83" s="4">
        <f>DATE(YEAR(DE83)+2,MONTH(DE83),DAY(DE83))</f>
        <v>46726</v>
      </c>
      <c r="DG83" s="8">
        <f t="shared" ca="1" si="278"/>
        <v>581</v>
      </c>
      <c r="DH83" s="5" t="str">
        <f t="shared" ca="1" si="279"/>
        <v>VIGENTE</v>
      </c>
      <c r="DI83" s="2"/>
      <c r="DJ83" s="39">
        <v>45975</v>
      </c>
      <c r="DK83" s="4">
        <f>DATE(YEAR(DJ83)+2,MONTH(DJ83),DAY(DJ83))</f>
        <v>46705</v>
      </c>
      <c r="DL83" s="8">
        <f t="shared" ca="1" si="280"/>
        <v>560</v>
      </c>
      <c r="DM83" s="5" t="str">
        <f t="shared" ca="1" si="281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2"/>
        <v>592</v>
      </c>
      <c r="DR83" s="5" t="str">
        <f t="shared" ca="1" si="283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4"/>
        <v>594</v>
      </c>
      <c r="DW83" s="5" t="str">
        <f t="shared" ca="1" si="285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6"/>
        <v>617</v>
      </c>
      <c r="EB83" s="5" t="str">
        <f t="shared" ca="1" si="287"/>
        <v>VIGENTE</v>
      </c>
      <c r="EC83" s="4"/>
      <c r="ED83" s="39">
        <v>45985</v>
      </c>
      <c r="EE83" s="4">
        <f>DATE(YEAR(ED83)+2,MONTH(ED83),DAY(ED83))</f>
        <v>46715</v>
      </c>
      <c r="EF83" s="8">
        <f t="shared" ca="1" si="288"/>
        <v>570</v>
      </c>
      <c r="EG83" s="5" t="str">
        <f t="shared" ca="1" si="289"/>
        <v>VIGENTE</v>
      </c>
      <c r="EH83" s="3"/>
      <c r="EI83" s="3">
        <v>46015</v>
      </c>
      <c r="EJ83" s="4">
        <f t="shared" si="355"/>
        <v>46380</v>
      </c>
      <c r="EK83" s="8">
        <f t="shared" ca="1" si="290"/>
        <v>235</v>
      </c>
      <c r="EL83" s="5" t="str">
        <f t="shared" ca="1" si="291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2"/>
        <v>580</v>
      </c>
      <c r="EQ83" s="5" t="str">
        <f t="shared" ca="1" si="293"/>
        <v>VIGENTE</v>
      </c>
      <c r="ER83" s="2"/>
      <c r="ES83" s="39">
        <v>45999</v>
      </c>
      <c r="ET83" s="4">
        <f>DATE(YEAR(ES83)+2,MONTH(ES83),DAY(ES83))</f>
        <v>46729</v>
      </c>
      <c r="EU83" s="8">
        <f t="shared" ca="1" si="294"/>
        <v>584</v>
      </c>
      <c r="EV83" s="5" t="str">
        <f t="shared" ca="1" si="295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6"/>
        <v>622</v>
      </c>
      <c r="FA83" s="5" t="str">
        <f t="shared" ca="1" si="297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8"/>
        <v>595</v>
      </c>
      <c r="FF83" s="5" t="str">
        <f t="shared" ca="1" si="299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0"/>
        <v>547</v>
      </c>
      <c r="FK83" s="5" t="str">
        <f t="shared" ca="1" si="301"/>
        <v>VIGENTE</v>
      </c>
      <c r="FL83" s="4"/>
      <c r="FM83" s="39">
        <v>46039</v>
      </c>
      <c r="FN83" s="4">
        <f>DATE(YEAR(FM83)+2,MONTH(FM83),DAY(FM83))</f>
        <v>46769</v>
      </c>
      <c r="FO83" s="8">
        <f t="shared" ca="1" si="302"/>
        <v>624</v>
      </c>
      <c r="FP83" s="5" t="str">
        <f t="shared" ca="1" si="303"/>
        <v>VIGENTE</v>
      </c>
      <c r="FQ83" s="4"/>
      <c r="FR83" s="39">
        <v>46034</v>
      </c>
      <c r="FS83" s="4">
        <f>DATE(YEAR(FR83)+2,MONTH(FR83),DAY(FR83))</f>
        <v>46764</v>
      </c>
      <c r="FT83" s="8">
        <f t="shared" ca="1" si="304"/>
        <v>619</v>
      </c>
      <c r="FU83" s="5" t="str">
        <f t="shared" ca="1" si="305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6"/>
        <v>589</v>
      </c>
      <c r="FZ83" s="5" t="str">
        <f t="shared" ca="1" si="307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8"/>
        <v>510</v>
      </c>
      <c r="GE83" s="5" t="str">
        <f t="shared" ca="1" si="309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0"/>
        <v>545</v>
      </c>
      <c r="GJ83" s="5" t="str">
        <f t="shared" ca="1" si="311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2"/>
        <v>83</v>
      </c>
      <c r="GO83" s="5" t="str">
        <f t="shared" ca="1" si="313"/>
        <v>VIGENTE</v>
      </c>
      <c r="GP83" s="4"/>
      <c r="GQ83" s="4">
        <v>45299</v>
      </c>
      <c r="GR83" s="4">
        <f t="shared" si="314"/>
        <v>47126</v>
      </c>
      <c r="GS83" s="8">
        <f t="shared" ca="1" si="384"/>
        <v>981</v>
      </c>
      <c r="GT83" s="5" t="str">
        <f t="shared" ca="1" si="378"/>
        <v>VIGENTE</v>
      </c>
      <c r="GU83" s="3"/>
      <c r="GV83" s="4">
        <v>45329</v>
      </c>
      <c r="GW83" s="4">
        <f t="shared" si="316"/>
        <v>47156</v>
      </c>
      <c r="GX83" s="8">
        <f t="shared" ca="1" si="317"/>
        <v>1011</v>
      </c>
      <c r="GY83" s="5" t="str">
        <f t="shared" ca="1" si="379"/>
        <v>VIGENTE</v>
      </c>
      <c r="GZ83" s="2"/>
      <c r="HA83" s="4">
        <v>45343</v>
      </c>
      <c r="HB83" s="4">
        <f t="shared" si="319"/>
        <v>47170</v>
      </c>
      <c r="HC83" s="8">
        <f t="shared" ca="1" si="320"/>
        <v>1025</v>
      </c>
      <c r="HD83" s="5" t="str">
        <f t="shared" ca="1" si="380"/>
        <v>VIGENTE</v>
      </c>
      <c r="HE83" s="6"/>
      <c r="HF83" s="4">
        <v>45317</v>
      </c>
      <c r="HG83" s="4">
        <f t="shared" si="373"/>
        <v>47144</v>
      </c>
      <c r="HH83" s="8">
        <f t="shared" ca="1" si="374"/>
        <v>999</v>
      </c>
      <c r="HI83" s="5" t="str">
        <f t="shared" ca="1" si="381"/>
        <v>VIGENTE</v>
      </c>
      <c r="HJ83" s="2"/>
      <c r="HK83" s="6"/>
      <c r="HL83" s="4"/>
      <c r="HM83" s="8"/>
      <c r="HN83" s="5" t="str">
        <f t="shared" ref="HN83:HN105" si="38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2"/>
        <v>NO APLICA</v>
      </c>
      <c r="HT83" s="2"/>
      <c r="HU83" s="6"/>
      <c r="HV83" s="4"/>
      <c r="HW83" s="8"/>
      <c r="HX83" s="5" t="str">
        <f t="shared" si="323"/>
        <v>NO APLICA</v>
      </c>
      <c r="HY83" s="2"/>
      <c r="HZ83" s="6"/>
      <c r="IA83" s="4"/>
      <c r="IB83" s="8"/>
      <c r="IC83" s="5" t="str">
        <f t="shared" si="324"/>
        <v>NO APLICA</v>
      </c>
      <c r="ID83" s="2"/>
      <c r="IE83" s="6"/>
      <c r="IF83" s="4"/>
      <c r="IG83" s="8"/>
      <c r="IH83" s="5" t="str">
        <f t="shared" si="325"/>
        <v>NO APLICA</v>
      </c>
      <c r="II83" s="6"/>
      <c r="IJ83" s="6"/>
      <c r="IK83" s="4"/>
      <c r="IL83" s="8"/>
      <c r="IM83" s="5" t="str">
        <f t="shared" si="326"/>
        <v>NO APLICA</v>
      </c>
      <c r="IN83" s="2"/>
      <c r="IO83" s="6"/>
      <c r="IP83" s="4"/>
      <c r="IQ83" s="8"/>
      <c r="IR83" s="5" t="str">
        <f t="shared" si="327"/>
        <v>NO APLICA</v>
      </c>
      <c r="IS83" s="2"/>
      <c r="IT83" s="6"/>
      <c r="IU83" s="4"/>
      <c r="IV83" s="8"/>
      <c r="IW83" s="5" t="str">
        <f t="shared" si="328"/>
        <v>NO APLICA</v>
      </c>
      <c r="IX83" s="2"/>
      <c r="IY83" s="6"/>
      <c r="IZ83" s="4"/>
      <c r="JA83" s="8"/>
      <c r="JB83" s="5" t="str">
        <f t="shared" si="329"/>
        <v>NO APLICA</v>
      </c>
      <c r="JC83" s="3" t="s">
        <v>780</v>
      </c>
      <c r="JD83" s="3"/>
      <c r="JE83" s="4"/>
      <c r="JF83" s="8"/>
      <c r="JG83" s="5"/>
      <c r="JH83" s="3" t="s">
        <v>780</v>
      </c>
      <c r="JI83" s="6"/>
      <c r="JJ83" s="6"/>
      <c r="JK83" s="6"/>
      <c r="JL83" s="5"/>
      <c r="JM83" s="6" t="s">
        <v>780</v>
      </c>
      <c r="JN83" s="6"/>
      <c r="JO83" s="6"/>
      <c r="JP83" s="6"/>
      <c r="JQ83" s="5"/>
      <c r="JR83" s="6" t="s">
        <v>780</v>
      </c>
      <c r="JS83" s="6"/>
      <c r="JT83" s="6"/>
      <c r="JU83" s="6"/>
      <c r="JV83" s="5"/>
      <c r="JW83" s="6" t="s">
        <v>780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30"/>
        <v>NO APLICA</v>
      </c>
      <c r="KG83" s="5"/>
      <c r="KH83" s="2"/>
      <c r="KI83" s="4"/>
      <c r="KJ83" s="8"/>
      <c r="KK83" s="5" t="str">
        <f t="shared" si="356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1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7"/>
        <v>VIGENTE</v>
      </c>
      <c r="KV83" s="2"/>
      <c r="KW83" s="6"/>
      <c r="KX83" s="4"/>
      <c r="KY83" s="8"/>
      <c r="KZ83" s="5" t="str">
        <f t="shared" si="366"/>
        <v>NO APLICA</v>
      </c>
      <c r="LA83" s="5"/>
      <c r="LB83" s="6"/>
      <c r="LC83" s="4"/>
      <c r="LD83" s="8"/>
      <c r="LE83" s="5" t="str">
        <f t="shared" si="358"/>
        <v>NO APLICA</v>
      </c>
      <c r="LF83" s="6"/>
      <c r="LG83" s="6"/>
      <c r="LH83" s="4"/>
      <c r="LI83" s="8"/>
      <c r="LJ83" s="5" t="str">
        <f t="shared" si="332"/>
        <v>NO APLICA</v>
      </c>
      <c r="LK83" s="5"/>
      <c r="LL83" s="5"/>
      <c r="LM83" s="4"/>
      <c r="LN83" s="8"/>
      <c r="LO83" s="5" t="str">
        <f t="shared" si="367"/>
        <v>NO APLICA</v>
      </c>
      <c r="LP83" s="2"/>
      <c r="LQ83" s="6"/>
      <c r="LR83" s="4"/>
      <c r="LS83" s="8"/>
      <c r="LT83" s="5" t="str">
        <f t="shared" si="359"/>
        <v>NO APLICA</v>
      </c>
      <c r="LU83" s="6"/>
      <c r="LV83" s="6"/>
      <c r="LW83" s="4"/>
      <c r="LX83" s="8"/>
      <c r="LY83" s="5" t="str">
        <f t="shared" si="360"/>
        <v>NO APLICA</v>
      </c>
      <c r="LZ83" s="6"/>
      <c r="MA83" s="6"/>
      <c r="MB83" s="4"/>
      <c r="MC83" s="8"/>
      <c r="MD83" s="5" t="str">
        <f t="shared" si="361"/>
        <v>NO APLICA</v>
      </c>
      <c r="ME83" s="2"/>
      <c r="MF83" s="2"/>
      <c r="MG83" s="4"/>
      <c r="MH83" s="8"/>
      <c r="MI83" s="5" t="str">
        <f t="shared" si="333"/>
        <v>NO APLICA</v>
      </c>
      <c r="MJ83" s="2"/>
      <c r="MK83" s="2"/>
      <c r="ML83" s="4"/>
      <c r="MM83" s="8"/>
      <c r="MN83" s="5" t="str">
        <f t="shared" si="334"/>
        <v>NO APLICA</v>
      </c>
      <c r="MO83" s="5"/>
      <c r="MP83" s="2"/>
      <c r="MQ83" s="4"/>
      <c r="MR83" s="8"/>
      <c r="MS83" s="5" t="str">
        <f t="shared" si="335"/>
        <v>NO APLICA</v>
      </c>
      <c r="MT83" s="5"/>
      <c r="MU83" s="2"/>
      <c r="MV83" s="4"/>
      <c r="MW83" s="2"/>
      <c r="MX83" s="5" t="str">
        <f t="shared" si="336"/>
        <v>NO APLICA</v>
      </c>
      <c r="MY83" s="2"/>
      <c r="MZ83" s="6"/>
      <c r="NA83" s="4"/>
      <c r="NB83" s="8"/>
      <c r="NC83" s="5" t="str">
        <f t="shared" si="337"/>
        <v>NO APLICA</v>
      </c>
      <c r="ND83" s="2"/>
      <c r="NE83" s="6"/>
      <c r="NF83" s="4"/>
      <c r="NG83" s="8"/>
      <c r="NH83" s="5" t="str">
        <f t="shared" si="338"/>
        <v>NO APLICA</v>
      </c>
      <c r="NI83" s="2"/>
      <c r="NJ83" s="6"/>
      <c r="NK83" s="4"/>
      <c r="NL83" s="8"/>
      <c r="NM83" s="5" t="str">
        <f t="shared" si="339"/>
        <v>NO APLICA</v>
      </c>
      <c r="NN83" s="2"/>
      <c r="NO83" s="2"/>
      <c r="NP83" s="4"/>
      <c r="NQ83" s="8"/>
      <c r="NR83" s="5" t="str">
        <f t="shared" si="340"/>
        <v>NO APLICA</v>
      </c>
      <c r="NS83" s="2"/>
      <c r="NT83" s="2"/>
      <c r="NU83" s="4"/>
      <c r="NV83" s="2"/>
      <c r="NW83" s="5" t="str">
        <f t="shared" si="341"/>
        <v>NO APLICA</v>
      </c>
      <c r="NX83" s="6"/>
      <c r="NY83" s="6"/>
      <c r="NZ83" s="4"/>
      <c r="OA83" s="8"/>
      <c r="OB83" s="5" t="str">
        <f t="shared" si="342"/>
        <v>NO APLICA</v>
      </c>
      <c r="OC83" s="6"/>
      <c r="OD83" s="6"/>
      <c r="OE83" s="6"/>
      <c r="OF83" s="6"/>
      <c r="OG83" s="5" t="str">
        <f t="shared" si="343"/>
        <v>NO APLICA</v>
      </c>
      <c r="OH83" s="6"/>
      <c r="OI83" s="6"/>
      <c r="OJ83" s="4"/>
      <c r="OK83" s="8"/>
      <c r="OL83" s="5" t="str">
        <f t="shared" si="344"/>
        <v>NO APLICA</v>
      </c>
      <c r="OM83" s="6"/>
      <c r="ON83" s="6"/>
      <c r="OO83" s="6"/>
      <c r="OP83" s="6"/>
      <c r="OQ83" s="5" t="str">
        <f t="shared" si="345"/>
        <v>NO APLICA</v>
      </c>
      <c r="OR83" s="6"/>
      <c r="OS83" s="6"/>
      <c r="OT83" s="6"/>
      <c r="OU83" s="6"/>
      <c r="OV83" s="5" t="str">
        <f t="shared" si="346"/>
        <v>NO APLICA</v>
      </c>
      <c r="OW83" s="6"/>
      <c r="OX83" s="6"/>
      <c r="OY83" s="6"/>
      <c r="OZ83" s="6"/>
      <c r="PA83" s="5" t="str">
        <f t="shared" si="347"/>
        <v>NO APLICA</v>
      </c>
      <c r="PB83" s="6"/>
      <c r="PC83" s="6"/>
      <c r="PD83" s="6"/>
      <c r="PE83" s="6"/>
      <c r="PF83" s="5" t="str">
        <f t="shared" si="348"/>
        <v>NO APLICA</v>
      </c>
      <c r="PG83" s="6"/>
      <c r="PH83" s="6"/>
      <c r="PI83" s="6"/>
      <c r="PJ83" s="6"/>
      <c r="PK83" s="5" t="str">
        <f t="shared" si="349"/>
        <v>NO APLICA</v>
      </c>
      <c r="PL83" s="5"/>
      <c r="PM83" s="6"/>
      <c r="PN83" s="4"/>
      <c r="PO83" s="8"/>
      <c r="PP83" s="5" t="str">
        <f t="shared" si="350"/>
        <v>NO APLICA</v>
      </c>
      <c r="PQ83" s="6"/>
      <c r="PR83" s="6"/>
      <c r="PS83" s="6"/>
      <c r="PT83" s="6"/>
      <c r="PU83" s="5" t="str">
        <f t="shared" si="351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2"/>
        <v>VIGENTE</v>
      </c>
    </row>
    <row r="84" spans="1:442" ht="15.6" hidden="1" thickTop="1" thickBot="1" x14ac:dyDescent="0.35">
      <c r="A84" s="26">
        <v>81</v>
      </c>
      <c r="B84" s="27">
        <v>758</v>
      </c>
      <c r="C84" s="28" t="s">
        <v>303</v>
      </c>
      <c r="D84" s="29" t="s">
        <v>113</v>
      </c>
      <c r="E84" s="30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2"/>
        <v>VIGENTE</v>
      </c>
      <c r="K84" s="5"/>
      <c r="L84" s="6"/>
      <c r="M84" s="6"/>
      <c r="N84" s="8"/>
      <c r="O84" s="5" t="str">
        <f t="shared" si="243"/>
        <v>NO APLICA</v>
      </c>
      <c r="P84" s="6"/>
      <c r="Q84" s="6"/>
      <c r="R84" s="4"/>
      <c r="S84" s="8"/>
      <c r="T84" s="5" t="str">
        <f t="shared" si="353"/>
        <v>NO APLICA</v>
      </c>
      <c r="U84" s="5"/>
      <c r="V84" s="2" t="s">
        <v>304</v>
      </c>
      <c r="W84" s="4">
        <v>44801</v>
      </c>
      <c r="X84" s="4">
        <f t="shared" si="244"/>
        <v>46627</v>
      </c>
      <c r="Y84" s="8">
        <f t="shared" ca="1" si="245"/>
        <v>482</v>
      </c>
      <c r="Z84" s="5" t="str">
        <f t="shared" ca="1" si="246"/>
        <v>VIGENTE</v>
      </c>
      <c r="AA84" s="5"/>
      <c r="AB84" s="2"/>
      <c r="AC84" s="6"/>
      <c r="AD84" s="4"/>
      <c r="AE84" s="8"/>
      <c r="AF84" s="5" t="str">
        <f t="shared" si="24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8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9"/>
        <v>544</v>
      </c>
      <c r="AP84" s="5" t="str">
        <f t="shared" ca="1" si="250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1"/>
        <v>489</v>
      </c>
      <c r="AU84" s="5" t="str">
        <f t="shared" ca="1" si="252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3"/>
        <v>512</v>
      </c>
      <c r="AZ84" s="5" t="str">
        <f t="shared" ca="1" si="254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5"/>
        <v>301</v>
      </c>
      <c r="BE84" s="5" t="str">
        <f t="shared" ca="1" si="256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7"/>
        <v>282</v>
      </c>
      <c r="BJ84" s="5" t="str">
        <f t="shared" ca="1" si="258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9"/>
        <v>676</v>
      </c>
      <c r="BO84" s="5" t="str">
        <f t="shared" ca="1" si="260"/>
        <v>VIGENTE</v>
      </c>
      <c r="BP84" s="3"/>
      <c r="BQ84" s="39">
        <v>46120</v>
      </c>
      <c r="BR84" s="4">
        <f>DATE(YEAR(BQ84)+2,MONTH(BQ84),DAY(BQ84)-1)</f>
        <v>46850</v>
      </c>
      <c r="BS84" s="8">
        <f t="shared" ca="1" si="261"/>
        <v>705</v>
      </c>
      <c r="BT84" s="5" t="str">
        <f t="shared" ca="1" si="262"/>
        <v>VIGENTE</v>
      </c>
      <c r="BU84" s="3"/>
      <c r="BV84" s="4">
        <v>45611</v>
      </c>
      <c r="BW84" s="4">
        <f>DATE(YEAR(BV84)+2,MONTH(BV84),DAY(BV84)-1)</f>
        <v>46340</v>
      </c>
      <c r="BX84" s="8">
        <f t="shared" ca="1" si="263"/>
        <v>195</v>
      </c>
      <c r="BY84" s="5" t="str">
        <f t="shared" ca="1" si="264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5"/>
        <v>496</v>
      </c>
      <c r="CD84" s="5" t="str">
        <f t="shared" ca="1" si="266"/>
        <v>VIGENTE</v>
      </c>
      <c r="CE84" s="6"/>
      <c r="CF84" s="4">
        <v>45616</v>
      </c>
      <c r="CG84" s="4">
        <f t="shared" si="267"/>
        <v>47077</v>
      </c>
      <c r="CH84" s="8">
        <f t="shared" ca="1" si="268"/>
        <v>932</v>
      </c>
      <c r="CI84" s="5" t="str">
        <f t="shared" ca="1" si="269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0"/>
        <v>362</v>
      </c>
      <c r="CN84" s="5" t="str">
        <f t="shared" ca="1" si="271"/>
        <v>VIGENTE</v>
      </c>
      <c r="CO84" s="3"/>
      <c r="CP84" s="39">
        <v>45817</v>
      </c>
      <c r="CQ84" s="4">
        <f>DATE(YEAR(CP84)+2,MONTH(CP84),DAY(CP84))</f>
        <v>46547</v>
      </c>
      <c r="CR84" s="8">
        <f t="shared" ca="1" si="272"/>
        <v>402</v>
      </c>
      <c r="CS84" s="5" t="str">
        <f t="shared" ca="1" si="273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4"/>
        <v>490</v>
      </c>
      <c r="CX84" s="5" t="str">
        <f t="shared" ca="1" si="275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6"/>
        <v>613</v>
      </c>
      <c r="DC84" s="5" t="str">
        <f t="shared" ca="1" si="277"/>
        <v>VIGENTE</v>
      </c>
      <c r="DD84" s="3"/>
      <c r="DE84" s="39">
        <v>46123</v>
      </c>
      <c r="DF84" s="4">
        <f t="shared" ref="DF84:DF90" si="386">DATE(YEAR(DE84)+2,MONTH(DE84),DAY(DE84)-1)</f>
        <v>46853</v>
      </c>
      <c r="DG84" s="8">
        <f t="shared" ca="1" si="278"/>
        <v>708</v>
      </c>
      <c r="DH84" s="5" t="str">
        <f t="shared" ca="1" si="279"/>
        <v>VIGENTE</v>
      </c>
      <c r="DI84" s="3"/>
      <c r="DJ84" s="39">
        <v>46029</v>
      </c>
      <c r="DK84" s="4">
        <f>DATE(YEAR(DJ84)+2,MONTH(DJ84),DAY(DJ84))</f>
        <v>46759</v>
      </c>
      <c r="DL84" s="8">
        <f t="shared" ca="1" si="280"/>
        <v>614</v>
      </c>
      <c r="DM84" s="5" t="str">
        <f t="shared" ca="1" si="281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2"/>
        <v>592</v>
      </c>
      <c r="DR84" s="5" t="str">
        <f t="shared" ca="1" si="283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4"/>
        <v>312</v>
      </c>
      <c r="DW84" s="5" t="str">
        <f t="shared" ca="1" si="285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6"/>
        <v>247</v>
      </c>
      <c r="EB84" s="5" t="str">
        <f t="shared" ca="1" si="287"/>
        <v>VIGENTE</v>
      </c>
      <c r="EC84" s="3"/>
      <c r="ED84" s="39">
        <v>45674</v>
      </c>
      <c r="EE84" s="4">
        <f>DATE(YEAR(ED84)+2,MONTH(ED84),DAY(ED84)-1)</f>
        <v>46403</v>
      </c>
      <c r="EF84" s="8">
        <f t="shared" ca="1" si="288"/>
        <v>258</v>
      </c>
      <c r="EG84" s="5" t="str">
        <f t="shared" ca="1" si="289"/>
        <v>VIGENTE</v>
      </c>
      <c r="EH84" s="3"/>
      <c r="EI84" s="3">
        <v>46085</v>
      </c>
      <c r="EJ84" s="4">
        <f t="shared" si="355"/>
        <v>46450</v>
      </c>
      <c r="EK84" s="8">
        <f t="shared" ca="1" si="290"/>
        <v>305</v>
      </c>
      <c r="EL84" s="5" t="str">
        <f t="shared" ca="1" si="291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2"/>
        <v>49</v>
      </c>
      <c r="EQ84" s="5" t="str">
        <f t="shared" ca="1" si="293"/>
        <v>POR VENCER</v>
      </c>
      <c r="ER84" s="3"/>
      <c r="ES84" s="39">
        <v>45677</v>
      </c>
      <c r="ET84" s="4">
        <f>DATE(YEAR(ES84)+2,MONTH(ES84),DAY(ES84)-1)</f>
        <v>46406</v>
      </c>
      <c r="EU84" s="8">
        <f t="shared" ca="1" si="294"/>
        <v>261</v>
      </c>
      <c r="EV84" s="5" t="str">
        <f t="shared" ca="1" si="295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6"/>
        <v>502</v>
      </c>
      <c r="FA84" s="5" t="str">
        <f t="shared" ca="1" si="297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8"/>
        <v>516</v>
      </c>
      <c r="FF84" s="5" t="str">
        <f t="shared" ca="1" si="299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0"/>
        <v>517</v>
      </c>
      <c r="FK84" s="5" t="str">
        <f t="shared" ca="1" si="301"/>
        <v>VIGENTE</v>
      </c>
      <c r="FL84" s="3"/>
      <c r="FM84" s="39">
        <v>45738</v>
      </c>
      <c r="FN84" s="4">
        <f>DATE(YEAR(FM84)+2,MONTH(FM84),DAY(FM84)-1)</f>
        <v>46467</v>
      </c>
      <c r="FO84" s="8">
        <f t="shared" ca="1" si="302"/>
        <v>322</v>
      </c>
      <c r="FP84" s="5" t="str">
        <f t="shared" ca="1" si="303"/>
        <v>VIGENTE</v>
      </c>
      <c r="FQ84" s="3"/>
      <c r="FR84" s="39">
        <v>45466</v>
      </c>
      <c r="FS84" s="4">
        <f>DATE(YEAR(FR84)+2,MONTH(FR84),DAY(FR84)-1)</f>
        <v>46195</v>
      </c>
      <c r="FT84" s="8">
        <f t="shared" ca="1" si="304"/>
        <v>50</v>
      </c>
      <c r="FU84" s="5" t="str">
        <f t="shared" ca="1" si="305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6"/>
        <v>599</v>
      </c>
      <c r="FZ84" s="5" t="str">
        <f t="shared" ca="1" si="307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8"/>
        <v>341</v>
      </c>
      <c r="GE84" s="5" t="str">
        <f t="shared" ca="1" si="309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0"/>
        <v>56</v>
      </c>
      <c r="GJ84" s="5" t="str">
        <f t="shared" ca="1" si="311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2"/>
        <v>271</v>
      </c>
      <c r="GO84" s="5" t="str">
        <f t="shared" ca="1" si="313"/>
        <v>VIGENTE</v>
      </c>
      <c r="GP84" s="4"/>
      <c r="GQ84" s="4">
        <v>45048</v>
      </c>
      <c r="GR84" s="4">
        <f t="shared" si="314"/>
        <v>46875</v>
      </c>
      <c r="GS84" s="8">
        <f t="shared" ca="1" si="384"/>
        <v>730</v>
      </c>
      <c r="GT84" s="5" t="str">
        <f t="shared" ca="1" si="378"/>
        <v>VIGENTE</v>
      </c>
      <c r="GU84" s="3"/>
      <c r="GV84" s="4">
        <v>45089</v>
      </c>
      <c r="GW84" s="4">
        <f t="shared" si="316"/>
        <v>46916</v>
      </c>
      <c r="GX84" s="8">
        <f t="shared" ca="1" si="317"/>
        <v>771</v>
      </c>
      <c r="GY84" s="5" t="str">
        <f t="shared" ca="1" si="379"/>
        <v>VIGENTE</v>
      </c>
      <c r="GZ84" s="2"/>
      <c r="HA84" s="4">
        <v>45073</v>
      </c>
      <c r="HB84" s="4">
        <f t="shared" si="319"/>
        <v>46900</v>
      </c>
      <c r="HC84" s="8">
        <f t="shared" ca="1" si="320"/>
        <v>755</v>
      </c>
      <c r="HD84" s="5" t="str">
        <f t="shared" ca="1" si="380"/>
        <v>VIGENTE</v>
      </c>
      <c r="HE84" s="6"/>
      <c r="HF84" s="6"/>
      <c r="HG84" s="4"/>
      <c r="HH84" s="8"/>
      <c r="HI84" s="5" t="str">
        <f t="shared" si="381"/>
        <v>NO APLICA</v>
      </c>
      <c r="HJ84" s="2"/>
      <c r="HK84" s="6"/>
      <c r="HL84" s="4"/>
      <c r="HM84" s="8"/>
      <c r="HN84" s="5" t="str">
        <f t="shared" si="385"/>
        <v>NO APLICA</v>
      </c>
      <c r="HO84" s="2"/>
      <c r="HP84" s="2"/>
      <c r="HQ84" s="4"/>
      <c r="HR84" s="2"/>
      <c r="HS84" s="5" t="str">
        <f t="shared" si="322"/>
        <v>NO APLICA</v>
      </c>
      <c r="HT84" s="2"/>
      <c r="HU84" s="6"/>
      <c r="HV84" s="4"/>
      <c r="HW84" s="8"/>
      <c r="HX84" s="5" t="str">
        <f t="shared" si="323"/>
        <v>NO APLICA</v>
      </c>
      <c r="HY84" s="2"/>
      <c r="HZ84" s="6"/>
      <c r="IA84" s="4"/>
      <c r="IB84" s="8"/>
      <c r="IC84" s="5" t="str">
        <f t="shared" si="324"/>
        <v>NO APLICA</v>
      </c>
      <c r="ID84" s="2"/>
      <c r="IE84" s="6"/>
      <c r="IF84" s="4"/>
      <c r="IG84" s="8"/>
      <c r="IH84" s="5" t="str">
        <f t="shared" si="325"/>
        <v>NO APLICA</v>
      </c>
      <c r="II84" s="6"/>
      <c r="IJ84" s="6"/>
      <c r="IK84" s="4"/>
      <c r="IL84" s="8"/>
      <c r="IM84" s="5" t="str">
        <f t="shared" si="326"/>
        <v>NO APLICA</v>
      </c>
      <c r="IN84" s="2"/>
      <c r="IO84" s="6"/>
      <c r="IP84" s="4"/>
      <c r="IQ84" s="8"/>
      <c r="IR84" s="5" t="str">
        <f t="shared" si="327"/>
        <v>NO APLICA</v>
      </c>
      <c r="IS84" s="2"/>
      <c r="IT84" s="6"/>
      <c r="IU84" s="4"/>
      <c r="IV84" s="8"/>
      <c r="IW84" s="5" t="str">
        <f t="shared" si="328"/>
        <v>NO APLICA</v>
      </c>
      <c r="IX84" s="2"/>
      <c r="IY84" s="6"/>
      <c r="IZ84" s="4"/>
      <c r="JA84" s="8"/>
      <c r="JB84" s="5" t="str">
        <f t="shared" si="329"/>
        <v>NO APLICA</v>
      </c>
      <c r="JC84" s="3" t="s">
        <v>780</v>
      </c>
      <c r="JD84" s="3"/>
      <c r="JE84" s="4"/>
      <c r="JF84" s="8"/>
      <c r="JG84" s="5"/>
      <c r="JH84" s="3" t="s">
        <v>780</v>
      </c>
      <c r="JI84" s="6"/>
      <c r="JJ84" s="6"/>
      <c r="JK84" s="6"/>
      <c r="JL84" s="5"/>
      <c r="JM84" s="6" t="s">
        <v>780</v>
      </c>
      <c r="JN84" s="6"/>
      <c r="JO84" s="6"/>
      <c r="JP84" s="6"/>
      <c r="JQ84" s="5"/>
      <c r="JR84" s="6" t="s">
        <v>780</v>
      </c>
      <c r="JS84" s="6"/>
      <c r="JT84" s="6"/>
      <c r="JU84" s="6"/>
      <c r="JV84" s="5"/>
      <c r="JW84" s="6" t="s">
        <v>780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30"/>
        <v>NO APLICA</v>
      </c>
      <c r="KG84" s="5"/>
      <c r="KH84" s="2"/>
      <c r="KI84" s="4"/>
      <c r="KJ84" s="8"/>
      <c r="KK84" s="5" t="str">
        <f t="shared" si="356"/>
        <v>NO APLICA</v>
      </c>
      <c r="KL84" s="5"/>
      <c r="KM84" s="2"/>
      <c r="KN84" s="4"/>
      <c r="KO84" s="8"/>
      <c r="KP84" s="5" t="str">
        <f t="shared" si="331"/>
        <v>NO APLICA</v>
      </c>
      <c r="KQ84" s="5"/>
      <c r="KR84" s="2"/>
      <c r="KS84" s="4"/>
      <c r="KT84" s="8"/>
      <c r="KU84" s="5" t="str">
        <f t="shared" si="357"/>
        <v>NO APLICA</v>
      </c>
      <c r="KV84" s="2"/>
      <c r="KW84" s="6"/>
      <c r="KX84" s="4"/>
      <c r="KY84" s="8"/>
      <c r="KZ84" s="5" t="str">
        <f t="shared" si="366"/>
        <v>NO APLICA</v>
      </c>
      <c r="LA84" s="5"/>
      <c r="LB84" s="6"/>
      <c r="LC84" s="4"/>
      <c r="LD84" s="8"/>
      <c r="LE84" s="5" t="str">
        <f t="shared" si="358"/>
        <v>NO APLICA</v>
      </c>
      <c r="LF84" s="6"/>
      <c r="LG84" s="6"/>
      <c r="LH84" s="4"/>
      <c r="LI84" s="8"/>
      <c r="LJ84" s="5" t="str">
        <f t="shared" si="332"/>
        <v>NO APLICA</v>
      </c>
      <c r="LK84" s="5"/>
      <c r="LL84" s="5"/>
      <c r="LM84" s="5"/>
      <c r="LN84" s="5"/>
      <c r="LO84" s="5" t="str">
        <f t="shared" si="367"/>
        <v>NO APLICA</v>
      </c>
      <c r="LP84" s="2"/>
      <c r="LQ84" s="6"/>
      <c r="LR84" s="4"/>
      <c r="LS84" s="8"/>
      <c r="LT84" s="5" t="str">
        <f t="shared" si="359"/>
        <v>NO APLICA</v>
      </c>
      <c r="LU84" s="6"/>
      <c r="LV84" s="6"/>
      <c r="LW84" s="4"/>
      <c r="LX84" s="8"/>
      <c r="LY84" s="5" t="str">
        <f t="shared" si="360"/>
        <v>NO APLICA</v>
      </c>
      <c r="LZ84" s="6"/>
      <c r="MA84" s="6"/>
      <c r="MB84" s="4"/>
      <c r="MC84" s="8"/>
      <c r="MD84" s="5" t="str">
        <f t="shared" si="361"/>
        <v>NO APLICA</v>
      </c>
      <c r="ME84" s="2"/>
      <c r="MF84" s="2"/>
      <c r="MG84" s="4"/>
      <c r="MH84" s="8"/>
      <c r="MI84" s="5" t="str">
        <f t="shared" si="333"/>
        <v>NO APLICA</v>
      </c>
      <c r="MJ84" s="2"/>
      <c r="MK84" s="2"/>
      <c r="ML84" s="4"/>
      <c r="MM84" s="8"/>
      <c r="MN84" s="5" t="str">
        <f t="shared" si="334"/>
        <v>NO APLICA</v>
      </c>
      <c r="MO84" s="5"/>
      <c r="MP84" s="2"/>
      <c r="MQ84" s="4"/>
      <c r="MR84" s="8"/>
      <c r="MS84" s="5" t="str">
        <f t="shared" si="335"/>
        <v>NO APLICA</v>
      </c>
      <c r="MT84" s="5"/>
      <c r="MU84" s="2"/>
      <c r="MV84" s="4"/>
      <c r="MW84" s="2"/>
      <c r="MX84" s="5" t="str">
        <f t="shared" si="336"/>
        <v>NO APLICA</v>
      </c>
      <c r="MY84" s="2"/>
      <c r="MZ84" s="6"/>
      <c r="NA84" s="4"/>
      <c r="NB84" s="8"/>
      <c r="NC84" s="5" t="str">
        <f t="shared" si="337"/>
        <v>NO APLICA</v>
      </c>
      <c r="ND84" s="2"/>
      <c r="NE84" s="6"/>
      <c r="NF84" s="4"/>
      <c r="NG84" s="8"/>
      <c r="NH84" s="5" t="str">
        <f t="shared" si="338"/>
        <v>NO APLICA</v>
      </c>
      <c r="NI84" s="2"/>
      <c r="NJ84" s="6"/>
      <c r="NK84" s="4"/>
      <c r="NL84" s="8"/>
      <c r="NM84" s="5" t="str">
        <f t="shared" si="339"/>
        <v>NO APLICA</v>
      </c>
      <c r="NN84" s="2"/>
      <c r="NO84" s="2"/>
      <c r="NP84" s="4"/>
      <c r="NQ84" s="2"/>
      <c r="NR84" s="5" t="str">
        <f t="shared" si="340"/>
        <v>NO APLICA</v>
      </c>
      <c r="NS84" s="2"/>
      <c r="NT84" s="2"/>
      <c r="NU84" s="2"/>
      <c r="NV84" s="2"/>
      <c r="NW84" s="5" t="str">
        <f t="shared" si="341"/>
        <v>NO APLICA</v>
      </c>
      <c r="NX84" s="6"/>
      <c r="NY84" s="6"/>
      <c r="NZ84" s="4"/>
      <c r="OA84" s="8"/>
      <c r="OB84" s="5" t="str">
        <f t="shared" si="342"/>
        <v>NO APLICA</v>
      </c>
      <c r="OC84" s="6"/>
      <c r="OD84" s="6"/>
      <c r="OE84" s="6"/>
      <c r="OF84" s="6"/>
      <c r="OG84" s="5" t="str">
        <f t="shared" si="343"/>
        <v>NO APLICA</v>
      </c>
      <c r="OH84" s="6"/>
      <c r="OI84" s="6"/>
      <c r="OJ84" s="4"/>
      <c r="OK84" s="8"/>
      <c r="OL84" s="5" t="str">
        <f t="shared" si="344"/>
        <v>NO APLICA</v>
      </c>
      <c r="OM84" s="6"/>
      <c r="ON84" s="6"/>
      <c r="OO84" s="6"/>
      <c r="OP84" s="6"/>
      <c r="OQ84" s="5" t="str">
        <f t="shared" si="345"/>
        <v>NO APLICA</v>
      </c>
      <c r="OR84" s="6"/>
      <c r="OS84" s="6"/>
      <c r="OT84" s="6"/>
      <c r="OU84" s="6"/>
      <c r="OV84" s="5" t="str">
        <f t="shared" si="346"/>
        <v>NO APLICA</v>
      </c>
      <c r="OW84" s="6"/>
      <c r="OX84" s="6"/>
      <c r="OY84" s="6"/>
      <c r="OZ84" s="6"/>
      <c r="PA84" s="5" t="str">
        <f t="shared" si="347"/>
        <v>NO APLICA</v>
      </c>
      <c r="PB84" s="6"/>
      <c r="PC84" s="6"/>
      <c r="PD84" s="6"/>
      <c r="PE84" s="6"/>
      <c r="PF84" s="5" t="str">
        <f t="shared" si="348"/>
        <v>NO APLICA</v>
      </c>
      <c r="PG84" s="6"/>
      <c r="PH84" s="6"/>
      <c r="PI84" s="6"/>
      <c r="PJ84" s="6"/>
      <c r="PK84" s="5" t="str">
        <f t="shared" si="349"/>
        <v>NO APLICA</v>
      </c>
      <c r="PL84" s="5"/>
      <c r="PM84" s="6"/>
      <c r="PN84" s="4"/>
      <c r="PO84" s="8"/>
      <c r="PP84" s="5" t="str">
        <f t="shared" si="350"/>
        <v>NO APLICA</v>
      </c>
      <c r="PQ84" s="6"/>
      <c r="PR84" s="6"/>
      <c r="PS84" s="6"/>
      <c r="PT84" s="6"/>
      <c r="PU84" s="5" t="str">
        <f t="shared" si="351"/>
        <v>NO APLICA</v>
      </c>
      <c r="PV84" s="5"/>
      <c r="PW84" s="6"/>
      <c r="PX84" s="6"/>
      <c r="PY84" s="6"/>
      <c r="PZ84" s="5" t="str">
        <f t="shared" si="352"/>
        <v>NO APLICA</v>
      </c>
    </row>
    <row r="85" spans="1:442" ht="15.6" hidden="1" thickTop="1" thickBot="1" x14ac:dyDescent="0.35">
      <c r="A85" s="26">
        <v>82</v>
      </c>
      <c r="B85" s="27">
        <v>557</v>
      </c>
      <c r="C85" s="28" t="s">
        <v>305</v>
      </c>
      <c r="D85" s="29" t="s">
        <v>68</v>
      </c>
      <c r="E85" s="30" t="s">
        <v>306</v>
      </c>
      <c r="F85" s="5"/>
      <c r="G85" s="6"/>
      <c r="H85" s="4"/>
      <c r="I85" s="8"/>
      <c r="J85" s="5" t="str">
        <f t="shared" si="242"/>
        <v>NO APLICA</v>
      </c>
      <c r="K85" s="5"/>
      <c r="L85" s="6"/>
      <c r="M85" s="6"/>
      <c r="N85" s="8"/>
      <c r="O85" s="5" t="str">
        <f t="shared" si="243"/>
        <v>NO APLICA</v>
      </c>
      <c r="P85" s="6"/>
      <c r="Q85" s="6"/>
      <c r="R85" s="4"/>
      <c r="S85" s="8"/>
      <c r="T85" s="5" t="str">
        <f t="shared" si="353"/>
        <v>NO APLICA</v>
      </c>
      <c r="U85" s="5"/>
      <c r="V85" s="2" t="s">
        <v>307</v>
      </c>
      <c r="W85" s="4">
        <v>45693</v>
      </c>
      <c r="X85" s="4">
        <f t="shared" si="244"/>
        <v>47519</v>
      </c>
      <c r="Y85" s="8">
        <f t="shared" ca="1" si="245"/>
        <v>1374</v>
      </c>
      <c r="Z85" s="5" t="str">
        <f t="shared" ca="1" si="246"/>
        <v>VIGENTE</v>
      </c>
      <c r="AA85" s="5"/>
      <c r="AB85" s="2"/>
      <c r="AC85" s="6"/>
      <c r="AD85" s="4"/>
      <c r="AE85" s="8"/>
      <c r="AF85" s="5" t="str">
        <f t="shared" si="24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8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9"/>
        <v>102</v>
      </c>
      <c r="AP85" s="5" t="str">
        <f t="shared" ca="1" si="250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1"/>
        <v>89</v>
      </c>
      <c r="AU85" s="5" t="str">
        <f t="shared" ca="1" si="252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3"/>
        <v>98</v>
      </c>
      <c r="AZ85" s="5" t="str">
        <f t="shared" ca="1" si="254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5"/>
        <v>187</v>
      </c>
      <c r="BE85" s="5" t="str">
        <f t="shared" ca="1" si="256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7"/>
        <v>115</v>
      </c>
      <c r="BJ85" s="5" t="str">
        <f t="shared" ca="1" si="258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9"/>
        <v>184</v>
      </c>
      <c r="BO85" s="5" t="str">
        <f t="shared" ca="1" si="260"/>
        <v>VIGENTE</v>
      </c>
      <c r="BP85" s="3"/>
      <c r="BQ85" s="39">
        <v>45532</v>
      </c>
      <c r="BR85" s="4">
        <f>DATE(YEAR(BQ85)+2,MONTH(BQ85),DAY(BQ85)-1)</f>
        <v>46261</v>
      </c>
      <c r="BS85" s="8">
        <f t="shared" ca="1" si="261"/>
        <v>116</v>
      </c>
      <c r="BT85" s="5" t="str">
        <f t="shared" ca="1" si="262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3"/>
        <v>111</v>
      </c>
      <c r="BY85" s="5" t="str">
        <f t="shared" ca="1" si="264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5"/>
        <v>130</v>
      </c>
      <c r="CD85" s="5" t="str">
        <f t="shared" ca="1" si="266"/>
        <v>VIGENTE</v>
      </c>
      <c r="CE85" s="6"/>
      <c r="CF85" s="24"/>
      <c r="CG85" s="4"/>
      <c r="CH85" s="8"/>
      <c r="CI85" s="5" t="str">
        <f t="shared" si="269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0"/>
        <v>110</v>
      </c>
      <c r="CN85" s="5" t="str">
        <f t="shared" ca="1" si="271"/>
        <v>VIGENTE</v>
      </c>
      <c r="CO85" s="3"/>
      <c r="CP85" s="39">
        <v>45517</v>
      </c>
      <c r="CQ85" s="4">
        <f>DATE(YEAR(CP85)+2,MONTH(CP85),DAY(CP85)-1)</f>
        <v>46246</v>
      </c>
      <c r="CR85" s="8">
        <f t="shared" ca="1" si="272"/>
        <v>101</v>
      </c>
      <c r="CS85" s="5" t="str">
        <f t="shared" ca="1" si="273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4"/>
        <v>208</v>
      </c>
      <c r="CX85" s="5" t="str">
        <f t="shared" ca="1" si="275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6"/>
        <v>245</v>
      </c>
      <c r="DC85" s="5" t="str">
        <f t="shared" ca="1" si="277"/>
        <v>VIGENTE</v>
      </c>
      <c r="DD85" s="3"/>
      <c r="DE85" s="39">
        <v>45535</v>
      </c>
      <c r="DF85" s="4">
        <f t="shared" si="386"/>
        <v>46264</v>
      </c>
      <c r="DG85" s="8">
        <f t="shared" ca="1" si="278"/>
        <v>119</v>
      </c>
      <c r="DH85" s="5" t="str">
        <f t="shared" ca="1" si="279"/>
        <v>VIGENTE</v>
      </c>
      <c r="DI85" s="3"/>
      <c r="DJ85" s="39">
        <v>45509</v>
      </c>
      <c r="DK85" s="4">
        <f>DATE(YEAR(DJ85)+2,MONTH(DJ85),DAY(DJ85)-1)</f>
        <v>46238</v>
      </c>
      <c r="DL85" s="8">
        <f t="shared" ca="1" si="280"/>
        <v>93</v>
      </c>
      <c r="DM85" s="5" t="str">
        <f t="shared" ca="1" si="281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2"/>
        <v>315</v>
      </c>
      <c r="DR85" s="5" t="str">
        <f t="shared" ca="1" si="283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4"/>
        <v>203</v>
      </c>
      <c r="DW85" s="5" t="str">
        <f t="shared" ca="1" si="285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6"/>
        <v>166</v>
      </c>
      <c r="EB85" s="5" t="str">
        <f t="shared" ca="1" si="287"/>
        <v>VIGENTE</v>
      </c>
      <c r="EC85" s="3"/>
      <c r="ED85" s="39">
        <v>45602</v>
      </c>
      <c r="EE85" s="4">
        <f>DATE(YEAR(ED85)+2,MONTH(ED85),DAY(ED85)-1)</f>
        <v>46331</v>
      </c>
      <c r="EF85" s="8">
        <f t="shared" ca="1" si="288"/>
        <v>186</v>
      </c>
      <c r="EG85" s="5" t="str">
        <f t="shared" ca="1" si="289"/>
        <v>VIGENTE</v>
      </c>
      <c r="EH85" s="3"/>
      <c r="EI85" s="4">
        <v>46123</v>
      </c>
      <c r="EJ85" s="4">
        <f t="shared" si="355"/>
        <v>46488</v>
      </c>
      <c r="EK85" s="8">
        <f t="shared" ca="1" si="290"/>
        <v>343</v>
      </c>
      <c r="EL85" s="5" t="str">
        <f t="shared" ca="1" si="291"/>
        <v>VIGENTE</v>
      </c>
      <c r="EM85" s="3"/>
      <c r="EN85" s="4">
        <v>45660</v>
      </c>
      <c r="EO85" s="4">
        <f>DATE(YEAR(EN85)+2,MONTH(EN85),DAY(EN85)-1)</f>
        <v>46389</v>
      </c>
      <c r="EP85" s="8">
        <f t="shared" ca="1" si="292"/>
        <v>244</v>
      </c>
      <c r="EQ85" s="5" t="str">
        <f t="shared" ca="1" si="293"/>
        <v>VIGENTE</v>
      </c>
      <c r="ER85" s="3"/>
      <c r="ES85" s="39">
        <v>45677</v>
      </c>
      <c r="ET85" s="4">
        <f>DATE(YEAR(ES85)+2,MONTH(ES85),DAY(ES85)-1)</f>
        <v>46406</v>
      </c>
      <c r="EU85" s="8">
        <f t="shared" ca="1" si="294"/>
        <v>261</v>
      </c>
      <c r="EV85" s="5" t="str">
        <f t="shared" ca="1" si="295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6"/>
        <v>648</v>
      </c>
      <c r="FA85" s="5" t="str">
        <f t="shared" ca="1" si="297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8"/>
        <v>677</v>
      </c>
      <c r="FF85" s="5" t="str">
        <f t="shared" ca="1" si="299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0"/>
        <v>252</v>
      </c>
      <c r="FK85" s="5" t="str">
        <f t="shared" ca="1" si="301"/>
        <v>VIGENTE</v>
      </c>
      <c r="FL85" s="3"/>
      <c r="FM85" s="39">
        <v>45670</v>
      </c>
      <c r="FN85" s="4">
        <f>DATE(YEAR(FM85)+2,MONTH(FM85),DAY(FM85)-1)</f>
        <v>46399</v>
      </c>
      <c r="FO85" s="8">
        <f t="shared" ca="1" si="302"/>
        <v>254</v>
      </c>
      <c r="FP85" s="5" t="str">
        <f t="shared" ca="1" si="303"/>
        <v>VIGENTE</v>
      </c>
      <c r="FQ85" s="3"/>
      <c r="FR85" s="39">
        <v>45586</v>
      </c>
      <c r="FS85" s="4">
        <f>DATE(YEAR(FR85)+2,MONTH(FR85),DAY(FR85)-1)</f>
        <v>46315</v>
      </c>
      <c r="FT85" s="8">
        <f t="shared" ca="1" si="304"/>
        <v>170</v>
      </c>
      <c r="FU85" s="5" t="str">
        <f t="shared" ca="1" si="305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6"/>
        <v>158</v>
      </c>
      <c r="FZ85" s="5" t="str">
        <f t="shared" ca="1" si="307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8"/>
        <v>179</v>
      </c>
      <c r="GE85" s="5" t="str">
        <f t="shared" ca="1" si="309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0"/>
        <v>163</v>
      </c>
      <c r="GJ85" s="5" t="str">
        <f t="shared" ca="1" si="311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2"/>
        <v>151</v>
      </c>
      <c r="GO85" s="5" t="str">
        <f t="shared" ca="1" si="313"/>
        <v>VIGENTE</v>
      </c>
      <c r="GP85" s="4"/>
      <c r="GQ85" s="4">
        <v>45495</v>
      </c>
      <c r="GR85" s="4">
        <f t="shared" si="314"/>
        <v>47321</v>
      </c>
      <c r="GS85" s="8">
        <f t="shared" ca="1" si="384"/>
        <v>1176</v>
      </c>
      <c r="GT85" s="5" t="str">
        <f t="shared" ca="1" si="378"/>
        <v>VIGENTE</v>
      </c>
      <c r="GU85" s="3"/>
      <c r="GV85" s="4">
        <v>45507</v>
      </c>
      <c r="GW85" s="4">
        <f t="shared" si="316"/>
        <v>47333</v>
      </c>
      <c r="GX85" s="8">
        <f t="shared" ca="1" si="317"/>
        <v>1188</v>
      </c>
      <c r="GY85" s="5" t="str">
        <f t="shared" ca="1" si="379"/>
        <v>VIGENTE</v>
      </c>
      <c r="GZ85" s="2"/>
      <c r="HA85" s="4">
        <v>44911</v>
      </c>
      <c r="HB85" s="4">
        <f t="shared" si="319"/>
        <v>46737</v>
      </c>
      <c r="HC85" s="8">
        <f t="shared" ca="1" si="320"/>
        <v>592</v>
      </c>
      <c r="HD85" s="5" t="str">
        <f t="shared" ca="1" si="380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5"/>
        <v>NO APLICA</v>
      </c>
      <c r="HO85" s="2"/>
      <c r="HP85" s="5"/>
      <c r="HQ85" s="4"/>
      <c r="HR85" s="5"/>
      <c r="HS85" s="5" t="str">
        <f t="shared" si="322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3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4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5"/>
        <v>VIGENTE</v>
      </c>
      <c r="II85" s="6"/>
      <c r="IJ85" s="6"/>
      <c r="IK85" s="4"/>
      <c r="IL85" s="8"/>
      <c r="IM85" s="5" t="str">
        <f t="shared" si="326"/>
        <v>NO APLICA</v>
      </c>
      <c r="IN85" s="2"/>
      <c r="IO85" s="6"/>
      <c r="IP85" s="4"/>
      <c r="IQ85" s="8"/>
      <c r="IR85" s="5" t="str">
        <f t="shared" si="327"/>
        <v>NO APLICA</v>
      </c>
      <c r="IS85" s="2"/>
      <c r="IT85" s="6"/>
      <c r="IU85" s="4"/>
      <c r="IV85" s="8"/>
      <c r="IW85" s="5" t="str">
        <f t="shared" si="328"/>
        <v>NO APLICA</v>
      </c>
      <c r="IX85" s="2"/>
      <c r="IY85" s="6"/>
      <c r="IZ85" s="4"/>
      <c r="JA85" s="8"/>
      <c r="JB85" s="5" t="str">
        <f t="shared" si="329"/>
        <v>NO APLICA</v>
      </c>
      <c r="JC85" s="3" t="s">
        <v>780</v>
      </c>
      <c r="JD85" s="3"/>
      <c r="JE85" s="4"/>
      <c r="JF85" s="8"/>
      <c r="JG85" s="5"/>
      <c r="JH85" s="3" t="s">
        <v>780</v>
      </c>
      <c r="JI85" s="6"/>
      <c r="JJ85" s="6"/>
      <c r="JK85" s="6"/>
      <c r="JL85" s="5"/>
      <c r="JM85" s="6" t="s">
        <v>780</v>
      </c>
      <c r="JN85" s="6"/>
      <c r="JO85" s="6"/>
      <c r="JP85" s="6"/>
      <c r="JQ85" s="5"/>
      <c r="JR85" s="6" t="s">
        <v>780</v>
      </c>
      <c r="JS85" s="6"/>
      <c r="JT85" s="6"/>
      <c r="JU85" s="6"/>
      <c r="JV85" s="5"/>
      <c r="JW85" s="6" t="s">
        <v>780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30"/>
        <v>NO APLICA</v>
      </c>
      <c r="KG85" s="5"/>
      <c r="KH85" s="5"/>
      <c r="KI85" s="4"/>
      <c r="KJ85" s="8"/>
      <c r="KK85" s="5" t="str">
        <f t="shared" si="356"/>
        <v>NO APLICA</v>
      </c>
      <c r="KL85" s="5"/>
      <c r="KM85" s="5"/>
      <c r="KN85" s="4"/>
      <c r="KO85" s="8"/>
      <c r="KP85" s="5" t="str">
        <f t="shared" si="331"/>
        <v>NO APLICA</v>
      </c>
      <c r="KQ85" s="5"/>
      <c r="KR85" s="2"/>
      <c r="KS85" s="4"/>
      <c r="KT85" s="8"/>
      <c r="KU85" s="5" t="str">
        <f t="shared" si="357"/>
        <v>NO APLICA</v>
      </c>
      <c r="KV85" s="2"/>
      <c r="KW85" s="6"/>
      <c r="KX85" s="4"/>
      <c r="KY85" s="8"/>
      <c r="KZ85" s="5" t="str">
        <f t="shared" si="366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8"/>
        <v>VIGENTE</v>
      </c>
      <c r="LF85" s="6"/>
      <c r="LG85" s="6"/>
      <c r="LH85" s="4"/>
      <c r="LI85" s="8"/>
      <c r="LJ85" s="5" t="str">
        <f t="shared" si="332"/>
        <v>NO APLICA</v>
      </c>
      <c r="LK85" s="5"/>
      <c r="LL85" s="5"/>
      <c r="LM85" s="4"/>
      <c r="LN85" s="8"/>
      <c r="LO85" s="5" t="str">
        <f t="shared" si="367"/>
        <v>NO APLICA</v>
      </c>
      <c r="LP85" s="5"/>
      <c r="LQ85" s="6"/>
      <c r="LR85" s="4"/>
      <c r="LS85" s="8"/>
      <c r="LT85" s="5" t="str">
        <f t="shared" si="359"/>
        <v>NO APLICA</v>
      </c>
      <c r="LU85" s="6"/>
      <c r="LV85" s="6"/>
      <c r="LW85" s="4"/>
      <c r="LX85" s="8"/>
      <c r="LY85" s="5" t="str">
        <f t="shared" si="360"/>
        <v>NO APLICA</v>
      </c>
      <c r="LZ85" s="6"/>
      <c r="MA85" s="6"/>
      <c r="MB85" s="4"/>
      <c r="MC85" s="8"/>
      <c r="MD85" s="5" t="str">
        <f t="shared" si="361"/>
        <v>NO APLICA</v>
      </c>
      <c r="ME85" s="5"/>
      <c r="MF85" s="5"/>
      <c r="MG85" s="4"/>
      <c r="MH85" s="8"/>
      <c r="MI85" s="5" t="str">
        <f t="shared" si="333"/>
        <v>NO APLICA</v>
      </c>
      <c r="MJ85" s="5"/>
      <c r="MK85" s="5"/>
      <c r="ML85" s="4"/>
      <c r="MM85" s="8"/>
      <c r="MN85" s="5" t="str">
        <f t="shared" si="334"/>
        <v>NO APLICA</v>
      </c>
      <c r="MO85" s="5"/>
      <c r="MP85" s="5"/>
      <c r="MQ85" s="4"/>
      <c r="MR85" s="8"/>
      <c r="MS85" s="5" t="str">
        <f t="shared" si="335"/>
        <v>NO APLICA</v>
      </c>
      <c r="MT85" s="5"/>
      <c r="MU85" s="5"/>
      <c r="MV85" s="4"/>
      <c r="MW85" s="5"/>
      <c r="MX85" s="5" t="str">
        <f t="shared" si="336"/>
        <v>NO APLICA</v>
      </c>
      <c r="MY85" s="5"/>
      <c r="MZ85" s="6"/>
      <c r="NA85" s="4"/>
      <c r="NB85" s="8"/>
      <c r="NC85" s="5" t="str">
        <f t="shared" si="337"/>
        <v>NO APLICA</v>
      </c>
      <c r="ND85" s="5"/>
      <c r="NE85" s="6"/>
      <c r="NF85" s="4"/>
      <c r="NG85" s="8"/>
      <c r="NH85" s="5" t="str">
        <f t="shared" si="338"/>
        <v>NO APLICA</v>
      </c>
      <c r="NI85" s="5"/>
      <c r="NJ85" s="6"/>
      <c r="NK85" s="4"/>
      <c r="NL85" s="8"/>
      <c r="NM85" s="5" t="str">
        <f t="shared" si="339"/>
        <v>NO APLICA</v>
      </c>
      <c r="NN85" s="5"/>
      <c r="NO85" s="5"/>
      <c r="NP85" s="4"/>
      <c r="NQ85" s="8"/>
      <c r="NR85" s="5" t="str">
        <f t="shared" si="340"/>
        <v>NO APLICA</v>
      </c>
      <c r="NS85" s="5"/>
      <c r="NT85" s="5"/>
      <c r="NU85" s="5"/>
      <c r="NV85" s="5"/>
      <c r="NW85" s="5" t="str">
        <f t="shared" si="341"/>
        <v>NO APLICA</v>
      </c>
      <c r="NX85" s="6"/>
      <c r="NY85" s="6"/>
      <c r="NZ85" s="4"/>
      <c r="OA85" s="8"/>
      <c r="OB85" s="5" t="str">
        <f t="shared" si="342"/>
        <v>NO APLICA</v>
      </c>
      <c r="OC85" s="6"/>
      <c r="OD85" s="6"/>
      <c r="OE85" s="6"/>
      <c r="OF85" s="6"/>
      <c r="OG85" s="5" t="str">
        <f t="shared" si="343"/>
        <v>NO APLICA</v>
      </c>
      <c r="OH85" s="5"/>
      <c r="OI85" s="5"/>
      <c r="OJ85" s="4"/>
      <c r="OK85" s="8"/>
      <c r="OL85" s="5" t="str">
        <f t="shared" si="344"/>
        <v>NO APLICA</v>
      </c>
      <c r="OM85" s="6"/>
      <c r="ON85" s="6"/>
      <c r="OO85" s="6"/>
      <c r="OP85" s="6"/>
      <c r="OQ85" s="5" t="str">
        <f t="shared" si="345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6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7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8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9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50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1"/>
        <v>VIGENTE</v>
      </c>
      <c r="PV85" s="5"/>
      <c r="PW85" s="6"/>
      <c r="PX85" s="6"/>
      <c r="PY85" s="6"/>
      <c r="PZ85" s="5" t="str">
        <f t="shared" si="352"/>
        <v>NO APLICA</v>
      </c>
    </row>
    <row r="86" spans="1:442" ht="15.6" hidden="1" thickTop="1" thickBot="1" x14ac:dyDescent="0.35">
      <c r="A86" s="26">
        <v>83</v>
      </c>
      <c r="B86" s="31">
        <v>1741</v>
      </c>
      <c r="C86" s="28" t="s">
        <v>308</v>
      </c>
      <c r="D86" s="29" t="s">
        <v>117</v>
      </c>
      <c r="E86" s="30" t="s">
        <v>118</v>
      </c>
      <c r="F86" s="6"/>
      <c r="G86" s="6"/>
      <c r="H86" s="6"/>
      <c r="I86" s="6"/>
      <c r="J86" s="5" t="str">
        <f t="shared" si="242"/>
        <v>NO APLICA</v>
      </c>
      <c r="K86" s="6"/>
      <c r="L86" s="6"/>
      <c r="M86" s="6"/>
      <c r="N86" s="6"/>
      <c r="O86" s="5" t="str">
        <f t="shared" si="243"/>
        <v>NO APLICA</v>
      </c>
      <c r="P86" s="6"/>
      <c r="Q86" s="6"/>
      <c r="R86" s="6"/>
      <c r="S86" s="6"/>
      <c r="T86" s="5" t="str">
        <f t="shared" si="353"/>
        <v>NO APLICA</v>
      </c>
      <c r="U86" s="5"/>
      <c r="V86" s="6" t="s">
        <v>309</v>
      </c>
      <c r="W86" s="4">
        <v>45320</v>
      </c>
      <c r="X86" s="4">
        <f t="shared" si="244"/>
        <v>47147</v>
      </c>
      <c r="Y86" s="8">
        <f t="shared" ca="1" si="245"/>
        <v>1002</v>
      </c>
      <c r="Z86" s="5" t="str">
        <f t="shared" ca="1" si="246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8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9"/>
        <v>102</v>
      </c>
      <c r="AP86" s="5" t="str">
        <f t="shared" ca="1" si="250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1"/>
        <v>89</v>
      </c>
      <c r="AU86" s="5" t="str">
        <f t="shared" ca="1" si="252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3"/>
        <v>98</v>
      </c>
      <c r="AZ86" s="5" t="str">
        <f t="shared" ca="1" si="254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5"/>
        <v>118</v>
      </c>
      <c r="BE86" s="5" t="str">
        <f t="shared" ca="1" si="256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7"/>
        <v>115</v>
      </c>
      <c r="BJ86" s="5" t="str">
        <f t="shared" ca="1" si="258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9"/>
        <v>184</v>
      </c>
      <c r="BO86" s="5" t="str">
        <f t="shared" ca="1" si="260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1"/>
        <v>116</v>
      </c>
      <c r="BT86" s="5" t="str">
        <f t="shared" ca="1" si="262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3"/>
        <v>152</v>
      </c>
      <c r="BY86" s="5" t="str">
        <f t="shared" ca="1" si="264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5"/>
        <v>109</v>
      </c>
      <c r="CD86" s="5" t="str">
        <f t="shared" ca="1" si="266"/>
        <v>VIGENTE</v>
      </c>
      <c r="CE86" s="6"/>
      <c r="CF86" s="4">
        <v>45616</v>
      </c>
      <c r="CG86" s="4">
        <f t="shared" ref="CG86:CG108" si="387">DATE(YEAR(CF86)+4,MONTH(CF86),DAY(CF86))</f>
        <v>47077</v>
      </c>
      <c r="CH86" s="8">
        <f t="shared" ref="CH86:CH108" ca="1" si="388">CG86-TODAY()</f>
        <v>932</v>
      </c>
      <c r="CI86" s="5" t="str">
        <f t="shared" ca="1" si="269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0"/>
        <v>95</v>
      </c>
      <c r="CN86" s="5" t="str">
        <f t="shared" ca="1" si="271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2"/>
        <v>181</v>
      </c>
      <c r="CS86" s="5" t="str">
        <f t="shared" ca="1" si="273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4"/>
        <v>191</v>
      </c>
      <c r="CX86" s="5" t="str">
        <f t="shared" ca="1" si="275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6"/>
        <v>177</v>
      </c>
      <c r="DC86" s="5" t="str">
        <f t="shared" ca="1" si="277"/>
        <v>VIGENTE</v>
      </c>
      <c r="DD86" s="4"/>
      <c r="DE86" s="4">
        <v>45596</v>
      </c>
      <c r="DF86" s="4">
        <f t="shared" si="386"/>
        <v>46325</v>
      </c>
      <c r="DG86" s="8">
        <f t="shared" ca="1" si="278"/>
        <v>180</v>
      </c>
      <c r="DH86" s="5" t="str">
        <f t="shared" ca="1" si="279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0"/>
        <v>153</v>
      </c>
      <c r="DM86" s="5" t="str">
        <f t="shared" ca="1" si="281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2"/>
        <v>161</v>
      </c>
      <c r="DR86" s="5" t="str">
        <f t="shared" ca="1" si="283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4"/>
        <v>124</v>
      </c>
      <c r="DW86" s="5" t="str">
        <f t="shared" ca="1" si="285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6"/>
        <v>166</v>
      </c>
      <c r="EB86" s="5" t="str">
        <f t="shared" ca="1" si="287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8"/>
        <v>167</v>
      </c>
      <c r="EG86" s="5" t="str">
        <f t="shared" ca="1" si="289"/>
        <v>VIGENTE</v>
      </c>
      <c r="EH86" s="3"/>
      <c r="EI86" s="3">
        <v>46107</v>
      </c>
      <c r="EJ86" s="4">
        <f t="shared" si="355"/>
        <v>46472</v>
      </c>
      <c r="EK86" s="8">
        <f t="shared" ca="1" si="290"/>
        <v>327</v>
      </c>
      <c r="EL86" s="5" t="str">
        <f t="shared" ca="1" si="291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2"/>
        <v>168</v>
      </c>
      <c r="EQ86" s="5" t="str">
        <f t="shared" ca="1" si="293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4"/>
        <v>159</v>
      </c>
      <c r="EV86" s="5" t="str">
        <f t="shared" ca="1" si="295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6"/>
        <v>86</v>
      </c>
      <c r="FA86" s="5" t="str">
        <f t="shared" ca="1" si="297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8"/>
        <v>122</v>
      </c>
      <c r="FF86" s="5" t="str">
        <f t="shared" ca="1" si="299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0"/>
        <v>126</v>
      </c>
      <c r="FK86" s="5" t="str">
        <f t="shared" ca="1" si="301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2"/>
        <v>172</v>
      </c>
      <c r="FP86" s="5" t="str">
        <f t="shared" ca="1" si="303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4"/>
        <v>170</v>
      </c>
      <c r="FU86" s="5" t="str">
        <f t="shared" ca="1" si="305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6"/>
        <v>165</v>
      </c>
      <c r="FZ86" s="5" t="str">
        <f t="shared" ca="1" si="307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8"/>
        <v>179</v>
      </c>
      <c r="GE86" s="5" t="str">
        <f t="shared" ca="1" si="309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0"/>
        <v>163</v>
      </c>
      <c r="GJ86" s="5" t="str">
        <f t="shared" ca="1" si="311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2"/>
        <v>151</v>
      </c>
      <c r="GO86" s="5" t="str">
        <f t="shared" ca="1" si="313"/>
        <v>VIGENTE</v>
      </c>
      <c r="GP86" s="4"/>
      <c r="GQ86" s="4">
        <v>45495</v>
      </c>
      <c r="GR86" s="4">
        <f t="shared" si="314"/>
        <v>47321</v>
      </c>
      <c r="GS86" s="8">
        <f t="shared" ca="1" si="384"/>
        <v>1176</v>
      </c>
      <c r="GT86" s="5" t="str">
        <f t="shared" ca="1" si="378"/>
        <v>VIGENTE</v>
      </c>
      <c r="GU86" s="4"/>
      <c r="GV86" s="4">
        <v>45507</v>
      </c>
      <c r="GW86" s="4">
        <f t="shared" si="316"/>
        <v>47333</v>
      </c>
      <c r="GX86" s="8">
        <f t="shared" ca="1" si="317"/>
        <v>1188</v>
      </c>
      <c r="GY86" s="5" t="str">
        <f t="shared" ca="1" si="379"/>
        <v>VIGENTE</v>
      </c>
      <c r="GZ86" s="6"/>
      <c r="HA86" s="4">
        <v>45497</v>
      </c>
      <c r="HB86" s="4">
        <f t="shared" si="319"/>
        <v>47323</v>
      </c>
      <c r="HC86" s="8">
        <f t="shared" ca="1" si="320"/>
        <v>1178</v>
      </c>
      <c r="HD86" s="5" t="str">
        <f t="shared" ca="1" si="38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5"/>
        <v>NO APLICA</v>
      </c>
      <c r="HO86" s="6"/>
      <c r="HP86" s="6"/>
      <c r="HQ86" s="4"/>
      <c r="HR86" s="6"/>
      <c r="HS86" s="5" t="str">
        <f t="shared" si="322"/>
        <v>NO APLICA</v>
      </c>
      <c r="HT86" s="6"/>
      <c r="HU86" s="6"/>
      <c r="HV86" s="4"/>
      <c r="HW86" s="6"/>
      <c r="HX86" s="5" t="str">
        <f t="shared" si="323"/>
        <v>NO APLICA</v>
      </c>
      <c r="HY86" s="6"/>
      <c r="HZ86" s="6"/>
      <c r="IA86" s="4"/>
      <c r="IB86" s="6"/>
      <c r="IC86" s="5" t="str">
        <f t="shared" si="324"/>
        <v>NO APLICA</v>
      </c>
      <c r="ID86" s="6"/>
      <c r="IE86" s="6"/>
      <c r="IF86" s="4"/>
      <c r="IG86" s="6"/>
      <c r="IH86" s="5" t="str">
        <f t="shared" si="325"/>
        <v>NO APLICA</v>
      </c>
      <c r="II86" s="6"/>
      <c r="IJ86" s="6"/>
      <c r="IK86" s="4"/>
      <c r="IL86" s="6"/>
      <c r="IM86" s="5" t="str">
        <f t="shared" si="326"/>
        <v>NO APLICA</v>
      </c>
      <c r="IN86" s="6"/>
      <c r="IO86" s="6"/>
      <c r="IP86" s="4"/>
      <c r="IQ86" s="8"/>
      <c r="IR86" s="5" t="str">
        <f t="shared" si="327"/>
        <v>NO APLICA</v>
      </c>
      <c r="IS86" s="6"/>
      <c r="IT86" s="6"/>
      <c r="IU86" s="4"/>
      <c r="IV86" s="6"/>
      <c r="IW86" s="5" t="str">
        <f t="shared" si="328"/>
        <v>NO APLICA</v>
      </c>
      <c r="IX86" s="6"/>
      <c r="IY86" s="6"/>
      <c r="IZ86" s="4"/>
      <c r="JA86" s="6"/>
      <c r="JB86" s="5" t="str">
        <f t="shared" si="329"/>
        <v>NO APLICA</v>
      </c>
      <c r="JC86" s="3" t="s">
        <v>780</v>
      </c>
      <c r="JD86" s="6"/>
      <c r="JE86" s="6"/>
      <c r="JF86" s="6"/>
      <c r="JG86" s="5"/>
      <c r="JH86" s="3" t="s">
        <v>780</v>
      </c>
      <c r="JI86" s="6"/>
      <c r="JJ86" s="6"/>
      <c r="JK86" s="6"/>
      <c r="JL86" s="5"/>
      <c r="JM86" s="6" t="s">
        <v>780</v>
      </c>
      <c r="JN86" s="6"/>
      <c r="JO86" s="6"/>
      <c r="JP86" s="6"/>
      <c r="JQ86" s="5"/>
      <c r="JR86" s="6" t="s">
        <v>780</v>
      </c>
      <c r="JS86" s="6"/>
      <c r="JT86" s="6"/>
      <c r="JU86" s="6"/>
      <c r="JV86" s="5"/>
      <c r="JW86" s="6" t="s">
        <v>780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30"/>
        <v>NO APLICA</v>
      </c>
      <c r="KG86" s="5"/>
      <c r="KH86" s="6"/>
      <c r="KI86" s="4"/>
      <c r="KJ86" s="6"/>
      <c r="KK86" s="5" t="str">
        <f t="shared" si="356"/>
        <v>NO APLICA</v>
      </c>
      <c r="KL86" s="5"/>
      <c r="KM86" s="6"/>
      <c r="KN86" s="4"/>
      <c r="KO86" s="6"/>
      <c r="KP86" s="5" t="str">
        <f t="shared" si="331"/>
        <v>NO APLICA</v>
      </c>
      <c r="KQ86" s="5"/>
      <c r="KR86" s="2"/>
      <c r="KS86" s="2"/>
      <c r="KT86" s="2"/>
      <c r="KU86" s="5" t="str">
        <f t="shared" si="357"/>
        <v>NO APLICA</v>
      </c>
      <c r="KV86" s="6"/>
      <c r="KW86" s="6"/>
      <c r="KX86" s="4"/>
      <c r="KY86" s="6"/>
      <c r="KZ86" s="5" t="str">
        <f t="shared" si="366"/>
        <v>NO APLICA</v>
      </c>
      <c r="LA86" s="5"/>
      <c r="LB86" s="6"/>
      <c r="LC86" s="4"/>
      <c r="LD86" s="6"/>
      <c r="LE86" s="5" t="str">
        <f t="shared" si="358"/>
        <v>NO APLICA</v>
      </c>
      <c r="LF86" s="6"/>
      <c r="LG86" s="6"/>
      <c r="LH86" s="6"/>
      <c r="LI86" s="6"/>
      <c r="LJ86" s="5" t="str">
        <f t="shared" si="332"/>
        <v>NO APLICA</v>
      </c>
      <c r="LK86" s="5"/>
      <c r="LL86" s="5"/>
      <c r="LM86" s="4"/>
      <c r="LN86" s="8"/>
      <c r="LO86" s="5" t="str">
        <f t="shared" si="367"/>
        <v>NO APLICA</v>
      </c>
      <c r="LP86" s="6"/>
      <c r="LQ86" s="6"/>
      <c r="LR86" s="4"/>
      <c r="LS86" s="8"/>
      <c r="LT86" s="5" t="str">
        <f t="shared" si="359"/>
        <v>NO APLICA</v>
      </c>
      <c r="LU86" s="6"/>
      <c r="LV86" s="6"/>
      <c r="LW86" s="4"/>
      <c r="LX86" s="6"/>
      <c r="LY86" s="5" t="str">
        <f t="shared" si="360"/>
        <v>NO APLICA</v>
      </c>
      <c r="LZ86" s="6"/>
      <c r="MA86" s="6"/>
      <c r="MB86" s="4"/>
      <c r="MC86" s="6"/>
      <c r="MD86" s="5" t="str">
        <f t="shared" si="361"/>
        <v>NO APLICA</v>
      </c>
      <c r="ME86" s="6"/>
      <c r="MF86" s="6"/>
      <c r="MG86" s="4"/>
      <c r="MH86" s="6"/>
      <c r="MI86" s="5" t="str">
        <f t="shared" si="333"/>
        <v>NO APLICA</v>
      </c>
      <c r="MJ86" s="6"/>
      <c r="MK86" s="6"/>
      <c r="ML86" s="4"/>
      <c r="MM86" s="6"/>
      <c r="MN86" s="5" t="str">
        <f t="shared" si="334"/>
        <v>NO APLICA</v>
      </c>
      <c r="MO86" s="5"/>
      <c r="MP86" s="6"/>
      <c r="MQ86" s="4"/>
      <c r="MR86" s="6"/>
      <c r="MS86" s="5" t="str">
        <f t="shared" si="335"/>
        <v>NO APLICA</v>
      </c>
      <c r="MT86" s="5"/>
      <c r="MU86" s="6"/>
      <c r="MV86" s="6"/>
      <c r="MW86" s="6"/>
      <c r="MX86" s="5" t="str">
        <f t="shared" si="336"/>
        <v>NO APLICA</v>
      </c>
      <c r="MY86" s="6"/>
      <c r="MZ86" s="6"/>
      <c r="NA86" s="4"/>
      <c r="NB86" s="6"/>
      <c r="NC86" s="5" t="str">
        <f t="shared" si="337"/>
        <v>NO APLICA</v>
      </c>
      <c r="ND86" s="6"/>
      <c r="NE86" s="6"/>
      <c r="NF86" s="4"/>
      <c r="NG86" s="6"/>
      <c r="NH86" s="5" t="str">
        <f t="shared" si="338"/>
        <v>NO APLICA</v>
      </c>
      <c r="NI86" s="6"/>
      <c r="NJ86" s="6"/>
      <c r="NK86" s="4"/>
      <c r="NL86" s="6"/>
      <c r="NM86" s="5" t="str">
        <f t="shared" si="339"/>
        <v>NO APLICA</v>
      </c>
      <c r="NN86" s="6"/>
      <c r="NO86" s="6"/>
      <c r="NP86" s="4"/>
      <c r="NQ86" s="6"/>
      <c r="NR86" s="5" t="str">
        <f t="shared" si="340"/>
        <v>NO APLICA</v>
      </c>
      <c r="NS86" s="6"/>
      <c r="NT86" s="6"/>
      <c r="NU86" s="4"/>
      <c r="NV86" s="6"/>
      <c r="NW86" s="5" t="str">
        <f t="shared" si="341"/>
        <v>NO APLICA</v>
      </c>
      <c r="NX86" s="6"/>
      <c r="NY86" s="6"/>
      <c r="NZ86" s="4"/>
      <c r="OA86" s="8"/>
      <c r="OB86" s="5" t="str">
        <f t="shared" si="342"/>
        <v>NO APLICA</v>
      </c>
      <c r="OC86" s="6"/>
      <c r="OD86" s="6"/>
      <c r="OE86" s="6"/>
      <c r="OF86" s="6"/>
      <c r="OG86" s="5" t="str">
        <f t="shared" si="343"/>
        <v>NO APLICA</v>
      </c>
      <c r="OH86" s="6"/>
      <c r="OI86" s="6"/>
      <c r="OJ86" s="6"/>
      <c r="OK86" s="6"/>
      <c r="OL86" s="5" t="str">
        <f t="shared" si="344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5"/>
        <v>VIGENTE</v>
      </c>
      <c r="OR86" s="6"/>
      <c r="OS86" s="6"/>
      <c r="OT86" s="6"/>
      <c r="OU86" s="6"/>
      <c r="OV86" s="5" t="str">
        <f t="shared" si="346"/>
        <v>NO APLICA</v>
      </c>
      <c r="OW86" s="6"/>
      <c r="OX86" s="6"/>
      <c r="OY86" s="6"/>
      <c r="OZ86" s="6"/>
      <c r="PA86" s="5" t="str">
        <f t="shared" si="347"/>
        <v>NO APLICA</v>
      </c>
      <c r="PB86" s="6"/>
      <c r="PC86" s="6"/>
      <c r="PD86" s="6"/>
      <c r="PE86" s="6"/>
      <c r="PF86" s="5" t="str">
        <f t="shared" si="348"/>
        <v>NO APLICA</v>
      </c>
      <c r="PG86" s="6"/>
      <c r="PH86" s="6"/>
      <c r="PI86" s="6"/>
      <c r="PJ86" s="6"/>
      <c r="PK86" s="5" t="str">
        <f t="shared" si="349"/>
        <v>NO APLICA</v>
      </c>
      <c r="PL86" s="5"/>
      <c r="PM86" s="6"/>
      <c r="PN86" s="6"/>
      <c r="PO86" s="6"/>
      <c r="PP86" s="5" t="str">
        <f t="shared" si="350"/>
        <v>NO APLICA</v>
      </c>
      <c r="PQ86" s="6"/>
      <c r="PR86" s="6"/>
      <c r="PS86" s="6"/>
      <c r="PT86" s="6"/>
      <c r="PU86" s="5" t="str">
        <f t="shared" si="351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2"/>
        <v>VIGENTE</v>
      </c>
    </row>
    <row r="87" spans="1:442" ht="15.6" hidden="1" thickTop="1" thickBot="1" x14ac:dyDescent="0.35">
      <c r="A87" s="26">
        <v>84</v>
      </c>
      <c r="B87" s="27">
        <v>752</v>
      </c>
      <c r="C87" s="28" t="s">
        <v>311</v>
      </c>
      <c r="D87" s="29" t="s">
        <v>68</v>
      </c>
      <c r="E87" s="30" t="s">
        <v>77</v>
      </c>
      <c r="F87" s="5"/>
      <c r="G87" s="6"/>
      <c r="H87" s="4"/>
      <c r="I87" s="8"/>
      <c r="J87" s="5" t="str">
        <f t="shared" si="242"/>
        <v>NO APLICA</v>
      </c>
      <c r="K87" s="5"/>
      <c r="L87" s="6"/>
      <c r="M87" s="6"/>
      <c r="N87" s="8"/>
      <c r="O87" s="5" t="str">
        <f t="shared" si="243"/>
        <v>NO APLICA</v>
      </c>
      <c r="P87" s="6"/>
      <c r="Q87" s="6"/>
      <c r="R87" s="4"/>
      <c r="S87" s="8"/>
      <c r="T87" s="5" t="str">
        <f t="shared" si="353"/>
        <v>NO APLICA</v>
      </c>
      <c r="U87" s="5"/>
      <c r="V87" s="2" t="s">
        <v>312</v>
      </c>
      <c r="W87" s="4">
        <v>44801</v>
      </c>
      <c r="X87" s="4">
        <f t="shared" si="244"/>
        <v>46627</v>
      </c>
      <c r="Y87" s="8">
        <f t="shared" ca="1" si="245"/>
        <v>482</v>
      </c>
      <c r="Z87" s="5" t="str">
        <f t="shared" ca="1" si="246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8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90">DATE(YEAR(AM87)+2,MONTH(AM87),DAY(AM87))</f>
        <v>46792</v>
      </c>
      <c r="AO87" s="8">
        <f t="shared" ca="1" si="249"/>
        <v>647</v>
      </c>
      <c r="AP87" s="5" t="str">
        <f t="shared" ca="1" si="250"/>
        <v>VIGENTE</v>
      </c>
      <c r="AQ87" s="3"/>
      <c r="AR87" s="4">
        <v>45967</v>
      </c>
      <c r="AS87" s="4">
        <f t="shared" ref="AS87:AS95" si="391">DATE(YEAR(AR87)+2,MONTH(AR87),DAY(AR87))</f>
        <v>46697</v>
      </c>
      <c r="AT87" s="8">
        <f t="shared" ca="1" si="251"/>
        <v>552</v>
      </c>
      <c r="AU87" s="5" t="str">
        <f t="shared" ca="1" si="252"/>
        <v>VIGENTE</v>
      </c>
      <c r="AV87" s="3"/>
      <c r="AW87" s="4">
        <v>45972</v>
      </c>
      <c r="AX87" s="4">
        <f t="shared" ref="AX87:AX95" si="392">DATE(YEAR(AW87)+2,MONTH(AW87),DAY(AW87))</f>
        <v>46702</v>
      </c>
      <c r="AY87" s="8">
        <f t="shared" ca="1" si="253"/>
        <v>557</v>
      </c>
      <c r="AZ87" s="5" t="str">
        <f t="shared" ca="1" si="254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5"/>
        <v>656</v>
      </c>
      <c r="BE87" s="5" t="str">
        <f t="shared" ca="1" si="256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7"/>
        <v>652</v>
      </c>
      <c r="BJ87" s="5" t="str">
        <f t="shared" ca="1" si="258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9"/>
        <v>641</v>
      </c>
      <c r="BO87" s="5" t="str">
        <f t="shared" ca="1" si="260"/>
        <v>VIGENTE</v>
      </c>
      <c r="BP87" s="3"/>
      <c r="BQ87" s="39">
        <v>46120</v>
      </c>
      <c r="BR87" s="4">
        <f>DATE(YEAR(BQ87)+2,MONTH(BQ87),DAY(BQ87)-1)</f>
        <v>46850</v>
      </c>
      <c r="BS87" s="8">
        <f t="shared" ca="1" si="261"/>
        <v>705</v>
      </c>
      <c r="BT87" s="5" t="str">
        <f t="shared" ca="1" si="262"/>
        <v>VIGENTE</v>
      </c>
      <c r="BU87" s="3"/>
      <c r="BV87" s="4">
        <v>46116</v>
      </c>
      <c r="BW87" s="4">
        <f>DATE(YEAR(BV87)+2,MONTH(BV87),DAY(BV87)-1)</f>
        <v>46846</v>
      </c>
      <c r="BX87" s="8">
        <f t="shared" ca="1" si="263"/>
        <v>701</v>
      </c>
      <c r="BY87" s="5" t="str">
        <f t="shared" ca="1" si="264"/>
        <v>VIGENTE</v>
      </c>
      <c r="BZ87" s="3"/>
      <c r="CA87" s="4">
        <v>45954</v>
      </c>
      <c r="CB87" s="4">
        <f t="shared" ref="CB87:CB97" si="393">DATE(YEAR(CA87)+2,MONTH(CA87),DAY(CA87))</f>
        <v>46684</v>
      </c>
      <c r="CC87" s="8">
        <f t="shared" ca="1" si="265"/>
        <v>539</v>
      </c>
      <c r="CD87" s="5" t="str">
        <f t="shared" ca="1" si="266"/>
        <v>VIGENTE</v>
      </c>
      <c r="CE87" s="6"/>
      <c r="CF87" s="4">
        <v>45211</v>
      </c>
      <c r="CG87" s="4">
        <f t="shared" si="387"/>
        <v>46672</v>
      </c>
      <c r="CH87" s="8">
        <f t="shared" ca="1" si="388"/>
        <v>527</v>
      </c>
      <c r="CI87" s="5" t="str">
        <f t="shared" ca="1" si="269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0"/>
        <v>605</v>
      </c>
      <c r="CN87" s="5" t="str">
        <f t="shared" ca="1" si="271"/>
        <v>VIGENTE</v>
      </c>
      <c r="CO87" s="3"/>
      <c r="CP87" s="39">
        <v>45898</v>
      </c>
      <c r="CQ87" s="4">
        <f>DATE(YEAR(CP87)+2,MONTH(CP87),DAY(CP87))</f>
        <v>46628</v>
      </c>
      <c r="CR87" s="8">
        <f t="shared" ca="1" si="272"/>
        <v>483</v>
      </c>
      <c r="CS87" s="5" t="str">
        <f t="shared" ca="1" si="273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4"/>
        <v>215</v>
      </c>
      <c r="CX87" s="5" t="str">
        <f t="shared" ca="1" si="275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6"/>
        <v>245</v>
      </c>
      <c r="DC87" s="5" t="str">
        <f t="shared" ca="1" si="277"/>
        <v>VIGENTE</v>
      </c>
      <c r="DD87" s="3"/>
      <c r="DE87" s="39">
        <v>45689</v>
      </c>
      <c r="DF87" s="4">
        <f t="shared" si="386"/>
        <v>46418</v>
      </c>
      <c r="DG87" s="8">
        <f t="shared" ca="1" si="278"/>
        <v>273</v>
      </c>
      <c r="DH87" s="5" t="str">
        <f t="shared" ca="1" si="279"/>
        <v>VIGENTE</v>
      </c>
      <c r="DI87" s="3"/>
      <c r="DJ87" s="39">
        <v>45955</v>
      </c>
      <c r="DK87" s="4">
        <f t="shared" ref="DK87:DK92" si="394">DATE(YEAR(DJ87)+2,MONTH(DJ87),DAY(DJ87))</f>
        <v>46685</v>
      </c>
      <c r="DL87" s="8">
        <f t="shared" ca="1" si="280"/>
        <v>540</v>
      </c>
      <c r="DM87" s="5" t="str">
        <f t="shared" ca="1" si="281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2"/>
        <v>161</v>
      </c>
      <c r="DR87" s="5" t="str">
        <f t="shared" ca="1" si="283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4"/>
        <v>603</v>
      </c>
      <c r="DW87" s="5" t="str">
        <f t="shared" ca="1" si="285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6"/>
        <v>519</v>
      </c>
      <c r="EB87" s="5" t="str">
        <f t="shared" ca="1" si="287"/>
        <v>VIGENTE</v>
      </c>
      <c r="EC87" s="3"/>
      <c r="ED87" s="39">
        <v>45938</v>
      </c>
      <c r="EE87" s="4">
        <f>DATE(YEAR(ED87)+2,MONTH(ED87),DAY(ED87))</f>
        <v>46668</v>
      </c>
      <c r="EF87" s="8">
        <f t="shared" ca="1" si="288"/>
        <v>523</v>
      </c>
      <c r="EG87" s="5" t="str">
        <f t="shared" ca="1" si="289"/>
        <v>VIGENTE</v>
      </c>
      <c r="EH87" s="3"/>
      <c r="EI87" s="4">
        <v>45948</v>
      </c>
      <c r="EJ87" s="4">
        <f t="shared" si="355"/>
        <v>46313</v>
      </c>
      <c r="EK87" s="8">
        <f t="shared" ca="1" si="290"/>
        <v>168</v>
      </c>
      <c r="EL87" s="5" t="str">
        <f t="shared" ca="1" si="291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2"/>
        <v>551</v>
      </c>
      <c r="EQ87" s="5" t="str">
        <f t="shared" ca="1" si="293"/>
        <v>VIGENTE</v>
      </c>
      <c r="ER87" s="3"/>
      <c r="ES87" s="39">
        <v>45993</v>
      </c>
      <c r="ET87" s="4">
        <f t="shared" ref="ET87:ET92" si="395">DATE(YEAR(ES87)+2,MONTH(ES87),DAY(ES87))</f>
        <v>46723</v>
      </c>
      <c r="EU87" s="8">
        <f t="shared" ca="1" si="294"/>
        <v>578</v>
      </c>
      <c r="EV87" s="5" t="str">
        <f t="shared" ca="1" si="295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6"/>
        <v>538</v>
      </c>
      <c r="FA87" s="5" t="str">
        <f t="shared" ca="1" si="297"/>
        <v>VIGENTE</v>
      </c>
      <c r="FB87" s="3"/>
      <c r="FC87" s="4">
        <v>45988</v>
      </c>
      <c r="FD87" s="4">
        <f t="shared" ref="FD87:FD97" si="396">DATE(YEAR(FC87)+2,MONTH(FC87),DAY(FC87))</f>
        <v>46718</v>
      </c>
      <c r="FE87" s="8">
        <f t="shared" ca="1" si="298"/>
        <v>573</v>
      </c>
      <c r="FF87" s="5" t="str">
        <f t="shared" ca="1" si="299"/>
        <v>VIGENTE</v>
      </c>
      <c r="FG87" s="3"/>
      <c r="FH87" s="4">
        <v>45992</v>
      </c>
      <c r="FI87" s="4">
        <f t="shared" ref="FI87:FI98" si="397">DATE(YEAR(FH87)+2,MONTH(FH87),DAY(FH87))</f>
        <v>46722</v>
      </c>
      <c r="FJ87" s="8">
        <f t="shared" ca="1" si="300"/>
        <v>577</v>
      </c>
      <c r="FK87" s="5" t="str">
        <f t="shared" ca="1" si="301"/>
        <v>VIGENTE</v>
      </c>
      <c r="FL87" s="3"/>
      <c r="FM87" s="39">
        <v>46102</v>
      </c>
      <c r="FN87" s="4">
        <f>DATE(YEAR(FM87)+2,MONTH(FM87),DAY(FM87))</f>
        <v>46833</v>
      </c>
      <c r="FO87" s="8">
        <f t="shared" ca="1" si="302"/>
        <v>688</v>
      </c>
      <c r="FP87" s="5" t="str">
        <f t="shared" ca="1" si="303"/>
        <v>VIGENTE</v>
      </c>
      <c r="FQ87" s="3"/>
      <c r="FR87" s="39">
        <v>46034</v>
      </c>
      <c r="FS87" s="4">
        <f>DATE(YEAR(FR87)+2,MONTH(FR87),DAY(FR87))</f>
        <v>46764</v>
      </c>
      <c r="FT87" s="8">
        <f t="shared" ca="1" si="304"/>
        <v>619</v>
      </c>
      <c r="FU87" s="5" t="str">
        <f t="shared" ca="1" si="305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6"/>
        <v>171</v>
      </c>
      <c r="FZ87" s="5" t="str">
        <f t="shared" ca="1" si="307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8"/>
        <v>615</v>
      </c>
      <c r="GE87" s="5" t="str">
        <f t="shared" ca="1" si="309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0"/>
        <v>497</v>
      </c>
      <c r="GJ87" s="5" t="str">
        <f t="shared" ca="1" si="311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2"/>
        <v>508</v>
      </c>
      <c r="GO87" s="5" t="str">
        <f t="shared" ca="1" si="313"/>
        <v>VIGENTE</v>
      </c>
      <c r="GP87" s="4"/>
      <c r="GQ87" s="4">
        <v>44966</v>
      </c>
      <c r="GR87" s="4">
        <f t="shared" si="314"/>
        <v>46792</v>
      </c>
      <c r="GS87" s="8">
        <f t="shared" ca="1" si="384"/>
        <v>647</v>
      </c>
      <c r="GT87" s="5" t="str">
        <f t="shared" ca="1" si="378"/>
        <v>VIGENTE</v>
      </c>
      <c r="GU87" s="3"/>
      <c r="GV87" s="4">
        <v>44984</v>
      </c>
      <c r="GW87" s="4">
        <f t="shared" si="316"/>
        <v>46810</v>
      </c>
      <c r="GX87" s="8">
        <f t="shared" ca="1" si="317"/>
        <v>665</v>
      </c>
      <c r="GY87" s="5" t="str">
        <f t="shared" ca="1" si="379"/>
        <v>VIGENTE</v>
      </c>
      <c r="GZ87" s="3"/>
      <c r="HA87" s="4">
        <v>45330</v>
      </c>
      <c r="HB87" s="4">
        <f t="shared" si="319"/>
        <v>47157</v>
      </c>
      <c r="HC87" s="8">
        <f t="shared" ca="1" si="320"/>
        <v>1012</v>
      </c>
      <c r="HD87" s="5" t="str">
        <f t="shared" ca="1" si="38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9"/>
        <v>VIGENTE</v>
      </c>
      <c r="HJ87" s="2"/>
      <c r="HK87" s="6"/>
      <c r="HL87" s="4"/>
      <c r="HM87" s="8"/>
      <c r="HN87" s="5" t="str">
        <f t="shared" si="385"/>
        <v>NO APLICA</v>
      </c>
      <c r="HO87" s="2"/>
      <c r="HP87" s="2"/>
      <c r="HQ87" s="4"/>
      <c r="HR87" s="2"/>
      <c r="HS87" s="5" t="str">
        <f t="shared" si="322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3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4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5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6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7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8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9"/>
        <v>VIGENTE</v>
      </c>
      <c r="JC87" s="3" t="s">
        <v>780</v>
      </c>
      <c r="JD87" s="3"/>
      <c r="JE87" s="4"/>
      <c r="JF87" s="8"/>
      <c r="JG87" s="5"/>
      <c r="JH87" s="3" t="s">
        <v>780</v>
      </c>
      <c r="JI87" s="6"/>
      <c r="JJ87" s="6"/>
      <c r="JK87" s="6"/>
      <c r="JL87" s="5"/>
      <c r="JM87" s="6" t="s">
        <v>780</v>
      </c>
      <c r="JN87" s="6"/>
      <c r="JO87" s="6"/>
      <c r="JP87" s="6"/>
      <c r="JQ87" s="5"/>
      <c r="JR87" s="6" t="s">
        <v>780</v>
      </c>
      <c r="JS87" s="6"/>
      <c r="JT87" s="6"/>
      <c r="JU87" s="6"/>
      <c r="JV87" s="5"/>
      <c r="JW87" s="6" t="s">
        <v>780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30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6"/>
        <v>VIGENTE</v>
      </c>
      <c r="KL87" s="5"/>
      <c r="KM87" s="2"/>
      <c r="KN87" s="4"/>
      <c r="KO87" s="8"/>
      <c r="KP87" s="5" t="str">
        <f t="shared" si="331"/>
        <v>NO APLICA</v>
      </c>
      <c r="KQ87" s="5"/>
      <c r="KR87" s="2"/>
      <c r="KS87" s="4"/>
      <c r="KT87" s="8"/>
      <c r="KU87" s="5" t="str">
        <f t="shared" si="357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6"/>
        <v>VIGENTE</v>
      </c>
      <c r="LA87" s="5"/>
      <c r="LB87" s="6"/>
      <c r="LC87" s="4"/>
      <c r="LD87" s="8"/>
      <c r="LE87" s="5" t="str">
        <f t="shared" si="358"/>
        <v>NO APLICA</v>
      </c>
      <c r="LF87" s="4"/>
      <c r="LG87" s="4"/>
      <c r="LH87" s="4"/>
      <c r="LI87" s="8"/>
      <c r="LJ87" s="5" t="str">
        <f t="shared" si="332"/>
        <v>NO APLICA</v>
      </c>
      <c r="LK87" s="5"/>
      <c r="LL87" s="5"/>
      <c r="LM87" s="4"/>
      <c r="LN87" s="8"/>
      <c r="LO87" s="5" t="str">
        <f t="shared" si="367"/>
        <v>NO APLICA</v>
      </c>
      <c r="LP87" s="2"/>
      <c r="LQ87" s="6"/>
      <c r="LR87" s="4"/>
      <c r="LS87" s="8"/>
      <c r="LT87" s="5" t="str">
        <f t="shared" si="359"/>
        <v>NO APLICA</v>
      </c>
      <c r="LU87" s="6"/>
      <c r="LV87" s="6"/>
      <c r="LW87" s="4"/>
      <c r="LX87" s="8"/>
      <c r="LY87" s="5" t="str">
        <f t="shared" si="360"/>
        <v>NO APLICA</v>
      </c>
      <c r="LZ87" s="6"/>
      <c r="MA87" s="6"/>
      <c r="MB87" s="4"/>
      <c r="MC87" s="8"/>
      <c r="MD87" s="5" t="str">
        <f t="shared" si="361"/>
        <v>NO APLICA</v>
      </c>
      <c r="ME87" s="2"/>
      <c r="MF87" s="2"/>
      <c r="MG87" s="4"/>
      <c r="MH87" s="8"/>
      <c r="MI87" s="5" t="str">
        <f t="shared" si="333"/>
        <v>NO APLICA</v>
      </c>
      <c r="MJ87" s="2"/>
      <c r="MK87" s="2"/>
      <c r="ML87" s="4"/>
      <c r="MM87" s="8"/>
      <c r="MN87" s="5" t="str">
        <f t="shared" si="334"/>
        <v>NO APLICA</v>
      </c>
      <c r="MO87" s="5"/>
      <c r="MP87" s="2"/>
      <c r="MQ87" s="4"/>
      <c r="MR87" s="8"/>
      <c r="MS87" s="5" t="str">
        <f t="shared" si="335"/>
        <v>NO APLICA</v>
      </c>
      <c r="MT87" s="5"/>
      <c r="MU87" s="2"/>
      <c r="MV87" s="4"/>
      <c r="MW87" s="2"/>
      <c r="MX87" s="5" t="str">
        <f t="shared" si="336"/>
        <v>NO APLICA</v>
      </c>
      <c r="MY87" s="2"/>
      <c r="MZ87" s="6"/>
      <c r="NA87" s="4"/>
      <c r="NB87" s="8"/>
      <c r="NC87" s="5" t="str">
        <f t="shared" si="337"/>
        <v>NO APLICA</v>
      </c>
      <c r="ND87" s="2"/>
      <c r="NE87" s="6"/>
      <c r="NF87" s="4"/>
      <c r="NG87" s="8"/>
      <c r="NH87" s="5" t="str">
        <f t="shared" si="338"/>
        <v>NO APLICA</v>
      </c>
      <c r="NI87" s="2"/>
      <c r="NJ87" s="6"/>
      <c r="NK87" s="4"/>
      <c r="NL87" s="8"/>
      <c r="NM87" s="5" t="str">
        <f t="shared" si="339"/>
        <v>NO APLICA</v>
      </c>
      <c r="NN87" s="2"/>
      <c r="NO87" s="2"/>
      <c r="NP87" s="4"/>
      <c r="NQ87" s="2"/>
      <c r="NR87" s="5" t="str">
        <f t="shared" si="340"/>
        <v>NO APLICA</v>
      </c>
      <c r="NS87" s="2"/>
      <c r="NT87" s="2"/>
      <c r="NU87" s="2"/>
      <c r="NV87" s="2"/>
      <c r="NW87" s="5" t="str">
        <f t="shared" si="341"/>
        <v>NO APLICA</v>
      </c>
      <c r="NX87" s="6"/>
      <c r="NY87" s="6"/>
      <c r="NZ87" s="4"/>
      <c r="OA87" s="8"/>
      <c r="OB87" s="5" t="str">
        <f t="shared" si="342"/>
        <v>NO APLICA</v>
      </c>
      <c r="OC87" s="6"/>
      <c r="OD87" s="6"/>
      <c r="OE87" s="6"/>
      <c r="OF87" s="6"/>
      <c r="OG87" s="5" t="str">
        <f t="shared" si="343"/>
        <v>NO APLICA</v>
      </c>
      <c r="OH87" s="6"/>
      <c r="OI87" s="6"/>
      <c r="OJ87" s="4"/>
      <c r="OK87" s="8"/>
      <c r="OL87" s="5" t="str">
        <f t="shared" si="344"/>
        <v>NO APLICA</v>
      </c>
      <c r="OM87" s="6"/>
      <c r="ON87" s="6"/>
      <c r="OO87" s="6"/>
      <c r="OP87" s="6"/>
      <c r="OQ87" s="5" t="str">
        <f t="shared" si="345"/>
        <v>NO APLICA</v>
      </c>
      <c r="OR87" s="6"/>
      <c r="OS87" s="6"/>
      <c r="OT87" s="6"/>
      <c r="OU87" s="6"/>
      <c r="OV87" s="5" t="str">
        <f t="shared" si="346"/>
        <v>NO APLICA</v>
      </c>
      <c r="OW87" s="6"/>
      <c r="OX87" s="6"/>
      <c r="OY87" s="6"/>
      <c r="OZ87" s="6"/>
      <c r="PA87" s="5" t="str">
        <f t="shared" si="347"/>
        <v>NO APLICA</v>
      </c>
      <c r="PB87" s="6"/>
      <c r="PC87" s="6"/>
      <c r="PD87" s="6"/>
      <c r="PE87" s="6"/>
      <c r="PF87" s="5" t="str">
        <f t="shared" si="348"/>
        <v>NO APLICA</v>
      </c>
      <c r="PG87" s="6"/>
      <c r="PH87" s="6"/>
      <c r="PI87" s="6"/>
      <c r="PJ87" s="6"/>
      <c r="PK87" s="5" t="str">
        <f t="shared" si="349"/>
        <v>NO APLICA</v>
      </c>
      <c r="PL87" s="5"/>
      <c r="PM87" s="6"/>
      <c r="PN87" s="4"/>
      <c r="PO87" s="8"/>
      <c r="PP87" s="5" t="str">
        <f t="shared" si="350"/>
        <v>NO APLICA</v>
      </c>
      <c r="PQ87" s="6"/>
      <c r="PR87" s="6"/>
      <c r="PS87" s="6"/>
      <c r="PT87" s="6"/>
      <c r="PU87" s="5" t="str">
        <f t="shared" si="351"/>
        <v>NO APLICA</v>
      </c>
      <c r="PV87" s="5"/>
      <c r="PW87" s="6"/>
      <c r="PX87" s="6"/>
      <c r="PY87" s="6"/>
      <c r="PZ87" s="5" t="str">
        <f t="shared" si="352"/>
        <v>NO APLICA</v>
      </c>
    </row>
    <row r="88" spans="1:442" ht="15.6" hidden="1" thickTop="1" thickBot="1" x14ac:dyDescent="0.35">
      <c r="A88" s="26">
        <v>85</v>
      </c>
      <c r="B88" s="27">
        <v>1562</v>
      </c>
      <c r="C88" s="28" t="s">
        <v>314</v>
      </c>
      <c r="D88" s="29" t="s">
        <v>113</v>
      </c>
      <c r="E88" s="30" t="s">
        <v>114</v>
      </c>
      <c r="F88" s="5"/>
      <c r="G88" s="6"/>
      <c r="H88" s="4"/>
      <c r="I88" s="8"/>
      <c r="J88" s="5" t="str">
        <f t="shared" si="242"/>
        <v>NO APLICA</v>
      </c>
      <c r="K88" s="5"/>
      <c r="L88" s="6"/>
      <c r="M88" s="6"/>
      <c r="N88" s="8"/>
      <c r="O88" s="5" t="str">
        <f t="shared" si="243"/>
        <v>NO APLICA</v>
      </c>
      <c r="P88" s="6"/>
      <c r="Q88" s="6"/>
      <c r="R88" s="4"/>
      <c r="S88" s="8"/>
      <c r="T88" s="5" t="str">
        <f t="shared" si="353"/>
        <v>NO APLICA</v>
      </c>
      <c r="U88" s="5"/>
      <c r="V88" s="2" t="s">
        <v>315</v>
      </c>
      <c r="W88" s="4">
        <v>45693</v>
      </c>
      <c r="X88" s="4">
        <f t="shared" si="244"/>
        <v>47519</v>
      </c>
      <c r="Y88" s="8">
        <f t="shared" ca="1" si="245"/>
        <v>1374</v>
      </c>
      <c r="Z88" s="5" t="str">
        <f t="shared" ca="1" si="246"/>
        <v>VIGENTE</v>
      </c>
      <c r="AA88" s="5"/>
      <c r="AB88" s="2"/>
      <c r="AC88" s="6"/>
      <c r="AD88" s="4"/>
      <c r="AE88" s="8"/>
      <c r="AF88" s="5" t="str">
        <f t="shared" si="24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8"/>
        <v>487</v>
      </c>
      <c r="AK88" s="5" t="str">
        <f t="shared" ca="1" si="219"/>
        <v>VIGENTE</v>
      </c>
      <c r="AL88" s="3"/>
      <c r="AM88" s="4">
        <v>45937</v>
      </c>
      <c r="AN88" s="4">
        <f t="shared" si="390"/>
        <v>46667</v>
      </c>
      <c r="AO88" s="8">
        <f t="shared" ca="1" si="249"/>
        <v>522</v>
      </c>
      <c r="AP88" s="5" t="str">
        <f t="shared" ca="1" si="250"/>
        <v>VIGENTE</v>
      </c>
      <c r="AQ88" s="3"/>
      <c r="AR88" s="4">
        <v>45971</v>
      </c>
      <c r="AS88" s="4">
        <f t="shared" si="391"/>
        <v>46701</v>
      </c>
      <c r="AT88" s="8">
        <f t="shared" ca="1" si="251"/>
        <v>556</v>
      </c>
      <c r="AU88" s="5" t="str">
        <f t="shared" ca="1" si="252"/>
        <v>VIGENTE</v>
      </c>
      <c r="AV88" s="3"/>
      <c r="AW88" s="4">
        <v>45990</v>
      </c>
      <c r="AX88" s="4">
        <f t="shared" si="392"/>
        <v>46720</v>
      </c>
      <c r="AY88" s="8">
        <f t="shared" ca="1" si="253"/>
        <v>575</v>
      </c>
      <c r="AZ88" s="5" t="str">
        <f t="shared" ca="1" si="254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5"/>
        <v>301</v>
      </c>
      <c r="BE88" s="5" t="str">
        <f t="shared" ca="1" si="256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7"/>
        <v>282</v>
      </c>
      <c r="BJ88" s="5" t="str">
        <f t="shared" ca="1" si="258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9"/>
        <v>382</v>
      </c>
      <c r="BO88" s="5" t="str">
        <f t="shared" ca="1" si="260"/>
        <v>VIGENTE</v>
      </c>
      <c r="BP88" s="3"/>
      <c r="BQ88" s="39">
        <v>45701</v>
      </c>
      <c r="BR88" s="4">
        <f>DATE(YEAR(BQ88)+2,MONTH(BQ88),DAY(BQ88)-1)</f>
        <v>46430</v>
      </c>
      <c r="BS88" s="8">
        <f t="shared" ca="1" si="261"/>
        <v>285</v>
      </c>
      <c r="BT88" s="5" t="str">
        <f t="shared" ca="1" si="262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3"/>
        <v>320</v>
      </c>
      <c r="BY88" s="5" t="str">
        <f t="shared" ca="1" si="264"/>
        <v>VIGENTE</v>
      </c>
      <c r="BZ88" s="3"/>
      <c r="CA88" s="4">
        <v>45944</v>
      </c>
      <c r="CB88" s="4">
        <f t="shared" si="393"/>
        <v>46674</v>
      </c>
      <c r="CC88" s="8">
        <f t="shared" ca="1" si="265"/>
        <v>529</v>
      </c>
      <c r="CD88" s="5" t="str">
        <f t="shared" ca="1" si="266"/>
        <v>VIGENTE</v>
      </c>
      <c r="CE88" s="6"/>
      <c r="CF88" s="4">
        <v>45616</v>
      </c>
      <c r="CG88" s="4">
        <f t="shared" si="387"/>
        <v>47077</v>
      </c>
      <c r="CH88" s="8">
        <f t="shared" ca="1" si="388"/>
        <v>932</v>
      </c>
      <c r="CI88" s="5" t="str">
        <f t="shared" ca="1" si="269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0"/>
        <v>272</v>
      </c>
      <c r="CN88" s="5" t="str">
        <f t="shared" ca="1" si="271"/>
        <v>VIGENTE</v>
      </c>
      <c r="CO88" s="3"/>
      <c r="CP88" s="39">
        <v>45684</v>
      </c>
      <c r="CQ88" s="4">
        <f>DATE(YEAR(CP88)+2,MONTH(CP88),DAY(CP88)-1)</f>
        <v>46413</v>
      </c>
      <c r="CR88" s="8">
        <f t="shared" ca="1" si="272"/>
        <v>268</v>
      </c>
      <c r="CS88" s="5" t="str">
        <f t="shared" ca="1" si="273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4"/>
        <v>490</v>
      </c>
      <c r="CX88" s="5" t="str">
        <f t="shared" ca="1" si="275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6"/>
        <v>585</v>
      </c>
      <c r="DC88" s="5" t="str">
        <f t="shared" ca="1" si="277"/>
        <v>VIGENTE</v>
      </c>
      <c r="DD88" s="3"/>
      <c r="DE88" s="39">
        <v>45689</v>
      </c>
      <c r="DF88" s="4">
        <f t="shared" si="386"/>
        <v>46418</v>
      </c>
      <c r="DG88" s="8">
        <f t="shared" ca="1" si="278"/>
        <v>273</v>
      </c>
      <c r="DH88" s="5" t="str">
        <f t="shared" ca="1" si="279"/>
        <v>VIGENTE</v>
      </c>
      <c r="DI88" s="3"/>
      <c r="DJ88" s="39">
        <v>45975</v>
      </c>
      <c r="DK88" s="4">
        <f t="shared" si="394"/>
        <v>46705</v>
      </c>
      <c r="DL88" s="8">
        <f t="shared" ca="1" si="280"/>
        <v>560</v>
      </c>
      <c r="DM88" s="5" t="str">
        <f t="shared" ca="1" si="281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2"/>
        <v>567</v>
      </c>
      <c r="DR88" s="5" t="str">
        <f t="shared" ca="1" si="283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4"/>
        <v>269</v>
      </c>
      <c r="DW88" s="5" t="str">
        <f t="shared" ca="1" si="285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6"/>
        <v>247</v>
      </c>
      <c r="EB88" s="5" t="str">
        <f t="shared" ca="1" si="287"/>
        <v>VIGENTE</v>
      </c>
      <c r="EC88" s="3"/>
      <c r="ED88" s="39">
        <v>45674</v>
      </c>
      <c r="EE88" s="4">
        <f>DATE(YEAR(ED88)+2,MONTH(ED88),DAY(ED88)-1)</f>
        <v>46403</v>
      </c>
      <c r="EF88" s="8">
        <f t="shared" ca="1" si="288"/>
        <v>258</v>
      </c>
      <c r="EG88" s="5" t="str">
        <f t="shared" ca="1" si="289"/>
        <v>VIGENTE</v>
      </c>
      <c r="EH88" s="3"/>
      <c r="EI88" s="3">
        <v>46085</v>
      </c>
      <c r="EJ88" s="4">
        <f t="shared" si="355"/>
        <v>46450</v>
      </c>
      <c r="EK88" s="8">
        <f t="shared" ca="1" si="290"/>
        <v>305</v>
      </c>
      <c r="EL88" s="5" t="str">
        <f t="shared" ca="1" si="291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2"/>
        <v>255</v>
      </c>
      <c r="EQ88" s="5" t="str">
        <f t="shared" ca="1" si="293"/>
        <v>VIGENTE</v>
      </c>
      <c r="ER88" s="3"/>
      <c r="ES88" s="39">
        <v>45796</v>
      </c>
      <c r="ET88" s="4">
        <f t="shared" si="395"/>
        <v>46526</v>
      </c>
      <c r="EU88" s="8">
        <f t="shared" ca="1" si="294"/>
        <v>381</v>
      </c>
      <c r="EV88" s="5" t="str">
        <f t="shared" ca="1" si="295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6"/>
        <v>502</v>
      </c>
      <c r="FA88" s="5" t="str">
        <f t="shared" ca="1" si="297"/>
        <v>VIGENTE</v>
      </c>
      <c r="FB88" s="3"/>
      <c r="FC88" s="4">
        <v>45931</v>
      </c>
      <c r="FD88" s="4">
        <f t="shared" si="396"/>
        <v>46661</v>
      </c>
      <c r="FE88" s="8">
        <f t="shared" ca="1" si="298"/>
        <v>516</v>
      </c>
      <c r="FF88" s="5" t="str">
        <f t="shared" ca="1" si="299"/>
        <v>VIGENTE</v>
      </c>
      <c r="FG88" s="3"/>
      <c r="FH88" s="4">
        <v>45932</v>
      </c>
      <c r="FI88" s="4">
        <f t="shared" si="397"/>
        <v>46662</v>
      </c>
      <c r="FJ88" s="8">
        <f t="shared" ca="1" si="300"/>
        <v>517</v>
      </c>
      <c r="FK88" s="5" t="str">
        <f t="shared" ca="1" si="301"/>
        <v>VIGENTE</v>
      </c>
      <c r="FL88" s="3"/>
      <c r="FM88" s="39">
        <v>45738</v>
      </c>
      <c r="FN88" s="4">
        <f>DATE(YEAR(FM88)+2,MONTH(FM88),DAY(FM88)-1)</f>
        <v>46467</v>
      </c>
      <c r="FO88" s="8">
        <f t="shared" ca="1" si="302"/>
        <v>322</v>
      </c>
      <c r="FP88" s="5" t="str">
        <f t="shared" ca="1" si="303"/>
        <v>VIGENTE</v>
      </c>
      <c r="FQ88" s="3"/>
      <c r="FR88" s="39">
        <v>45747</v>
      </c>
      <c r="FS88" s="4">
        <f>DATE(YEAR(FR88)+2,MONTH(FR88),DAY(FR88)-1)</f>
        <v>46476</v>
      </c>
      <c r="FT88" s="8">
        <f t="shared" ca="1" si="304"/>
        <v>331</v>
      </c>
      <c r="FU88" s="5" t="str">
        <f t="shared" ca="1" si="305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6"/>
        <v>526</v>
      </c>
      <c r="FZ88" s="5" t="str">
        <f t="shared" ca="1" si="307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8"/>
        <v>251</v>
      </c>
      <c r="GE88" s="5" t="str">
        <f t="shared" ca="1" si="309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0"/>
        <v>256</v>
      </c>
      <c r="GJ88" s="5" t="str">
        <f t="shared" ca="1" si="311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2"/>
        <v>349</v>
      </c>
      <c r="GO88" s="5" t="str">
        <f t="shared" ca="1" si="313"/>
        <v>VIGENTE</v>
      </c>
      <c r="GP88" s="4"/>
      <c r="GQ88" s="4">
        <v>45017</v>
      </c>
      <c r="GR88" s="4">
        <f t="shared" si="314"/>
        <v>46844</v>
      </c>
      <c r="GS88" s="8">
        <f t="shared" ca="1" si="384"/>
        <v>699</v>
      </c>
      <c r="GT88" s="5" t="str">
        <f t="shared" ca="1" si="378"/>
        <v>VIGENTE</v>
      </c>
      <c r="GU88" s="3"/>
      <c r="GV88" s="4">
        <v>44979</v>
      </c>
      <c r="GW88" s="4">
        <f t="shared" si="316"/>
        <v>46805</v>
      </c>
      <c r="GX88" s="8">
        <f t="shared" ca="1" si="317"/>
        <v>660</v>
      </c>
      <c r="GY88" s="5" t="str">
        <f t="shared" ca="1" si="379"/>
        <v>VIGENTE</v>
      </c>
      <c r="GZ88" s="2"/>
      <c r="HA88" s="4">
        <v>45016</v>
      </c>
      <c r="HB88" s="4">
        <f t="shared" si="319"/>
        <v>46843</v>
      </c>
      <c r="HC88" s="8">
        <f t="shared" ca="1" si="320"/>
        <v>698</v>
      </c>
      <c r="HD88" s="5" t="str">
        <f t="shared" ca="1" si="380"/>
        <v>VIGENTE</v>
      </c>
      <c r="HE88" s="6"/>
      <c r="HF88" s="6"/>
      <c r="HG88" s="4"/>
      <c r="HH88" s="8"/>
      <c r="HI88" s="5" t="str">
        <f t="shared" si="389"/>
        <v>NO APLICA</v>
      </c>
      <c r="HJ88" s="2"/>
      <c r="HK88" s="6"/>
      <c r="HL88" s="4"/>
      <c r="HM88" s="8"/>
      <c r="HN88" s="5" t="str">
        <f t="shared" si="385"/>
        <v>NO APLICA</v>
      </c>
      <c r="HO88" s="2"/>
      <c r="HP88" s="2"/>
      <c r="HQ88" s="4"/>
      <c r="HR88" s="2"/>
      <c r="HS88" s="5" t="str">
        <f t="shared" si="322"/>
        <v>NO APLICA</v>
      </c>
      <c r="HT88" s="2"/>
      <c r="HU88" s="6"/>
      <c r="HV88" s="4"/>
      <c r="HW88" s="8"/>
      <c r="HX88" s="5" t="str">
        <f t="shared" si="323"/>
        <v>NO APLICA</v>
      </c>
      <c r="HY88" s="2"/>
      <c r="HZ88" s="6"/>
      <c r="IA88" s="4"/>
      <c r="IB88" s="8"/>
      <c r="IC88" s="5" t="str">
        <f t="shared" si="324"/>
        <v>NO APLICA</v>
      </c>
      <c r="ID88" s="2"/>
      <c r="IE88" s="6"/>
      <c r="IF88" s="4"/>
      <c r="IG88" s="8"/>
      <c r="IH88" s="5" t="str">
        <f t="shared" si="325"/>
        <v>NO APLICA</v>
      </c>
      <c r="II88" s="6"/>
      <c r="IJ88" s="6"/>
      <c r="IK88" s="4"/>
      <c r="IL88" s="8"/>
      <c r="IM88" s="5" t="str">
        <f t="shared" si="326"/>
        <v>NO APLICA</v>
      </c>
      <c r="IN88" s="2"/>
      <c r="IO88" s="6"/>
      <c r="IP88" s="4"/>
      <c r="IQ88" s="8"/>
      <c r="IR88" s="5" t="str">
        <f t="shared" si="327"/>
        <v>NO APLICA</v>
      </c>
      <c r="IS88" s="2"/>
      <c r="IT88" s="6"/>
      <c r="IU88" s="4"/>
      <c r="IV88" s="8"/>
      <c r="IW88" s="5" t="str">
        <f t="shared" si="328"/>
        <v>NO APLICA</v>
      </c>
      <c r="IX88" s="2"/>
      <c r="IY88" s="6"/>
      <c r="IZ88" s="4"/>
      <c r="JA88" s="8"/>
      <c r="JB88" s="5" t="str">
        <f t="shared" si="329"/>
        <v>NO APLICA</v>
      </c>
      <c r="JC88" s="3" t="s">
        <v>780</v>
      </c>
      <c r="JD88" s="3"/>
      <c r="JE88" s="4"/>
      <c r="JF88" s="8"/>
      <c r="JG88" s="5"/>
      <c r="JH88" s="3" t="s">
        <v>780</v>
      </c>
      <c r="JI88" s="6"/>
      <c r="JJ88" s="6"/>
      <c r="JK88" s="6"/>
      <c r="JL88" s="5"/>
      <c r="JM88" s="6" t="s">
        <v>780</v>
      </c>
      <c r="JN88" s="6"/>
      <c r="JO88" s="6"/>
      <c r="JP88" s="6"/>
      <c r="JQ88" s="5"/>
      <c r="JR88" s="6" t="s">
        <v>780</v>
      </c>
      <c r="JS88" s="6"/>
      <c r="JT88" s="6"/>
      <c r="JU88" s="6"/>
      <c r="JV88" s="5"/>
      <c r="JW88" s="6" t="s">
        <v>780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30"/>
        <v>NO APLICA</v>
      </c>
      <c r="KG88" s="5"/>
      <c r="KH88" s="2"/>
      <c r="KI88" s="4"/>
      <c r="KJ88" s="8"/>
      <c r="KK88" s="5" t="str">
        <f t="shared" si="356"/>
        <v>NO APLICA</v>
      </c>
      <c r="KL88" s="5"/>
      <c r="KM88" s="2"/>
      <c r="KN88" s="4"/>
      <c r="KO88" s="8"/>
      <c r="KP88" s="5" t="str">
        <f t="shared" si="331"/>
        <v>NO APLICA</v>
      </c>
      <c r="KQ88" s="5"/>
      <c r="KR88" s="2"/>
      <c r="KS88" s="4"/>
      <c r="KT88" s="8"/>
      <c r="KU88" s="5" t="str">
        <f t="shared" si="357"/>
        <v>NO APLICA</v>
      </c>
      <c r="KV88" s="2"/>
      <c r="KW88" s="6"/>
      <c r="KX88" s="4"/>
      <c r="KY88" s="8"/>
      <c r="KZ88" s="5" t="str">
        <f t="shared" si="366"/>
        <v>NO APLICA</v>
      </c>
      <c r="LA88" s="5"/>
      <c r="LB88" s="6"/>
      <c r="LC88" s="4"/>
      <c r="LD88" s="8"/>
      <c r="LE88" s="5" t="str">
        <f t="shared" si="358"/>
        <v>NO APLICA</v>
      </c>
      <c r="LF88" s="6"/>
      <c r="LG88" s="6"/>
      <c r="LH88" s="4"/>
      <c r="LI88" s="8"/>
      <c r="LJ88" s="5" t="str">
        <f t="shared" si="332"/>
        <v>NO APLICA</v>
      </c>
      <c r="LK88" s="5"/>
      <c r="LL88" s="5"/>
      <c r="LM88" s="5"/>
      <c r="LN88" s="5"/>
      <c r="LO88" s="5" t="str">
        <f t="shared" si="367"/>
        <v>NO APLICA</v>
      </c>
      <c r="LP88" s="2"/>
      <c r="LQ88" s="6"/>
      <c r="LR88" s="4"/>
      <c r="LS88" s="8"/>
      <c r="LT88" s="5" t="str">
        <f t="shared" si="359"/>
        <v>NO APLICA</v>
      </c>
      <c r="LU88" s="6"/>
      <c r="LV88" s="6"/>
      <c r="LW88" s="4"/>
      <c r="LX88" s="8"/>
      <c r="LY88" s="5" t="str">
        <f t="shared" si="360"/>
        <v>NO APLICA</v>
      </c>
      <c r="LZ88" s="6"/>
      <c r="MA88" s="6"/>
      <c r="MB88" s="4"/>
      <c r="MC88" s="8"/>
      <c r="MD88" s="5" t="str">
        <f t="shared" si="361"/>
        <v>NO APLICA</v>
      </c>
      <c r="ME88" s="2"/>
      <c r="MF88" s="2"/>
      <c r="MG88" s="4"/>
      <c r="MH88" s="8"/>
      <c r="MI88" s="5" t="str">
        <f t="shared" si="333"/>
        <v>NO APLICA</v>
      </c>
      <c r="MJ88" s="2"/>
      <c r="MK88" s="2"/>
      <c r="ML88" s="4"/>
      <c r="MM88" s="8"/>
      <c r="MN88" s="5" t="str">
        <f t="shared" si="334"/>
        <v>NO APLICA</v>
      </c>
      <c r="MO88" s="5"/>
      <c r="MP88" s="2"/>
      <c r="MQ88" s="4"/>
      <c r="MR88" s="8"/>
      <c r="MS88" s="5" t="str">
        <f t="shared" si="335"/>
        <v>NO APLICA</v>
      </c>
      <c r="MT88" s="5"/>
      <c r="MU88" s="2"/>
      <c r="MV88" s="4"/>
      <c r="MW88" s="2"/>
      <c r="MX88" s="5" t="str">
        <f t="shared" si="336"/>
        <v>NO APLICA</v>
      </c>
      <c r="MY88" s="2"/>
      <c r="MZ88" s="6"/>
      <c r="NA88" s="4"/>
      <c r="NB88" s="8"/>
      <c r="NC88" s="5" t="str">
        <f t="shared" si="337"/>
        <v>NO APLICA</v>
      </c>
      <c r="ND88" s="2"/>
      <c r="NE88" s="6"/>
      <c r="NF88" s="4"/>
      <c r="NG88" s="8"/>
      <c r="NH88" s="5" t="str">
        <f t="shared" si="338"/>
        <v>NO APLICA</v>
      </c>
      <c r="NI88" s="2"/>
      <c r="NJ88" s="6"/>
      <c r="NK88" s="4"/>
      <c r="NL88" s="8"/>
      <c r="NM88" s="5" t="str">
        <f t="shared" si="339"/>
        <v>NO APLICA</v>
      </c>
      <c r="NN88" s="2"/>
      <c r="NO88" s="2"/>
      <c r="NP88" s="4"/>
      <c r="NQ88" s="2"/>
      <c r="NR88" s="5" t="str">
        <f t="shared" si="340"/>
        <v>NO APLICA</v>
      </c>
      <c r="NS88" s="2"/>
      <c r="NT88" s="2"/>
      <c r="NU88" s="4"/>
      <c r="NV88" s="2"/>
      <c r="NW88" s="5" t="str">
        <f t="shared" si="341"/>
        <v>NO APLICA</v>
      </c>
      <c r="NX88" s="6"/>
      <c r="NY88" s="6"/>
      <c r="NZ88" s="4"/>
      <c r="OA88" s="8"/>
      <c r="OB88" s="5" t="str">
        <f t="shared" si="342"/>
        <v>NO APLICA</v>
      </c>
      <c r="OC88" s="6"/>
      <c r="OD88" s="6"/>
      <c r="OE88" s="6"/>
      <c r="OF88" s="6"/>
      <c r="OG88" s="5" t="str">
        <f t="shared" si="343"/>
        <v>NO APLICA</v>
      </c>
      <c r="OH88" s="6"/>
      <c r="OI88" s="6"/>
      <c r="OJ88" s="4"/>
      <c r="OK88" s="8"/>
      <c r="OL88" s="5" t="str">
        <f t="shared" si="344"/>
        <v>NO APLICA</v>
      </c>
      <c r="OM88" s="6"/>
      <c r="ON88" s="6"/>
      <c r="OO88" s="6"/>
      <c r="OP88" s="6"/>
      <c r="OQ88" s="5" t="str">
        <f t="shared" si="345"/>
        <v>NO APLICA</v>
      </c>
      <c r="OR88" s="6"/>
      <c r="OS88" s="6"/>
      <c r="OT88" s="6"/>
      <c r="OU88" s="6"/>
      <c r="OV88" s="5" t="str">
        <f t="shared" si="346"/>
        <v>NO APLICA</v>
      </c>
      <c r="OW88" s="6"/>
      <c r="OX88" s="6"/>
      <c r="OY88" s="6"/>
      <c r="OZ88" s="6"/>
      <c r="PA88" s="5" t="str">
        <f t="shared" si="347"/>
        <v>NO APLICA</v>
      </c>
      <c r="PB88" s="6"/>
      <c r="PC88" s="6"/>
      <c r="PD88" s="6"/>
      <c r="PE88" s="6"/>
      <c r="PF88" s="5" t="str">
        <f t="shared" si="348"/>
        <v>NO APLICA</v>
      </c>
      <c r="PG88" s="6"/>
      <c r="PH88" s="6"/>
      <c r="PI88" s="6"/>
      <c r="PJ88" s="6"/>
      <c r="PK88" s="5" t="str">
        <f t="shared" si="349"/>
        <v>NO APLICA</v>
      </c>
      <c r="PL88" s="5"/>
      <c r="PM88" s="4"/>
      <c r="PN88" s="4"/>
      <c r="PO88" s="8"/>
      <c r="PP88" s="5" t="str">
        <f t="shared" si="350"/>
        <v>NO APLICA</v>
      </c>
      <c r="PQ88" s="6"/>
      <c r="PR88" s="6"/>
      <c r="PS88" s="6"/>
      <c r="PT88" s="6"/>
      <c r="PU88" s="5" t="str">
        <f t="shared" si="351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2"/>
        <v>VIGENTE</v>
      </c>
    </row>
    <row r="89" spans="1:442" ht="15.6" hidden="1" thickTop="1" thickBot="1" x14ac:dyDescent="0.35">
      <c r="A89" s="26">
        <v>86</v>
      </c>
      <c r="B89" s="31">
        <v>8</v>
      </c>
      <c r="C89" s="28" t="s">
        <v>316</v>
      </c>
      <c r="D89" s="29" t="s">
        <v>68</v>
      </c>
      <c r="E89" s="30" t="s">
        <v>317</v>
      </c>
      <c r="F89" s="6"/>
      <c r="G89" s="6"/>
      <c r="H89" s="6"/>
      <c r="I89" s="8"/>
      <c r="J89" s="5" t="str">
        <f t="shared" si="242"/>
        <v>NO APLICA</v>
      </c>
      <c r="K89" s="6"/>
      <c r="L89" s="6"/>
      <c r="M89" s="6"/>
      <c r="N89" s="8"/>
      <c r="O89" s="5" t="str">
        <f t="shared" si="243"/>
        <v>NO APLICA</v>
      </c>
      <c r="P89" s="6"/>
      <c r="Q89" s="6"/>
      <c r="R89" s="4"/>
      <c r="S89" s="8"/>
      <c r="T89" s="5" t="str">
        <f t="shared" si="353"/>
        <v>NO APLICA</v>
      </c>
      <c r="U89" s="5"/>
      <c r="V89" s="2" t="s">
        <v>318</v>
      </c>
      <c r="W89" s="4">
        <v>45426</v>
      </c>
      <c r="X89" s="4">
        <f t="shared" si="244"/>
        <v>47252</v>
      </c>
      <c r="Y89" s="8">
        <f t="shared" ca="1" si="245"/>
        <v>1107</v>
      </c>
      <c r="Z89" s="5" t="str">
        <f t="shared" ca="1" si="246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8"/>
        <v>487</v>
      </c>
      <c r="AK89" s="5" t="str">
        <f t="shared" ca="1" si="219"/>
        <v>VIGENTE</v>
      </c>
      <c r="AL89" s="4"/>
      <c r="AM89" s="4">
        <v>45926</v>
      </c>
      <c r="AN89" s="4">
        <f t="shared" si="390"/>
        <v>46656</v>
      </c>
      <c r="AO89" s="8">
        <f t="shared" ca="1" si="249"/>
        <v>511</v>
      </c>
      <c r="AP89" s="5" t="str">
        <f t="shared" ca="1" si="250"/>
        <v>VIGENTE</v>
      </c>
      <c r="AQ89" s="4"/>
      <c r="AR89" s="4">
        <v>45904</v>
      </c>
      <c r="AS89" s="4">
        <f t="shared" si="391"/>
        <v>46634</v>
      </c>
      <c r="AT89" s="8">
        <f t="shared" ca="1" si="251"/>
        <v>489</v>
      </c>
      <c r="AU89" s="5" t="str">
        <f t="shared" ca="1" si="252"/>
        <v>VIGENTE</v>
      </c>
      <c r="AV89" s="4"/>
      <c r="AW89" s="4">
        <v>45906</v>
      </c>
      <c r="AX89" s="4">
        <f t="shared" si="392"/>
        <v>46636</v>
      </c>
      <c r="AY89" s="8">
        <f t="shared" ca="1" si="253"/>
        <v>491</v>
      </c>
      <c r="AZ89" s="5" t="str">
        <f t="shared" ca="1" si="254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5"/>
        <v>528</v>
      </c>
      <c r="BE89" s="5" t="str">
        <f t="shared" ca="1" si="256"/>
        <v>VIGENTE</v>
      </c>
      <c r="BF89" s="4"/>
      <c r="BG89" s="4">
        <v>45968</v>
      </c>
      <c r="BH89" s="4">
        <f t="shared" ref="BH89:BH97" si="398">DATE(YEAR(BG89)+2,MONTH(BG89),DAY(BG89))</f>
        <v>46698</v>
      </c>
      <c r="BI89" s="8">
        <f t="shared" ca="1" si="257"/>
        <v>553</v>
      </c>
      <c r="BJ89" s="5" t="str">
        <f t="shared" ca="1" si="258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9"/>
        <v>620</v>
      </c>
      <c r="BO89" s="5" t="str">
        <f t="shared" ca="1" si="260"/>
        <v>VIGENTE</v>
      </c>
      <c r="BP89" s="4"/>
      <c r="BQ89" s="39">
        <v>45981</v>
      </c>
      <c r="BR89" s="4">
        <f>DATE(YEAR(BQ89)+2,MONTH(BQ89),DAY(BQ89))</f>
        <v>46711</v>
      </c>
      <c r="BS89" s="8">
        <f t="shared" ca="1" si="261"/>
        <v>566</v>
      </c>
      <c r="BT89" s="5" t="str">
        <f t="shared" ca="1" si="262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3"/>
        <v>535</v>
      </c>
      <c r="BY89" s="5" t="str">
        <f t="shared" ca="1" si="264"/>
        <v>VIGENTE</v>
      </c>
      <c r="BZ89" s="4"/>
      <c r="CA89" s="4">
        <v>45944</v>
      </c>
      <c r="CB89" s="4">
        <f t="shared" si="393"/>
        <v>46674</v>
      </c>
      <c r="CC89" s="8">
        <f t="shared" ca="1" si="265"/>
        <v>529</v>
      </c>
      <c r="CD89" s="5" t="str">
        <f t="shared" ca="1" si="266"/>
        <v>VIGENTE</v>
      </c>
      <c r="CE89" s="6"/>
      <c r="CF89" s="4">
        <v>44901</v>
      </c>
      <c r="CG89" s="4">
        <f t="shared" si="387"/>
        <v>46362</v>
      </c>
      <c r="CH89" s="8">
        <f t="shared" ca="1" si="388"/>
        <v>217</v>
      </c>
      <c r="CI89" s="5" t="str">
        <f t="shared" ca="1" si="269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0"/>
        <v>514</v>
      </c>
      <c r="CN89" s="5" t="str">
        <f t="shared" ca="1" si="271"/>
        <v>VIGENTE</v>
      </c>
      <c r="CO89" s="4"/>
      <c r="CP89" s="39">
        <v>45979</v>
      </c>
      <c r="CQ89" s="4">
        <f>DATE(YEAR(CP89)+2,MONTH(CP89),DAY(CP89))</f>
        <v>46709</v>
      </c>
      <c r="CR89" s="8">
        <f t="shared" ca="1" si="272"/>
        <v>564</v>
      </c>
      <c r="CS89" s="5" t="str">
        <f t="shared" ca="1" si="273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4"/>
        <v>524</v>
      </c>
      <c r="CX89" s="5" t="str">
        <f t="shared" ca="1" si="275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6"/>
        <v>509</v>
      </c>
      <c r="DC89" s="5" t="str">
        <f t="shared" ca="1" si="277"/>
        <v>VIGENTE</v>
      </c>
      <c r="DD89" s="4"/>
      <c r="DE89" s="39">
        <v>45535</v>
      </c>
      <c r="DF89" s="4">
        <f t="shared" si="386"/>
        <v>46264</v>
      </c>
      <c r="DG89" s="8">
        <f t="shared" ca="1" si="278"/>
        <v>119</v>
      </c>
      <c r="DH89" s="5" t="str">
        <f t="shared" ca="1" si="279"/>
        <v>VIGENTE</v>
      </c>
      <c r="DI89" s="4"/>
      <c r="DJ89" s="39">
        <v>45955</v>
      </c>
      <c r="DK89" s="4">
        <f t="shared" si="394"/>
        <v>46685</v>
      </c>
      <c r="DL89" s="8">
        <f t="shared" ca="1" si="280"/>
        <v>540</v>
      </c>
      <c r="DM89" s="5" t="str">
        <f t="shared" ca="1" si="281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2"/>
        <v>161</v>
      </c>
      <c r="DR89" s="5" t="str">
        <f t="shared" ca="1" si="283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4"/>
        <v>503</v>
      </c>
      <c r="DW89" s="5" t="str">
        <f t="shared" ca="1" si="285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6"/>
        <v>519</v>
      </c>
      <c r="EB89" s="5" t="str">
        <f t="shared" ca="1" si="287"/>
        <v>VIGENTE</v>
      </c>
      <c r="EC89" s="4"/>
      <c r="ED89" s="39">
        <v>45938</v>
      </c>
      <c r="EE89" s="4">
        <f>DATE(YEAR(ED89)+2,MONTH(ED89),DAY(ED89))</f>
        <v>46668</v>
      </c>
      <c r="EF89" s="8">
        <f t="shared" ca="1" si="288"/>
        <v>523</v>
      </c>
      <c r="EG89" s="5" t="str">
        <f t="shared" ca="1" si="289"/>
        <v>VIGENTE</v>
      </c>
      <c r="EH89" s="4"/>
      <c r="EI89" s="4">
        <v>46123</v>
      </c>
      <c r="EJ89" s="4">
        <f t="shared" si="355"/>
        <v>46488</v>
      </c>
      <c r="EK89" s="8">
        <f t="shared" ca="1" si="290"/>
        <v>343</v>
      </c>
      <c r="EL89" s="5" t="str">
        <f t="shared" ca="1" si="291"/>
        <v>VIGENTE</v>
      </c>
      <c r="EM89" s="4"/>
      <c r="EN89" s="4">
        <v>45940</v>
      </c>
      <c r="EO89" s="4">
        <f>DATE(YEAR(EN89)+2,MONTH(EN89),DAY(EN89))</f>
        <v>46670</v>
      </c>
      <c r="EP89" s="8">
        <f t="shared" ca="1" si="292"/>
        <v>525</v>
      </c>
      <c r="EQ89" s="5" t="str">
        <f t="shared" ca="1" si="293"/>
        <v>VIGENTE</v>
      </c>
      <c r="ER89" s="4"/>
      <c r="ES89" s="39">
        <v>45922</v>
      </c>
      <c r="ET89" s="4">
        <f t="shared" si="395"/>
        <v>46652</v>
      </c>
      <c r="EU89" s="8">
        <f t="shared" ca="1" si="294"/>
        <v>507</v>
      </c>
      <c r="EV89" s="5" t="str">
        <f t="shared" ca="1" si="295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6"/>
        <v>538</v>
      </c>
      <c r="FA89" s="5" t="str">
        <f t="shared" ca="1" si="297"/>
        <v>VIGENTE</v>
      </c>
      <c r="FB89" s="4"/>
      <c r="FC89" s="4">
        <v>45931</v>
      </c>
      <c r="FD89" s="4">
        <f t="shared" si="396"/>
        <v>46661</v>
      </c>
      <c r="FE89" s="8">
        <f t="shared" ca="1" si="298"/>
        <v>516</v>
      </c>
      <c r="FF89" s="5" t="str">
        <f t="shared" ca="1" si="299"/>
        <v>VIGENTE</v>
      </c>
      <c r="FG89" s="4"/>
      <c r="FH89" s="4">
        <v>45932</v>
      </c>
      <c r="FI89" s="4">
        <f t="shared" si="397"/>
        <v>46662</v>
      </c>
      <c r="FJ89" s="8">
        <f t="shared" ca="1" si="300"/>
        <v>517</v>
      </c>
      <c r="FK89" s="5" t="str">
        <f t="shared" ca="1" si="301"/>
        <v>VIGENTE</v>
      </c>
      <c r="FL89" s="4"/>
      <c r="FM89" s="39">
        <v>45933</v>
      </c>
      <c r="FN89" s="4">
        <f>DATE(YEAR(FM89)+2,MONTH(FM89),DAY(FM89))</f>
        <v>46663</v>
      </c>
      <c r="FO89" s="8">
        <f t="shared" ca="1" si="302"/>
        <v>518</v>
      </c>
      <c r="FP89" s="5" t="str">
        <f t="shared" ca="1" si="303"/>
        <v>VIGENTE</v>
      </c>
      <c r="FQ89" s="4"/>
      <c r="FR89" s="39">
        <v>45586</v>
      </c>
      <c r="FS89" s="4">
        <f>DATE(YEAR(FR89)+2,MONTH(FR89),DAY(FR89)-1)</f>
        <v>46315</v>
      </c>
      <c r="FT89" s="8">
        <f t="shared" ca="1" si="304"/>
        <v>170</v>
      </c>
      <c r="FU89" s="5" t="str">
        <f t="shared" ca="1" si="305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6"/>
        <v>526</v>
      </c>
      <c r="FZ89" s="5" t="str">
        <f t="shared" ca="1" si="307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8"/>
        <v>179</v>
      </c>
      <c r="GE89" s="5" t="str">
        <f t="shared" ca="1" si="309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0"/>
        <v>545</v>
      </c>
      <c r="GJ89" s="5" t="str">
        <f t="shared" ca="1" si="311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2"/>
        <v>192</v>
      </c>
      <c r="GO89" s="5" t="str">
        <f t="shared" ca="1" si="313"/>
        <v>VIGENTE</v>
      </c>
      <c r="GP89" s="4"/>
      <c r="GQ89" s="4">
        <v>45299</v>
      </c>
      <c r="GR89" s="4">
        <f t="shared" si="314"/>
        <v>47126</v>
      </c>
      <c r="GS89" s="8">
        <f t="shared" ca="1" si="384"/>
        <v>981</v>
      </c>
      <c r="GT89" s="5" t="str">
        <f t="shared" ca="1" si="378"/>
        <v>VIGENTE</v>
      </c>
      <c r="GU89" s="4"/>
      <c r="GV89" s="4">
        <v>45329</v>
      </c>
      <c r="GW89" s="4">
        <f t="shared" si="316"/>
        <v>47156</v>
      </c>
      <c r="GX89" s="8">
        <f t="shared" ca="1" si="317"/>
        <v>1011</v>
      </c>
      <c r="GY89" s="5" t="str">
        <f t="shared" ca="1" si="379"/>
        <v>VIGENTE</v>
      </c>
      <c r="GZ89" s="4"/>
      <c r="HA89" s="4">
        <v>45294</v>
      </c>
      <c r="HB89" s="4">
        <f t="shared" si="319"/>
        <v>47121</v>
      </c>
      <c r="HC89" s="8">
        <f t="shared" ca="1" si="320"/>
        <v>976</v>
      </c>
      <c r="HD89" s="5" t="str">
        <f t="shared" ca="1" si="38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9"/>
        <v>VIGENTE</v>
      </c>
      <c r="HJ89" s="6"/>
      <c r="HK89" s="6"/>
      <c r="HL89" s="4"/>
      <c r="HM89" s="8"/>
      <c r="HN89" s="5" t="str">
        <f t="shared" si="385"/>
        <v>NO APLICA</v>
      </c>
      <c r="HO89" s="2"/>
      <c r="HP89" s="5"/>
      <c r="HQ89" s="5"/>
      <c r="HR89" s="5"/>
      <c r="HS89" s="5" t="str">
        <f t="shared" si="322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3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4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5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6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7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8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9"/>
        <v>VIGENTE</v>
      </c>
      <c r="JC89" s="3" t="s">
        <v>780</v>
      </c>
      <c r="JD89" s="3"/>
      <c r="JE89" s="4"/>
      <c r="JF89" s="8"/>
      <c r="JG89" s="5"/>
      <c r="JH89" s="3" t="s">
        <v>780</v>
      </c>
      <c r="JI89" s="3"/>
      <c r="JJ89" s="4"/>
      <c r="JK89" s="8"/>
      <c r="JL89" s="5"/>
      <c r="JM89" s="6" t="s">
        <v>780</v>
      </c>
      <c r="JN89" s="3"/>
      <c r="JO89" s="4"/>
      <c r="JP89" s="8"/>
      <c r="JQ89" s="5"/>
      <c r="JR89" s="6" t="s">
        <v>780</v>
      </c>
      <c r="JS89" s="3"/>
      <c r="JT89" s="4"/>
      <c r="JU89" s="8"/>
      <c r="JV89" s="5"/>
      <c r="JW89" s="6" t="s">
        <v>780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30"/>
        <v>NO APLICA</v>
      </c>
      <c r="KG89" s="5"/>
      <c r="KH89" s="5"/>
      <c r="KI89" s="4"/>
      <c r="KJ89" s="8"/>
      <c r="KK89" s="5" t="str">
        <f t="shared" si="356"/>
        <v>NO APLICA</v>
      </c>
      <c r="KL89" s="5"/>
      <c r="KM89" s="5"/>
      <c r="KN89" s="4"/>
      <c r="KO89" s="8"/>
      <c r="KP89" s="5" t="str">
        <f t="shared" si="331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7"/>
        <v>VIGENTE</v>
      </c>
      <c r="KV89" s="6"/>
      <c r="KW89" s="6"/>
      <c r="KX89" s="4"/>
      <c r="KY89" s="8"/>
      <c r="KZ89" s="5" t="str">
        <f t="shared" si="366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8"/>
        <v>VIGENTE</v>
      </c>
      <c r="LF89" s="6"/>
      <c r="LG89" s="6"/>
      <c r="LH89" s="4"/>
      <c r="LI89" s="8"/>
      <c r="LJ89" s="5" t="str">
        <f t="shared" si="332"/>
        <v>NO APLICA</v>
      </c>
      <c r="LK89" s="5"/>
      <c r="LL89" s="5"/>
      <c r="LM89" s="4"/>
      <c r="LN89" s="8"/>
      <c r="LO89" s="5" t="str">
        <f t="shared" si="367"/>
        <v>NO APLICA</v>
      </c>
      <c r="LP89" s="6"/>
      <c r="LQ89" s="6"/>
      <c r="LR89" s="4"/>
      <c r="LS89" s="8"/>
      <c r="LT89" s="5" t="str">
        <f t="shared" si="359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60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1"/>
        <v>VIGENTE</v>
      </c>
      <c r="ME89" s="5"/>
      <c r="MF89" s="5"/>
      <c r="MG89" s="4"/>
      <c r="MH89" s="8"/>
      <c r="MI89" s="5" t="str">
        <f t="shared" si="333"/>
        <v>NO APLICA</v>
      </c>
      <c r="MJ89" s="5"/>
      <c r="MK89" s="5"/>
      <c r="ML89" s="4"/>
      <c r="MM89" s="8"/>
      <c r="MN89" s="5" t="str">
        <f t="shared" si="334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5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6"/>
        <v>VIGENTE</v>
      </c>
      <c r="MY89" s="6"/>
      <c r="MZ89" s="6"/>
      <c r="NA89" s="4"/>
      <c r="NB89" s="8"/>
      <c r="NC89" s="5" t="str">
        <f t="shared" si="337"/>
        <v>NO APLICA</v>
      </c>
      <c r="ND89" s="6"/>
      <c r="NE89" s="6"/>
      <c r="NF89" s="4"/>
      <c r="NG89" s="8"/>
      <c r="NH89" s="5" t="str">
        <f t="shared" si="338"/>
        <v>NO APLICA</v>
      </c>
      <c r="NI89" s="6"/>
      <c r="NJ89" s="6"/>
      <c r="NK89" s="4"/>
      <c r="NL89" s="8"/>
      <c r="NM89" s="5" t="str">
        <f t="shared" si="339"/>
        <v>NO APLICA</v>
      </c>
      <c r="NN89" s="5"/>
      <c r="NO89" s="5"/>
      <c r="NP89" s="4"/>
      <c r="NQ89" s="8"/>
      <c r="NR89" s="5" t="str">
        <f t="shared" si="340"/>
        <v>NO APLICA</v>
      </c>
      <c r="NS89" s="5"/>
      <c r="NT89" s="5"/>
      <c r="NU89" s="5"/>
      <c r="NV89" s="5"/>
      <c r="NW89" s="5" t="str">
        <f t="shared" si="341"/>
        <v>NO APLICA</v>
      </c>
      <c r="NX89" s="6"/>
      <c r="NY89" s="6"/>
      <c r="NZ89" s="6"/>
      <c r="OA89" s="6"/>
      <c r="OB89" s="5" t="str">
        <f t="shared" si="342"/>
        <v>NO APLICA</v>
      </c>
      <c r="OC89" s="6"/>
      <c r="OD89" s="6"/>
      <c r="OE89" s="6"/>
      <c r="OF89" s="6"/>
      <c r="OG89" s="5" t="str">
        <f t="shared" si="343"/>
        <v>NO APLICA</v>
      </c>
      <c r="OH89" s="5"/>
      <c r="OI89" s="5"/>
      <c r="OJ89" s="4"/>
      <c r="OK89" s="8"/>
      <c r="OL89" s="5" t="str">
        <f t="shared" si="344"/>
        <v>NO APLICA</v>
      </c>
      <c r="OM89" s="6"/>
      <c r="ON89" s="6"/>
      <c r="OO89" s="6"/>
      <c r="OP89" s="6"/>
      <c r="OQ89" s="5" t="str">
        <f t="shared" si="345"/>
        <v>NO APLICA</v>
      </c>
      <c r="OR89" s="6"/>
      <c r="OS89" s="6"/>
      <c r="OT89" s="6"/>
      <c r="OU89" s="6"/>
      <c r="OV89" s="5" t="str">
        <f t="shared" si="346"/>
        <v>NO APLICA</v>
      </c>
      <c r="OW89" s="6"/>
      <c r="OX89" s="6"/>
      <c r="OY89" s="6"/>
      <c r="OZ89" s="6"/>
      <c r="PA89" s="5" t="str">
        <f t="shared" si="347"/>
        <v>NO APLICA</v>
      </c>
      <c r="PB89" s="6"/>
      <c r="PC89" s="6"/>
      <c r="PD89" s="6"/>
      <c r="PE89" s="6"/>
      <c r="PF89" s="5" t="str">
        <f t="shared" si="348"/>
        <v>NO APLICA</v>
      </c>
      <c r="PG89" s="6"/>
      <c r="PH89" s="6"/>
      <c r="PI89" s="6"/>
      <c r="PJ89" s="6"/>
      <c r="PK89" s="5" t="str">
        <f t="shared" si="349"/>
        <v>NO APLICA</v>
      </c>
      <c r="PL89" s="5"/>
      <c r="PM89" s="6"/>
      <c r="PN89" s="4"/>
      <c r="PO89" s="8"/>
      <c r="PP89" s="5" t="str">
        <f t="shared" si="350"/>
        <v>NO APLICA</v>
      </c>
      <c r="PQ89" s="6"/>
      <c r="PR89" s="6"/>
      <c r="PS89" s="6"/>
      <c r="PT89" s="6"/>
      <c r="PU89" s="5" t="str">
        <f t="shared" si="351"/>
        <v>NO APLICA</v>
      </c>
      <c r="PV89" s="5"/>
      <c r="PW89" s="6"/>
      <c r="PX89" s="6"/>
      <c r="PY89" s="6"/>
      <c r="PZ89" s="5" t="str">
        <f t="shared" si="352"/>
        <v>NO APLICA</v>
      </c>
    </row>
    <row r="90" spans="1:442" ht="15.6" hidden="1" thickTop="1" thickBot="1" x14ac:dyDescent="0.35">
      <c r="A90" s="26">
        <v>87</v>
      </c>
      <c r="B90" s="27">
        <v>1504</v>
      </c>
      <c r="C90" s="28" t="s">
        <v>320</v>
      </c>
      <c r="D90" s="29" t="s">
        <v>68</v>
      </c>
      <c r="E90" s="30" t="s">
        <v>129</v>
      </c>
      <c r="F90" s="5"/>
      <c r="G90" s="6"/>
      <c r="H90" s="4"/>
      <c r="I90" s="8"/>
      <c r="J90" s="5" t="str">
        <f t="shared" si="242"/>
        <v>NO APLICA</v>
      </c>
      <c r="K90" s="5"/>
      <c r="L90" s="6"/>
      <c r="M90" s="6"/>
      <c r="N90" s="8"/>
      <c r="O90" s="5" t="str">
        <f t="shared" si="243"/>
        <v>NO APLICA</v>
      </c>
      <c r="P90" s="6"/>
      <c r="Q90" s="6"/>
      <c r="R90" s="4"/>
      <c r="S90" s="8"/>
      <c r="T90" s="5" t="str">
        <f t="shared" si="353"/>
        <v>NO APLICA</v>
      </c>
      <c r="U90" s="5"/>
      <c r="V90" s="2" t="s">
        <v>321</v>
      </c>
      <c r="W90" s="4">
        <v>44838</v>
      </c>
      <c r="X90" s="4">
        <f t="shared" si="244"/>
        <v>46664</v>
      </c>
      <c r="Y90" s="8">
        <f t="shared" ca="1" si="245"/>
        <v>519</v>
      </c>
      <c r="Z90" s="5" t="str">
        <f t="shared" ca="1" si="246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8"/>
        <v>173</v>
      </c>
      <c r="AK90" s="5" t="str">
        <f t="shared" ca="1" si="219"/>
        <v>VIGENTE</v>
      </c>
      <c r="AL90" s="3"/>
      <c r="AM90" s="4">
        <v>45926</v>
      </c>
      <c r="AN90" s="4">
        <f t="shared" si="390"/>
        <v>46656</v>
      </c>
      <c r="AO90" s="8">
        <f t="shared" ca="1" si="249"/>
        <v>511</v>
      </c>
      <c r="AP90" s="5" t="str">
        <f t="shared" ca="1" si="250"/>
        <v>VIGENTE</v>
      </c>
      <c r="AQ90" s="3"/>
      <c r="AR90" s="4">
        <v>45967</v>
      </c>
      <c r="AS90" s="4">
        <f t="shared" si="391"/>
        <v>46697</v>
      </c>
      <c r="AT90" s="8">
        <f t="shared" ca="1" si="251"/>
        <v>552</v>
      </c>
      <c r="AU90" s="5" t="str">
        <f t="shared" ca="1" si="252"/>
        <v>VIGENTE</v>
      </c>
      <c r="AV90" s="3"/>
      <c r="AW90" s="4">
        <v>45972</v>
      </c>
      <c r="AX90" s="4">
        <f t="shared" si="392"/>
        <v>46702</v>
      </c>
      <c r="AY90" s="8">
        <f t="shared" ca="1" si="253"/>
        <v>557</v>
      </c>
      <c r="AZ90" s="5" t="str">
        <f t="shared" ca="1" si="254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5"/>
        <v>626</v>
      </c>
      <c r="BE90" s="5" t="str">
        <f t="shared" ca="1" si="256"/>
        <v>VIGENTE</v>
      </c>
      <c r="BF90" s="3"/>
      <c r="BG90" s="4">
        <v>46027</v>
      </c>
      <c r="BH90" s="4">
        <f t="shared" si="398"/>
        <v>46757</v>
      </c>
      <c r="BI90" s="8">
        <f t="shared" ca="1" si="257"/>
        <v>612</v>
      </c>
      <c r="BJ90" s="5" t="str">
        <f t="shared" ca="1" si="258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9"/>
        <v>650</v>
      </c>
      <c r="BO90" s="5" t="str">
        <f t="shared" ca="1" si="260"/>
        <v>VIGENTE</v>
      </c>
      <c r="BP90" s="3"/>
      <c r="BQ90" s="39">
        <v>46069</v>
      </c>
      <c r="BR90" s="4">
        <f>DATE(YEAR(BQ90)+2,MONTH(BQ90),DAY(BQ90))</f>
        <v>46799</v>
      </c>
      <c r="BS90" s="8">
        <f t="shared" ca="1" si="261"/>
        <v>654</v>
      </c>
      <c r="BT90" s="5" t="str">
        <f t="shared" ca="1" si="262"/>
        <v>VIGENTE</v>
      </c>
      <c r="BU90" s="3"/>
      <c r="BV90" s="4">
        <v>46126</v>
      </c>
      <c r="BW90" s="4">
        <f>DATE(YEAR(BV90)+2,MONTH(BV90),DAY(BV90)-1)</f>
        <v>46856</v>
      </c>
      <c r="BX90" s="8">
        <f t="shared" ca="1" si="263"/>
        <v>711</v>
      </c>
      <c r="BY90" s="5" t="str">
        <f t="shared" ca="1" si="264"/>
        <v>VIGENTE</v>
      </c>
      <c r="BZ90" s="3"/>
      <c r="CA90" s="4">
        <v>45944</v>
      </c>
      <c r="CB90" s="4">
        <f t="shared" si="393"/>
        <v>46674</v>
      </c>
      <c r="CC90" s="8">
        <f t="shared" ca="1" si="265"/>
        <v>529</v>
      </c>
      <c r="CD90" s="5" t="str">
        <f t="shared" ca="1" si="266"/>
        <v>VIGENTE</v>
      </c>
      <c r="CE90" s="6"/>
      <c r="CF90" s="4">
        <v>45211</v>
      </c>
      <c r="CG90" s="4">
        <f t="shared" si="387"/>
        <v>46672</v>
      </c>
      <c r="CH90" s="8">
        <f t="shared" ca="1" si="388"/>
        <v>527</v>
      </c>
      <c r="CI90" s="5" t="str">
        <f t="shared" ca="1" si="269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0"/>
        <v>558</v>
      </c>
      <c r="CN90" s="5" t="str">
        <f t="shared" ca="1" si="271"/>
        <v>VIGENTE</v>
      </c>
      <c r="CO90" s="3"/>
      <c r="CP90" s="39">
        <v>45979</v>
      </c>
      <c r="CQ90" s="4">
        <f>DATE(YEAR(CP90)+2,MONTH(CP90),DAY(CP90))</f>
        <v>46709</v>
      </c>
      <c r="CR90" s="8">
        <f t="shared" ca="1" si="272"/>
        <v>564</v>
      </c>
      <c r="CS90" s="5" t="str">
        <f t="shared" ca="1" si="273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4"/>
        <v>215</v>
      </c>
      <c r="CX90" s="5" t="str">
        <f t="shared" ca="1" si="275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6"/>
        <v>249</v>
      </c>
      <c r="DC90" s="5" t="str">
        <f t="shared" ca="1" si="277"/>
        <v>VIGENTE</v>
      </c>
      <c r="DD90" s="3"/>
      <c r="DE90" s="39">
        <v>45689</v>
      </c>
      <c r="DF90" s="4">
        <f t="shared" si="386"/>
        <v>46418</v>
      </c>
      <c r="DG90" s="8">
        <f t="shared" ca="1" si="278"/>
        <v>273</v>
      </c>
      <c r="DH90" s="5" t="str">
        <f t="shared" ca="1" si="279"/>
        <v>VIGENTE</v>
      </c>
      <c r="DI90" s="3"/>
      <c r="DJ90" s="39">
        <v>45955</v>
      </c>
      <c r="DK90" s="4">
        <f t="shared" si="394"/>
        <v>46685</v>
      </c>
      <c r="DL90" s="8">
        <f t="shared" ca="1" si="280"/>
        <v>540</v>
      </c>
      <c r="DM90" s="5" t="str">
        <f t="shared" ca="1" si="281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2"/>
        <v>104</v>
      </c>
      <c r="DR90" s="5" t="str">
        <f t="shared" ca="1" si="283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4"/>
        <v>657</v>
      </c>
      <c r="DW90" s="5" t="str">
        <f t="shared" ca="1" si="285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6"/>
        <v>605</v>
      </c>
      <c r="EB90" s="5" t="str">
        <f t="shared" ca="1" si="287"/>
        <v>VIGENTE</v>
      </c>
      <c r="EC90" s="3"/>
      <c r="ED90" s="39">
        <v>45938</v>
      </c>
      <c r="EE90" s="4">
        <f>DATE(YEAR(ED90)+2,MONTH(ED90),DAY(ED90))</f>
        <v>46668</v>
      </c>
      <c r="EF90" s="8">
        <f t="shared" ca="1" si="288"/>
        <v>523</v>
      </c>
      <c r="EG90" s="5" t="str">
        <f t="shared" ca="1" si="289"/>
        <v>VIGENTE</v>
      </c>
      <c r="EH90" s="3"/>
      <c r="EI90" s="4">
        <v>45948</v>
      </c>
      <c r="EJ90" s="4">
        <f t="shared" si="355"/>
        <v>46313</v>
      </c>
      <c r="EK90" s="8">
        <f t="shared" ca="1" si="290"/>
        <v>168</v>
      </c>
      <c r="EL90" s="5" t="str">
        <f t="shared" ca="1" si="291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2"/>
        <v>568</v>
      </c>
      <c r="EQ90" s="5" t="str">
        <f t="shared" ca="1" si="293"/>
        <v>VIGENTE</v>
      </c>
      <c r="ER90" s="3"/>
      <c r="ES90" s="39">
        <v>46094</v>
      </c>
      <c r="ET90" s="4">
        <f t="shared" si="395"/>
        <v>46825</v>
      </c>
      <c r="EU90" s="8">
        <f t="shared" ca="1" si="294"/>
        <v>680</v>
      </c>
      <c r="EV90" s="5" t="str">
        <f t="shared" ca="1" si="295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6"/>
        <v>538</v>
      </c>
      <c r="FA90" s="5" t="str">
        <f t="shared" ca="1" si="297"/>
        <v>VIGENTE</v>
      </c>
      <c r="FB90" s="3"/>
      <c r="FC90" s="4">
        <v>45951</v>
      </c>
      <c r="FD90" s="4">
        <f t="shared" si="396"/>
        <v>46681</v>
      </c>
      <c r="FE90" s="8">
        <f t="shared" ca="1" si="298"/>
        <v>536</v>
      </c>
      <c r="FF90" s="5" t="str">
        <f t="shared" ca="1" si="299"/>
        <v>VIGENTE</v>
      </c>
      <c r="FG90" s="4"/>
      <c r="FH90" s="4">
        <v>45932</v>
      </c>
      <c r="FI90" s="4">
        <f t="shared" si="397"/>
        <v>46662</v>
      </c>
      <c r="FJ90" s="8">
        <f t="shared" ca="1" si="300"/>
        <v>517</v>
      </c>
      <c r="FK90" s="5" t="str">
        <f t="shared" ca="1" si="301"/>
        <v>VIGENTE</v>
      </c>
      <c r="FL90" s="3"/>
      <c r="FM90" s="39">
        <v>45933</v>
      </c>
      <c r="FN90" s="4">
        <f>DATE(YEAR(FM90)+2,MONTH(FM90),DAY(FM90))</f>
        <v>46663</v>
      </c>
      <c r="FO90" s="8">
        <f t="shared" ca="1" si="302"/>
        <v>518</v>
      </c>
      <c r="FP90" s="5" t="str">
        <f t="shared" ca="1" si="303"/>
        <v>VIGENTE</v>
      </c>
      <c r="FQ90" s="3"/>
      <c r="FR90" s="39">
        <v>45957</v>
      </c>
      <c r="FS90" s="4">
        <f>DATE(YEAR(FR90)+2,MONTH(FR90),DAY(FR90))</f>
        <v>46687</v>
      </c>
      <c r="FT90" s="8">
        <f t="shared" ca="1" si="304"/>
        <v>542</v>
      </c>
      <c r="FU90" s="5" t="str">
        <f t="shared" ca="1" si="305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6"/>
        <v>131</v>
      </c>
      <c r="FZ90" s="5" t="str">
        <f t="shared" ca="1" si="307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8"/>
        <v>615</v>
      </c>
      <c r="GE90" s="5" t="str">
        <f t="shared" ca="1" si="309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0"/>
        <v>497</v>
      </c>
      <c r="GJ90" s="5" t="str">
        <f t="shared" ca="1" si="311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2"/>
        <v>530</v>
      </c>
      <c r="GO90" s="5" t="str">
        <f t="shared" ca="1" si="313"/>
        <v>VIGENTE</v>
      </c>
      <c r="GP90" s="4"/>
      <c r="GQ90" s="4">
        <v>44966</v>
      </c>
      <c r="GR90" s="4">
        <f t="shared" si="314"/>
        <v>46792</v>
      </c>
      <c r="GS90" s="8">
        <f t="shared" ca="1" si="384"/>
        <v>647</v>
      </c>
      <c r="GT90" s="5" t="str">
        <f t="shared" ca="1" si="378"/>
        <v>VIGENTE</v>
      </c>
      <c r="GU90" s="3"/>
      <c r="GV90" s="4">
        <v>45006</v>
      </c>
      <c r="GW90" s="4">
        <f t="shared" si="316"/>
        <v>46833</v>
      </c>
      <c r="GX90" s="8">
        <f t="shared" ca="1" si="317"/>
        <v>688</v>
      </c>
      <c r="GY90" s="5" t="str">
        <f t="shared" ca="1" si="379"/>
        <v>VIGENTE</v>
      </c>
      <c r="GZ90" s="3"/>
      <c r="HA90" s="4">
        <v>45415</v>
      </c>
      <c r="HB90" s="4">
        <f t="shared" si="319"/>
        <v>47241</v>
      </c>
      <c r="HC90" s="8">
        <f t="shared" ca="1" si="320"/>
        <v>1096</v>
      </c>
      <c r="HD90" s="5" t="str">
        <f t="shared" ca="1" si="38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9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5"/>
        <v>VIGENTE</v>
      </c>
      <c r="HO90" s="2"/>
      <c r="HP90" s="2"/>
      <c r="HQ90" s="4"/>
      <c r="HR90" s="2"/>
      <c r="HS90" s="5" t="str">
        <f t="shared" si="322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3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4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5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6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7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8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9"/>
        <v>VIGENTE</v>
      </c>
      <c r="JC90" s="3" t="s">
        <v>780</v>
      </c>
      <c r="JD90" s="3"/>
      <c r="JE90" s="4"/>
      <c r="JF90" s="8"/>
      <c r="JG90" s="5"/>
      <c r="JH90" s="3" t="s">
        <v>780</v>
      </c>
      <c r="JI90" s="6"/>
      <c r="JJ90" s="6"/>
      <c r="JK90" s="6"/>
      <c r="JL90" s="5"/>
      <c r="JM90" s="6" t="s">
        <v>780</v>
      </c>
      <c r="JN90" s="6"/>
      <c r="JO90" s="6"/>
      <c r="JP90" s="6"/>
      <c r="JQ90" s="5"/>
      <c r="JR90" s="6" t="s">
        <v>780</v>
      </c>
      <c r="JS90" s="6"/>
      <c r="JT90" s="6"/>
      <c r="JU90" s="6"/>
      <c r="JV90" s="5"/>
      <c r="JW90" s="6" t="s">
        <v>780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30"/>
        <v>NO APLICA</v>
      </c>
      <c r="KG90" s="5"/>
      <c r="KH90" s="2"/>
      <c r="KI90" s="4"/>
      <c r="KJ90" s="8"/>
      <c r="KK90" s="5" t="str">
        <f t="shared" si="356"/>
        <v>NO APLICA</v>
      </c>
      <c r="KL90" s="5"/>
      <c r="KM90" s="2"/>
      <c r="KN90" s="4"/>
      <c r="KO90" s="8"/>
      <c r="KP90" s="5" t="str">
        <f t="shared" si="331"/>
        <v>NO APLICA</v>
      </c>
      <c r="KQ90" s="5"/>
      <c r="KR90" s="2"/>
      <c r="KS90" s="4"/>
      <c r="KT90" s="8"/>
      <c r="KU90" s="5" t="str">
        <f t="shared" si="357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6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8"/>
        <v>VIGENTE</v>
      </c>
      <c r="LF90" s="6"/>
      <c r="LG90" s="4"/>
      <c r="LH90" s="4"/>
      <c r="LI90" s="8"/>
      <c r="LJ90" s="5" t="str">
        <f t="shared" si="332"/>
        <v>NO APLICA</v>
      </c>
      <c r="LK90" s="5"/>
      <c r="LL90" s="5"/>
      <c r="LM90" s="4"/>
      <c r="LN90" s="8"/>
      <c r="LO90" s="5" t="str">
        <f t="shared" si="367"/>
        <v>NO APLICA</v>
      </c>
      <c r="LP90" s="2"/>
      <c r="LQ90" s="6"/>
      <c r="LR90" s="4"/>
      <c r="LS90" s="8"/>
      <c r="LT90" s="5" t="str">
        <f t="shared" si="359"/>
        <v>NO APLICA</v>
      </c>
      <c r="LU90" s="6"/>
      <c r="LV90" s="6"/>
      <c r="LW90" s="4"/>
      <c r="LX90" s="8"/>
      <c r="LY90" s="5" t="str">
        <f t="shared" si="360"/>
        <v>NO APLICA</v>
      </c>
      <c r="LZ90" s="6"/>
      <c r="MA90" s="6"/>
      <c r="MB90" s="4"/>
      <c r="MC90" s="8"/>
      <c r="MD90" s="5" t="str">
        <f t="shared" si="361"/>
        <v>NO APLICA</v>
      </c>
      <c r="ME90" s="2"/>
      <c r="MF90" s="2"/>
      <c r="MG90" s="4"/>
      <c r="MH90" s="8"/>
      <c r="MI90" s="5" t="str">
        <f t="shared" si="333"/>
        <v>NO APLICA</v>
      </c>
      <c r="MJ90" s="2"/>
      <c r="MK90" s="2"/>
      <c r="ML90" s="4"/>
      <c r="MM90" s="8"/>
      <c r="MN90" s="5" t="str">
        <f t="shared" si="334"/>
        <v>NO APLICA</v>
      </c>
      <c r="MO90" s="5"/>
      <c r="MP90" s="2"/>
      <c r="MQ90" s="4"/>
      <c r="MR90" s="8"/>
      <c r="MS90" s="5" t="str">
        <f t="shared" si="335"/>
        <v>NO APLICA</v>
      </c>
      <c r="MT90" s="5"/>
      <c r="MU90" s="2"/>
      <c r="MV90" s="4"/>
      <c r="MW90" s="2"/>
      <c r="MX90" s="5" t="str">
        <f t="shared" si="336"/>
        <v>NO APLICA</v>
      </c>
      <c r="MY90" s="2"/>
      <c r="MZ90" s="6"/>
      <c r="NA90" s="4"/>
      <c r="NB90" s="8"/>
      <c r="NC90" s="5" t="str">
        <f t="shared" si="337"/>
        <v>NO APLICA</v>
      </c>
      <c r="ND90" s="2"/>
      <c r="NE90" s="6"/>
      <c r="NF90" s="4"/>
      <c r="NG90" s="8"/>
      <c r="NH90" s="5" t="str">
        <f t="shared" si="338"/>
        <v>NO APLICA</v>
      </c>
      <c r="NI90" s="2"/>
      <c r="NJ90" s="6"/>
      <c r="NK90" s="4"/>
      <c r="NL90" s="8"/>
      <c r="NM90" s="5" t="str">
        <f t="shared" si="339"/>
        <v>NO APLICA</v>
      </c>
      <c r="NN90" s="2"/>
      <c r="NO90" s="2"/>
      <c r="NP90" s="4"/>
      <c r="NQ90" s="2"/>
      <c r="NR90" s="5" t="str">
        <f t="shared" si="340"/>
        <v>NO APLICA</v>
      </c>
      <c r="NS90" s="2"/>
      <c r="NT90" s="2"/>
      <c r="NU90" s="4"/>
      <c r="NV90" s="2"/>
      <c r="NW90" s="5" t="str">
        <f t="shared" si="341"/>
        <v>NO APLICA</v>
      </c>
      <c r="NX90" s="6"/>
      <c r="NY90" s="6"/>
      <c r="NZ90" s="4"/>
      <c r="OA90" s="8"/>
      <c r="OB90" s="5" t="str">
        <f t="shared" si="342"/>
        <v>NO APLICA</v>
      </c>
      <c r="OC90" s="6"/>
      <c r="OD90" s="6"/>
      <c r="OE90" s="6"/>
      <c r="OF90" s="6"/>
      <c r="OG90" s="5" t="str">
        <f t="shared" si="343"/>
        <v>NO APLICA</v>
      </c>
      <c r="OH90" s="2"/>
      <c r="OI90" s="2"/>
      <c r="OJ90" s="4"/>
      <c r="OK90" s="8"/>
      <c r="OL90" s="5" t="str">
        <f t="shared" si="344"/>
        <v>NO APLICA</v>
      </c>
      <c r="OM90" s="6"/>
      <c r="ON90" s="6"/>
      <c r="OO90" s="6"/>
      <c r="OP90" s="6"/>
      <c r="OQ90" s="5" t="str">
        <f t="shared" si="345"/>
        <v>NO APLICA</v>
      </c>
      <c r="OR90" s="6"/>
      <c r="OS90" s="6"/>
      <c r="OT90" s="6"/>
      <c r="OU90" s="6"/>
      <c r="OV90" s="5" t="str">
        <f t="shared" si="346"/>
        <v>NO APLICA</v>
      </c>
      <c r="OW90" s="6"/>
      <c r="OX90" s="6"/>
      <c r="OY90" s="6"/>
      <c r="OZ90" s="6"/>
      <c r="PA90" s="5" t="str">
        <f t="shared" si="347"/>
        <v>NO APLICA</v>
      </c>
      <c r="PB90" s="6"/>
      <c r="PC90" s="6"/>
      <c r="PD90" s="6"/>
      <c r="PE90" s="6"/>
      <c r="PF90" s="5" t="str">
        <f t="shared" si="348"/>
        <v>NO APLICA</v>
      </c>
      <c r="PG90" s="6"/>
      <c r="PH90" s="6"/>
      <c r="PI90" s="6"/>
      <c r="PJ90" s="6"/>
      <c r="PK90" s="5" t="str">
        <f t="shared" si="349"/>
        <v>NO APLICA</v>
      </c>
      <c r="PL90" s="5"/>
      <c r="PM90" s="6"/>
      <c r="PN90" s="4"/>
      <c r="PO90" s="8"/>
      <c r="PP90" s="5" t="str">
        <f t="shared" si="350"/>
        <v>NO APLICA</v>
      </c>
      <c r="PQ90" s="6"/>
      <c r="PR90" s="6"/>
      <c r="PS90" s="6"/>
      <c r="PT90" s="6"/>
      <c r="PU90" s="5" t="str">
        <f t="shared" si="351"/>
        <v>NO APLICA</v>
      </c>
      <c r="PV90" s="5"/>
      <c r="PW90" s="6"/>
      <c r="PX90" s="6"/>
      <c r="PY90" s="6"/>
      <c r="PZ90" s="5" t="str">
        <f t="shared" si="352"/>
        <v>NO APLICA</v>
      </c>
    </row>
    <row r="91" spans="1:442" ht="15.6" hidden="1" thickTop="1" thickBot="1" x14ac:dyDescent="0.35">
      <c r="A91" s="26">
        <v>88</v>
      </c>
      <c r="B91" s="31">
        <v>1655</v>
      </c>
      <c r="C91" s="28" t="s">
        <v>323</v>
      </c>
      <c r="D91" s="29" t="s">
        <v>68</v>
      </c>
      <c r="E91" s="30" t="s">
        <v>73</v>
      </c>
      <c r="F91" s="5"/>
      <c r="G91" s="6"/>
      <c r="H91" s="4"/>
      <c r="I91" s="8"/>
      <c r="J91" s="5" t="str">
        <f t="shared" si="242"/>
        <v>NO APLICA</v>
      </c>
      <c r="K91" s="5"/>
      <c r="L91" s="6"/>
      <c r="M91" s="6"/>
      <c r="N91" s="8"/>
      <c r="O91" s="5" t="str">
        <f t="shared" si="243"/>
        <v>NO APLICA</v>
      </c>
      <c r="P91" s="4"/>
      <c r="Q91" s="4"/>
      <c r="R91" s="4"/>
      <c r="S91" s="8"/>
      <c r="T91" s="5" t="str">
        <f t="shared" si="353"/>
        <v>NO APLICA</v>
      </c>
      <c r="U91" s="5"/>
      <c r="V91" s="2" t="s">
        <v>324</v>
      </c>
      <c r="W91" s="4">
        <v>44422</v>
      </c>
      <c r="X91" s="4">
        <f t="shared" si="244"/>
        <v>46248</v>
      </c>
      <c r="Y91" s="8">
        <f t="shared" ca="1" si="245"/>
        <v>103</v>
      </c>
      <c r="Z91" s="5" t="str">
        <f t="shared" ca="1" si="246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8"/>
        <v>591</v>
      </c>
      <c r="AK91" s="5" t="str">
        <f t="shared" ca="1" si="219"/>
        <v>VIGENTE</v>
      </c>
      <c r="AL91" s="2"/>
      <c r="AM91" s="4">
        <v>45937</v>
      </c>
      <c r="AN91" s="4">
        <f t="shared" si="390"/>
        <v>46667</v>
      </c>
      <c r="AO91" s="8">
        <f t="shared" ca="1" si="249"/>
        <v>522</v>
      </c>
      <c r="AP91" s="5" t="str">
        <f t="shared" ca="1" si="250"/>
        <v>VIGENTE</v>
      </c>
      <c r="AQ91" s="3"/>
      <c r="AR91" s="4">
        <v>45967</v>
      </c>
      <c r="AS91" s="4">
        <f t="shared" si="391"/>
        <v>46697</v>
      </c>
      <c r="AT91" s="8">
        <f t="shared" ca="1" si="251"/>
        <v>552</v>
      </c>
      <c r="AU91" s="5" t="str">
        <f t="shared" ca="1" si="252"/>
        <v>VIGENTE</v>
      </c>
      <c r="AV91" s="3"/>
      <c r="AW91" s="4">
        <v>45972</v>
      </c>
      <c r="AX91" s="4">
        <f t="shared" si="392"/>
        <v>46702</v>
      </c>
      <c r="AY91" s="8">
        <f t="shared" ca="1" si="253"/>
        <v>557</v>
      </c>
      <c r="AZ91" s="5" t="str">
        <f t="shared" ca="1" si="254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5"/>
        <v>515</v>
      </c>
      <c r="BE91" s="5" t="str">
        <f t="shared" ca="1" si="256"/>
        <v>VIGENTE</v>
      </c>
      <c r="BF91" s="2"/>
      <c r="BG91" s="4">
        <v>45987</v>
      </c>
      <c r="BH91" s="4">
        <f t="shared" si="398"/>
        <v>46717</v>
      </c>
      <c r="BI91" s="8">
        <f t="shared" ca="1" si="257"/>
        <v>572</v>
      </c>
      <c r="BJ91" s="5" t="str">
        <f t="shared" ca="1" si="258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9"/>
        <v>602</v>
      </c>
      <c r="BO91" s="5" t="str">
        <f t="shared" ca="1" si="260"/>
        <v>VIGENTE</v>
      </c>
      <c r="BP91" s="4"/>
      <c r="BQ91" s="39">
        <v>45981</v>
      </c>
      <c r="BR91" s="4">
        <f>DATE(YEAR(BQ91)+2,MONTH(BQ91),DAY(BQ91))</f>
        <v>46711</v>
      </c>
      <c r="BS91" s="8">
        <f t="shared" ca="1" si="261"/>
        <v>566</v>
      </c>
      <c r="BT91" s="5" t="str">
        <f t="shared" ca="1" si="262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3"/>
        <v>616</v>
      </c>
      <c r="BY91" s="5" t="str">
        <f t="shared" ca="1" si="264"/>
        <v>VIGENTE</v>
      </c>
      <c r="BZ91" s="2"/>
      <c r="CA91" s="4">
        <v>45986</v>
      </c>
      <c r="CB91" s="4">
        <f t="shared" si="393"/>
        <v>46716</v>
      </c>
      <c r="CC91" s="8">
        <f t="shared" ca="1" si="265"/>
        <v>571</v>
      </c>
      <c r="CD91" s="5" t="str">
        <f t="shared" ca="1" si="266"/>
        <v>VIGENTE</v>
      </c>
      <c r="CE91" s="6"/>
      <c r="CF91" s="4">
        <v>45547</v>
      </c>
      <c r="CG91" s="4">
        <f t="shared" si="387"/>
        <v>47008</v>
      </c>
      <c r="CH91" s="8">
        <f t="shared" ca="1" si="388"/>
        <v>863</v>
      </c>
      <c r="CI91" s="5" t="str">
        <f t="shared" ca="1" si="269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0"/>
        <v>605</v>
      </c>
      <c r="CN91" s="5" t="str">
        <f t="shared" ca="1" si="271"/>
        <v>VIGENTE</v>
      </c>
      <c r="CO91" s="4"/>
      <c r="CP91" s="39">
        <v>45979</v>
      </c>
      <c r="CQ91" s="4">
        <f>DATE(YEAR(CP91)+2,MONTH(CP91),DAY(CP91))</f>
        <v>46709</v>
      </c>
      <c r="CR91" s="8">
        <f t="shared" ca="1" si="272"/>
        <v>564</v>
      </c>
      <c r="CS91" s="5" t="str">
        <f t="shared" ca="1" si="273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4"/>
        <v>524</v>
      </c>
      <c r="CX91" s="5" t="str">
        <f t="shared" ca="1" si="275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6"/>
        <v>509</v>
      </c>
      <c r="DC91" s="5" t="str">
        <f t="shared" ca="1" si="277"/>
        <v>VIGENTE</v>
      </c>
      <c r="DD91" s="4"/>
      <c r="DE91" s="39">
        <v>46045</v>
      </c>
      <c r="DF91" s="4">
        <f>DATE(YEAR(DE91)+2,MONTH(DE91),DAY(DE91))</f>
        <v>46775</v>
      </c>
      <c r="DG91" s="8">
        <f t="shared" ca="1" si="278"/>
        <v>630</v>
      </c>
      <c r="DH91" s="5" t="str">
        <f t="shared" ca="1" si="279"/>
        <v>VIGENTE</v>
      </c>
      <c r="DI91" s="3"/>
      <c r="DJ91" s="39">
        <v>45955</v>
      </c>
      <c r="DK91" s="4">
        <f t="shared" si="394"/>
        <v>46685</v>
      </c>
      <c r="DL91" s="8">
        <f t="shared" ca="1" si="280"/>
        <v>540</v>
      </c>
      <c r="DM91" s="5" t="str">
        <f t="shared" ca="1" si="281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2"/>
        <v>567</v>
      </c>
      <c r="DR91" s="5" t="str">
        <f t="shared" ca="1" si="283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4"/>
        <v>603</v>
      </c>
      <c r="DW91" s="5" t="str">
        <f t="shared" ca="1" si="285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6"/>
        <v>519</v>
      </c>
      <c r="EB91" s="5" t="str">
        <f t="shared" ca="1" si="287"/>
        <v>VIGENTE</v>
      </c>
      <c r="EC91" s="3"/>
      <c r="ED91" s="39">
        <v>45938</v>
      </c>
      <c r="EE91" s="4">
        <f>DATE(YEAR(ED91)+2,MONTH(ED91),DAY(ED91))</f>
        <v>46668</v>
      </c>
      <c r="EF91" s="8">
        <f t="shared" ca="1" si="288"/>
        <v>523</v>
      </c>
      <c r="EG91" s="5" t="str">
        <f t="shared" ca="1" si="289"/>
        <v>VIGENTE</v>
      </c>
      <c r="EH91" s="3"/>
      <c r="EI91" s="4">
        <v>46115</v>
      </c>
      <c r="EJ91" s="4">
        <f t="shared" si="355"/>
        <v>46480</v>
      </c>
      <c r="EK91" s="8">
        <f t="shared" ca="1" si="290"/>
        <v>335</v>
      </c>
      <c r="EL91" s="5" t="str">
        <f t="shared" ca="1" si="291"/>
        <v>VIGENTE</v>
      </c>
      <c r="EM91" s="3"/>
      <c r="EN91" s="4">
        <v>45940</v>
      </c>
      <c r="EO91" s="4">
        <f>DATE(YEAR(EN91)+2,MONTH(EN91),DAY(EN91))</f>
        <v>46670</v>
      </c>
      <c r="EP91" s="8">
        <f t="shared" ca="1" si="292"/>
        <v>525</v>
      </c>
      <c r="EQ91" s="5" t="str">
        <f t="shared" ca="1" si="293"/>
        <v>VIGENTE</v>
      </c>
      <c r="ER91" s="3"/>
      <c r="ES91" s="39">
        <v>45993</v>
      </c>
      <c r="ET91" s="4">
        <f t="shared" si="395"/>
        <v>46723</v>
      </c>
      <c r="EU91" s="8">
        <f t="shared" ca="1" si="294"/>
        <v>578</v>
      </c>
      <c r="EV91" s="5" t="str">
        <f t="shared" ca="1" si="295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6"/>
        <v>622</v>
      </c>
      <c r="FA91" s="5" t="str">
        <f t="shared" ca="1" si="297"/>
        <v>VIGENTE</v>
      </c>
      <c r="FB91" s="2"/>
      <c r="FC91" s="4">
        <v>45988</v>
      </c>
      <c r="FD91" s="4">
        <f t="shared" si="396"/>
        <v>46718</v>
      </c>
      <c r="FE91" s="8">
        <f t="shared" ca="1" si="298"/>
        <v>573</v>
      </c>
      <c r="FF91" s="5" t="str">
        <f t="shared" ca="1" si="299"/>
        <v>VIGENTE</v>
      </c>
      <c r="FG91" s="2"/>
      <c r="FH91" s="4">
        <v>45992</v>
      </c>
      <c r="FI91" s="4">
        <f t="shared" si="397"/>
        <v>46722</v>
      </c>
      <c r="FJ91" s="8">
        <f t="shared" ca="1" si="300"/>
        <v>577</v>
      </c>
      <c r="FK91" s="5" t="str">
        <f t="shared" ca="1" si="301"/>
        <v>VIGENTE</v>
      </c>
      <c r="FL91" s="4"/>
      <c r="FM91" s="39">
        <v>46039</v>
      </c>
      <c r="FN91" s="4">
        <f>DATE(YEAR(FM91)+2,MONTH(FM91),DAY(FM91))</f>
        <v>46769</v>
      </c>
      <c r="FO91" s="8">
        <f t="shared" ca="1" si="302"/>
        <v>624</v>
      </c>
      <c r="FP91" s="5" t="str">
        <f t="shared" ca="1" si="303"/>
        <v>VIGENTE</v>
      </c>
      <c r="FQ91" s="3"/>
      <c r="FR91" s="39">
        <v>45957</v>
      </c>
      <c r="FS91" s="4">
        <f>DATE(YEAR(FR91)+2,MONTH(FR91),DAY(FR91))</f>
        <v>46687</v>
      </c>
      <c r="FT91" s="8">
        <f t="shared" ca="1" si="304"/>
        <v>542</v>
      </c>
      <c r="FU91" s="5" t="str">
        <f t="shared" ca="1" si="305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6"/>
        <v>599</v>
      </c>
      <c r="FZ91" s="5" t="str">
        <f t="shared" ca="1" si="307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8"/>
        <v>510</v>
      </c>
      <c r="GE91" s="5" t="str">
        <f t="shared" ca="1" si="309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0"/>
        <v>545</v>
      </c>
      <c r="GJ91" s="5" t="str">
        <f t="shared" ca="1" si="311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2"/>
        <v>530</v>
      </c>
      <c r="GO91" s="5" t="str">
        <f t="shared" ca="1" si="313"/>
        <v>VIGENTE</v>
      </c>
      <c r="GP91" s="4"/>
      <c r="GQ91" s="4">
        <v>45295</v>
      </c>
      <c r="GR91" s="4">
        <f t="shared" si="314"/>
        <v>47122</v>
      </c>
      <c r="GS91" s="8">
        <f t="shared" ca="1" si="384"/>
        <v>977</v>
      </c>
      <c r="GT91" s="5" t="str">
        <f t="shared" ca="1" si="378"/>
        <v>VIGENTE</v>
      </c>
      <c r="GU91" s="3"/>
      <c r="GV91" s="4">
        <v>45329</v>
      </c>
      <c r="GW91" s="4">
        <f t="shared" si="316"/>
        <v>47156</v>
      </c>
      <c r="GX91" s="8">
        <f t="shared" ca="1" si="317"/>
        <v>1011</v>
      </c>
      <c r="GY91" s="5" t="str">
        <f t="shared" ca="1" si="379"/>
        <v>VIGENTE</v>
      </c>
      <c r="GZ91" s="2"/>
      <c r="HA91" s="4">
        <v>45293</v>
      </c>
      <c r="HB91" s="4">
        <f t="shared" si="319"/>
        <v>47120</v>
      </c>
      <c r="HC91" s="8">
        <f t="shared" ca="1" si="320"/>
        <v>975</v>
      </c>
      <c r="HD91" s="5" t="str">
        <f t="shared" ca="1" si="38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9"/>
        <v>VIGENTE</v>
      </c>
      <c r="HJ91" s="2"/>
      <c r="HK91" s="6"/>
      <c r="HL91" s="4"/>
      <c r="HM91" s="8"/>
      <c r="HN91" s="5" t="str">
        <f t="shared" si="385"/>
        <v>NO APLICA</v>
      </c>
      <c r="HO91" s="2"/>
      <c r="HP91" s="2"/>
      <c r="HQ91" s="4"/>
      <c r="HR91" s="2"/>
      <c r="HS91" s="5" t="str">
        <f t="shared" si="322"/>
        <v>NO APLICA</v>
      </c>
      <c r="HT91" s="2"/>
      <c r="HU91" s="6"/>
      <c r="HV91" s="4"/>
      <c r="HW91" s="8"/>
      <c r="HX91" s="5" t="str">
        <f t="shared" si="323"/>
        <v>NO APLICA</v>
      </c>
      <c r="HY91" s="2"/>
      <c r="HZ91" s="6"/>
      <c r="IA91" s="4"/>
      <c r="IB91" s="8"/>
      <c r="IC91" s="5" t="str">
        <f t="shared" si="324"/>
        <v>NO APLICA</v>
      </c>
      <c r="ID91" s="2"/>
      <c r="IE91" s="6"/>
      <c r="IF91" s="4"/>
      <c r="IG91" s="8"/>
      <c r="IH91" s="5" t="str">
        <f t="shared" si="325"/>
        <v>NO APLICA</v>
      </c>
      <c r="II91" s="6"/>
      <c r="IJ91" s="6"/>
      <c r="IK91" s="4"/>
      <c r="IL91" s="8"/>
      <c r="IM91" s="5" t="str">
        <f t="shared" si="326"/>
        <v>NO APLICA</v>
      </c>
      <c r="IN91" s="2"/>
      <c r="IO91" s="6"/>
      <c r="IP91" s="4"/>
      <c r="IQ91" s="8"/>
      <c r="IR91" s="5" t="str">
        <f t="shared" si="327"/>
        <v>NO APLICA</v>
      </c>
      <c r="IS91" s="2"/>
      <c r="IT91" s="6"/>
      <c r="IU91" s="4"/>
      <c r="IV91" s="8"/>
      <c r="IW91" s="5" t="str">
        <f t="shared" si="328"/>
        <v>NO APLICA</v>
      </c>
      <c r="IX91" s="2"/>
      <c r="IY91" s="6"/>
      <c r="IZ91" s="4"/>
      <c r="JA91" s="8"/>
      <c r="JB91" s="5" t="str">
        <f t="shared" si="329"/>
        <v>NO APLICA</v>
      </c>
      <c r="JC91" s="3" t="s">
        <v>780</v>
      </c>
      <c r="JD91" s="3"/>
      <c r="JE91" s="4"/>
      <c r="JF91" s="8"/>
      <c r="JG91" s="5"/>
      <c r="JH91" s="3" t="s">
        <v>780</v>
      </c>
      <c r="JI91" s="6"/>
      <c r="JJ91" s="6"/>
      <c r="JK91" s="6"/>
      <c r="JL91" s="5"/>
      <c r="JM91" s="6" t="s">
        <v>780</v>
      </c>
      <c r="JN91" s="6"/>
      <c r="JO91" s="6"/>
      <c r="JP91" s="6"/>
      <c r="JQ91" s="5"/>
      <c r="JR91" s="6" t="s">
        <v>780</v>
      </c>
      <c r="JS91" s="6"/>
      <c r="JT91" s="6"/>
      <c r="JU91" s="6"/>
      <c r="JV91" s="5"/>
      <c r="JW91" s="6" t="s">
        <v>780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30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6"/>
        <v>VIGENTE</v>
      </c>
      <c r="KL91" s="5"/>
      <c r="KM91" s="2"/>
      <c r="KN91" s="4"/>
      <c r="KO91" s="8"/>
      <c r="KP91" s="5" t="str">
        <f t="shared" si="331"/>
        <v>NO APLICA</v>
      </c>
      <c r="KQ91" s="5"/>
      <c r="KR91" s="2"/>
      <c r="KS91" s="4"/>
      <c r="KT91" s="8"/>
      <c r="KU91" s="5" t="str">
        <f t="shared" si="357"/>
        <v>NO APLICA</v>
      </c>
      <c r="KV91" s="2"/>
      <c r="KW91" s="6"/>
      <c r="KX91" s="4"/>
      <c r="KY91" s="8"/>
      <c r="KZ91" s="5" t="str">
        <f t="shared" si="366"/>
        <v>NO APLICA</v>
      </c>
      <c r="LA91" s="5"/>
      <c r="LB91" s="6"/>
      <c r="LC91" s="4"/>
      <c r="LD91" s="8"/>
      <c r="LE91" s="5" t="str">
        <f t="shared" si="358"/>
        <v>NO APLICA</v>
      </c>
      <c r="LF91" s="6"/>
      <c r="LG91" s="4"/>
      <c r="LH91" s="4"/>
      <c r="LI91" s="8"/>
      <c r="LJ91" s="5" t="str">
        <f t="shared" si="332"/>
        <v>NO APLICA</v>
      </c>
      <c r="LK91" s="5"/>
      <c r="LL91" s="5"/>
      <c r="LM91" s="4"/>
      <c r="LN91" s="8"/>
      <c r="LO91" s="5" t="str">
        <f t="shared" si="367"/>
        <v>NO APLICA</v>
      </c>
      <c r="LP91" s="2"/>
      <c r="LQ91" s="6"/>
      <c r="LR91" s="4"/>
      <c r="LS91" s="8"/>
      <c r="LT91" s="5" t="str">
        <f t="shared" si="359"/>
        <v>NO APLICA</v>
      </c>
      <c r="LU91" s="6"/>
      <c r="LV91" s="6"/>
      <c r="LW91" s="4"/>
      <c r="LX91" s="8"/>
      <c r="LY91" s="5" t="str">
        <f t="shared" si="360"/>
        <v>NO APLICA</v>
      </c>
      <c r="LZ91" s="6"/>
      <c r="MA91" s="6"/>
      <c r="MB91" s="4"/>
      <c r="MC91" s="8"/>
      <c r="MD91" s="5" t="str">
        <f t="shared" si="361"/>
        <v>NO APLICA</v>
      </c>
      <c r="ME91" s="2"/>
      <c r="MF91" s="2"/>
      <c r="MG91" s="4"/>
      <c r="MH91" s="8"/>
      <c r="MI91" s="5" t="str">
        <f t="shared" si="333"/>
        <v>NO APLICA</v>
      </c>
      <c r="MJ91" s="2"/>
      <c r="MK91" s="2"/>
      <c r="ML91" s="4"/>
      <c r="MM91" s="8"/>
      <c r="MN91" s="5" t="str">
        <f t="shared" si="334"/>
        <v>NO APLICA</v>
      </c>
      <c r="MO91" s="5"/>
      <c r="MP91" s="2"/>
      <c r="MQ91" s="4"/>
      <c r="MR91" s="8"/>
      <c r="MS91" s="5" t="str">
        <f t="shared" si="335"/>
        <v>NO APLICA</v>
      </c>
      <c r="MT91" s="5"/>
      <c r="MU91" s="2"/>
      <c r="MV91" s="4"/>
      <c r="MW91" s="2"/>
      <c r="MX91" s="5" t="str">
        <f t="shared" si="336"/>
        <v>NO APLICA</v>
      </c>
      <c r="MY91" s="2"/>
      <c r="MZ91" s="6"/>
      <c r="NA91" s="4"/>
      <c r="NB91" s="8"/>
      <c r="NC91" s="5" t="str">
        <f t="shared" si="337"/>
        <v>NO APLICA</v>
      </c>
      <c r="ND91" s="2"/>
      <c r="NE91" s="6"/>
      <c r="NF91" s="4"/>
      <c r="NG91" s="8"/>
      <c r="NH91" s="5" t="str">
        <f t="shared" si="338"/>
        <v>NO APLICA</v>
      </c>
      <c r="NI91" s="2"/>
      <c r="NJ91" s="6"/>
      <c r="NK91" s="4"/>
      <c r="NL91" s="8"/>
      <c r="NM91" s="5" t="str">
        <f t="shared" si="339"/>
        <v>NO APLICA</v>
      </c>
      <c r="NN91" s="2"/>
      <c r="NO91" s="2"/>
      <c r="NP91" s="4"/>
      <c r="NQ91" s="8"/>
      <c r="NR91" s="5" t="str">
        <f t="shared" si="340"/>
        <v>NO APLICA</v>
      </c>
      <c r="NS91" s="2"/>
      <c r="NT91" s="2"/>
      <c r="NU91" s="4"/>
      <c r="NV91" s="2"/>
      <c r="NW91" s="5" t="str">
        <f t="shared" si="341"/>
        <v>NO APLICA</v>
      </c>
      <c r="NX91" s="6"/>
      <c r="NY91" s="6"/>
      <c r="NZ91" s="4"/>
      <c r="OA91" s="8"/>
      <c r="OB91" s="5" t="str">
        <f t="shared" si="342"/>
        <v>NO APLICA</v>
      </c>
      <c r="OC91" s="6"/>
      <c r="OD91" s="6"/>
      <c r="OE91" s="6"/>
      <c r="OF91" s="6"/>
      <c r="OG91" s="5" t="str">
        <f t="shared" si="343"/>
        <v>NO APLICA</v>
      </c>
      <c r="OH91" s="2"/>
      <c r="OI91" s="2"/>
      <c r="OJ91" s="4"/>
      <c r="OK91" s="8"/>
      <c r="OL91" s="5" t="str">
        <f t="shared" si="344"/>
        <v>NO APLICA</v>
      </c>
      <c r="OM91" s="6"/>
      <c r="ON91" s="6"/>
      <c r="OO91" s="6"/>
      <c r="OP91" s="6"/>
      <c r="OQ91" s="5" t="str">
        <f t="shared" si="345"/>
        <v>NO APLICA</v>
      </c>
      <c r="OR91" s="6"/>
      <c r="OS91" s="6"/>
      <c r="OT91" s="6"/>
      <c r="OU91" s="6"/>
      <c r="OV91" s="5" t="str">
        <f t="shared" si="346"/>
        <v>NO APLICA</v>
      </c>
      <c r="OW91" s="6"/>
      <c r="OX91" s="6"/>
      <c r="OY91" s="6"/>
      <c r="OZ91" s="6"/>
      <c r="PA91" s="5" t="str">
        <f t="shared" si="347"/>
        <v>NO APLICA</v>
      </c>
      <c r="PB91" s="6"/>
      <c r="PC91" s="6"/>
      <c r="PD91" s="6"/>
      <c r="PE91" s="6"/>
      <c r="PF91" s="5" t="str">
        <f t="shared" si="348"/>
        <v>NO APLICA</v>
      </c>
      <c r="PG91" s="6"/>
      <c r="PH91" s="6"/>
      <c r="PI91" s="6"/>
      <c r="PJ91" s="6"/>
      <c r="PK91" s="5" t="str">
        <f t="shared" si="349"/>
        <v>NO APLICA</v>
      </c>
      <c r="PL91" s="5"/>
      <c r="PM91" s="6"/>
      <c r="PN91" s="4"/>
      <c r="PO91" s="8"/>
      <c r="PP91" s="5" t="str">
        <f t="shared" si="350"/>
        <v>NO APLICA</v>
      </c>
      <c r="PQ91" s="6"/>
      <c r="PR91" s="6"/>
      <c r="PS91" s="6"/>
      <c r="PT91" s="6"/>
      <c r="PU91" s="5" t="str">
        <f t="shared" si="351"/>
        <v>NO APLICA</v>
      </c>
      <c r="PV91" s="5"/>
      <c r="PW91" s="6"/>
      <c r="PX91" s="6"/>
      <c r="PY91" s="6"/>
      <c r="PZ91" s="5" t="str">
        <f t="shared" si="352"/>
        <v>NO APLICA</v>
      </c>
    </row>
    <row r="92" spans="1:442" ht="15.6" hidden="1" thickTop="1" thickBot="1" x14ac:dyDescent="0.35">
      <c r="A92" s="26">
        <v>89</v>
      </c>
      <c r="B92" s="27">
        <v>877</v>
      </c>
      <c r="C92" s="28" t="s">
        <v>326</v>
      </c>
      <c r="D92" s="29" t="s">
        <v>113</v>
      </c>
      <c r="E92" s="30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2"/>
        <v>VIGENTE</v>
      </c>
      <c r="K92" s="2"/>
      <c r="L92" s="6"/>
      <c r="M92" s="6"/>
      <c r="N92" s="8"/>
      <c r="O92" s="5" t="str">
        <f t="shared" si="243"/>
        <v>NO APLICA</v>
      </c>
      <c r="P92" s="6"/>
      <c r="Q92" s="6"/>
      <c r="R92" s="4"/>
      <c r="S92" s="8"/>
      <c r="T92" s="5" t="str">
        <f t="shared" si="353"/>
        <v>NO APLICA</v>
      </c>
      <c r="U92" s="5"/>
      <c r="V92" s="2" t="s">
        <v>327</v>
      </c>
      <c r="W92" s="4">
        <v>45735</v>
      </c>
      <c r="X92" s="4">
        <f t="shared" si="244"/>
        <v>47561</v>
      </c>
      <c r="Y92" s="8">
        <f t="shared" ca="1" si="245"/>
        <v>1416</v>
      </c>
      <c r="Z92" s="5" t="str">
        <f t="shared" ca="1" si="246"/>
        <v>VIGENTE</v>
      </c>
      <c r="AA92" s="5"/>
      <c r="AB92" s="2"/>
      <c r="AC92" s="6"/>
      <c r="AD92" s="4"/>
      <c r="AE92" s="8"/>
      <c r="AF92" s="5" t="str">
        <f t="shared" si="24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8"/>
        <v>487</v>
      </c>
      <c r="AK92" s="5" t="str">
        <f t="shared" ca="1" si="219"/>
        <v>VIGENTE</v>
      </c>
      <c r="AL92" s="3"/>
      <c r="AM92" s="4">
        <v>45903</v>
      </c>
      <c r="AN92" s="4">
        <f t="shared" si="390"/>
        <v>46633</v>
      </c>
      <c r="AO92" s="8">
        <f t="shared" ca="1" si="249"/>
        <v>488</v>
      </c>
      <c r="AP92" s="5" t="str">
        <f t="shared" ca="1" si="250"/>
        <v>VIGENTE</v>
      </c>
      <c r="AQ92" s="3"/>
      <c r="AR92" s="4">
        <v>45989</v>
      </c>
      <c r="AS92" s="4">
        <f t="shared" si="391"/>
        <v>46719</v>
      </c>
      <c r="AT92" s="8">
        <f t="shared" ca="1" si="251"/>
        <v>574</v>
      </c>
      <c r="AU92" s="5" t="str">
        <f t="shared" ca="1" si="252"/>
        <v>VIGENTE</v>
      </c>
      <c r="AV92" s="3"/>
      <c r="AW92" s="4">
        <v>45927</v>
      </c>
      <c r="AX92" s="4">
        <f t="shared" si="392"/>
        <v>46657</v>
      </c>
      <c r="AY92" s="8">
        <f t="shared" ca="1" si="253"/>
        <v>512</v>
      </c>
      <c r="AZ92" s="5" t="str">
        <f t="shared" ca="1" si="254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5"/>
        <v>656</v>
      </c>
      <c r="BE92" s="5" t="str">
        <f t="shared" ca="1" si="256"/>
        <v>VIGENTE</v>
      </c>
      <c r="BF92" s="3"/>
      <c r="BG92" s="4">
        <v>46067</v>
      </c>
      <c r="BH92" s="4">
        <f t="shared" si="398"/>
        <v>46797</v>
      </c>
      <c r="BI92" s="8">
        <f t="shared" ca="1" si="257"/>
        <v>652</v>
      </c>
      <c r="BJ92" s="5" t="str">
        <f t="shared" ca="1" si="258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9"/>
        <v>154</v>
      </c>
      <c r="BO92" s="5" t="str">
        <f t="shared" ca="1" si="260"/>
        <v>VIGENTE</v>
      </c>
      <c r="BP92" s="3"/>
      <c r="BQ92" s="39">
        <v>45701</v>
      </c>
      <c r="BR92" s="4">
        <f>DATE(YEAR(BQ92)+2,MONTH(BQ92),DAY(BQ92)-1)</f>
        <v>46430</v>
      </c>
      <c r="BS92" s="8">
        <f t="shared" ca="1" si="261"/>
        <v>285</v>
      </c>
      <c r="BT92" s="5" t="str">
        <f t="shared" ca="1" si="262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3"/>
        <v>535</v>
      </c>
      <c r="BY92" s="5" t="str">
        <f t="shared" ca="1" si="264"/>
        <v>VIGENTE</v>
      </c>
      <c r="BZ92" s="3"/>
      <c r="CA92" s="4">
        <v>45944</v>
      </c>
      <c r="CB92" s="4">
        <f t="shared" si="393"/>
        <v>46674</v>
      </c>
      <c r="CC92" s="8">
        <f t="shared" ca="1" si="265"/>
        <v>529</v>
      </c>
      <c r="CD92" s="5" t="str">
        <f t="shared" ca="1" si="266"/>
        <v>VIGENTE</v>
      </c>
      <c r="CE92" s="6"/>
      <c r="CF92" s="4">
        <v>45828</v>
      </c>
      <c r="CG92" s="4">
        <f t="shared" si="387"/>
        <v>47289</v>
      </c>
      <c r="CH92" s="8">
        <f t="shared" ca="1" si="388"/>
        <v>1144</v>
      </c>
      <c r="CI92" s="5" t="str">
        <f t="shared" ca="1" si="269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0"/>
        <v>272</v>
      </c>
      <c r="CN92" s="5" t="str">
        <f t="shared" ca="1" si="271"/>
        <v>VIGENTE</v>
      </c>
      <c r="CO92" s="3"/>
      <c r="CP92" s="39">
        <v>45684</v>
      </c>
      <c r="CQ92" s="4">
        <f>DATE(YEAR(CP92)+2,MONTH(CP92),DAY(CP92)-1)</f>
        <v>46413</v>
      </c>
      <c r="CR92" s="8">
        <f t="shared" ca="1" si="272"/>
        <v>268</v>
      </c>
      <c r="CS92" s="5" t="str">
        <f t="shared" ca="1" si="273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4"/>
        <v>490</v>
      </c>
      <c r="CX92" s="5" t="str">
        <f t="shared" ca="1" si="275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6"/>
        <v>585</v>
      </c>
      <c r="DC92" s="5" t="str">
        <f t="shared" ca="1" si="277"/>
        <v>VIGENTE</v>
      </c>
      <c r="DD92" s="3"/>
      <c r="DE92" s="39">
        <v>45723</v>
      </c>
      <c r="DF92" s="4">
        <f>DATE(YEAR(DE92)+2,MONTH(DE92),DAY(DE92)-1)</f>
        <v>46452</v>
      </c>
      <c r="DG92" s="8">
        <f t="shared" ca="1" si="278"/>
        <v>307</v>
      </c>
      <c r="DH92" s="5" t="str">
        <f t="shared" ca="1" si="279"/>
        <v>VIGENTE</v>
      </c>
      <c r="DI92" s="3"/>
      <c r="DJ92" s="39">
        <v>45975</v>
      </c>
      <c r="DK92" s="4">
        <f t="shared" si="394"/>
        <v>46705</v>
      </c>
      <c r="DL92" s="8">
        <f t="shared" ca="1" si="280"/>
        <v>560</v>
      </c>
      <c r="DM92" s="5" t="str">
        <f t="shared" ca="1" si="281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2"/>
        <v>567</v>
      </c>
      <c r="DR92" s="5" t="str">
        <f t="shared" ca="1" si="283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4"/>
        <v>657</v>
      </c>
      <c r="DW92" s="5" t="str">
        <f t="shared" ca="1" si="285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6"/>
        <v>247</v>
      </c>
      <c r="EB92" s="5" t="str">
        <f t="shared" ca="1" si="287"/>
        <v>VIGENTE</v>
      </c>
      <c r="EC92" s="3"/>
      <c r="ED92" s="39">
        <v>45715</v>
      </c>
      <c r="EE92" s="4">
        <f>DATE(YEAR(ED92)+2,MONTH(ED92),DAY(ED92)-1)</f>
        <v>46444</v>
      </c>
      <c r="EF92" s="8">
        <f t="shared" ca="1" si="288"/>
        <v>299</v>
      </c>
      <c r="EG92" s="5" t="str">
        <f t="shared" ca="1" si="289"/>
        <v>VIGENTE</v>
      </c>
      <c r="EH92" s="3"/>
      <c r="EI92" s="3">
        <v>46085</v>
      </c>
      <c r="EJ92" s="4">
        <f t="shared" si="355"/>
        <v>46450</v>
      </c>
      <c r="EK92" s="8">
        <f t="shared" ca="1" si="290"/>
        <v>305</v>
      </c>
      <c r="EL92" s="5" t="str">
        <f t="shared" ca="1" si="291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2"/>
        <v>255</v>
      </c>
      <c r="EQ92" s="5" t="str">
        <f t="shared" ca="1" si="293"/>
        <v>VIGENTE</v>
      </c>
      <c r="ER92" s="3"/>
      <c r="ES92" s="39">
        <v>45987</v>
      </c>
      <c r="ET92" s="4">
        <f t="shared" si="395"/>
        <v>46717</v>
      </c>
      <c r="EU92" s="8">
        <f t="shared" ca="1" si="294"/>
        <v>572</v>
      </c>
      <c r="EV92" s="5" t="str">
        <f t="shared" ca="1" si="295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6"/>
        <v>278</v>
      </c>
      <c r="FA92" s="5" t="str">
        <f t="shared" ca="1" si="297"/>
        <v>VIGENTE</v>
      </c>
      <c r="FB92" s="3"/>
      <c r="FC92" s="4">
        <v>45931</v>
      </c>
      <c r="FD92" s="4">
        <f t="shared" si="396"/>
        <v>46661</v>
      </c>
      <c r="FE92" s="8">
        <f t="shared" ca="1" si="298"/>
        <v>516</v>
      </c>
      <c r="FF92" s="5" t="str">
        <f t="shared" ca="1" si="299"/>
        <v>VIGENTE</v>
      </c>
      <c r="FG92" s="3"/>
      <c r="FH92" s="4">
        <v>45962</v>
      </c>
      <c r="FI92" s="4">
        <f t="shared" si="397"/>
        <v>46692</v>
      </c>
      <c r="FJ92" s="8">
        <f t="shared" ca="1" si="300"/>
        <v>547</v>
      </c>
      <c r="FK92" s="5" t="str">
        <f t="shared" ca="1" si="301"/>
        <v>VIGENTE</v>
      </c>
      <c r="FL92" s="3"/>
      <c r="FM92" s="39">
        <v>45670</v>
      </c>
      <c r="FN92" s="4">
        <f>DATE(YEAR(FM92)+2,MONTH(FM92),DAY(FM92)-1)</f>
        <v>46399</v>
      </c>
      <c r="FO92" s="8">
        <f t="shared" ca="1" si="302"/>
        <v>254</v>
      </c>
      <c r="FP92" s="5" t="str">
        <f t="shared" ca="1" si="303"/>
        <v>VIGENTE</v>
      </c>
      <c r="FQ92" s="3"/>
      <c r="FR92" s="39">
        <v>45724</v>
      </c>
      <c r="FS92" s="4">
        <f>DATE(YEAR(FR92)+2,MONTH(FR92),DAY(FR92)-1)</f>
        <v>46453</v>
      </c>
      <c r="FT92" s="8">
        <f t="shared" ca="1" si="304"/>
        <v>308</v>
      </c>
      <c r="FU92" s="5" t="str">
        <f t="shared" ca="1" si="305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6"/>
        <v>578</v>
      </c>
      <c r="FZ92" s="5" t="str">
        <f t="shared" ca="1" si="307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8"/>
        <v>510</v>
      </c>
      <c r="GE92" s="5" t="str">
        <f t="shared" ca="1" si="309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0"/>
        <v>256</v>
      </c>
      <c r="GJ92" s="5" t="str">
        <f t="shared" ca="1" si="311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2"/>
        <v>271</v>
      </c>
      <c r="GO92" s="5" t="str">
        <f t="shared" ca="1" si="313"/>
        <v>VIGENTE</v>
      </c>
      <c r="GP92" s="4"/>
      <c r="GQ92" s="4">
        <v>45072</v>
      </c>
      <c r="GR92" s="4">
        <f t="shared" si="314"/>
        <v>46899</v>
      </c>
      <c r="GS92" s="8">
        <f t="shared" ca="1" si="384"/>
        <v>754</v>
      </c>
      <c r="GT92" s="5" t="str">
        <f t="shared" ca="1" si="378"/>
        <v>VIGENTE</v>
      </c>
      <c r="GU92" s="3"/>
      <c r="GV92" s="4">
        <v>45089</v>
      </c>
      <c r="GW92" s="4">
        <f t="shared" si="316"/>
        <v>46916</v>
      </c>
      <c r="GX92" s="8">
        <f t="shared" ca="1" si="317"/>
        <v>771</v>
      </c>
      <c r="GY92" s="5" t="str">
        <f t="shared" ca="1" si="379"/>
        <v>VIGENTE</v>
      </c>
      <c r="GZ92" s="2"/>
      <c r="HA92" s="4">
        <v>45016</v>
      </c>
      <c r="HB92" s="4">
        <f t="shared" si="319"/>
        <v>46843</v>
      </c>
      <c r="HC92" s="8">
        <f t="shared" ca="1" si="320"/>
        <v>698</v>
      </c>
      <c r="HD92" s="5" t="str">
        <f t="shared" ca="1" si="380"/>
        <v>VIGENTE</v>
      </c>
      <c r="HE92" s="6"/>
      <c r="HF92" s="6"/>
      <c r="HG92" s="4"/>
      <c r="HH92" s="8"/>
      <c r="HI92" s="5" t="str">
        <f t="shared" si="389"/>
        <v>NO APLICA</v>
      </c>
      <c r="HJ92" s="2"/>
      <c r="HK92" s="6"/>
      <c r="HL92" s="4"/>
      <c r="HM92" s="8"/>
      <c r="HN92" s="5" t="str">
        <f t="shared" si="385"/>
        <v>NO APLICA</v>
      </c>
      <c r="HO92" s="2"/>
      <c r="HP92" s="2"/>
      <c r="HQ92" s="4"/>
      <c r="HR92" s="2"/>
      <c r="HS92" s="5" t="str">
        <f t="shared" si="322"/>
        <v>NO APLICA</v>
      </c>
      <c r="HT92" s="2"/>
      <c r="HU92" s="6"/>
      <c r="HV92" s="4"/>
      <c r="HW92" s="8"/>
      <c r="HX92" s="5" t="str">
        <f t="shared" si="323"/>
        <v>NO APLICA</v>
      </c>
      <c r="HY92" s="2"/>
      <c r="HZ92" s="6"/>
      <c r="IA92" s="4"/>
      <c r="IB92" s="8"/>
      <c r="IC92" s="5" t="str">
        <f t="shared" si="324"/>
        <v>NO APLICA</v>
      </c>
      <c r="ID92" s="2"/>
      <c r="IE92" s="6"/>
      <c r="IF92" s="4"/>
      <c r="IG92" s="8"/>
      <c r="IH92" s="5" t="str">
        <f t="shared" si="325"/>
        <v>NO APLICA</v>
      </c>
      <c r="II92" s="6"/>
      <c r="IJ92" s="6"/>
      <c r="IK92" s="4"/>
      <c r="IL92" s="8"/>
      <c r="IM92" s="5" t="str">
        <f t="shared" si="326"/>
        <v>NO APLICA</v>
      </c>
      <c r="IN92" s="2"/>
      <c r="IO92" s="6"/>
      <c r="IP92" s="4"/>
      <c r="IQ92" s="8"/>
      <c r="IR92" s="5" t="str">
        <f t="shared" si="327"/>
        <v>NO APLICA</v>
      </c>
      <c r="IS92" s="2"/>
      <c r="IT92" s="6"/>
      <c r="IU92" s="4"/>
      <c r="IV92" s="8"/>
      <c r="IW92" s="5" t="str">
        <f t="shared" si="328"/>
        <v>NO APLICA</v>
      </c>
      <c r="IX92" s="2"/>
      <c r="IY92" s="6"/>
      <c r="IZ92" s="4"/>
      <c r="JA92" s="8"/>
      <c r="JB92" s="5" t="str">
        <f t="shared" si="329"/>
        <v>NO APLICA</v>
      </c>
      <c r="JC92" s="3" t="s">
        <v>780</v>
      </c>
      <c r="JD92" s="3"/>
      <c r="JE92" s="4"/>
      <c r="JF92" s="8"/>
      <c r="JG92" s="5"/>
      <c r="JH92" s="3" t="s">
        <v>780</v>
      </c>
      <c r="JI92" s="6"/>
      <c r="JJ92" s="6"/>
      <c r="JK92" s="6"/>
      <c r="JL92" s="5"/>
      <c r="JM92" s="6" t="s">
        <v>780</v>
      </c>
      <c r="JN92" s="6"/>
      <c r="JO92" s="6"/>
      <c r="JP92" s="6"/>
      <c r="JQ92" s="5"/>
      <c r="JR92" s="6" t="s">
        <v>780</v>
      </c>
      <c r="JS92" s="6"/>
      <c r="JT92" s="6"/>
      <c r="JU92" s="6"/>
      <c r="JV92" s="5"/>
      <c r="JW92" s="6" t="s">
        <v>780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30"/>
        <v>NO APLICA</v>
      </c>
      <c r="KG92" s="5"/>
      <c r="KH92" s="2"/>
      <c r="KI92" s="4"/>
      <c r="KJ92" s="8"/>
      <c r="KK92" s="5" t="str">
        <f t="shared" si="356"/>
        <v>NO APLICA</v>
      </c>
      <c r="KL92" s="5"/>
      <c r="KM92" s="2"/>
      <c r="KN92" s="4"/>
      <c r="KO92" s="8"/>
      <c r="KP92" s="5" t="str">
        <f t="shared" si="331"/>
        <v>NO APLICA</v>
      </c>
      <c r="KQ92" s="5"/>
      <c r="KR92" s="2"/>
      <c r="KS92" s="4"/>
      <c r="KT92" s="8"/>
      <c r="KU92" s="5" t="str">
        <f t="shared" si="357"/>
        <v>NO APLICA</v>
      </c>
      <c r="KV92" s="2"/>
      <c r="KW92" s="6"/>
      <c r="KX92" s="4"/>
      <c r="KY92" s="8"/>
      <c r="KZ92" s="5" t="str">
        <f t="shared" si="366"/>
        <v>NO APLICA</v>
      </c>
      <c r="LA92" s="5"/>
      <c r="LB92" s="6"/>
      <c r="LC92" s="4"/>
      <c r="LD92" s="8"/>
      <c r="LE92" s="5" t="str">
        <f t="shared" si="358"/>
        <v>NO APLICA</v>
      </c>
      <c r="LF92" s="6"/>
      <c r="LG92" s="6"/>
      <c r="LH92" s="4"/>
      <c r="LI92" s="8"/>
      <c r="LJ92" s="5" t="str">
        <f t="shared" si="332"/>
        <v>NO APLICA</v>
      </c>
      <c r="LK92" s="5"/>
      <c r="LL92" s="5"/>
      <c r="LM92" s="4"/>
      <c r="LN92" s="8"/>
      <c r="LO92" s="5" t="str">
        <f t="shared" si="367"/>
        <v>NO APLICA</v>
      </c>
      <c r="LP92" s="2"/>
      <c r="LQ92" s="6"/>
      <c r="LR92" s="4"/>
      <c r="LS92" s="8"/>
      <c r="LT92" s="5" t="str">
        <f t="shared" si="359"/>
        <v>NO APLICA</v>
      </c>
      <c r="LU92" s="6"/>
      <c r="LV92" s="6"/>
      <c r="LW92" s="4"/>
      <c r="LX92" s="8"/>
      <c r="LY92" s="5" t="str">
        <f t="shared" si="360"/>
        <v>NO APLICA</v>
      </c>
      <c r="LZ92" s="6"/>
      <c r="MA92" s="6"/>
      <c r="MB92" s="4"/>
      <c r="MC92" s="8"/>
      <c r="MD92" s="5" t="str">
        <f t="shared" si="361"/>
        <v>NO APLICA</v>
      </c>
      <c r="ME92" s="2"/>
      <c r="MF92" s="2"/>
      <c r="MG92" s="4"/>
      <c r="MH92" s="8"/>
      <c r="MI92" s="5" t="str">
        <f t="shared" si="333"/>
        <v>NO APLICA</v>
      </c>
      <c r="MJ92" s="2"/>
      <c r="MK92" s="2"/>
      <c r="ML92" s="4"/>
      <c r="MM92" s="8"/>
      <c r="MN92" s="5" t="str">
        <f t="shared" si="334"/>
        <v>NO APLICA</v>
      </c>
      <c r="MO92" s="5"/>
      <c r="MP92" s="2"/>
      <c r="MQ92" s="4"/>
      <c r="MR92" s="8"/>
      <c r="MS92" s="5" t="str">
        <f t="shared" si="335"/>
        <v>NO APLICA</v>
      </c>
      <c r="MT92" s="5"/>
      <c r="MU92" s="2"/>
      <c r="MV92" s="4"/>
      <c r="MW92" s="2"/>
      <c r="MX92" s="5" t="str">
        <f t="shared" si="336"/>
        <v>NO APLICA</v>
      </c>
      <c r="MY92" s="2"/>
      <c r="MZ92" s="6"/>
      <c r="NA92" s="4"/>
      <c r="NB92" s="8"/>
      <c r="NC92" s="5" t="str">
        <f t="shared" si="337"/>
        <v>NO APLICA</v>
      </c>
      <c r="ND92" s="2"/>
      <c r="NE92" s="6"/>
      <c r="NF92" s="4"/>
      <c r="NG92" s="8"/>
      <c r="NH92" s="5" t="str">
        <f t="shared" si="338"/>
        <v>NO APLICA</v>
      </c>
      <c r="NI92" s="2"/>
      <c r="NJ92" s="6"/>
      <c r="NK92" s="4"/>
      <c r="NL92" s="8"/>
      <c r="NM92" s="5" t="str">
        <f t="shared" si="339"/>
        <v>NO APLICA</v>
      </c>
      <c r="NN92" s="2"/>
      <c r="NO92" s="2"/>
      <c r="NP92" s="4"/>
      <c r="NQ92" s="8"/>
      <c r="NR92" s="5" t="str">
        <f t="shared" si="340"/>
        <v>NO APLICA</v>
      </c>
      <c r="NS92" s="2"/>
      <c r="NT92" s="2"/>
      <c r="NU92" s="2"/>
      <c r="NV92" s="2"/>
      <c r="NW92" s="5" t="str">
        <f t="shared" si="341"/>
        <v>NO APLICA</v>
      </c>
      <c r="NX92" s="6"/>
      <c r="NY92" s="6"/>
      <c r="NZ92" s="4"/>
      <c r="OA92" s="8"/>
      <c r="OB92" s="5" t="str">
        <f t="shared" si="342"/>
        <v>NO APLICA</v>
      </c>
      <c r="OC92" s="6"/>
      <c r="OD92" s="6"/>
      <c r="OE92" s="6"/>
      <c r="OF92" s="6"/>
      <c r="OG92" s="5" t="str">
        <f t="shared" si="343"/>
        <v>NO APLICA</v>
      </c>
      <c r="OH92" s="2"/>
      <c r="OI92" s="2"/>
      <c r="OJ92" s="4"/>
      <c r="OK92" s="8"/>
      <c r="OL92" s="5" t="str">
        <f t="shared" si="344"/>
        <v>NO APLICA</v>
      </c>
      <c r="OM92" s="6"/>
      <c r="ON92" s="6"/>
      <c r="OO92" s="6"/>
      <c r="OP92" s="6"/>
      <c r="OQ92" s="5" t="str">
        <f t="shared" si="345"/>
        <v>NO APLICA</v>
      </c>
      <c r="OR92" s="6"/>
      <c r="OS92" s="6"/>
      <c r="OT92" s="6"/>
      <c r="OU92" s="6"/>
      <c r="OV92" s="5" t="str">
        <f t="shared" si="346"/>
        <v>NO APLICA</v>
      </c>
      <c r="OW92" s="6"/>
      <c r="OX92" s="6"/>
      <c r="OY92" s="6"/>
      <c r="OZ92" s="6"/>
      <c r="PA92" s="5" t="str">
        <f t="shared" si="347"/>
        <v>NO APLICA</v>
      </c>
      <c r="PB92" s="6"/>
      <c r="PC92" s="6"/>
      <c r="PD92" s="6"/>
      <c r="PE92" s="6"/>
      <c r="PF92" s="5" t="str">
        <f t="shared" si="348"/>
        <v>NO APLICA</v>
      </c>
      <c r="PG92" s="6"/>
      <c r="PH92" s="6"/>
      <c r="PI92" s="6"/>
      <c r="PJ92" s="6"/>
      <c r="PK92" s="5" t="str">
        <f t="shared" si="349"/>
        <v>NO APLICA</v>
      </c>
      <c r="PL92" s="5"/>
      <c r="PM92" s="6"/>
      <c r="PN92" s="4"/>
      <c r="PO92" s="8"/>
      <c r="PP92" s="5" t="str">
        <f t="shared" si="350"/>
        <v>NO APLICA</v>
      </c>
      <c r="PQ92" s="6"/>
      <c r="PR92" s="6"/>
      <c r="PS92" s="6"/>
      <c r="PT92" s="6"/>
      <c r="PU92" s="5" t="str">
        <f t="shared" si="351"/>
        <v>NO APLICA</v>
      </c>
      <c r="PV92" s="5"/>
      <c r="PW92" s="6"/>
      <c r="PX92" s="6"/>
      <c r="PY92" s="6"/>
      <c r="PZ92" s="5" t="str">
        <f t="shared" si="352"/>
        <v>NO APLICA</v>
      </c>
    </row>
    <row r="93" spans="1:442" ht="15.6" hidden="1" thickTop="1" thickBot="1" x14ac:dyDescent="0.35">
      <c r="A93" s="26">
        <v>90</v>
      </c>
      <c r="B93" s="27">
        <v>1349</v>
      </c>
      <c r="C93" s="28" t="s">
        <v>759</v>
      </c>
      <c r="D93" s="29" t="s">
        <v>68</v>
      </c>
      <c r="E93" s="30" t="s">
        <v>73</v>
      </c>
      <c r="F93" s="5"/>
      <c r="G93" s="6"/>
      <c r="H93" s="4"/>
      <c r="I93" s="8"/>
      <c r="J93" s="5" t="str">
        <f t="shared" si="242"/>
        <v>NO APLICA</v>
      </c>
      <c r="K93" s="5"/>
      <c r="L93" s="6"/>
      <c r="M93" s="6"/>
      <c r="N93" s="8"/>
      <c r="O93" s="5" t="str">
        <f t="shared" si="243"/>
        <v>NO APLICA</v>
      </c>
      <c r="P93" s="6"/>
      <c r="Q93" s="6"/>
      <c r="R93" s="4"/>
      <c r="S93" s="8"/>
      <c r="T93" s="5" t="str">
        <f t="shared" si="353"/>
        <v>NO APLICA</v>
      </c>
      <c r="U93" s="5"/>
      <c r="V93" s="2" t="s">
        <v>328</v>
      </c>
      <c r="W93" s="4">
        <v>45337</v>
      </c>
      <c r="X93" s="4">
        <f t="shared" si="244"/>
        <v>47164</v>
      </c>
      <c r="Y93" s="8">
        <f t="shared" ca="1" si="245"/>
        <v>1019</v>
      </c>
      <c r="Z93" s="5" t="str">
        <f t="shared" ca="1" si="246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8"/>
        <v>173</v>
      </c>
      <c r="AK93" s="5" t="str">
        <f t="shared" ca="1" si="219"/>
        <v>VIGENTE</v>
      </c>
      <c r="AL93" s="3"/>
      <c r="AM93" s="4">
        <v>45937</v>
      </c>
      <c r="AN93" s="4">
        <f t="shared" si="390"/>
        <v>46667</v>
      </c>
      <c r="AO93" s="8">
        <f t="shared" ca="1" si="249"/>
        <v>522</v>
      </c>
      <c r="AP93" s="5" t="str">
        <f t="shared" ca="1" si="250"/>
        <v>VIGENTE</v>
      </c>
      <c r="AQ93" s="3"/>
      <c r="AR93" s="4">
        <v>45967</v>
      </c>
      <c r="AS93" s="4">
        <f t="shared" si="391"/>
        <v>46697</v>
      </c>
      <c r="AT93" s="8">
        <f t="shared" ca="1" si="251"/>
        <v>552</v>
      </c>
      <c r="AU93" s="5" t="str">
        <f t="shared" ca="1" si="252"/>
        <v>VIGENTE</v>
      </c>
      <c r="AV93" s="3"/>
      <c r="AW93" s="4">
        <v>45952</v>
      </c>
      <c r="AX93" s="4">
        <f t="shared" si="392"/>
        <v>46682</v>
      </c>
      <c r="AY93" s="8">
        <f t="shared" ca="1" si="253"/>
        <v>537</v>
      </c>
      <c r="AZ93" s="5" t="str">
        <f t="shared" ca="1" si="254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5"/>
        <v>301</v>
      </c>
      <c r="BE93" s="5" t="str">
        <f t="shared" ca="1" si="256"/>
        <v>VIGENTE</v>
      </c>
      <c r="BF93" s="3"/>
      <c r="BG93" s="4">
        <v>45987</v>
      </c>
      <c r="BH93" s="4">
        <f t="shared" si="398"/>
        <v>46717</v>
      </c>
      <c r="BI93" s="8">
        <f t="shared" ca="1" si="257"/>
        <v>572</v>
      </c>
      <c r="BJ93" s="5" t="str">
        <f t="shared" ca="1" si="258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9"/>
        <v>641</v>
      </c>
      <c r="BO93" s="5" t="str">
        <f t="shared" ca="1" si="260"/>
        <v>VIGENTE</v>
      </c>
      <c r="BP93" s="3"/>
      <c r="BQ93" s="39">
        <v>46069</v>
      </c>
      <c r="BR93" s="4">
        <f>DATE(YEAR(BQ93)+2,MONTH(BQ93),DAY(BQ93))</f>
        <v>46799</v>
      </c>
      <c r="BS93" s="8">
        <f t="shared" ca="1" si="261"/>
        <v>654</v>
      </c>
      <c r="BT93" s="5" t="str">
        <f t="shared" ca="1" si="262"/>
        <v>VIGENTE</v>
      </c>
      <c r="BU93" s="3"/>
      <c r="BV93" s="4">
        <v>46116</v>
      </c>
      <c r="BW93" s="4">
        <f>DATE(YEAR(BV93)+2,MONTH(BV93),DAY(BV93)-1)</f>
        <v>46846</v>
      </c>
      <c r="BX93" s="8">
        <f t="shared" ca="1" si="263"/>
        <v>701</v>
      </c>
      <c r="BY93" s="5" t="str">
        <f t="shared" ca="1" si="264"/>
        <v>VIGENTE</v>
      </c>
      <c r="BZ93" s="3"/>
      <c r="CA93" s="4">
        <v>45944</v>
      </c>
      <c r="CB93" s="4">
        <f t="shared" si="393"/>
        <v>46674</v>
      </c>
      <c r="CC93" s="8">
        <f t="shared" ca="1" si="265"/>
        <v>529</v>
      </c>
      <c r="CD93" s="5" t="str">
        <f t="shared" ca="1" si="266"/>
        <v>VIGENTE</v>
      </c>
      <c r="CE93" s="6"/>
      <c r="CF93" s="4">
        <v>45301</v>
      </c>
      <c r="CG93" s="4">
        <f t="shared" si="387"/>
        <v>46762</v>
      </c>
      <c r="CH93" s="8">
        <f t="shared" ca="1" si="388"/>
        <v>617</v>
      </c>
      <c r="CI93" s="5" t="str">
        <f t="shared" ca="1" si="269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0"/>
        <v>95</v>
      </c>
      <c r="CN93" s="5" t="str">
        <f t="shared" ca="1" si="271"/>
        <v>VIGENTE</v>
      </c>
      <c r="CO93" s="3"/>
      <c r="CP93" s="39">
        <v>45517</v>
      </c>
      <c r="CQ93" s="4">
        <f>DATE(YEAR(CP93)+2,MONTH(CP93),DAY(CP93)-1)</f>
        <v>46246</v>
      </c>
      <c r="CR93" s="8">
        <f t="shared" ca="1" si="272"/>
        <v>101</v>
      </c>
      <c r="CS93" s="5" t="str">
        <f t="shared" ca="1" si="273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4"/>
        <v>215</v>
      </c>
      <c r="CX93" s="5" t="str">
        <f t="shared" ca="1" si="275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6"/>
        <v>245</v>
      </c>
      <c r="DC93" s="5" t="str">
        <f t="shared" ca="1" si="277"/>
        <v>VIGENTE</v>
      </c>
      <c r="DD93" s="3"/>
      <c r="DE93" s="39">
        <v>45689</v>
      </c>
      <c r="DF93" s="4">
        <f>DATE(YEAR(DE93)+2,MONTH(DE93),DAY(DE93)-1)</f>
        <v>46418</v>
      </c>
      <c r="DG93" s="8">
        <f t="shared" ca="1" si="278"/>
        <v>273</v>
      </c>
      <c r="DH93" s="5" t="str">
        <f t="shared" ca="1" si="279"/>
        <v>VIGENTE</v>
      </c>
      <c r="DI93" s="3"/>
      <c r="DJ93" s="39">
        <v>45734</v>
      </c>
      <c r="DK93" s="4">
        <f>DATE(YEAR(DJ93)+2,MONTH(DJ93),DAY(DJ93)-1)</f>
        <v>46463</v>
      </c>
      <c r="DL93" s="8">
        <f t="shared" ca="1" si="280"/>
        <v>318</v>
      </c>
      <c r="DM93" s="5" t="str">
        <f t="shared" ca="1" si="281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2"/>
        <v>57</v>
      </c>
      <c r="DR93" s="5" t="str">
        <f t="shared" ca="1" si="283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4"/>
        <v>269</v>
      </c>
      <c r="DW93" s="5" t="str">
        <f t="shared" ca="1" si="285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6"/>
        <v>266</v>
      </c>
      <c r="EB93" s="5" t="str">
        <f t="shared" ca="1" si="287"/>
        <v>VIGENTE</v>
      </c>
      <c r="EC93" s="3"/>
      <c r="ED93" s="39">
        <v>45674</v>
      </c>
      <c r="EE93" s="4">
        <f>DATE(YEAR(ED93)+2,MONTH(ED93),DAY(ED93)-1)</f>
        <v>46403</v>
      </c>
      <c r="EF93" s="8">
        <f t="shared" ca="1" si="288"/>
        <v>258</v>
      </c>
      <c r="EG93" s="5" t="str">
        <f t="shared" ca="1" si="289"/>
        <v>VIGENTE</v>
      </c>
      <c r="EH93" s="3"/>
      <c r="EI93" s="3">
        <v>46085</v>
      </c>
      <c r="EJ93" s="4">
        <f t="shared" si="355"/>
        <v>46450</v>
      </c>
      <c r="EK93" s="8">
        <f t="shared" ca="1" si="290"/>
        <v>305</v>
      </c>
      <c r="EL93" s="5" t="str">
        <f t="shared" ca="1" si="291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2"/>
        <v>244</v>
      </c>
      <c r="EQ93" s="5" t="str">
        <f t="shared" ca="1" si="293"/>
        <v>VIGENTE</v>
      </c>
      <c r="ER93" s="3"/>
      <c r="ES93" s="39">
        <v>45735</v>
      </c>
      <c r="ET93" s="4">
        <f>DATE(YEAR(ES93)+2,MONTH(ES93),DAY(ES93)-1)</f>
        <v>46464</v>
      </c>
      <c r="EU93" s="8">
        <f t="shared" ca="1" si="294"/>
        <v>319</v>
      </c>
      <c r="EV93" s="5" t="str">
        <f t="shared" ca="1" si="295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6"/>
        <v>538</v>
      </c>
      <c r="FA93" s="5" t="str">
        <f t="shared" ca="1" si="297"/>
        <v>VIGENTE</v>
      </c>
      <c r="FB93" s="3"/>
      <c r="FC93" s="4">
        <v>45951</v>
      </c>
      <c r="FD93" s="4">
        <f t="shared" si="396"/>
        <v>46681</v>
      </c>
      <c r="FE93" s="8">
        <f t="shared" ca="1" si="298"/>
        <v>536</v>
      </c>
      <c r="FF93" s="5" t="str">
        <f t="shared" ca="1" si="299"/>
        <v>VIGENTE</v>
      </c>
      <c r="FG93" s="3"/>
      <c r="FH93" s="4">
        <v>45992</v>
      </c>
      <c r="FI93" s="4">
        <f t="shared" si="397"/>
        <v>46722</v>
      </c>
      <c r="FJ93" s="8">
        <f t="shared" ca="1" si="300"/>
        <v>577</v>
      </c>
      <c r="FK93" s="5" t="str">
        <f t="shared" ca="1" si="301"/>
        <v>VIGENTE</v>
      </c>
      <c r="FL93" s="3"/>
      <c r="FM93" s="39">
        <v>45738</v>
      </c>
      <c r="FN93" s="4">
        <f>DATE(YEAR(FM93)+2,MONTH(FM93),DAY(FM93)-1)</f>
        <v>46467</v>
      </c>
      <c r="FO93" s="8">
        <f t="shared" ca="1" si="302"/>
        <v>322</v>
      </c>
      <c r="FP93" s="5" t="str">
        <f t="shared" ca="1" si="303"/>
        <v>VIGENTE</v>
      </c>
      <c r="FQ93" s="3"/>
      <c r="FR93" s="39">
        <v>45678</v>
      </c>
      <c r="FS93" s="4">
        <f>DATE(YEAR(FR93)+2,MONTH(FR93),DAY(FR93)-1)</f>
        <v>46407</v>
      </c>
      <c r="FT93" s="8">
        <f t="shared" ca="1" si="304"/>
        <v>262</v>
      </c>
      <c r="FU93" s="5" t="str">
        <f t="shared" ca="1" si="305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6"/>
        <v>200</v>
      </c>
      <c r="FZ93" s="5" t="str">
        <f t="shared" ca="1" si="307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8"/>
        <v>325</v>
      </c>
      <c r="GE93" s="5" t="str">
        <f t="shared" ca="1" si="309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0"/>
        <v>296</v>
      </c>
      <c r="GJ93" s="5" t="str">
        <f t="shared" ca="1" si="311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2"/>
        <v>508</v>
      </c>
      <c r="GO93" s="5" t="str">
        <f t="shared" ca="1" si="313"/>
        <v>VIGENTE</v>
      </c>
      <c r="GP93" s="4"/>
      <c r="GQ93" s="4">
        <v>45224</v>
      </c>
      <c r="GR93" s="4">
        <f t="shared" si="314"/>
        <v>47051</v>
      </c>
      <c r="GS93" s="8">
        <f t="shared" ca="1" si="384"/>
        <v>906</v>
      </c>
      <c r="GT93" s="5" t="str">
        <f t="shared" ca="1" si="378"/>
        <v>VIGENTE</v>
      </c>
      <c r="GU93" s="3"/>
      <c r="GV93" s="4">
        <v>45478</v>
      </c>
      <c r="GW93" s="4">
        <f t="shared" si="316"/>
        <v>47304</v>
      </c>
      <c r="GX93" s="8">
        <f t="shared" ca="1" si="317"/>
        <v>1159</v>
      </c>
      <c r="GY93" s="5" t="str">
        <f t="shared" ca="1" si="379"/>
        <v>VIGENTE</v>
      </c>
      <c r="GZ93" s="3"/>
      <c r="HA93" s="4">
        <v>45258</v>
      </c>
      <c r="HB93" s="4">
        <f t="shared" si="319"/>
        <v>47085</v>
      </c>
      <c r="HC93" s="8">
        <f t="shared" ca="1" si="320"/>
        <v>940</v>
      </c>
      <c r="HD93" s="5" t="str">
        <f t="shared" ca="1" si="38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2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3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4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5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6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7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8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9"/>
        <v>VIGENTE</v>
      </c>
      <c r="JC93" s="3" t="s">
        <v>780</v>
      </c>
      <c r="JD93" s="3"/>
      <c r="JE93" s="4"/>
      <c r="JF93" s="8"/>
      <c r="JG93" s="5"/>
      <c r="JH93" s="3" t="s">
        <v>780</v>
      </c>
      <c r="JI93" s="6"/>
      <c r="JJ93" s="6"/>
      <c r="JK93" s="6"/>
      <c r="JL93" s="5"/>
      <c r="JM93" s="6" t="s">
        <v>780</v>
      </c>
      <c r="JN93" s="6"/>
      <c r="JO93" s="6"/>
      <c r="JP93" s="6"/>
      <c r="JQ93" s="5"/>
      <c r="JR93" s="6" t="s">
        <v>780</v>
      </c>
      <c r="JS93" s="6"/>
      <c r="JT93" s="6"/>
      <c r="JU93" s="6"/>
      <c r="JV93" s="5"/>
      <c r="JW93" s="6" t="s">
        <v>780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30"/>
        <v>NO APLICA</v>
      </c>
      <c r="KG93" s="5"/>
      <c r="KH93" s="2"/>
      <c r="KI93" s="4"/>
      <c r="KJ93" s="8"/>
      <c r="KK93" s="5" t="str">
        <f t="shared" si="356"/>
        <v>NO APLICA</v>
      </c>
      <c r="KL93" s="5"/>
      <c r="KM93" s="2"/>
      <c r="KN93" s="4"/>
      <c r="KO93" s="8"/>
      <c r="KP93" s="5" t="str">
        <f t="shared" si="331"/>
        <v>NO APLICA</v>
      </c>
      <c r="KQ93" s="5"/>
      <c r="KR93" s="2"/>
      <c r="KS93" s="4"/>
      <c r="KT93" s="8"/>
      <c r="KU93" s="5" t="str">
        <f t="shared" si="357"/>
        <v>NO APLICA</v>
      </c>
      <c r="KV93" s="2"/>
      <c r="KW93" s="6"/>
      <c r="KX93" s="4"/>
      <c r="KY93" s="8"/>
      <c r="KZ93" s="5" t="str">
        <f t="shared" si="366"/>
        <v>NO APLICA</v>
      </c>
      <c r="LA93" s="5"/>
      <c r="LB93" s="6"/>
      <c r="LC93" s="4"/>
      <c r="LD93" s="8"/>
      <c r="LE93" s="5" t="str">
        <f t="shared" si="358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2"/>
        <v>VIGENTE</v>
      </c>
      <c r="LK93" s="5"/>
      <c r="LL93" s="5"/>
      <c r="LM93" s="4"/>
      <c r="LN93" s="8"/>
      <c r="LO93" s="5" t="str">
        <f t="shared" si="367"/>
        <v>NO APLICA</v>
      </c>
      <c r="LP93" s="2"/>
      <c r="LQ93" s="6"/>
      <c r="LR93" s="4"/>
      <c r="LS93" s="8"/>
      <c r="LT93" s="5" t="str">
        <f t="shared" si="359"/>
        <v>NO APLICA</v>
      </c>
      <c r="LU93" s="6"/>
      <c r="LV93" s="6"/>
      <c r="LW93" s="4"/>
      <c r="LX93" s="8"/>
      <c r="LY93" s="5" t="str">
        <f t="shared" si="360"/>
        <v>NO APLICA</v>
      </c>
      <c r="LZ93" s="6"/>
      <c r="MA93" s="6"/>
      <c r="MB93" s="4"/>
      <c r="MC93" s="8"/>
      <c r="MD93" s="5" t="str">
        <f t="shared" si="361"/>
        <v>NO APLICA</v>
      </c>
      <c r="ME93" s="2"/>
      <c r="MF93" s="2"/>
      <c r="MG93" s="4"/>
      <c r="MH93" s="8"/>
      <c r="MI93" s="5" t="str">
        <f t="shared" si="333"/>
        <v>NO APLICA</v>
      </c>
      <c r="MJ93" s="2"/>
      <c r="MK93" s="2"/>
      <c r="ML93" s="4"/>
      <c r="MM93" s="8"/>
      <c r="MN93" s="5" t="str">
        <f t="shared" si="334"/>
        <v>NO APLICA</v>
      </c>
      <c r="MO93" s="5"/>
      <c r="MP93" s="2"/>
      <c r="MQ93" s="4"/>
      <c r="MR93" s="8"/>
      <c r="MS93" s="5" t="str">
        <f t="shared" si="335"/>
        <v>NO APLICA</v>
      </c>
      <c r="MT93" s="5"/>
      <c r="MU93" s="2"/>
      <c r="MV93" s="4"/>
      <c r="MW93" s="2"/>
      <c r="MX93" s="5" t="str">
        <f t="shared" si="336"/>
        <v>NO APLICA</v>
      </c>
      <c r="MY93" s="2"/>
      <c r="MZ93" s="6"/>
      <c r="NA93" s="4"/>
      <c r="NB93" s="8"/>
      <c r="NC93" s="5" t="str">
        <f t="shared" si="337"/>
        <v>NO APLICA</v>
      </c>
      <c r="ND93" s="2"/>
      <c r="NE93" s="6"/>
      <c r="NF93" s="4"/>
      <c r="NG93" s="8"/>
      <c r="NH93" s="5" t="str">
        <f t="shared" si="338"/>
        <v>NO APLICA</v>
      </c>
      <c r="NI93" s="2"/>
      <c r="NJ93" s="6"/>
      <c r="NK93" s="4"/>
      <c r="NL93" s="8"/>
      <c r="NM93" s="5" t="str">
        <f t="shared" si="339"/>
        <v>NO APLICA</v>
      </c>
      <c r="NN93" s="2"/>
      <c r="NO93" s="2"/>
      <c r="NP93" s="4"/>
      <c r="NQ93" s="8"/>
      <c r="NR93" s="5" t="str">
        <f t="shared" si="340"/>
        <v>NO APLICA</v>
      </c>
      <c r="NS93" s="2"/>
      <c r="NT93" s="2"/>
      <c r="NU93" s="4"/>
      <c r="NV93" s="2"/>
      <c r="NW93" s="5" t="str">
        <f t="shared" si="341"/>
        <v>NO APLICA</v>
      </c>
      <c r="NX93" s="6"/>
      <c r="NY93" s="6"/>
      <c r="NZ93" s="4"/>
      <c r="OA93" s="8"/>
      <c r="OB93" s="5" t="str">
        <f t="shared" si="342"/>
        <v>NO APLICA</v>
      </c>
      <c r="OC93" s="6"/>
      <c r="OD93" s="6"/>
      <c r="OE93" s="6"/>
      <c r="OF93" s="6"/>
      <c r="OG93" s="5" t="str">
        <f t="shared" si="343"/>
        <v>NO APLICA</v>
      </c>
      <c r="OH93" s="2"/>
      <c r="OI93" s="2"/>
      <c r="OJ93" s="4"/>
      <c r="OK93" s="8"/>
      <c r="OL93" s="5" t="str">
        <f t="shared" si="344"/>
        <v>NO APLICA</v>
      </c>
      <c r="OM93" s="6"/>
      <c r="ON93" s="6"/>
      <c r="OO93" s="6"/>
      <c r="OP93" s="6"/>
      <c r="OQ93" s="5" t="str">
        <f t="shared" si="345"/>
        <v>NO APLICA</v>
      </c>
      <c r="OR93" s="6"/>
      <c r="OS93" s="6"/>
      <c r="OT93" s="6"/>
      <c r="OU93" s="6"/>
      <c r="OV93" s="5" t="str">
        <f t="shared" si="346"/>
        <v>NO APLICA</v>
      </c>
      <c r="OW93" s="6"/>
      <c r="OX93" s="6"/>
      <c r="OY93" s="6"/>
      <c r="OZ93" s="6"/>
      <c r="PA93" s="5" t="str">
        <f t="shared" si="347"/>
        <v>NO APLICA</v>
      </c>
      <c r="PB93" s="6"/>
      <c r="PC93" s="6"/>
      <c r="PD93" s="6"/>
      <c r="PE93" s="6"/>
      <c r="PF93" s="5" t="str">
        <f t="shared" si="348"/>
        <v>NO APLICA</v>
      </c>
      <c r="PG93" s="6"/>
      <c r="PH93" s="6"/>
      <c r="PI93" s="6"/>
      <c r="PJ93" s="6"/>
      <c r="PK93" s="5" t="str">
        <f t="shared" si="349"/>
        <v>NO APLICA</v>
      </c>
      <c r="PL93" s="5"/>
      <c r="PM93" s="6"/>
      <c r="PN93" s="4"/>
      <c r="PO93" s="8"/>
      <c r="PP93" s="5" t="str">
        <f t="shared" si="350"/>
        <v>NO APLICA</v>
      </c>
      <c r="PQ93" s="6"/>
      <c r="PR93" s="6"/>
      <c r="PS93" s="6"/>
      <c r="PT93" s="6"/>
      <c r="PU93" s="5" t="str">
        <f t="shared" si="351"/>
        <v>NO APLICA</v>
      </c>
      <c r="PV93" s="5"/>
      <c r="PW93" s="6"/>
      <c r="PX93" s="6"/>
      <c r="PY93" s="6"/>
      <c r="PZ93" s="5" t="str">
        <f t="shared" si="352"/>
        <v>NO APLICA</v>
      </c>
    </row>
    <row r="94" spans="1:442" ht="15.6" hidden="1" thickTop="1" thickBot="1" x14ac:dyDescent="0.35">
      <c r="A94" s="26">
        <v>91</v>
      </c>
      <c r="B94" s="31">
        <v>1718</v>
      </c>
      <c r="C94" s="28" t="s">
        <v>330</v>
      </c>
      <c r="D94" s="29" t="s">
        <v>64</v>
      </c>
      <c r="E94" s="30" t="s">
        <v>81</v>
      </c>
      <c r="F94" s="6"/>
      <c r="G94" s="6"/>
      <c r="H94" s="6"/>
      <c r="I94" s="6"/>
      <c r="J94" s="5" t="str">
        <f t="shared" si="242"/>
        <v>NO APLICA</v>
      </c>
      <c r="K94" s="6"/>
      <c r="L94" s="6"/>
      <c r="M94" s="6"/>
      <c r="N94" s="6"/>
      <c r="O94" s="5" t="str">
        <f t="shared" si="243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3"/>
        <v>VIGENTE</v>
      </c>
      <c r="U94" s="5"/>
      <c r="V94" s="6" t="s">
        <v>331</v>
      </c>
      <c r="W94" s="4">
        <v>45309</v>
      </c>
      <c r="X94" s="4">
        <f t="shared" si="244"/>
        <v>47136</v>
      </c>
      <c r="Y94" s="8">
        <f t="shared" ca="1" si="245"/>
        <v>991</v>
      </c>
      <c r="Z94" s="5" t="str">
        <f t="shared" ca="1" si="246"/>
        <v>VIGENTE</v>
      </c>
      <c r="AA94" s="5"/>
      <c r="AB94" s="6"/>
      <c r="AC94" s="6"/>
      <c r="AD94" s="4"/>
      <c r="AE94" s="8"/>
      <c r="AF94" s="5" t="str">
        <f t="shared" si="247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8"/>
        <v>521</v>
      </c>
      <c r="AK94" s="5" t="str">
        <f t="shared" ca="1" si="219"/>
        <v>VIGENTE</v>
      </c>
      <c r="AL94" s="6"/>
      <c r="AM94" s="4">
        <v>45937</v>
      </c>
      <c r="AN94" s="4">
        <f t="shared" si="390"/>
        <v>46667</v>
      </c>
      <c r="AO94" s="8">
        <f t="shared" ca="1" si="249"/>
        <v>522</v>
      </c>
      <c r="AP94" s="5" t="str">
        <f t="shared" ca="1" si="250"/>
        <v>VIGENTE</v>
      </c>
      <c r="AQ94" s="4"/>
      <c r="AR94" s="4">
        <v>45989</v>
      </c>
      <c r="AS94" s="4">
        <f t="shared" si="391"/>
        <v>46719</v>
      </c>
      <c r="AT94" s="8">
        <f t="shared" ca="1" si="251"/>
        <v>574</v>
      </c>
      <c r="AU94" s="5" t="str">
        <f t="shared" ca="1" si="252"/>
        <v>VIGENTE</v>
      </c>
      <c r="AV94" s="4"/>
      <c r="AW94" s="4">
        <v>45972</v>
      </c>
      <c r="AX94" s="4">
        <f t="shared" si="392"/>
        <v>46702</v>
      </c>
      <c r="AY94" s="8">
        <f t="shared" ca="1" si="253"/>
        <v>557</v>
      </c>
      <c r="AZ94" s="5" t="str">
        <f t="shared" ca="1" si="254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5"/>
        <v>626</v>
      </c>
      <c r="BE94" s="5" t="str">
        <f t="shared" ca="1" si="256"/>
        <v>VIGENTE</v>
      </c>
      <c r="BF94" s="6"/>
      <c r="BG94" s="4">
        <v>45997</v>
      </c>
      <c r="BH94" s="4">
        <f t="shared" si="398"/>
        <v>46727</v>
      </c>
      <c r="BI94" s="8">
        <f t="shared" ca="1" si="257"/>
        <v>582</v>
      </c>
      <c r="BJ94" s="5" t="str">
        <f t="shared" ca="1" si="258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9"/>
        <v>602</v>
      </c>
      <c r="BO94" s="5" t="str">
        <f t="shared" ca="1" si="260"/>
        <v>VIGENTE</v>
      </c>
      <c r="BP94" s="4"/>
      <c r="BQ94" s="39">
        <v>46050</v>
      </c>
      <c r="BR94" s="4">
        <f>DATE(YEAR(BQ94)+2,MONTH(BQ94),DAY(BQ94))</f>
        <v>46780</v>
      </c>
      <c r="BS94" s="8">
        <f t="shared" ca="1" si="261"/>
        <v>635</v>
      </c>
      <c r="BT94" s="5" t="str">
        <f t="shared" ca="1" si="262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3"/>
        <v>616</v>
      </c>
      <c r="BY94" s="5" t="str">
        <f t="shared" ca="1" si="264"/>
        <v>VIGENTE</v>
      </c>
      <c r="BZ94" s="6"/>
      <c r="CA94" s="4">
        <v>45986</v>
      </c>
      <c r="CB94" s="4">
        <f t="shared" si="393"/>
        <v>46716</v>
      </c>
      <c r="CC94" s="8">
        <f t="shared" ca="1" si="265"/>
        <v>571</v>
      </c>
      <c r="CD94" s="5" t="str">
        <f t="shared" ca="1" si="266"/>
        <v>VIGENTE</v>
      </c>
      <c r="CE94" s="6"/>
      <c r="CF94" s="4">
        <v>45723</v>
      </c>
      <c r="CG94" s="4">
        <f t="shared" si="387"/>
        <v>47184</v>
      </c>
      <c r="CH94" s="8">
        <f t="shared" ca="1" si="388"/>
        <v>1039</v>
      </c>
      <c r="CI94" s="5" t="str">
        <f t="shared" ca="1" si="269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0"/>
        <v>603</v>
      </c>
      <c r="CN94" s="5" t="str">
        <f t="shared" ca="1" si="271"/>
        <v>VIGENTE</v>
      </c>
      <c r="CO94" s="4"/>
      <c r="CP94" s="39">
        <v>45979</v>
      </c>
      <c r="CQ94" s="4">
        <f>DATE(YEAR(CP94)+2,MONTH(CP94),DAY(CP94))</f>
        <v>46709</v>
      </c>
      <c r="CR94" s="8">
        <f t="shared" ca="1" si="272"/>
        <v>564</v>
      </c>
      <c r="CS94" s="5" t="str">
        <f t="shared" ca="1" si="273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4"/>
        <v>628</v>
      </c>
      <c r="CX94" s="5" t="str">
        <f t="shared" ca="1" si="275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6"/>
        <v>585</v>
      </c>
      <c r="DC94" s="5" t="str">
        <f t="shared" ca="1" si="277"/>
        <v>VIGENTE</v>
      </c>
      <c r="DD94" s="3"/>
      <c r="DE94" s="39">
        <v>45996</v>
      </c>
      <c r="DF94" s="4">
        <f>DATE(YEAR(DE94)+2,MONTH(DE94),DAY(DE94))</f>
        <v>46726</v>
      </c>
      <c r="DG94" s="8">
        <f t="shared" ca="1" si="278"/>
        <v>581</v>
      </c>
      <c r="DH94" s="5" t="str">
        <f t="shared" ca="1" si="279"/>
        <v>VIGENTE</v>
      </c>
      <c r="DI94" s="4"/>
      <c r="DJ94" s="39">
        <v>45975</v>
      </c>
      <c r="DK94" s="4">
        <f>DATE(YEAR(DJ94)+2,MONTH(DJ94),DAY(DJ94))</f>
        <v>46705</v>
      </c>
      <c r="DL94" s="8">
        <f t="shared" ca="1" si="280"/>
        <v>560</v>
      </c>
      <c r="DM94" s="5" t="str">
        <f t="shared" ca="1" si="281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2"/>
        <v>567</v>
      </c>
      <c r="DR94" s="5" t="str">
        <f t="shared" ca="1" si="283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4"/>
        <v>594</v>
      </c>
      <c r="DW94" s="5" t="str">
        <f t="shared" ca="1" si="285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6"/>
        <v>617</v>
      </c>
      <c r="EB94" s="5" t="str">
        <f t="shared" ca="1" si="287"/>
        <v>VIGENTE</v>
      </c>
      <c r="EC94" s="4"/>
      <c r="ED94" s="39">
        <v>45994</v>
      </c>
      <c r="EE94" s="4">
        <f>DATE(YEAR(ED94)+2,MONTH(ED94),DAY(ED94))</f>
        <v>46724</v>
      </c>
      <c r="EF94" s="8">
        <f t="shared" ca="1" si="288"/>
        <v>579</v>
      </c>
      <c r="EG94" s="5" t="str">
        <f t="shared" ca="1" si="289"/>
        <v>VIGENTE</v>
      </c>
      <c r="EH94" s="3"/>
      <c r="EI94" s="3">
        <v>46015</v>
      </c>
      <c r="EJ94" s="4">
        <f t="shared" si="355"/>
        <v>46380</v>
      </c>
      <c r="EK94" s="8">
        <f t="shared" ca="1" si="290"/>
        <v>235</v>
      </c>
      <c r="EL94" s="5" t="str">
        <f t="shared" ca="1" si="291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2"/>
        <v>580</v>
      </c>
      <c r="EQ94" s="5" t="str">
        <f t="shared" ca="1" si="293"/>
        <v>VIGENTE</v>
      </c>
      <c r="ER94" s="6"/>
      <c r="ES94" s="39">
        <v>45999</v>
      </c>
      <c r="ET94" s="4">
        <f>DATE(YEAR(ES94)+2,MONTH(ES94),DAY(ES94))</f>
        <v>46729</v>
      </c>
      <c r="EU94" s="8">
        <f t="shared" ca="1" si="294"/>
        <v>584</v>
      </c>
      <c r="EV94" s="5" t="str">
        <f t="shared" ca="1" si="295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6"/>
        <v>549</v>
      </c>
      <c r="FA94" s="5" t="str">
        <f t="shared" ca="1" si="297"/>
        <v>VIGENTE</v>
      </c>
      <c r="FB94" s="6"/>
      <c r="FC94" s="4">
        <v>45988</v>
      </c>
      <c r="FD94" s="4">
        <f t="shared" si="396"/>
        <v>46718</v>
      </c>
      <c r="FE94" s="8">
        <f t="shared" ca="1" si="298"/>
        <v>573</v>
      </c>
      <c r="FF94" s="5" t="str">
        <f t="shared" ca="1" si="299"/>
        <v>VIGENTE</v>
      </c>
      <c r="FG94" s="4"/>
      <c r="FH94" s="4">
        <v>45962</v>
      </c>
      <c r="FI94" s="4">
        <f t="shared" si="397"/>
        <v>46692</v>
      </c>
      <c r="FJ94" s="8">
        <f t="shared" ca="1" si="300"/>
        <v>547</v>
      </c>
      <c r="FK94" s="5" t="str">
        <f t="shared" ca="1" si="301"/>
        <v>VIGENTE</v>
      </c>
      <c r="FL94" s="4"/>
      <c r="FM94" s="39">
        <v>46039</v>
      </c>
      <c r="FN94" s="4">
        <f>DATE(YEAR(FM94)+2,MONTH(FM94),DAY(FM94))</f>
        <v>46769</v>
      </c>
      <c r="FO94" s="8">
        <f t="shared" ca="1" si="302"/>
        <v>624</v>
      </c>
      <c r="FP94" s="5" t="str">
        <f t="shared" ca="1" si="303"/>
        <v>VIGENTE</v>
      </c>
      <c r="FQ94" s="4"/>
      <c r="FR94" s="39">
        <v>46034</v>
      </c>
      <c r="FS94" s="4">
        <f>DATE(YEAR(FR94)+2,MONTH(FR94),DAY(FR94))</f>
        <v>46764</v>
      </c>
      <c r="FT94" s="8">
        <f t="shared" ca="1" si="304"/>
        <v>619</v>
      </c>
      <c r="FU94" s="5" t="str">
        <f t="shared" ca="1" si="305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6"/>
        <v>589</v>
      </c>
      <c r="FZ94" s="5" t="str">
        <f t="shared" ca="1" si="307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8"/>
        <v>510</v>
      </c>
      <c r="GE94" s="5" t="str">
        <f t="shared" ca="1" si="309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0"/>
        <v>545</v>
      </c>
      <c r="GJ94" s="5" t="str">
        <f t="shared" ca="1" si="311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2"/>
        <v>83</v>
      </c>
      <c r="GO94" s="5" t="str">
        <f t="shared" ca="1" si="313"/>
        <v>VIGENTE</v>
      </c>
      <c r="GP94" s="4"/>
      <c r="GQ94" s="4">
        <v>45299</v>
      </c>
      <c r="GR94" s="4">
        <f t="shared" si="314"/>
        <v>47126</v>
      </c>
      <c r="GS94" s="8">
        <f t="shared" ca="1" si="384"/>
        <v>981</v>
      </c>
      <c r="GT94" s="5" t="str">
        <f t="shared" ca="1" si="378"/>
        <v>VIGENTE</v>
      </c>
      <c r="GU94" s="4"/>
      <c r="GV94" s="4">
        <v>45329</v>
      </c>
      <c r="GW94" s="4">
        <f t="shared" si="316"/>
        <v>47156</v>
      </c>
      <c r="GX94" s="8">
        <f t="shared" ca="1" si="317"/>
        <v>1011</v>
      </c>
      <c r="GY94" s="5" t="str">
        <f t="shared" ca="1" si="379"/>
        <v>VIGENTE</v>
      </c>
      <c r="GZ94" s="6"/>
      <c r="HA94" s="4">
        <v>45343</v>
      </c>
      <c r="HB94" s="4">
        <f t="shared" si="319"/>
        <v>47170</v>
      </c>
      <c r="HC94" s="8">
        <f t="shared" ca="1" si="320"/>
        <v>1025</v>
      </c>
      <c r="HD94" s="5" t="str">
        <f t="shared" ca="1" si="38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9"/>
        <v>VIGENTE</v>
      </c>
      <c r="HJ94" s="6"/>
      <c r="HK94" s="6"/>
      <c r="HL94" s="4"/>
      <c r="HM94" s="8"/>
      <c r="HN94" s="5" t="str">
        <f t="shared" si="385"/>
        <v>NO APLICA</v>
      </c>
      <c r="HO94" s="2"/>
      <c r="HP94" s="2"/>
      <c r="HQ94" s="4"/>
      <c r="HR94" s="2"/>
      <c r="HS94" s="5" t="str">
        <f t="shared" si="322"/>
        <v>NO APLICA</v>
      </c>
      <c r="HT94" s="6"/>
      <c r="HU94" s="6"/>
      <c r="HV94" s="4"/>
      <c r="HW94" s="8"/>
      <c r="HX94" s="5" t="str">
        <f t="shared" si="323"/>
        <v>NO APLICA</v>
      </c>
      <c r="HY94" s="6"/>
      <c r="HZ94" s="6"/>
      <c r="IA94" s="4"/>
      <c r="IB94" s="8"/>
      <c r="IC94" s="5" t="str">
        <f t="shared" si="324"/>
        <v>NO APLICA</v>
      </c>
      <c r="ID94" s="6"/>
      <c r="IE94" s="6"/>
      <c r="IF94" s="4"/>
      <c r="IG94" s="8"/>
      <c r="IH94" s="5" t="str">
        <f t="shared" si="325"/>
        <v>NO APLICA</v>
      </c>
      <c r="II94" s="6"/>
      <c r="IJ94" s="6"/>
      <c r="IK94" s="4"/>
      <c r="IL94" s="6"/>
      <c r="IM94" s="5" t="str">
        <f t="shared" si="326"/>
        <v>NO APLICA</v>
      </c>
      <c r="IN94" s="6"/>
      <c r="IO94" s="6"/>
      <c r="IP94" s="4"/>
      <c r="IQ94" s="8"/>
      <c r="IR94" s="5" t="str">
        <f t="shared" si="327"/>
        <v>NO APLICA</v>
      </c>
      <c r="IS94" s="6"/>
      <c r="IT94" s="6"/>
      <c r="IU94" s="4"/>
      <c r="IV94" s="8"/>
      <c r="IW94" s="5" t="str">
        <f t="shared" si="328"/>
        <v>NO APLICA</v>
      </c>
      <c r="IX94" s="6"/>
      <c r="IY94" s="6"/>
      <c r="IZ94" s="4"/>
      <c r="JA94" s="8"/>
      <c r="JB94" s="5" t="str">
        <f t="shared" si="329"/>
        <v>NO APLICA</v>
      </c>
      <c r="JC94" s="3" t="s">
        <v>780</v>
      </c>
      <c r="JD94" s="3"/>
      <c r="JE94" s="4"/>
      <c r="JF94" s="8"/>
      <c r="JG94" s="5"/>
      <c r="JH94" s="3" t="s">
        <v>780</v>
      </c>
      <c r="JI94" s="6"/>
      <c r="JJ94" s="6"/>
      <c r="JK94" s="6"/>
      <c r="JL94" s="5"/>
      <c r="JM94" s="6" t="s">
        <v>780</v>
      </c>
      <c r="JN94" s="6"/>
      <c r="JO94" s="6"/>
      <c r="JP94" s="6"/>
      <c r="JQ94" s="5"/>
      <c r="JR94" s="6" t="s">
        <v>780</v>
      </c>
      <c r="JS94" s="6"/>
      <c r="JT94" s="6"/>
      <c r="JU94" s="6"/>
      <c r="JV94" s="5"/>
      <c r="JW94" s="6" t="s">
        <v>780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30"/>
        <v>NO APLICA</v>
      </c>
      <c r="KG94" s="5"/>
      <c r="KH94" s="2"/>
      <c r="KI94" s="4"/>
      <c r="KJ94" s="8"/>
      <c r="KK94" s="5" t="str">
        <f t="shared" si="356"/>
        <v>NO APLICA</v>
      </c>
      <c r="KL94" s="5"/>
      <c r="KM94" s="2"/>
      <c r="KN94" s="4"/>
      <c r="KO94" s="8"/>
      <c r="KP94" s="5" t="str">
        <f t="shared" si="331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7"/>
        <v>VIGENTE</v>
      </c>
      <c r="KV94" s="6"/>
      <c r="KW94" s="6"/>
      <c r="KX94" s="4"/>
      <c r="KY94" s="6"/>
      <c r="KZ94" s="5" t="str">
        <f t="shared" si="366"/>
        <v>NO APLICA</v>
      </c>
      <c r="LA94" s="5"/>
      <c r="LB94" s="6"/>
      <c r="LC94" s="4"/>
      <c r="LD94" s="6"/>
      <c r="LE94" s="5" t="str">
        <f t="shared" si="358"/>
        <v>NO APLICA</v>
      </c>
      <c r="LF94" s="6"/>
      <c r="LG94" s="6"/>
      <c r="LH94" s="6"/>
      <c r="LI94" s="6"/>
      <c r="LJ94" s="5" t="str">
        <f t="shared" si="332"/>
        <v>NO APLICA</v>
      </c>
      <c r="LK94" s="5"/>
      <c r="LL94" s="5"/>
      <c r="LM94" s="4"/>
      <c r="LN94" s="8"/>
      <c r="LO94" s="5" t="str">
        <f t="shared" si="367"/>
        <v>NO APLICA</v>
      </c>
      <c r="LP94" s="6"/>
      <c r="LQ94" s="6"/>
      <c r="LR94" s="4"/>
      <c r="LS94" s="8"/>
      <c r="LT94" s="5" t="str">
        <f t="shared" si="359"/>
        <v>NO APLICA</v>
      </c>
      <c r="LU94" s="6"/>
      <c r="LV94" s="6"/>
      <c r="LW94" s="4"/>
      <c r="LX94" s="6"/>
      <c r="LY94" s="5" t="str">
        <f t="shared" si="360"/>
        <v>NO APLICA</v>
      </c>
      <c r="LZ94" s="6"/>
      <c r="MA94" s="6"/>
      <c r="MB94" s="4"/>
      <c r="MC94" s="6"/>
      <c r="MD94" s="5" t="str">
        <f t="shared" si="361"/>
        <v>NO APLICA</v>
      </c>
      <c r="ME94" s="6"/>
      <c r="MF94" s="6"/>
      <c r="MG94" s="4"/>
      <c r="MH94" s="6"/>
      <c r="MI94" s="5" t="str">
        <f t="shared" si="333"/>
        <v>NO APLICA</v>
      </c>
      <c r="MJ94" s="6"/>
      <c r="MK94" s="6"/>
      <c r="ML94" s="4"/>
      <c r="MM94" s="6"/>
      <c r="MN94" s="5" t="str">
        <f t="shared" si="334"/>
        <v>NO APLICA</v>
      </c>
      <c r="MO94" s="5"/>
      <c r="MP94" s="6"/>
      <c r="MQ94" s="4"/>
      <c r="MR94" s="6"/>
      <c r="MS94" s="5" t="str">
        <f t="shared" si="335"/>
        <v>NO APLICA</v>
      </c>
      <c r="MT94" s="5"/>
      <c r="MU94" s="6"/>
      <c r="MV94" s="6"/>
      <c r="MW94" s="6"/>
      <c r="MX94" s="5" t="str">
        <f t="shared" si="336"/>
        <v>NO APLICA</v>
      </c>
      <c r="MY94" s="6"/>
      <c r="MZ94" s="6"/>
      <c r="NA94" s="4"/>
      <c r="NB94" s="6"/>
      <c r="NC94" s="5" t="str">
        <f t="shared" si="337"/>
        <v>NO APLICA</v>
      </c>
      <c r="ND94" s="6"/>
      <c r="NE94" s="6"/>
      <c r="NF94" s="4"/>
      <c r="NG94" s="6"/>
      <c r="NH94" s="5" t="str">
        <f t="shared" si="338"/>
        <v>NO APLICA</v>
      </c>
      <c r="NI94" s="6"/>
      <c r="NJ94" s="6"/>
      <c r="NK94" s="4"/>
      <c r="NL94" s="6"/>
      <c r="NM94" s="5" t="str">
        <f t="shared" si="339"/>
        <v>NO APLICA</v>
      </c>
      <c r="NN94" s="6"/>
      <c r="NO94" s="6"/>
      <c r="NP94" s="4"/>
      <c r="NQ94" s="6"/>
      <c r="NR94" s="5" t="str">
        <f t="shared" si="340"/>
        <v>NO APLICA</v>
      </c>
      <c r="NS94" s="6"/>
      <c r="NT94" s="6"/>
      <c r="NU94" s="4"/>
      <c r="NV94" s="6"/>
      <c r="NW94" s="5" t="str">
        <f t="shared" si="341"/>
        <v>NO APLICA</v>
      </c>
      <c r="NX94" s="6"/>
      <c r="NY94" s="6"/>
      <c r="NZ94" s="4"/>
      <c r="OA94" s="8"/>
      <c r="OB94" s="5" t="str">
        <f t="shared" si="342"/>
        <v>NO APLICA</v>
      </c>
      <c r="OC94" s="6"/>
      <c r="OD94" s="6"/>
      <c r="OE94" s="6"/>
      <c r="OF94" s="6"/>
      <c r="OG94" s="5" t="str">
        <f t="shared" si="343"/>
        <v>NO APLICA</v>
      </c>
      <c r="OH94" s="6"/>
      <c r="OI94" s="6"/>
      <c r="OJ94" s="6"/>
      <c r="OK94" s="6"/>
      <c r="OL94" s="5" t="str">
        <f t="shared" si="344"/>
        <v>NO APLICA</v>
      </c>
      <c r="OM94" s="6"/>
      <c r="ON94" s="6"/>
      <c r="OO94" s="6"/>
      <c r="OP94" s="6"/>
      <c r="OQ94" s="5" t="str">
        <f t="shared" si="345"/>
        <v>NO APLICA</v>
      </c>
      <c r="OR94" s="6"/>
      <c r="OS94" s="6"/>
      <c r="OT94" s="6"/>
      <c r="OU94" s="6"/>
      <c r="OV94" s="5" t="str">
        <f t="shared" si="346"/>
        <v>NO APLICA</v>
      </c>
      <c r="OW94" s="6"/>
      <c r="OX94" s="6"/>
      <c r="OY94" s="6"/>
      <c r="OZ94" s="6"/>
      <c r="PA94" s="5" t="str">
        <f t="shared" si="347"/>
        <v>NO APLICA</v>
      </c>
      <c r="PB94" s="6"/>
      <c r="PC94" s="6"/>
      <c r="PD94" s="6"/>
      <c r="PE94" s="6"/>
      <c r="PF94" s="5" t="str">
        <f t="shared" si="348"/>
        <v>NO APLICA</v>
      </c>
      <c r="PG94" s="6"/>
      <c r="PH94" s="6"/>
      <c r="PI94" s="6"/>
      <c r="PJ94" s="6"/>
      <c r="PK94" s="5" t="str">
        <f t="shared" si="349"/>
        <v>NO APLICA</v>
      </c>
      <c r="PL94" s="5"/>
      <c r="PM94" s="6"/>
      <c r="PN94" s="6"/>
      <c r="PO94" s="6"/>
      <c r="PP94" s="5" t="str">
        <f t="shared" si="350"/>
        <v>NO APLICA</v>
      </c>
      <c r="PQ94" s="6"/>
      <c r="PR94" s="6"/>
      <c r="PS94" s="6"/>
      <c r="PT94" s="6"/>
      <c r="PU94" s="5" t="str">
        <f t="shared" si="351"/>
        <v>NO APLICA</v>
      </c>
      <c r="PV94" s="5"/>
      <c r="PW94" s="6"/>
      <c r="PX94" s="6"/>
      <c r="PY94" s="6"/>
      <c r="PZ94" s="5" t="str">
        <f t="shared" si="352"/>
        <v>NO APLICA</v>
      </c>
    </row>
    <row r="95" spans="1:442" ht="15.6" hidden="1" thickTop="1" thickBot="1" x14ac:dyDescent="0.35">
      <c r="A95" s="26">
        <v>92</v>
      </c>
      <c r="B95" s="31">
        <v>1695</v>
      </c>
      <c r="C95" s="28" t="s">
        <v>332</v>
      </c>
      <c r="D95" s="29" t="s">
        <v>68</v>
      </c>
      <c r="E95" s="30" t="s">
        <v>73</v>
      </c>
      <c r="F95" s="5"/>
      <c r="G95" s="6"/>
      <c r="H95" s="4"/>
      <c r="I95" s="8"/>
      <c r="J95" s="5" t="str">
        <f t="shared" si="242"/>
        <v>NO APLICA</v>
      </c>
      <c r="K95" s="5"/>
      <c r="L95" s="6"/>
      <c r="M95" s="6"/>
      <c r="N95" s="8"/>
      <c r="O95" s="5" t="str">
        <f t="shared" si="243"/>
        <v>NO APLICA</v>
      </c>
      <c r="P95" s="6"/>
      <c r="Q95" s="6"/>
      <c r="R95" s="4"/>
      <c r="S95" s="8"/>
      <c r="T95" s="5" t="str">
        <f t="shared" si="353"/>
        <v>NO APLICA</v>
      </c>
      <c r="U95" s="5"/>
      <c r="V95" s="2" t="s">
        <v>333</v>
      </c>
      <c r="W95" s="4">
        <v>45156</v>
      </c>
      <c r="X95" s="4">
        <f t="shared" si="244"/>
        <v>46983</v>
      </c>
      <c r="Y95" s="8">
        <f t="shared" ca="1" si="245"/>
        <v>838</v>
      </c>
      <c r="Z95" s="5" t="str">
        <f t="shared" ca="1" si="246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7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8"/>
        <v>487</v>
      </c>
      <c r="AK95" s="5" t="str">
        <f t="shared" ca="1" si="219"/>
        <v>VIGENTE</v>
      </c>
      <c r="AL95" s="3"/>
      <c r="AM95" s="4">
        <v>45903</v>
      </c>
      <c r="AN95" s="4">
        <f t="shared" si="390"/>
        <v>46633</v>
      </c>
      <c r="AO95" s="8">
        <f t="shared" ca="1" si="249"/>
        <v>488</v>
      </c>
      <c r="AP95" s="5" t="str">
        <f t="shared" ca="1" si="250"/>
        <v>VIGENTE</v>
      </c>
      <c r="AQ95" s="3"/>
      <c r="AR95" s="4">
        <v>45989</v>
      </c>
      <c r="AS95" s="4">
        <f t="shared" si="391"/>
        <v>46719</v>
      </c>
      <c r="AT95" s="8">
        <f t="shared" ca="1" si="251"/>
        <v>574</v>
      </c>
      <c r="AU95" s="5" t="str">
        <f t="shared" ca="1" si="252"/>
        <v>VIGENTE</v>
      </c>
      <c r="AV95" s="3"/>
      <c r="AW95" s="4">
        <v>45972</v>
      </c>
      <c r="AX95" s="4">
        <f t="shared" si="392"/>
        <v>46702</v>
      </c>
      <c r="AY95" s="8">
        <f t="shared" ca="1" si="253"/>
        <v>557</v>
      </c>
      <c r="AZ95" s="5" t="str">
        <f t="shared" ca="1" si="254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5"/>
        <v>528</v>
      </c>
      <c r="BE95" s="5" t="str">
        <f t="shared" ca="1" si="256"/>
        <v>VIGENTE</v>
      </c>
      <c r="BF95" s="2"/>
      <c r="BG95" s="4">
        <v>45987</v>
      </c>
      <c r="BH95" s="4">
        <f t="shared" si="398"/>
        <v>46717</v>
      </c>
      <c r="BI95" s="8">
        <f t="shared" ca="1" si="257"/>
        <v>572</v>
      </c>
      <c r="BJ95" s="5" t="str">
        <f t="shared" ca="1" si="258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9"/>
        <v>561</v>
      </c>
      <c r="BO95" s="5" t="str">
        <f t="shared" ca="1" si="260"/>
        <v>VIGENTE</v>
      </c>
      <c r="BP95" s="3"/>
      <c r="BQ95" s="39">
        <v>45876</v>
      </c>
      <c r="BR95" s="4">
        <f>DATE(YEAR(BQ95)+2,MONTH(BQ95),DAY(BQ95))</f>
        <v>46606</v>
      </c>
      <c r="BS95" s="8">
        <f t="shared" ca="1" si="261"/>
        <v>461</v>
      </c>
      <c r="BT95" s="5" t="str">
        <f t="shared" ca="1" si="262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3"/>
        <v>438</v>
      </c>
      <c r="BY95" s="5" t="str">
        <f t="shared" ca="1" si="264"/>
        <v>VIGENTE</v>
      </c>
      <c r="BZ95" s="3"/>
      <c r="CA95" s="4">
        <v>45974</v>
      </c>
      <c r="CB95" s="4">
        <f t="shared" si="393"/>
        <v>46704</v>
      </c>
      <c r="CC95" s="8">
        <f t="shared" ca="1" si="265"/>
        <v>559</v>
      </c>
      <c r="CD95" s="5" t="str">
        <f t="shared" ca="1" si="266"/>
        <v>VIGENTE</v>
      </c>
      <c r="CE95" s="6"/>
      <c r="CF95" s="4">
        <v>45164</v>
      </c>
      <c r="CG95" s="4">
        <f t="shared" si="387"/>
        <v>46625</v>
      </c>
      <c r="CH95" s="8">
        <f t="shared" ca="1" si="388"/>
        <v>480</v>
      </c>
      <c r="CI95" s="5" t="str">
        <f t="shared" ca="1" si="269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0"/>
        <v>480</v>
      </c>
      <c r="CN95" s="5" t="str">
        <f t="shared" ca="1" si="271"/>
        <v>VIGENTE</v>
      </c>
      <c r="CO95" s="4"/>
      <c r="CP95" s="39">
        <v>45979</v>
      </c>
      <c r="CQ95" s="4">
        <f>DATE(YEAR(CP95)+2,MONTH(CP95),DAY(CP95))</f>
        <v>46709</v>
      </c>
      <c r="CR95" s="8">
        <f t="shared" ca="1" si="272"/>
        <v>564</v>
      </c>
      <c r="CS95" s="5" t="str">
        <f t="shared" ca="1" si="273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4"/>
        <v>524</v>
      </c>
      <c r="CX95" s="5" t="str">
        <f t="shared" ca="1" si="275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6"/>
        <v>585</v>
      </c>
      <c r="DC95" s="5" t="str">
        <f t="shared" ca="1" si="277"/>
        <v>VIGENTE</v>
      </c>
      <c r="DD95" s="3"/>
      <c r="DE95" s="39">
        <v>45836</v>
      </c>
      <c r="DF95" s="4">
        <f>DATE(YEAR(DE95)+2,MONTH(DE95),DAY(DE95))</f>
        <v>46566</v>
      </c>
      <c r="DG95" s="8">
        <f t="shared" ca="1" si="278"/>
        <v>421</v>
      </c>
      <c r="DH95" s="5" t="str">
        <f t="shared" ca="1" si="279"/>
        <v>VIGENTE</v>
      </c>
      <c r="DI95" s="3"/>
      <c r="DJ95" s="39">
        <v>45924</v>
      </c>
      <c r="DK95" s="4">
        <f>DATE(YEAR(DJ95)+2,MONTH(DJ95),DAY(DJ95))</f>
        <v>46654</v>
      </c>
      <c r="DL95" s="8">
        <f t="shared" ca="1" si="280"/>
        <v>509</v>
      </c>
      <c r="DM95" s="5" t="str">
        <f t="shared" ca="1" si="281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2"/>
        <v>442</v>
      </c>
      <c r="DR95" s="5" t="str">
        <f t="shared" ca="1" si="283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4"/>
        <v>603</v>
      </c>
      <c r="DW95" s="5" t="str">
        <f t="shared" ca="1" si="285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6"/>
        <v>605</v>
      </c>
      <c r="EB95" s="5" t="str">
        <f t="shared" ca="1" si="287"/>
        <v>VIGENTE</v>
      </c>
      <c r="EC95" s="3"/>
      <c r="ED95" s="39">
        <v>45829</v>
      </c>
      <c r="EE95" s="4">
        <f>DATE(YEAR(ED95)+2,MONTH(ED95),DAY(ED95))</f>
        <v>46559</v>
      </c>
      <c r="EF95" s="8">
        <f t="shared" ca="1" si="288"/>
        <v>414</v>
      </c>
      <c r="EG95" s="5" t="str">
        <f t="shared" ca="1" si="289"/>
        <v>VIGENTE</v>
      </c>
      <c r="EH95" s="4"/>
      <c r="EI95" s="4">
        <v>46115</v>
      </c>
      <c r="EJ95" s="4">
        <f t="shared" si="355"/>
        <v>46480</v>
      </c>
      <c r="EK95" s="8">
        <f t="shared" ca="1" si="290"/>
        <v>335</v>
      </c>
      <c r="EL95" s="5" t="str">
        <f t="shared" ca="1" si="291"/>
        <v>VIGENTE</v>
      </c>
      <c r="EM95" s="3"/>
      <c r="EN95" s="4">
        <v>45983</v>
      </c>
      <c r="EO95" s="4">
        <f>DATE(YEAR(EN95)+2,MONTH(EN95),DAY(EN95))</f>
        <v>46713</v>
      </c>
      <c r="EP95" s="8">
        <f t="shared" ca="1" si="292"/>
        <v>568</v>
      </c>
      <c r="EQ95" s="5" t="str">
        <f t="shared" ca="1" si="293"/>
        <v>VIGENTE</v>
      </c>
      <c r="ER95" s="2"/>
      <c r="ES95" s="39">
        <v>45999</v>
      </c>
      <c r="ET95" s="4">
        <f>DATE(YEAR(ES95)+2,MONTH(ES95),DAY(ES95))</f>
        <v>46729</v>
      </c>
      <c r="EU95" s="8">
        <f t="shared" ca="1" si="294"/>
        <v>584</v>
      </c>
      <c r="EV95" s="5" t="str">
        <f t="shared" ca="1" si="295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6"/>
        <v>558</v>
      </c>
      <c r="FA95" s="5" t="str">
        <f t="shared" ca="1" si="297"/>
        <v>VIGENTE</v>
      </c>
      <c r="FB95" s="3"/>
      <c r="FC95" s="4">
        <v>45922</v>
      </c>
      <c r="FD95" s="4">
        <f t="shared" si="396"/>
        <v>46652</v>
      </c>
      <c r="FE95" s="8">
        <f t="shared" ca="1" si="298"/>
        <v>507</v>
      </c>
      <c r="FF95" s="5" t="str">
        <f t="shared" ca="1" si="299"/>
        <v>VIGENTE</v>
      </c>
      <c r="FG95" s="2"/>
      <c r="FH95" s="4">
        <v>46009</v>
      </c>
      <c r="FI95" s="4">
        <f t="shared" si="397"/>
        <v>46739</v>
      </c>
      <c r="FJ95" s="8">
        <f t="shared" ca="1" si="300"/>
        <v>594</v>
      </c>
      <c r="FK95" s="5" t="str">
        <f t="shared" ca="1" si="301"/>
        <v>VIGENTE</v>
      </c>
      <c r="FL95" s="3"/>
      <c r="FM95" s="39">
        <v>45850</v>
      </c>
      <c r="FN95" s="4">
        <f>DATE(YEAR(FM95)+2,MONTH(FM95),DAY(FM95))</f>
        <v>46580</v>
      </c>
      <c r="FO95" s="8">
        <f t="shared" ca="1" si="302"/>
        <v>435</v>
      </c>
      <c r="FP95" s="5" t="str">
        <f t="shared" ca="1" si="303"/>
        <v>VIGENTE</v>
      </c>
      <c r="FQ95" s="3"/>
      <c r="FR95" s="39">
        <v>45957</v>
      </c>
      <c r="FS95" s="4">
        <f>DATE(YEAR(FR95)+2,MONTH(FR95),DAY(FR95))</f>
        <v>46687</v>
      </c>
      <c r="FT95" s="8">
        <f t="shared" ca="1" si="304"/>
        <v>542</v>
      </c>
      <c r="FU95" s="5" t="str">
        <f t="shared" ca="1" si="305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6"/>
        <v>599</v>
      </c>
      <c r="FZ95" s="5" t="str">
        <f t="shared" ca="1" si="307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8"/>
        <v>615</v>
      </c>
      <c r="GE95" s="5" t="str">
        <f t="shared" ca="1" si="309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0"/>
        <v>497</v>
      </c>
      <c r="GJ95" s="5" t="str">
        <f t="shared" ca="1" si="311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2"/>
        <v>508</v>
      </c>
      <c r="GO95" s="5" t="str">
        <f t="shared" ca="1" si="313"/>
        <v>VIGENTE</v>
      </c>
      <c r="GP95" s="4"/>
      <c r="GQ95" s="4">
        <v>45299</v>
      </c>
      <c r="GR95" s="4">
        <f t="shared" si="314"/>
        <v>47126</v>
      </c>
      <c r="GS95" s="8">
        <f t="shared" ca="1" si="384"/>
        <v>981</v>
      </c>
      <c r="GT95" s="5" t="str">
        <f t="shared" ca="1" si="378"/>
        <v>VIGENTE</v>
      </c>
      <c r="GU95" s="3"/>
      <c r="GV95" s="4">
        <v>45195</v>
      </c>
      <c r="GW95" s="4">
        <f t="shared" si="316"/>
        <v>47022</v>
      </c>
      <c r="GX95" s="8">
        <f t="shared" ca="1" si="317"/>
        <v>877</v>
      </c>
      <c r="GY95" s="5" t="str">
        <f t="shared" ca="1" si="379"/>
        <v>VIGENTE</v>
      </c>
      <c r="GZ95" s="2"/>
      <c r="HA95" s="4">
        <v>45251</v>
      </c>
      <c r="HB95" s="4">
        <f t="shared" si="319"/>
        <v>47078</v>
      </c>
      <c r="HC95" s="8">
        <f t="shared" ca="1" si="320"/>
        <v>933</v>
      </c>
      <c r="HD95" s="5" t="str">
        <f t="shared" ca="1" si="38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9"/>
        <v>VIGENTE</v>
      </c>
      <c r="HJ95" s="2"/>
      <c r="HK95" s="6"/>
      <c r="HL95" s="4"/>
      <c r="HM95" s="8"/>
      <c r="HN95" s="5" t="str">
        <f t="shared" si="385"/>
        <v>NO APLICA</v>
      </c>
      <c r="HO95" s="2"/>
      <c r="HP95" s="2"/>
      <c r="HQ95" s="4"/>
      <c r="HR95" s="2"/>
      <c r="HS95" s="5" t="str">
        <f t="shared" si="322"/>
        <v>NO APLICA</v>
      </c>
      <c r="HT95" s="2"/>
      <c r="HU95" s="6"/>
      <c r="HV95" s="4"/>
      <c r="HW95" s="8"/>
      <c r="HX95" s="5" t="str">
        <f t="shared" si="323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4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5"/>
        <v>VIGENTE</v>
      </c>
      <c r="II95" s="6"/>
      <c r="IJ95" s="6"/>
      <c r="IK95" s="4"/>
      <c r="IL95" s="8"/>
      <c r="IM95" s="5" t="str">
        <f t="shared" si="326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7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8"/>
        <v>VIGENTE</v>
      </c>
      <c r="IX95" s="2"/>
      <c r="IY95" s="6"/>
      <c r="IZ95" s="4"/>
      <c r="JA95" s="8"/>
      <c r="JB95" s="5" t="str">
        <f t="shared" si="329"/>
        <v>NO APLICA</v>
      </c>
      <c r="JC95" s="3" t="s">
        <v>780</v>
      </c>
      <c r="JD95" s="3"/>
      <c r="JE95" s="4"/>
      <c r="JF95" s="8"/>
      <c r="JG95" s="5"/>
      <c r="JH95" s="3" t="s">
        <v>780</v>
      </c>
      <c r="JI95" s="6"/>
      <c r="JJ95" s="6"/>
      <c r="JK95" s="6"/>
      <c r="JL95" s="5"/>
      <c r="JM95" s="6" t="s">
        <v>780</v>
      </c>
      <c r="JN95" s="6"/>
      <c r="JO95" s="6"/>
      <c r="JP95" s="6"/>
      <c r="JQ95" s="5"/>
      <c r="JR95" s="6" t="s">
        <v>780</v>
      </c>
      <c r="JS95" s="6"/>
      <c r="JT95" s="6"/>
      <c r="JU95" s="6"/>
      <c r="JV95" s="5"/>
      <c r="JW95" s="6" t="s">
        <v>780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30"/>
        <v>NO APLICA</v>
      </c>
      <c r="KG95" s="5"/>
      <c r="KH95" s="2"/>
      <c r="KI95" s="4"/>
      <c r="KJ95" s="8"/>
      <c r="KK95" s="5" t="str">
        <f t="shared" si="356"/>
        <v>NO APLICA</v>
      </c>
      <c r="KL95" s="5"/>
      <c r="KM95" s="2"/>
      <c r="KN95" s="4"/>
      <c r="KO95" s="8"/>
      <c r="KP95" s="5" t="str">
        <f t="shared" si="331"/>
        <v>NO APLICA</v>
      </c>
      <c r="KQ95" s="5"/>
      <c r="KR95" s="2"/>
      <c r="KS95" s="4"/>
      <c r="KT95" s="8"/>
      <c r="KU95" s="5" t="str">
        <f t="shared" si="357"/>
        <v>NO APLICA</v>
      </c>
      <c r="KV95" s="2"/>
      <c r="KW95" s="6"/>
      <c r="KX95" s="4"/>
      <c r="KY95" s="8"/>
      <c r="KZ95" s="5" t="str">
        <f t="shared" si="366"/>
        <v>NO APLICA</v>
      </c>
      <c r="LA95" s="5"/>
      <c r="LB95" s="6"/>
      <c r="LC95" s="4"/>
      <c r="LD95" s="8"/>
      <c r="LE95" s="5" t="str">
        <f t="shared" si="358"/>
        <v>NO APLICA</v>
      </c>
      <c r="LF95" s="6"/>
      <c r="LG95" s="6"/>
      <c r="LH95" s="4"/>
      <c r="LI95" s="8"/>
      <c r="LJ95" s="5" t="str">
        <f t="shared" si="332"/>
        <v>NO APLICA</v>
      </c>
      <c r="LK95" s="5"/>
      <c r="LL95" s="5"/>
      <c r="LM95" s="4"/>
      <c r="LN95" s="8"/>
      <c r="LO95" s="5" t="str">
        <f t="shared" si="367"/>
        <v>NO APLICA</v>
      </c>
      <c r="LP95" s="2"/>
      <c r="LQ95" s="6"/>
      <c r="LR95" s="4"/>
      <c r="LS95" s="8"/>
      <c r="LT95" s="5" t="str">
        <f t="shared" si="359"/>
        <v>NO APLICA</v>
      </c>
      <c r="LU95" s="6"/>
      <c r="LV95" s="6"/>
      <c r="LW95" s="4"/>
      <c r="LX95" s="8"/>
      <c r="LY95" s="5" t="str">
        <f t="shared" si="360"/>
        <v>NO APLICA</v>
      </c>
      <c r="LZ95" s="6"/>
      <c r="MA95" s="6"/>
      <c r="MB95" s="4"/>
      <c r="MC95" s="8"/>
      <c r="MD95" s="5" t="str">
        <f t="shared" si="361"/>
        <v>NO APLICA</v>
      </c>
      <c r="ME95" s="2"/>
      <c r="MF95" s="2"/>
      <c r="MG95" s="4"/>
      <c r="MH95" s="8"/>
      <c r="MI95" s="5" t="str">
        <f t="shared" si="333"/>
        <v>NO APLICA</v>
      </c>
      <c r="MJ95" s="2"/>
      <c r="MK95" s="2"/>
      <c r="ML95" s="4"/>
      <c r="MM95" s="8"/>
      <c r="MN95" s="5" t="str">
        <f t="shared" si="334"/>
        <v>NO APLICA</v>
      </c>
      <c r="MO95" s="5"/>
      <c r="MP95" s="2"/>
      <c r="MQ95" s="4"/>
      <c r="MR95" s="8"/>
      <c r="MS95" s="5" t="str">
        <f t="shared" si="335"/>
        <v>NO APLICA</v>
      </c>
      <c r="MT95" s="5"/>
      <c r="MU95" s="2"/>
      <c r="MV95" s="4"/>
      <c r="MW95" s="2"/>
      <c r="MX95" s="5" t="str">
        <f t="shared" si="336"/>
        <v>NO APLICA</v>
      </c>
      <c r="MY95" s="2"/>
      <c r="MZ95" s="6"/>
      <c r="NA95" s="4"/>
      <c r="NB95" s="8"/>
      <c r="NC95" s="5" t="str">
        <f t="shared" si="337"/>
        <v>NO APLICA</v>
      </c>
      <c r="ND95" s="2"/>
      <c r="NE95" s="6"/>
      <c r="NF95" s="4"/>
      <c r="NG95" s="8"/>
      <c r="NH95" s="5" t="str">
        <f t="shared" si="338"/>
        <v>NO APLICA</v>
      </c>
      <c r="NI95" s="2"/>
      <c r="NJ95" s="6"/>
      <c r="NK95" s="4"/>
      <c r="NL95" s="8"/>
      <c r="NM95" s="5" t="str">
        <f t="shared" si="339"/>
        <v>NO APLICA</v>
      </c>
      <c r="NN95" s="2"/>
      <c r="NO95" s="2"/>
      <c r="NP95" s="4"/>
      <c r="NQ95" s="8"/>
      <c r="NR95" s="5" t="str">
        <f t="shared" si="340"/>
        <v>NO APLICA</v>
      </c>
      <c r="NS95" s="2"/>
      <c r="NT95" s="2"/>
      <c r="NU95" s="4"/>
      <c r="NV95" s="2"/>
      <c r="NW95" s="5" t="str">
        <f t="shared" si="341"/>
        <v>NO APLICA</v>
      </c>
      <c r="NX95" s="6"/>
      <c r="NY95" s="6"/>
      <c r="NZ95" s="4"/>
      <c r="OA95" s="8"/>
      <c r="OB95" s="5" t="str">
        <f t="shared" si="342"/>
        <v>NO APLICA</v>
      </c>
      <c r="OC95" s="6"/>
      <c r="OD95" s="6"/>
      <c r="OE95" s="6"/>
      <c r="OF95" s="6"/>
      <c r="OG95" s="5" t="str">
        <f t="shared" si="343"/>
        <v>NO APLICA</v>
      </c>
      <c r="OH95" s="6"/>
      <c r="OI95" s="6"/>
      <c r="OJ95" s="4"/>
      <c r="OK95" s="8"/>
      <c r="OL95" s="5" t="str">
        <f t="shared" si="344"/>
        <v>NO APLICA</v>
      </c>
      <c r="OM95" s="6"/>
      <c r="ON95" s="6"/>
      <c r="OO95" s="6"/>
      <c r="OP95" s="6"/>
      <c r="OQ95" s="5" t="str">
        <f t="shared" si="345"/>
        <v>NO APLICA</v>
      </c>
      <c r="OR95" s="6"/>
      <c r="OS95" s="6"/>
      <c r="OT95" s="6"/>
      <c r="OU95" s="6"/>
      <c r="OV95" s="5" t="str">
        <f t="shared" si="346"/>
        <v>NO APLICA</v>
      </c>
      <c r="OW95" s="6"/>
      <c r="OX95" s="6"/>
      <c r="OY95" s="6"/>
      <c r="OZ95" s="6"/>
      <c r="PA95" s="5" t="str">
        <f t="shared" si="347"/>
        <v>NO APLICA</v>
      </c>
      <c r="PB95" s="6"/>
      <c r="PC95" s="6"/>
      <c r="PD95" s="6"/>
      <c r="PE95" s="6"/>
      <c r="PF95" s="5" t="str">
        <f t="shared" si="348"/>
        <v>NO APLICA</v>
      </c>
      <c r="PG95" s="6"/>
      <c r="PH95" s="6"/>
      <c r="PI95" s="6"/>
      <c r="PJ95" s="6"/>
      <c r="PK95" s="5" t="str">
        <f t="shared" si="349"/>
        <v>NO APLICA</v>
      </c>
      <c r="PL95" s="5"/>
      <c r="PM95" s="6"/>
      <c r="PN95" s="4"/>
      <c r="PO95" s="8"/>
      <c r="PP95" s="5" t="str">
        <f t="shared" si="350"/>
        <v>NO APLICA</v>
      </c>
      <c r="PQ95" s="6"/>
      <c r="PR95" s="6"/>
      <c r="PS95" s="6"/>
      <c r="PT95" s="6"/>
      <c r="PU95" s="5" t="str">
        <f t="shared" si="351"/>
        <v>NO APLICA</v>
      </c>
      <c r="PV95" s="5"/>
      <c r="PW95" s="6"/>
      <c r="PX95" s="6"/>
      <c r="PY95" s="6"/>
      <c r="PZ95" s="5" t="str">
        <f t="shared" si="352"/>
        <v>NO APLICA</v>
      </c>
    </row>
    <row r="96" spans="1:442" ht="15.6" hidden="1" thickTop="1" thickBot="1" x14ac:dyDescent="0.35">
      <c r="A96" s="26">
        <v>93</v>
      </c>
      <c r="B96" s="27">
        <v>1573</v>
      </c>
      <c r="C96" s="28" t="s">
        <v>335</v>
      </c>
      <c r="D96" s="29" t="s">
        <v>68</v>
      </c>
      <c r="E96" s="30" t="s">
        <v>73</v>
      </c>
      <c r="F96" s="5"/>
      <c r="G96" s="6"/>
      <c r="H96" s="4"/>
      <c r="I96" s="8"/>
      <c r="J96" s="5" t="str">
        <f t="shared" si="242"/>
        <v>NO APLICA</v>
      </c>
      <c r="K96" s="2"/>
      <c r="L96" s="6"/>
      <c r="M96" s="6"/>
      <c r="N96" s="8"/>
      <c r="O96" s="5" t="str">
        <f t="shared" si="243"/>
        <v>NO APLICA</v>
      </c>
      <c r="P96" s="6"/>
      <c r="Q96" s="6"/>
      <c r="R96" s="4"/>
      <c r="S96" s="8"/>
      <c r="T96" s="5" t="str">
        <f t="shared" si="353"/>
        <v>NO APLICA</v>
      </c>
      <c r="U96" s="5"/>
      <c r="V96" s="2" t="s">
        <v>336</v>
      </c>
      <c r="W96" s="4">
        <v>45500</v>
      </c>
      <c r="X96" s="4">
        <f t="shared" si="244"/>
        <v>47326</v>
      </c>
      <c r="Y96" s="8">
        <f t="shared" ca="1" si="245"/>
        <v>1181</v>
      </c>
      <c r="Z96" s="5" t="str">
        <f t="shared" ca="1" si="246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7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8"/>
        <v>193</v>
      </c>
      <c r="AK96" s="5" t="str">
        <f t="shared" ca="1" si="219"/>
        <v>VIGENTE</v>
      </c>
      <c r="AL96" s="3"/>
      <c r="AM96" s="4">
        <v>45959</v>
      </c>
      <c r="AN96" s="4">
        <f t="shared" si="390"/>
        <v>46689</v>
      </c>
      <c r="AO96" s="8">
        <f t="shared" ca="1" si="249"/>
        <v>544</v>
      </c>
      <c r="AP96" s="5" t="str">
        <f t="shared" ca="1" si="250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1"/>
        <v>287</v>
      </c>
      <c r="AU96" s="5" t="str">
        <f t="shared" ca="1" si="252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3"/>
        <v>304</v>
      </c>
      <c r="AZ96" s="5" t="str">
        <f t="shared" ca="1" si="254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5"/>
        <v>301</v>
      </c>
      <c r="BE96" s="5" t="str">
        <f t="shared" ca="1" si="256"/>
        <v>VIGENTE</v>
      </c>
      <c r="BF96" s="3"/>
      <c r="BG96" s="4">
        <v>45968</v>
      </c>
      <c r="BH96" s="4">
        <f t="shared" si="398"/>
        <v>46698</v>
      </c>
      <c r="BI96" s="8">
        <f t="shared" ca="1" si="257"/>
        <v>553</v>
      </c>
      <c r="BJ96" s="5" t="str">
        <f t="shared" ca="1" si="258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9"/>
        <v>620</v>
      </c>
      <c r="BO96" s="5" t="str">
        <f t="shared" ca="1" si="260"/>
        <v>VIGENTE</v>
      </c>
      <c r="BP96" s="3"/>
      <c r="BQ96" s="39">
        <v>45701</v>
      </c>
      <c r="BR96" s="4">
        <f>DATE(YEAR(BQ96)+2,MONTH(BQ96),DAY(BQ96)-1)</f>
        <v>46430</v>
      </c>
      <c r="BS96" s="8">
        <f t="shared" ca="1" si="261"/>
        <v>285</v>
      </c>
      <c r="BT96" s="5" t="str">
        <f t="shared" ca="1" si="262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3"/>
        <v>320</v>
      </c>
      <c r="BY96" s="5" t="str">
        <f t="shared" ca="1" si="264"/>
        <v>VIGENTE</v>
      </c>
      <c r="BZ96" s="3"/>
      <c r="CA96" s="4">
        <v>45954</v>
      </c>
      <c r="CB96" s="4">
        <f t="shared" si="393"/>
        <v>46684</v>
      </c>
      <c r="CC96" s="8">
        <f t="shared" ca="1" si="265"/>
        <v>539</v>
      </c>
      <c r="CD96" s="5" t="str">
        <f t="shared" ca="1" si="266"/>
        <v>VIGENTE</v>
      </c>
      <c r="CE96" s="6"/>
      <c r="CF96" s="4">
        <v>45301</v>
      </c>
      <c r="CG96" s="4">
        <f t="shared" si="387"/>
        <v>46762</v>
      </c>
      <c r="CH96" s="8">
        <f t="shared" ca="1" si="388"/>
        <v>617</v>
      </c>
      <c r="CI96" s="5" t="str">
        <f t="shared" ca="1" si="269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0"/>
        <v>514</v>
      </c>
      <c r="CN96" s="5" t="str">
        <f t="shared" ca="1" si="271"/>
        <v>VIGENTE</v>
      </c>
      <c r="CO96" s="3"/>
      <c r="CP96" s="39">
        <v>45684</v>
      </c>
      <c r="CQ96" s="4">
        <f>DATE(YEAR(CP96)+2,MONTH(CP96),DAY(CP96)-1)</f>
        <v>46413</v>
      </c>
      <c r="CR96" s="8">
        <f t="shared" ca="1" si="272"/>
        <v>268</v>
      </c>
      <c r="CS96" s="5" t="str">
        <f t="shared" ca="1" si="273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4"/>
        <v>229</v>
      </c>
      <c r="CX96" s="5" t="str">
        <f t="shared" ca="1" si="275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6"/>
        <v>245</v>
      </c>
      <c r="DC96" s="5" t="str">
        <f t="shared" ca="1" si="277"/>
        <v>VIGENTE</v>
      </c>
      <c r="DD96" s="3"/>
      <c r="DE96" s="39">
        <v>45549</v>
      </c>
      <c r="DF96" s="4">
        <f>DATE(YEAR(DE96)+2,MONTH(DE96),DAY(DE96)-1)</f>
        <v>46278</v>
      </c>
      <c r="DG96" s="8">
        <f t="shared" ca="1" si="278"/>
        <v>133</v>
      </c>
      <c r="DH96" s="5" t="str">
        <f t="shared" ca="1" si="279"/>
        <v>VIGENTE</v>
      </c>
      <c r="DI96" s="3"/>
      <c r="DJ96" s="39">
        <v>45734</v>
      </c>
      <c r="DK96" s="4">
        <f>DATE(YEAR(DJ96)+2,MONTH(DJ96),DAY(DJ96)-1)</f>
        <v>46463</v>
      </c>
      <c r="DL96" s="8">
        <f t="shared" ca="1" si="280"/>
        <v>318</v>
      </c>
      <c r="DM96" s="5" t="str">
        <f t="shared" ca="1" si="281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2"/>
        <v>315</v>
      </c>
      <c r="DR96" s="5" t="str">
        <f t="shared" ca="1" si="283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4"/>
        <v>269</v>
      </c>
      <c r="DW96" s="5" t="str">
        <f t="shared" ca="1" si="285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6"/>
        <v>335</v>
      </c>
      <c r="EB96" s="5" t="str">
        <f t="shared" ca="1" si="287"/>
        <v>VIGENTE</v>
      </c>
      <c r="EC96" s="3"/>
      <c r="ED96" s="39">
        <v>45583</v>
      </c>
      <c r="EE96" s="4">
        <f>DATE(YEAR(ED96)+2,MONTH(ED96),DAY(ED96)-1)</f>
        <v>46312</v>
      </c>
      <c r="EF96" s="8">
        <f t="shared" ca="1" si="288"/>
        <v>167</v>
      </c>
      <c r="EG96" s="5" t="str">
        <f t="shared" ca="1" si="289"/>
        <v>VIGENTE</v>
      </c>
      <c r="EH96" s="3"/>
      <c r="EI96" s="4">
        <v>46123</v>
      </c>
      <c r="EJ96" s="4">
        <f t="shared" si="355"/>
        <v>46488</v>
      </c>
      <c r="EK96" s="8">
        <f t="shared" ca="1" si="290"/>
        <v>343</v>
      </c>
      <c r="EL96" s="5" t="str">
        <f t="shared" ca="1" si="291"/>
        <v>VIGENTE</v>
      </c>
      <c r="EM96" s="3"/>
      <c r="EN96" s="4">
        <v>45660</v>
      </c>
      <c r="EO96" s="4">
        <f>DATE(YEAR(EN96)+2,MONTH(EN96),DAY(EN96)-1)</f>
        <v>46389</v>
      </c>
      <c r="EP96" s="8">
        <f t="shared" ca="1" si="292"/>
        <v>244</v>
      </c>
      <c r="EQ96" s="5" t="str">
        <f t="shared" ca="1" si="293"/>
        <v>VIGENTE</v>
      </c>
      <c r="ER96" s="2"/>
      <c r="ES96" s="39">
        <v>45755</v>
      </c>
      <c r="ET96" s="4">
        <f>DATE(YEAR(ES96)+2,MONTH(ES96),DAY(ES96)-1)</f>
        <v>46484</v>
      </c>
      <c r="EU96" s="8">
        <f t="shared" ca="1" si="294"/>
        <v>339</v>
      </c>
      <c r="EV96" s="5" t="str">
        <f t="shared" ca="1" si="295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6"/>
        <v>538</v>
      </c>
      <c r="FA96" s="5" t="str">
        <f t="shared" ca="1" si="297"/>
        <v>VIGENTE</v>
      </c>
      <c r="FB96" s="3"/>
      <c r="FC96" s="4">
        <v>45931</v>
      </c>
      <c r="FD96" s="4">
        <f t="shared" si="396"/>
        <v>46661</v>
      </c>
      <c r="FE96" s="8">
        <f t="shared" ca="1" si="298"/>
        <v>516</v>
      </c>
      <c r="FF96" s="5" t="str">
        <f t="shared" ca="1" si="299"/>
        <v>VIGENTE</v>
      </c>
      <c r="FG96" s="3"/>
      <c r="FH96" s="4">
        <v>45932</v>
      </c>
      <c r="FI96" s="4">
        <f t="shared" si="397"/>
        <v>46662</v>
      </c>
      <c r="FJ96" s="8">
        <f t="shared" ca="1" si="300"/>
        <v>517</v>
      </c>
      <c r="FK96" s="5" t="str">
        <f t="shared" ca="1" si="301"/>
        <v>VIGENTE</v>
      </c>
      <c r="FL96" s="3"/>
      <c r="FM96" s="39">
        <v>45670</v>
      </c>
      <c r="FN96" s="4">
        <f>DATE(YEAR(FM96)+2,MONTH(FM96),DAY(FM96)-1)</f>
        <v>46399</v>
      </c>
      <c r="FO96" s="8">
        <f t="shared" ca="1" si="302"/>
        <v>254</v>
      </c>
      <c r="FP96" s="5" t="str">
        <f t="shared" ca="1" si="303"/>
        <v>VIGENTE</v>
      </c>
      <c r="FQ96" s="3"/>
      <c r="FR96" s="39">
        <v>45678</v>
      </c>
      <c r="FS96" s="4">
        <f>DATE(YEAR(FR96)+2,MONTH(FR96),DAY(FR96)-1)</f>
        <v>46407</v>
      </c>
      <c r="FT96" s="8">
        <f t="shared" ca="1" si="304"/>
        <v>262</v>
      </c>
      <c r="FU96" s="5" t="str">
        <f t="shared" ca="1" si="305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6"/>
        <v>526</v>
      </c>
      <c r="FZ96" s="5" t="str">
        <f t="shared" ca="1" si="307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8"/>
        <v>299</v>
      </c>
      <c r="GE96" s="5" t="str">
        <f t="shared" ca="1" si="309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0"/>
        <v>256</v>
      </c>
      <c r="GJ96" s="5" t="str">
        <f t="shared" ca="1" si="311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2"/>
        <v>271</v>
      </c>
      <c r="GO96" s="5" t="str">
        <f t="shared" ca="1" si="313"/>
        <v>VIGENTE</v>
      </c>
      <c r="GP96" s="4"/>
      <c r="GQ96" s="4">
        <v>45159</v>
      </c>
      <c r="GR96" s="4">
        <f t="shared" si="314"/>
        <v>46986</v>
      </c>
      <c r="GS96" s="8">
        <f t="shared" ca="1" si="384"/>
        <v>841</v>
      </c>
      <c r="GT96" s="5" t="str">
        <f t="shared" ca="1" si="378"/>
        <v>VIGENTE</v>
      </c>
      <c r="GU96" s="3"/>
      <c r="GV96" s="4">
        <v>44979</v>
      </c>
      <c r="GW96" s="4">
        <f t="shared" si="316"/>
        <v>46805</v>
      </c>
      <c r="GX96" s="8">
        <f t="shared" ca="1" si="317"/>
        <v>660</v>
      </c>
      <c r="GY96" s="5" t="str">
        <f t="shared" ca="1" si="379"/>
        <v>VIGENTE</v>
      </c>
      <c r="GZ96" s="3"/>
      <c r="HA96" s="4">
        <v>45160</v>
      </c>
      <c r="HB96" s="4">
        <f t="shared" si="319"/>
        <v>46987</v>
      </c>
      <c r="HC96" s="8">
        <f t="shared" ca="1" si="320"/>
        <v>842</v>
      </c>
      <c r="HD96" s="5" t="str">
        <f t="shared" ca="1" si="38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9"/>
        <v>VIGENTE</v>
      </c>
      <c r="HJ96" s="2"/>
      <c r="HK96" s="6"/>
      <c r="HL96" s="4"/>
      <c r="HM96" s="8"/>
      <c r="HN96" s="5" t="str">
        <f t="shared" si="385"/>
        <v>NO APLICA</v>
      </c>
      <c r="HO96" s="2"/>
      <c r="HP96" s="2"/>
      <c r="HQ96" s="4"/>
      <c r="HR96" s="2"/>
      <c r="HS96" s="5" t="str">
        <f t="shared" si="322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3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4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5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6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7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8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9"/>
        <v>VIGENTE</v>
      </c>
      <c r="JC96" s="3" t="s">
        <v>780</v>
      </c>
      <c r="JD96" s="3"/>
      <c r="JE96" s="4"/>
      <c r="JF96" s="8"/>
      <c r="JG96" s="5"/>
      <c r="JH96" s="3" t="s">
        <v>780</v>
      </c>
      <c r="JI96" s="6"/>
      <c r="JJ96" s="6"/>
      <c r="JK96" s="6"/>
      <c r="JL96" s="5"/>
      <c r="JM96" s="6" t="s">
        <v>780</v>
      </c>
      <c r="JN96" s="6"/>
      <c r="JO96" s="6"/>
      <c r="JP96" s="6"/>
      <c r="JQ96" s="5"/>
      <c r="JR96" s="6" t="s">
        <v>780</v>
      </c>
      <c r="JS96" s="6"/>
      <c r="JT96" s="6"/>
      <c r="JU96" s="6"/>
      <c r="JV96" s="5"/>
      <c r="JW96" s="6" t="s">
        <v>780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30"/>
        <v>NO APLICA</v>
      </c>
      <c r="KG96" s="5"/>
      <c r="KH96" s="2"/>
      <c r="KI96" s="4"/>
      <c r="KJ96" s="8"/>
      <c r="KK96" s="5" t="str">
        <f t="shared" si="356"/>
        <v>NO APLICA</v>
      </c>
      <c r="KL96" s="5"/>
      <c r="KM96" s="2"/>
      <c r="KN96" s="4"/>
      <c r="KO96" s="8"/>
      <c r="KP96" s="5" t="str">
        <f t="shared" si="331"/>
        <v>NO APLICA</v>
      </c>
      <c r="KQ96" s="5"/>
      <c r="KR96" s="2"/>
      <c r="KS96" s="4"/>
      <c r="KT96" s="8"/>
      <c r="KU96" s="5" t="str">
        <f t="shared" si="357"/>
        <v>NO APLICA</v>
      </c>
      <c r="KV96" s="2"/>
      <c r="KW96" s="6"/>
      <c r="KX96" s="4"/>
      <c r="KY96" s="8"/>
      <c r="KZ96" s="5" t="str">
        <f t="shared" si="366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8"/>
        <v>VIGENTE</v>
      </c>
      <c r="LF96" s="6"/>
      <c r="LG96" s="6"/>
      <c r="LH96" s="4"/>
      <c r="LI96" s="8"/>
      <c r="LJ96" s="5" t="str">
        <f t="shared" si="332"/>
        <v>NO APLICA</v>
      </c>
      <c r="LK96" s="5"/>
      <c r="LL96" s="5"/>
      <c r="LM96" s="4"/>
      <c r="LN96" s="8"/>
      <c r="LO96" s="5" t="str">
        <f t="shared" si="367"/>
        <v>NO APLICA</v>
      </c>
      <c r="LP96" s="2"/>
      <c r="LQ96" s="6"/>
      <c r="LR96" s="4"/>
      <c r="LS96" s="8"/>
      <c r="LT96" s="5" t="str">
        <f t="shared" si="359"/>
        <v>NO APLICA</v>
      </c>
      <c r="LU96" s="6"/>
      <c r="LV96" s="6"/>
      <c r="LW96" s="4"/>
      <c r="LX96" s="8"/>
      <c r="LY96" s="5" t="str">
        <f t="shared" si="360"/>
        <v>NO APLICA</v>
      </c>
      <c r="LZ96" s="6"/>
      <c r="MA96" s="6"/>
      <c r="MB96" s="4"/>
      <c r="MC96" s="8"/>
      <c r="MD96" s="5" t="str">
        <f t="shared" si="361"/>
        <v>NO APLICA</v>
      </c>
      <c r="ME96" s="2"/>
      <c r="MF96" s="2"/>
      <c r="MG96" s="4"/>
      <c r="MH96" s="8"/>
      <c r="MI96" s="5" t="str">
        <f t="shared" si="333"/>
        <v>NO APLICA</v>
      </c>
      <c r="MJ96" s="2"/>
      <c r="MK96" s="2"/>
      <c r="ML96" s="4"/>
      <c r="MM96" s="8"/>
      <c r="MN96" s="5" t="str">
        <f t="shared" si="334"/>
        <v>NO APLICA</v>
      </c>
      <c r="MO96" s="5"/>
      <c r="MP96" s="2"/>
      <c r="MQ96" s="4"/>
      <c r="MR96" s="8"/>
      <c r="MS96" s="5" t="str">
        <f t="shared" si="335"/>
        <v>NO APLICA</v>
      </c>
      <c r="MT96" s="5"/>
      <c r="MU96" s="2"/>
      <c r="MV96" s="4"/>
      <c r="MW96" s="2"/>
      <c r="MX96" s="5" t="str">
        <f t="shared" si="336"/>
        <v>NO APLICA</v>
      </c>
      <c r="MY96" s="2"/>
      <c r="MZ96" s="6"/>
      <c r="NA96" s="4"/>
      <c r="NB96" s="8"/>
      <c r="NC96" s="5" t="str">
        <f t="shared" si="337"/>
        <v>NO APLICA</v>
      </c>
      <c r="ND96" s="2"/>
      <c r="NE96" s="6"/>
      <c r="NF96" s="4"/>
      <c r="NG96" s="8"/>
      <c r="NH96" s="5" t="str">
        <f t="shared" si="338"/>
        <v>NO APLICA</v>
      </c>
      <c r="NI96" s="2"/>
      <c r="NJ96" s="6"/>
      <c r="NK96" s="4"/>
      <c r="NL96" s="8"/>
      <c r="NM96" s="5" t="str">
        <f t="shared" si="339"/>
        <v>NO APLICA</v>
      </c>
      <c r="NN96" s="2"/>
      <c r="NO96" s="2"/>
      <c r="NP96" s="4"/>
      <c r="NQ96" s="8"/>
      <c r="NR96" s="5" t="str">
        <f t="shared" si="340"/>
        <v>NO APLICA</v>
      </c>
      <c r="NS96" s="2"/>
      <c r="NT96" s="2"/>
      <c r="NU96" s="4"/>
      <c r="NV96" s="2"/>
      <c r="NW96" s="5" t="str">
        <f t="shared" si="341"/>
        <v>NO APLICA</v>
      </c>
      <c r="NX96" s="6"/>
      <c r="NY96" s="6"/>
      <c r="NZ96" s="4"/>
      <c r="OA96" s="8"/>
      <c r="OB96" s="5" t="str">
        <f t="shared" si="342"/>
        <v>NO APLICA</v>
      </c>
      <c r="OC96" s="6"/>
      <c r="OD96" s="6"/>
      <c r="OE96" s="6"/>
      <c r="OF96" s="6"/>
      <c r="OG96" s="5" t="str">
        <f t="shared" si="343"/>
        <v>NO APLICA</v>
      </c>
      <c r="OH96" s="2"/>
      <c r="OI96" s="2"/>
      <c r="OJ96" s="4"/>
      <c r="OK96" s="8"/>
      <c r="OL96" s="5" t="str">
        <f t="shared" si="344"/>
        <v>NO APLICA</v>
      </c>
      <c r="OM96" s="6"/>
      <c r="ON96" s="6"/>
      <c r="OO96" s="6"/>
      <c r="OP96" s="6"/>
      <c r="OQ96" s="5" t="str">
        <f t="shared" si="345"/>
        <v>NO APLICA</v>
      </c>
      <c r="OR96" s="6"/>
      <c r="OS96" s="6"/>
      <c r="OT96" s="6"/>
      <c r="OU96" s="6"/>
      <c r="OV96" s="5" t="str">
        <f t="shared" si="346"/>
        <v>NO APLICA</v>
      </c>
      <c r="OW96" s="6"/>
      <c r="OX96" s="6"/>
      <c r="OY96" s="6"/>
      <c r="OZ96" s="6"/>
      <c r="PA96" s="5" t="str">
        <f t="shared" si="347"/>
        <v>NO APLICA</v>
      </c>
      <c r="PB96" s="6"/>
      <c r="PC96" s="6"/>
      <c r="PD96" s="6"/>
      <c r="PE96" s="6"/>
      <c r="PF96" s="5" t="str">
        <f t="shared" si="348"/>
        <v>NO APLICA</v>
      </c>
      <c r="PG96" s="6"/>
      <c r="PH96" s="6"/>
      <c r="PI96" s="6"/>
      <c r="PJ96" s="6"/>
      <c r="PK96" s="5" t="str">
        <f t="shared" si="349"/>
        <v>NO APLICA</v>
      </c>
      <c r="PL96" s="5"/>
      <c r="PM96" s="6"/>
      <c r="PN96" s="4"/>
      <c r="PO96" s="8"/>
      <c r="PP96" s="5" t="str">
        <f t="shared" si="350"/>
        <v>NO APLICA</v>
      </c>
      <c r="PQ96" s="6"/>
      <c r="PR96" s="6"/>
      <c r="PS96" s="6"/>
      <c r="PT96" s="6"/>
      <c r="PU96" s="5" t="str">
        <f t="shared" si="351"/>
        <v>NO APLICA</v>
      </c>
      <c r="PV96" s="5"/>
      <c r="PW96" s="6"/>
      <c r="PX96" s="6"/>
      <c r="PY96" s="6"/>
      <c r="PZ96" s="5" t="str">
        <f t="shared" si="352"/>
        <v>NO APLICA</v>
      </c>
    </row>
    <row r="97" spans="1:442" ht="15.6" hidden="1" thickTop="1" thickBot="1" x14ac:dyDescent="0.35">
      <c r="A97" s="26">
        <v>94</v>
      </c>
      <c r="B97" s="31">
        <v>1186</v>
      </c>
      <c r="C97" s="28" t="s">
        <v>338</v>
      </c>
      <c r="D97" s="29" t="s">
        <v>68</v>
      </c>
      <c r="E97" s="30" t="s">
        <v>73</v>
      </c>
      <c r="F97" s="5"/>
      <c r="G97" s="6"/>
      <c r="H97" s="4"/>
      <c r="I97" s="8"/>
      <c r="J97" s="5" t="str">
        <f t="shared" si="242"/>
        <v>NO APLICA</v>
      </c>
      <c r="K97" s="5"/>
      <c r="L97" s="6"/>
      <c r="M97" s="6"/>
      <c r="N97" s="8"/>
      <c r="O97" s="5" t="str">
        <f t="shared" si="243"/>
        <v>NO APLICA</v>
      </c>
      <c r="P97" s="6"/>
      <c r="Q97" s="6"/>
      <c r="R97" s="4"/>
      <c r="S97" s="8"/>
      <c r="T97" s="5" t="str">
        <f t="shared" si="353"/>
        <v>NO APLICA</v>
      </c>
      <c r="U97" s="5"/>
      <c r="V97" s="2" t="s">
        <v>339</v>
      </c>
      <c r="W97" s="4">
        <v>45391</v>
      </c>
      <c r="X97" s="4">
        <f t="shared" si="244"/>
        <v>47217</v>
      </c>
      <c r="Y97" s="8">
        <f t="shared" ca="1" si="245"/>
        <v>1072</v>
      </c>
      <c r="Z97" s="5" t="str">
        <f t="shared" ca="1" si="246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7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8"/>
        <v>487</v>
      </c>
      <c r="AK97" s="5" t="str">
        <f t="shared" ca="1" si="219"/>
        <v>VIGENTE</v>
      </c>
      <c r="AL97" s="3"/>
      <c r="AM97" s="4">
        <v>45903</v>
      </c>
      <c r="AN97" s="4">
        <f t="shared" si="390"/>
        <v>46633</v>
      </c>
      <c r="AO97" s="8">
        <f t="shared" ca="1" si="249"/>
        <v>488</v>
      </c>
      <c r="AP97" s="5" t="str">
        <f t="shared" ca="1" si="250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1"/>
        <v>489</v>
      </c>
      <c r="AU97" s="5" t="str">
        <f t="shared" ca="1" si="252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3"/>
        <v>537</v>
      </c>
      <c r="AZ97" s="5" t="str">
        <f t="shared" ca="1" si="254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5"/>
        <v>528</v>
      </c>
      <c r="BE97" s="5" t="str">
        <f t="shared" ca="1" si="256"/>
        <v>VIGENTE</v>
      </c>
      <c r="BF97" s="2"/>
      <c r="BG97" s="4">
        <v>45997</v>
      </c>
      <c r="BH97" s="4">
        <f t="shared" si="398"/>
        <v>46727</v>
      </c>
      <c r="BI97" s="8">
        <f t="shared" ca="1" si="257"/>
        <v>582</v>
      </c>
      <c r="BJ97" s="5" t="str">
        <f t="shared" ca="1" si="258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9"/>
        <v>561</v>
      </c>
      <c r="BO97" s="5" t="str">
        <f t="shared" ca="1" si="260"/>
        <v>VIGENTE</v>
      </c>
      <c r="BP97" s="4"/>
      <c r="BQ97" s="39">
        <v>45981</v>
      </c>
      <c r="BR97" s="4">
        <f>DATE(YEAR(BQ97)+2,MONTH(BQ97),DAY(BQ97))</f>
        <v>46711</v>
      </c>
      <c r="BS97" s="8">
        <f t="shared" ca="1" si="261"/>
        <v>566</v>
      </c>
      <c r="BT97" s="5" t="str">
        <f t="shared" ca="1" si="262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3"/>
        <v>456</v>
      </c>
      <c r="BY97" s="5" t="str">
        <f t="shared" ca="1" si="264"/>
        <v>VIGENTE</v>
      </c>
      <c r="BZ97" s="3"/>
      <c r="CA97" s="4">
        <v>46011</v>
      </c>
      <c r="CB97" s="4">
        <f t="shared" si="393"/>
        <v>46741</v>
      </c>
      <c r="CC97" s="8">
        <f t="shared" ca="1" si="265"/>
        <v>596</v>
      </c>
      <c r="CD97" s="5" t="str">
        <f t="shared" ca="1" si="266"/>
        <v>VIGENTE</v>
      </c>
      <c r="CE97" s="6"/>
      <c r="CF97" s="4">
        <v>45266</v>
      </c>
      <c r="CG97" s="4">
        <f t="shared" si="387"/>
        <v>46727</v>
      </c>
      <c r="CH97" s="8">
        <f t="shared" ca="1" si="388"/>
        <v>582</v>
      </c>
      <c r="CI97" s="5" t="str">
        <f t="shared" ca="1" si="269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0"/>
        <v>603</v>
      </c>
      <c r="CN97" s="5" t="str">
        <f t="shared" ca="1" si="271"/>
        <v>VIGENTE</v>
      </c>
      <c r="CO97" s="4"/>
      <c r="CP97" s="39">
        <v>45979</v>
      </c>
      <c r="CQ97" s="4">
        <f>DATE(YEAR(CP97)+2,MONTH(CP97),DAY(CP97))</f>
        <v>46709</v>
      </c>
      <c r="CR97" s="8">
        <f t="shared" ca="1" si="272"/>
        <v>564</v>
      </c>
      <c r="CS97" s="5" t="str">
        <f t="shared" ca="1" si="273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4"/>
        <v>550</v>
      </c>
      <c r="CX97" s="5" t="str">
        <f t="shared" ca="1" si="275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6"/>
        <v>463</v>
      </c>
      <c r="DC97" s="5" t="str">
        <f t="shared" ca="1" si="277"/>
        <v>VIGENTE</v>
      </c>
      <c r="DD97" s="4"/>
      <c r="DE97" s="39">
        <v>46045</v>
      </c>
      <c r="DF97" s="4">
        <f>DATE(YEAR(DE97)+2,MONTH(DE97),DAY(DE97))</f>
        <v>46775</v>
      </c>
      <c r="DG97" s="8">
        <f t="shared" ca="1" si="278"/>
        <v>630</v>
      </c>
      <c r="DH97" s="5" t="str">
        <f t="shared" ca="1" si="279"/>
        <v>VIGENTE</v>
      </c>
      <c r="DI97" s="3"/>
      <c r="DJ97" s="39">
        <v>45924</v>
      </c>
      <c r="DK97" s="4">
        <f>DATE(YEAR(DJ97)+2,MONTH(DJ97),DAY(DJ97))</f>
        <v>46654</v>
      </c>
      <c r="DL97" s="8">
        <f t="shared" ca="1" si="280"/>
        <v>509</v>
      </c>
      <c r="DM97" s="5" t="str">
        <f t="shared" ca="1" si="281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2"/>
        <v>567</v>
      </c>
      <c r="DR97" s="5" t="str">
        <f t="shared" ca="1" si="283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4"/>
        <v>503</v>
      </c>
      <c r="DW97" s="5" t="str">
        <f t="shared" ca="1" si="285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6"/>
        <v>685</v>
      </c>
      <c r="EB97" s="5" t="str">
        <f t="shared" ca="1" si="287"/>
        <v>VIGENTE</v>
      </c>
      <c r="EC97" s="4"/>
      <c r="ED97" s="39">
        <v>45994</v>
      </c>
      <c r="EE97" s="4">
        <f>DATE(YEAR(ED97)+2,MONTH(ED97),DAY(ED97))</f>
        <v>46724</v>
      </c>
      <c r="EF97" s="8">
        <f t="shared" ca="1" si="288"/>
        <v>579</v>
      </c>
      <c r="EG97" s="5" t="str">
        <f t="shared" ca="1" si="289"/>
        <v>VIGENTE</v>
      </c>
      <c r="EH97" s="3"/>
      <c r="EI97" s="4">
        <v>45948</v>
      </c>
      <c r="EJ97" s="4">
        <f t="shared" si="355"/>
        <v>46313</v>
      </c>
      <c r="EK97" s="8">
        <f t="shared" ca="1" si="290"/>
        <v>168</v>
      </c>
      <c r="EL97" s="5" t="str">
        <f t="shared" ca="1" si="291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2"/>
        <v>568</v>
      </c>
      <c r="EQ97" s="5" t="str">
        <f t="shared" ca="1" si="293"/>
        <v>VIGENTE</v>
      </c>
      <c r="ER97" s="2"/>
      <c r="ES97" s="39">
        <v>45999</v>
      </c>
      <c r="ET97" s="4">
        <f>DATE(YEAR(ES97)+2,MONTH(ES97),DAY(ES97))</f>
        <v>46729</v>
      </c>
      <c r="EU97" s="8">
        <f t="shared" ca="1" si="294"/>
        <v>584</v>
      </c>
      <c r="EV97" s="5" t="str">
        <f t="shared" ca="1" si="295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6"/>
        <v>622</v>
      </c>
      <c r="FA97" s="5" t="str">
        <f t="shared" ca="1" si="297"/>
        <v>VIGENTE</v>
      </c>
      <c r="FB97" s="3"/>
      <c r="FC97" s="4">
        <v>46017</v>
      </c>
      <c r="FD97" s="4">
        <f t="shared" si="396"/>
        <v>46747</v>
      </c>
      <c r="FE97" s="8">
        <f t="shared" ca="1" si="298"/>
        <v>602</v>
      </c>
      <c r="FF97" s="5" t="str">
        <f t="shared" ca="1" si="299"/>
        <v>VIGENTE</v>
      </c>
      <c r="FG97" s="3"/>
      <c r="FH97" s="4">
        <v>45969</v>
      </c>
      <c r="FI97" s="4">
        <f t="shared" si="397"/>
        <v>46699</v>
      </c>
      <c r="FJ97" s="8">
        <f t="shared" ca="1" si="300"/>
        <v>554</v>
      </c>
      <c r="FK97" s="5" t="str">
        <f t="shared" ca="1" si="301"/>
        <v>VIGENTE</v>
      </c>
      <c r="FL97" s="3"/>
      <c r="FM97" s="39">
        <v>45920</v>
      </c>
      <c r="FN97" s="4">
        <f>DATE(YEAR(FM97)+2,MONTH(FM97),DAY(FM97))</f>
        <v>46650</v>
      </c>
      <c r="FO97" s="8">
        <f t="shared" ca="1" si="302"/>
        <v>505</v>
      </c>
      <c r="FP97" s="5" t="str">
        <f t="shared" ca="1" si="303"/>
        <v>VIGENTE</v>
      </c>
      <c r="FQ97" s="3"/>
      <c r="FR97" s="39">
        <v>45957</v>
      </c>
      <c r="FS97" s="4">
        <f>DATE(YEAR(FR97)+2,MONTH(FR97),DAY(FR97))</f>
        <v>46687</v>
      </c>
      <c r="FT97" s="8">
        <f t="shared" ca="1" si="304"/>
        <v>542</v>
      </c>
      <c r="FU97" s="5" t="str">
        <f t="shared" ca="1" si="305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6"/>
        <v>460</v>
      </c>
      <c r="FZ97" s="5" t="str">
        <f t="shared" ca="1" si="307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8"/>
        <v>459</v>
      </c>
      <c r="GE97" s="5" t="str">
        <f t="shared" ca="1" si="309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0"/>
        <v>497</v>
      </c>
      <c r="GJ97" s="5" t="str">
        <f t="shared" ca="1" si="311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2"/>
        <v>629</v>
      </c>
      <c r="GO97" s="5" t="str">
        <f t="shared" ca="1" si="313"/>
        <v>VIGENTE</v>
      </c>
      <c r="GP97" s="4"/>
      <c r="GQ97" s="4">
        <v>45367</v>
      </c>
      <c r="GR97" s="4">
        <f t="shared" si="314"/>
        <v>47193</v>
      </c>
      <c r="GS97" s="8">
        <f t="shared" ca="1" si="384"/>
        <v>1048</v>
      </c>
      <c r="GT97" s="5" t="str">
        <f t="shared" ca="1" si="378"/>
        <v>VIGENTE</v>
      </c>
      <c r="GU97" s="3"/>
      <c r="GV97" s="4">
        <v>45329</v>
      </c>
      <c r="GW97" s="4">
        <f t="shared" si="316"/>
        <v>47156</v>
      </c>
      <c r="GX97" s="8">
        <f t="shared" ca="1" si="317"/>
        <v>1011</v>
      </c>
      <c r="GY97" s="5" t="str">
        <f t="shared" ca="1" si="379"/>
        <v>VIGENTE</v>
      </c>
      <c r="GZ97" s="2"/>
      <c r="HA97" s="4">
        <v>45479</v>
      </c>
      <c r="HB97" s="4">
        <f t="shared" si="319"/>
        <v>47305</v>
      </c>
      <c r="HC97" s="8">
        <f t="shared" ca="1" si="320"/>
        <v>1160</v>
      </c>
      <c r="HD97" s="5" t="str">
        <f t="shared" ca="1" si="38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9"/>
        <v>VIGENTE</v>
      </c>
      <c r="HJ97" s="2"/>
      <c r="HK97" s="6"/>
      <c r="HL97" s="4"/>
      <c r="HM97" s="8"/>
      <c r="HN97" s="5" t="str">
        <f t="shared" si="385"/>
        <v>NO APLICA</v>
      </c>
      <c r="HO97" s="2"/>
      <c r="HP97" s="2"/>
      <c r="HQ97" s="4"/>
      <c r="HR97" s="2"/>
      <c r="HS97" s="5" t="str">
        <f t="shared" si="322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3"/>
        <v>VIGENTE</v>
      </c>
      <c r="HY97" s="2"/>
      <c r="HZ97" s="6"/>
      <c r="IA97" s="4"/>
      <c r="IB97" s="8"/>
      <c r="IC97" s="5" t="str">
        <f t="shared" si="324"/>
        <v>NO APLICA</v>
      </c>
      <c r="ID97" s="2"/>
      <c r="IE97" s="6"/>
      <c r="IF97" s="4"/>
      <c r="IG97" s="8"/>
      <c r="IH97" s="5" t="str">
        <f t="shared" si="325"/>
        <v>NO APLICA</v>
      </c>
      <c r="II97" s="6"/>
      <c r="IJ97" s="6"/>
      <c r="IK97" s="4"/>
      <c r="IL97" s="8"/>
      <c r="IM97" s="5" t="str">
        <f t="shared" si="326"/>
        <v>NO APLICA</v>
      </c>
      <c r="IN97" s="2"/>
      <c r="IO97" s="6"/>
      <c r="IP97" s="4"/>
      <c r="IQ97" s="8"/>
      <c r="IR97" s="5" t="str">
        <f t="shared" si="327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8"/>
        <v>VIGENTE</v>
      </c>
      <c r="IX97" s="2"/>
      <c r="IY97" s="6"/>
      <c r="IZ97" s="4"/>
      <c r="JA97" s="8"/>
      <c r="JB97" s="5" t="str">
        <f t="shared" si="329"/>
        <v>NO APLICA</v>
      </c>
      <c r="JC97" s="3" t="s">
        <v>780</v>
      </c>
      <c r="JD97" s="3"/>
      <c r="JE97" s="4"/>
      <c r="JF97" s="8"/>
      <c r="JG97" s="5"/>
      <c r="JH97" s="3" t="s">
        <v>780</v>
      </c>
      <c r="JI97" s="6"/>
      <c r="JJ97" s="6"/>
      <c r="JK97" s="6"/>
      <c r="JL97" s="5"/>
      <c r="JM97" s="6" t="s">
        <v>780</v>
      </c>
      <c r="JN97" s="6"/>
      <c r="JO97" s="6"/>
      <c r="JP97" s="6"/>
      <c r="JQ97" s="5"/>
      <c r="JR97" s="6" t="s">
        <v>780</v>
      </c>
      <c r="JS97" s="6"/>
      <c r="JT97" s="6"/>
      <c r="JU97" s="6"/>
      <c r="JV97" s="5"/>
      <c r="JW97" s="6" t="s">
        <v>780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30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6"/>
        <v>VIGENTE</v>
      </c>
      <c r="KL97" s="5"/>
      <c r="KM97" s="2"/>
      <c r="KN97" s="4"/>
      <c r="KO97" s="8"/>
      <c r="KP97" s="5" t="str">
        <f t="shared" si="331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7"/>
        <v>VIGENTE</v>
      </c>
      <c r="KV97" s="2"/>
      <c r="KW97" s="6"/>
      <c r="KX97" s="4"/>
      <c r="KY97" s="8"/>
      <c r="KZ97" s="5" t="str">
        <f t="shared" si="366"/>
        <v>NO APLICA</v>
      </c>
      <c r="LA97" s="5"/>
      <c r="LB97" s="6"/>
      <c r="LC97" s="4"/>
      <c r="LD97" s="8"/>
      <c r="LE97" s="5" t="str">
        <f t="shared" si="358"/>
        <v>NO APLICA</v>
      </c>
      <c r="LF97" s="6"/>
      <c r="LG97" s="4"/>
      <c r="LH97" s="4"/>
      <c r="LI97" s="8"/>
      <c r="LJ97" s="5" t="str">
        <f t="shared" si="332"/>
        <v>NO APLICA</v>
      </c>
      <c r="LK97" s="5"/>
      <c r="LL97" s="5"/>
      <c r="LM97" s="5"/>
      <c r="LN97" s="5"/>
      <c r="LO97" s="5" t="str">
        <f t="shared" si="367"/>
        <v>NO APLICA</v>
      </c>
      <c r="LP97" s="2"/>
      <c r="LQ97" s="6"/>
      <c r="LR97" s="4"/>
      <c r="LS97" s="8"/>
      <c r="LT97" s="5" t="str">
        <f t="shared" si="359"/>
        <v>NO APLICA</v>
      </c>
      <c r="LU97" s="6"/>
      <c r="LV97" s="6"/>
      <c r="LW97" s="4"/>
      <c r="LX97" s="8"/>
      <c r="LY97" s="5" t="str">
        <f t="shared" si="360"/>
        <v>NO APLICA</v>
      </c>
      <c r="LZ97" s="6"/>
      <c r="MA97" s="6"/>
      <c r="MB97" s="4"/>
      <c r="MC97" s="8"/>
      <c r="MD97" s="5" t="str">
        <f t="shared" si="361"/>
        <v>NO APLICA</v>
      </c>
      <c r="ME97" s="2"/>
      <c r="MF97" s="2"/>
      <c r="MG97" s="4"/>
      <c r="MH97" s="8"/>
      <c r="MI97" s="5" t="str">
        <f t="shared" si="333"/>
        <v>NO APLICA</v>
      </c>
      <c r="MJ97" s="2"/>
      <c r="MK97" s="2"/>
      <c r="ML97" s="4"/>
      <c r="MM97" s="8"/>
      <c r="MN97" s="5" t="str">
        <f t="shared" si="334"/>
        <v>NO APLICA</v>
      </c>
      <c r="MO97" s="5"/>
      <c r="MP97" s="2"/>
      <c r="MQ97" s="4"/>
      <c r="MR97" s="8"/>
      <c r="MS97" s="5" t="str">
        <f t="shared" si="335"/>
        <v>NO APLICA</v>
      </c>
      <c r="MT97" s="5"/>
      <c r="MU97" s="2"/>
      <c r="MV97" s="2"/>
      <c r="MW97" s="2"/>
      <c r="MX97" s="5" t="str">
        <f t="shared" si="336"/>
        <v>NO APLICA</v>
      </c>
      <c r="MY97" s="2"/>
      <c r="MZ97" s="6"/>
      <c r="NA97" s="4"/>
      <c r="NB97" s="8"/>
      <c r="NC97" s="5" t="str">
        <f t="shared" si="337"/>
        <v>NO APLICA</v>
      </c>
      <c r="ND97" s="2"/>
      <c r="NE97" s="6"/>
      <c r="NF97" s="4"/>
      <c r="NG97" s="8"/>
      <c r="NH97" s="5" t="str">
        <f t="shared" si="338"/>
        <v>NO APLICA</v>
      </c>
      <c r="NI97" s="2"/>
      <c r="NJ97" s="6"/>
      <c r="NK97" s="4"/>
      <c r="NL97" s="8"/>
      <c r="NM97" s="5" t="str">
        <f t="shared" si="339"/>
        <v>NO APLICA</v>
      </c>
      <c r="NN97" s="2"/>
      <c r="NO97" s="2"/>
      <c r="NP97" s="4"/>
      <c r="NQ97" s="8"/>
      <c r="NR97" s="5" t="str">
        <f t="shared" si="340"/>
        <v>NO APLICA</v>
      </c>
      <c r="NS97" s="2"/>
      <c r="NT97" s="2"/>
      <c r="NU97" s="4"/>
      <c r="NV97" s="2"/>
      <c r="NW97" s="5" t="str">
        <f t="shared" si="341"/>
        <v>NO APLICA</v>
      </c>
      <c r="NX97" s="6"/>
      <c r="NY97" s="6"/>
      <c r="NZ97" s="4"/>
      <c r="OA97" s="8"/>
      <c r="OB97" s="5" t="str">
        <f t="shared" si="342"/>
        <v>NO APLICA</v>
      </c>
      <c r="OC97" s="6"/>
      <c r="OD97" s="6"/>
      <c r="OE97" s="6"/>
      <c r="OF97" s="6"/>
      <c r="OG97" s="5" t="str">
        <f t="shared" si="343"/>
        <v>NO APLICA</v>
      </c>
      <c r="OH97" s="6"/>
      <c r="OI97" s="6"/>
      <c r="OJ97" s="4"/>
      <c r="OK97" s="8"/>
      <c r="OL97" s="5" t="str">
        <f t="shared" si="344"/>
        <v>NO APLICA</v>
      </c>
      <c r="OM97" s="6"/>
      <c r="ON97" s="6"/>
      <c r="OO97" s="6"/>
      <c r="OP97" s="6"/>
      <c r="OQ97" s="5" t="str">
        <f t="shared" si="345"/>
        <v>NO APLICA</v>
      </c>
      <c r="OR97" s="6"/>
      <c r="OS97" s="6"/>
      <c r="OT97" s="6"/>
      <c r="OU97" s="6"/>
      <c r="OV97" s="5" t="str">
        <f t="shared" si="346"/>
        <v>NO APLICA</v>
      </c>
      <c r="OW97" s="6"/>
      <c r="OX97" s="6"/>
      <c r="OY97" s="6"/>
      <c r="OZ97" s="6"/>
      <c r="PA97" s="5" t="str">
        <f t="shared" si="347"/>
        <v>NO APLICA</v>
      </c>
      <c r="PB97" s="6"/>
      <c r="PC97" s="6"/>
      <c r="PD97" s="6"/>
      <c r="PE97" s="6"/>
      <c r="PF97" s="5" t="str">
        <f t="shared" si="348"/>
        <v>NO APLICA</v>
      </c>
      <c r="PG97" s="6"/>
      <c r="PH97" s="6"/>
      <c r="PI97" s="6"/>
      <c r="PJ97" s="6"/>
      <c r="PK97" s="5" t="str">
        <f t="shared" si="349"/>
        <v>NO APLICA</v>
      </c>
      <c r="PL97" s="5"/>
      <c r="PM97" s="6"/>
      <c r="PN97" s="4"/>
      <c r="PO97" s="8"/>
      <c r="PP97" s="5" t="str">
        <f t="shared" si="350"/>
        <v>NO APLICA</v>
      </c>
      <c r="PQ97" s="6"/>
      <c r="PR97" s="6"/>
      <c r="PS97" s="6"/>
      <c r="PT97" s="6"/>
      <c r="PU97" s="5" t="str">
        <f t="shared" si="351"/>
        <v>NO APLICA</v>
      </c>
      <c r="PV97" s="5"/>
      <c r="PW97" s="6"/>
      <c r="PX97" s="6"/>
      <c r="PY97" s="6"/>
      <c r="PZ97" s="5" t="str">
        <f t="shared" si="352"/>
        <v>NO APLICA</v>
      </c>
    </row>
    <row r="98" spans="1:442" ht="15.6" hidden="1" thickTop="1" thickBot="1" x14ac:dyDescent="0.35">
      <c r="A98" s="26">
        <v>95</v>
      </c>
      <c r="B98" s="31">
        <v>1106</v>
      </c>
      <c r="C98" s="28" t="s">
        <v>341</v>
      </c>
      <c r="D98" s="29" t="s">
        <v>113</v>
      </c>
      <c r="E98" s="30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2"/>
        <v>VIGENTE</v>
      </c>
      <c r="K98" s="2"/>
      <c r="L98" s="6"/>
      <c r="M98" s="6"/>
      <c r="N98" s="8"/>
      <c r="O98" s="5" t="str">
        <f t="shared" si="243"/>
        <v>NO APLICA</v>
      </c>
      <c r="P98" s="6"/>
      <c r="Q98" s="6"/>
      <c r="R98" s="4"/>
      <c r="S98" s="8"/>
      <c r="T98" s="5" t="str">
        <f t="shared" si="353"/>
        <v>NO APLICA</v>
      </c>
      <c r="U98" s="5"/>
      <c r="V98" s="2" t="s">
        <v>342</v>
      </c>
      <c r="W98" s="4">
        <v>45041</v>
      </c>
      <c r="X98" s="4">
        <f t="shared" si="244"/>
        <v>46868</v>
      </c>
      <c r="Y98" s="8">
        <f t="shared" ca="1" si="245"/>
        <v>723</v>
      </c>
      <c r="Z98" s="5" t="str">
        <f t="shared" ca="1" si="246"/>
        <v>VIGENTE</v>
      </c>
      <c r="AA98" s="5"/>
      <c r="AB98" s="2"/>
      <c r="AC98" s="6"/>
      <c r="AD98" s="4"/>
      <c r="AE98" s="8"/>
      <c r="AF98" s="5" t="str">
        <f t="shared" si="247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8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9"/>
        <v>186</v>
      </c>
      <c r="AP98" s="5" t="str">
        <f t="shared" ca="1" si="250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1"/>
        <v>287</v>
      </c>
      <c r="AU98" s="5" t="str">
        <f t="shared" ca="1" si="252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3"/>
        <v>286</v>
      </c>
      <c r="AZ98" s="5" t="str">
        <f t="shared" ca="1" si="254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5"/>
        <v>301</v>
      </c>
      <c r="BE98" s="5" t="str">
        <f t="shared" ca="1" si="256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7"/>
        <v>282</v>
      </c>
      <c r="BJ98" s="5" t="str">
        <f t="shared" ca="1" si="258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9"/>
        <v>184</v>
      </c>
      <c r="BO98" s="5" t="str">
        <f t="shared" ca="1" si="260"/>
        <v>VIGENTE</v>
      </c>
      <c r="BP98" s="3"/>
      <c r="BQ98" s="39">
        <v>45701</v>
      </c>
      <c r="BR98" s="4">
        <f>DATE(YEAR(BQ98)+2,MONTH(BQ98),DAY(BQ98)-1)</f>
        <v>46430</v>
      </c>
      <c r="BS98" s="8">
        <f t="shared" ca="1" si="261"/>
        <v>285</v>
      </c>
      <c r="BT98" s="5" t="str">
        <f t="shared" ca="1" si="262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3"/>
        <v>195</v>
      </c>
      <c r="BY98" s="5" t="str">
        <f t="shared" ca="1" si="264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5"/>
        <v>213</v>
      </c>
      <c r="CD98" s="5" t="str">
        <f t="shared" ca="1" si="266"/>
        <v>VIGENTE</v>
      </c>
      <c r="CE98" s="6"/>
      <c r="CF98" s="4">
        <v>45828</v>
      </c>
      <c r="CG98" s="4">
        <f t="shared" si="387"/>
        <v>47289</v>
      </c>
      <c r="CH98" s="8">
        <f t="shared" ca="1" si="388"/>
        <v>1144</v>
      </c>
      <c r="CI98" s="5" t="str">
        <f t="shared" ca="1" si="269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0"/>
        <v>272</v>
      </c>
      <c r="CN98" s="5" t="str">
        <f t="shared" ca="1" si="271"/>
        <v>VIGENTE</v>
      </c>
      <c r="CO98" s="3"/>
      <c r="CP98" s="39">
        <v>45684</v>
      </c>
      <c r="CQ98" s="4">
        <f>DATE(YEAR(CP98)+2,MONTH(CP98),DAY(CP98)-1)</f>
        <v>46413</v>
      </c>
      <c r="CR98" s="8">
        <f t="shared" ca="1" si="272"/>
        <v>268</v>
      </c>
      <c r="CS98" s="5" t="str">
        <f t="shared" ca="1" si="273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4"/>
        <v>208</v>
      </c>
      <c r="CX98" s="5" t="str">
        <f t="shared" ca="1" si="275"/>
        <v>VIGENTE</v>
      </c>
      <c r="CY98" s="3"/>
      <c r="CZ98" s="4">
        <v>45744</v>
      </c>
      <c r="DA98" s="4">
        <f t="shared" ref="DA98:DA103" si="399">DATE(YEAR(CZ98)+2,MONTH(CZ98),DAY(CZ98)-1)</f>
        <v>46473</v>
      </c>
      <c r="DB98" s="8">
        <f t="shared" ca="1" si="276"/>
        <v>328</v>
      </c>
      <c r="DC98" s="5" t="str">
        <f t="shared" ca="1" si="277"/>
        <v>VIGENTE</v>
      </c>
      <c r="DD98" s="3"/>
      <c r="DE98" s="39">
        <v>45689</v>
      </c>
      <c r="DF98" s="4">
        <f>DATE(YEAR(DE98)+2,MONTH(DE98),DAY(DE98)-1)</f>
        <v>46418</v>
      </c>
      <c r="DG98" s="8">
        <f t="shared" ca="1" si="278"/>
        <v>273</v>
      </c>
      <c r="DH98" s="5" t="str">
        <f t="shared" ca="1" si="279"/>
        <v>VIGENTE</v>
      </c>
      <c r="DI98" s="3"/>
      <c r="DJ98" s="39">
        <v>45696</v>
      </c>
      <c r="DK98" s="4">
        <f>DATE(YEAR(DJ98)+2,MONTH(DJ98),DAY(DJ98)-1)</f>
        <v>46425</v>
      </c>
      <c r="DL98" s="8">
        <f t="shared" ca="1" si="280"/>
        <v>280</v>
      </c>
      <c r="DM98" s="5" t="str">
        <f t="shared" ca="1" si="281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2"/>
        <v>315</v>
      </c>
      <c r="DR98" s="5" t="str">
        <f t="shared" ca="1" si="283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4"/>
        <v>291</v>
      </c>
      <c r="DW98" s="5" t="str">
        <f t="shared" ca="1" si="285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6"/>
        <v>247</v>
      </c>
      <c r="EB98" s="5" t="str">
        <f t="shared" ca="1" si="287"/>
        <v>VIGENTE</v>
      </c>
      <c r="EC98" s="3"/>
      <c r="ED98" s="39">
        <v>45674</v>
      </c>
      <c r="EE98" s="4">
        <f>DATE(YEAR(ED98)+2,MONTH(ED98),DAY(ED98)-1)</f>
        <v>46403</v>
      </c>
      <c r="EF98" s="8">
        <f t="shared" ca="1" si="288"/>
        <v>258</v>
      </c>
      <c r="EG98" s="5" t="str">
        <f t="shared" ca="1" si="289"/>
        <v>VIGENTE</v>
      </c>
      <c r="EH98" s="3"/>
      <c r="EI98" s="3">
        <v>46085</v>
      </c>
      <c r="EJ98" s="4">
        <f t="shared" si="355"/>
        <v>46450</v>
      </c>
      <c r="EK98" s="8">
        <f t="shared" ca="1" si="290"/>
        <v>305</v>
      </c>
      <c r="EL98" s="5" t="str">
        <f t="shared" ca="1" si="291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2"/>
        <v>289</v>
      </c>
      <c r="EQ98" s="5" t="str">
        <f t="shared" ca="1" si="293"/>
        <v>VIGENTE</v>
      </c>
      <c r="ER98" s="3"/>
      <c r="ES98" s="39">
        <v>45677</v>
      </c>
      <c r="ET98" s="4">
        <f>DATE(YEAR(ES98)+2,MONTH(ES98),DAY(ES98)-1)</f>
        <v>46406</v>
      </c>
      <c r="EU98" s="8">
        <f t="shared" ca="1" si="294"/>
        <v>261</v>
      </c>
      <c r="EV98" s="5" t="str">
        <f t="shared" ca="1" si="295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6"/>
        <v>278</v>
      </c>
      <c r="FA98" s="5" t="str">
        <f t="shared" ca="1" si="297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8"/>
        <v>250</v>
      </c>
      <c r="FF98" s="5" t="str">
        <f t="shared" ca="1" si="299"/>
        <v>VIGENTE</v>
      </c>
      <c r="FG98" s="3"/>
      <c r="FH98" s="4">
        <v>45722</v>
      </c>
      <c r="FI98" s="4">
        <f t="shared" si="397"/>
        <v>46452</v>
      </c>
      <c r="FJ98" s="8">
        <f t="shared" ca="1" si="300"/>
        <v>307</v>
      </c>
      <c r="FK98" s="5" t="str">
        <f t="shared" ca="1" si="301"/>
        <v>VIGENTE</v>
      </c>
      <c r="FL98" s="3"/>
      <c r="FM98" s="39">
        <v>45670</v>
      </c>
      <c r="FN98" s="4">
        <f>DATE(YEAR(FM98)+2,MONTH(FM98),DAY(FM98)-1)</f>
        <v>46399</v>
      </c>
      <c r="FO98" s="8">
        <f t="shared" ca="1" si="302"/>
        <v>254</v>
      </c>
      <c r="FP98" s="5" t="str">
        <f t="shared" ca="1" si="303"/>
        <v>VIGENTE</v>
      </c>
      <c r="FQ98" s="3"/>
      <c r="FR98" s="39">
        <v>45678</v>
      </c>
      <c r="FS98" s="4">
        <f>DATE(YEAR(FR98)+2,MONTH(FR98),DAY(FR98)-1)</f>
        <v>46407</v>
      </c>
      <c r="FT98" s="8">
        <f t="shared" ca="1" si="304"/>
        <v>262</v>
      </c>
      <c r="FU98" s="5" t="str">
        <f t="shared" ca="1" si="305"/>
        <v>VIGENTE</v>
      </c>
      <c r="FV98" s="3"/>
      <c r="FW98" s="4">
        <v>45700</v>
      </c>
      <c r="FX98" s="4">
        <f t="shared" ref="FX98:FX103" si="400">DATE(YEAR(FW98)+2,MONTH(FW98),DAY(FW98)-1)</f>
        <v>46429</v>
      </c>
      <c r="FY98" s="8">
        <f t="shared" ca="1" si="306"/>
        <v>284</v>
      </c>
      <c r="FZ98" s="5" t="str">
        <f t="shared" ca="1" si="307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8"/>
        <v>251</v>
      </c>
      <c r="GE98" s="5" t="str">
        <f t="shared" ca="1" si="309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0"/>
        <v>256</v>
      </c>
      <c r="GJ98" s="5" t="str">
        <f t="shared" ca="1" si="311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2"/>
        <v>199</v>
      </c>
      <c r="GO98" s="5" t="str">
        <f t="shared" ca="1" si="313"/>
        <v>VIGENTE</v>
      </c>
      <c r="GP98" s="4"/>
      <c r="GQ98" s="4">
        <v>45013</v>
      </c>
      <c r="GR98" s="4">
        <f t="shared" si="314"/>
        <v>46840</v>
      </c>
      <c r="GS98" s="8">
        <f t="shared" ca="1" si="384"/>
        <v>695</v>
      </c>
      <c r="GT98" s="5" t="str">
        <f t="shared" ca="1" si="378"/>
        <v>VIGENTE</v>
      </c>
      <c r="GU98" s="3"/>
      <c r="GV98" s="4">
        <v>45099</v>
      </c>
      <c r="GW98" s="4">
        <f t="shared" si="316"/>
        <v>46926</v>
      </c>
      <c r="GX98" s="8">
        <f t="shared" ca="1" si="317"/>
        <v>781</v>
      </c>
      <c r="GY98" s="5" t="str">
        <f t="shared" ca="1" si="379"/>
        <v>VIGENTE</v>
      </c>
      <c r="GZ98" s="2"/>
      <c r="HA98" s="4">
        <v>45073</v>
      </c>
      <c r="HB98" s="4">
        <f t="shared" si="319"/>
        <v>46900</v>
      </c>
      <c r="HC98" s="8">
        <f t="shared" ca="1" si="320"/>
        <v>755</v>
      </c>
      <c r="HD98" s="5" t="str">
        <f t="shared" ca="1" si="380"/>
        <v>VIGENTE</v>
      </c>
      <c r="HE98" s="6"/>
      <c r="HF98" s="6"/>
      <c r="HG98" s="4"/>
      <c r="HH98" s="8"/>
      <c r="HI98" s="5" t="str">
        <f t="shared" si="389"/>
        <v>NO APLICA</v>
      </c>
      <c r="HJ98" s="2"/>
      <c r="HK98" s="6"/>
      <c r="HL98" s="4"/>
      <c r="HM98" s="8"/>
      <c r="HN98" s="5" t="str">
        <f t="shared" si="385"/>
        <v>NO APLICA</v>
      </c>
      <c r="HO98" s="2"/>
      <c r="HP98" s="2"/>
      <c r="HQ98" s="4"/>
      <c r="HR98" s="2"/>
      <c r="HS98" s="5" t="str">
        <f t="shared" si="322"/>
        <v>NO APLICA</v>
      </c>
      <c r="HT98" s="2"/>
      <c r="HU98" s="6"/>
      <c r="HV98" s="4"/>
      <c r="HW98" s="8"/>
      <c r="HX98" s="5" t="str">
        <f t="shared" si="323"/>
        <v>NO APLICA</v>
      </c>
      <c r="HY98" s="2"/>
      <c r="HZ98" s="6"/>
      <c r="IA98" s="4"/>
      <c r="IB98" s="8"/>
      <c r="IC98" s="5" t="str">
        <f t="shared" si="324"/>
        <v>NO APLICA</v>
      </c>
      <c r="ID98" s="2"/>
      <c r="IE98" s="6"/>
      <c r="IF98" s="4"/>
      <c r="IG98" s="8"/>
      <c r="IH98" s="5" t="str">
        <f t="shared" si="325"/>
        <v>NO APLICA</v>
      </c>
      <c r="II98" s="6"/>
      <c r="IJ98" s="6"/>
      <c r="IK98" s="4"/>
      <c r="IL98" s="8"/>
      <c r="IM98" s="5" t="str">
        <f t="shared" si="326"/>
        <v>NO APLICA</v>
      </c>
      <c r="IN98" s="2"/>
      <c r="IO98" s="6"/>
      <c r="IP98" s="4"/>
      <c r="IQ98" s="8"/>
      <c r="IR98" s="5" t="str">
        <f t="shared" si="327"/>
        <v>NO APLICA</v>
      </c>
      <c r="IS98" s="2"/>
      <c r="IT98" s="6"/>
      <c r="IU98" s="4"/>
      <c r="IV98" s="8"/>
      <c r="IW98" s="5" t="str">
        <f t="shared" si="328"/>
        <v>NO APLICA</v>
      </c>
      <c r="IX98" s="2"/>
      <c r="IY98" s="6"/>
      <c r="IZ98" s="4"/>
      <c r="JA98" s="8"/>
      <c r="JB98" s="5" t="str">
        <f t="shared" si="329"/>
        <v>NO APLICA</v>
      </c>
      <c r="JC98" s="3" t="s">
        <v>780</v>
      </c>
      <c r="JD98" s="3"/>
      <c r="JE98" s="4"/>
      <c r="JF98" s="8"/>
      <c r="JG98" s="5"/>
      <c r="JH98" s="3" t="s">
        <v>780</v>
      </c>
      <c r="JI98" s="6"/>
      <c r="JJ98" s="6"/>
      <c r="JK98" s="6"/>
      <c r="JL98" s="5"/>
      <c r="JM98" s="6" t="s">
        <v>780</v>
      </c>
      <c r="JN98" s="6"/>
      <c r="JO98" s="6"/>
      <c r="JP98" s="6"/>
      <c r="JQ98" s="5"/>
      <c r="JR98" s="6" t="s">
        <v>780</v>
      </c>
      <c r="JS98" s="6"/>
      <c r="JT98" s="6"/>
      <c r="JU98" s="6"/>
      <c r="JV98" s="5"/>
      <c r="JW98" s="6" t="s">
        <v>780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30"/>
        <v>NO APLICA</v>
      </c>
      <c r="KG98" s="5"/>
      <c r="KH98" s="2"/>
      <c r="KI98" s="4"/>
      <c r="KJ98" s="8"/>
      <c r="KK98" s="5" t="str">
        <f t="shared" si="356"/>
        <v>NO APLICA</v>
      </c>
      <c r="KL98" s="5"/>
      <c r="KM98" s="2"/>
      <c r="KN98" s="4"/>
      <c r="KO98" s="8"/>
      <c r="KP98" s="5" t="str">
        <f t="shared" si="331"/>
        <v>NO APLICA</v>
      </c>
      <c r="KQ98" s="5"/>
      <c r="KR98" s="2"/>
      <c r="KS98" s="4"/>
      <c r="KT98" s="8"/>
      <c r="KU98" s="5" t="str">
        <f t="shared" si="357"/>
        <v>NO APLICA</v>
      </c>
      <c r="KV98" s="2"/>
      <c r="KW98" s="6"/>
      <c r="KX98" s="4"/>
      <c r="KY98" s="8"/>
      <c r="KZ98" s="5" t="str">
        <f t="shared" si="366"/>
        <v>NO APLICA</v>
      </c>
      <c r="LA98" s="5"/>
      <c r="LB98" s="6"/>
      <c r="LC98" s="4"/>
      <c r="LD98" s="8"/>
      <c r="LE98" s="5" t="str">
        <f t="shared" si="358"/>
        <v>NO APLICA</v>
      </c>
      <c r="LF98" s="6"/>
      <c r="LG98" s="6"/>
      <c r="LH98" s="4"/>
      <c r="LI98" s="8"/>
      <c r="LJ98" s="5" t="str">
        <f t="shared" si="332"/>
        <v>NO APLICA</v>
      </c>
      <c r="LK98" s="5"/>
      <c r="LL98" s="5"/>
      <c r="LM98" s="4"/>
      <c r="LN98" s="8"/>
      <c r="LO98" s="5" t="str">
        <f t="shared" si="367"/>
        <v>NO APLICA</v>
      </c>
      <c r="LP98" s="2"/>
      <c r="LQ98" s="6"/>
      <c r="LR98" s="4"/>
      <c r="LS98" s="8"/>
      <c r="LT98" s="5" t="str">
        <f t="shared" si="359"/>
        <v>NO APLICA</v>
      </c>
      <c r="LU98" s="6"/>
      <c r="LV98" s="6"/>
      <c r="LW98" s="4"/>
      <c r="LX98" s="8"/>
      <c r="LY98" s="5" t="str">
        <f t="shared" si="360"/>
        <v>NO APLICA</v>
      </c>
      <c r="LZ98" s="6"/>
      <c r="MA98" s="6"/>
      <c r="MB98" s="4"/>
      <c r="MC98" s="8"/>
      <c r="MD98" s="5" t="str">
        <f t="shared" si="361"/>
        <v>NO APLICA</v>
      </c>
      <c r="ME98" s="2"/>
      <c r="MF98" s="2"/>
      <c r="MG98" s="4"/>
      <c r="MH98" s="8"/>
      <c r="MI98" s="5" t="str">
        <f t="shared" si="333"/>
        <v>NO APLICA</v>
      </c>
      <c r="MJ98" s="2"/>
      <c r="MK98" s="2"/>
      <c r="ML98" s="4"/>
      <c r="MM98" s="8"/>
      <c r="MN98" s="5" t="str">
        <f t="shared" si="334"/>
        <v>NO APLICA</v>
      </c>
      <c r="MO98" s="5"/>
      <c r="MP98" s="2"/>
      <c r="MQ98" s="4"/>
      <c r="MR98" s="8"/>
      <c r="MS98" s="5" t="str">
        <f t="shared" si="335"/>
        <v>NO APLICA</v>
      </c>
      <c r="MT98" s="5"/>
      <c r="MU98" s="2"/>
      <c r="MV98" s="4"/>
      <c r="MW98" s="2"/>
      <c r="MX98" s="5" t="str">
        <f t="shared" si="336"/>
        <v>NO APLICA</v>
      </c>
      <c r="MY98" s="2"/>
      <c r="MZ98" s="6"/>
      <c r="NA98" s="4"/>
      <c r="NB98" s="8"/>
      <c r="NC98" s="5" t="str">
        <f t="shared" si="337"/>
        <v>NO APLICA</v>
      </c>
      <c r="ND98" s="2"/>
      <c r="NE98" s="6"/>
      <c r="NF98" s="4"/>
      <c r="NG98" s="8"/>
      <c r="NH98" s="5" t="str">
        <f t="shared" si="338"/>
        <v>NO APLICA</v>
      </c>
      <c r="NI98" s="2"/>
      <c r="NJ98" s="6"/>
      <c r="NK98" s="4"/>
      <c r="NL98" s="8"/>
      <c r="NM98" s="5" t="str">
        <f t="shared" si="339"/>
        <v>NO APLICA</v>
      </c>
      <c r="NN98" s="2"/>
      <c r="NO98" s="2"/>
      <c r="NP98" s="4"/>
      <c r="NQ98" s="8"/>
      <c r="NR98" s="5" t="str">
        <f t="shared" si="340"/>
        <v>NO APLICA</v>
      </c>
      <c r="NS98" s="2"/>
      <c r="NT98" s="2"/>
      <c r="NU98" s="4"/>
      <c r="NV98" s="2"/>
      <c r="NW98" s="5" t="str">
        <f t="shared" si="341"/>
        <v>NO APLICA</v>
      </c>
      <c r="NX98" s="6"/>
      <c r="NY98" s="6"/>
      <c r="NZ98" s="4"/>
      <c r="OA98" s="8"/>
      <c r="OB98" s="5" t="str">
        <f t="shared" si="342"/>
        <v>NO APLICA</v>
      </c>
      <c r="OC98" s="6"/>
      <c r="OD98" s="6"/>
      <c r="OE98" s="6"/>
      <c r="OF98" s="6"/>
      <c r="OG98" s="5" t="str">
        <f t="shared" si="343"/>
        <v>NO APLICA</v>
      </c>
      <c r="OH98" s="2"/>
      <c r="OI98" s="2"/>
      <c r="OJ98" s="4"/>
      <c r="OK98" s="8"/>
      <c r="OL98" s="5" t="str">
        <f t="shared" si="344"/>
        <v>NO APLICA</v>
      </c>
      <c r="OM98" s="6"/>
      <c r="ON98" s="6"/>
      <c r="OO98" s="6"/>
      <c r="OP98" s="6"/>
      <c r="OQ98" s="5" t="str">
        <f t="shared" si="345"/>
        <v>NO APLICA</v>
      </c>
      <c r="OR98" s="6"/>
      <c r="OS98" s="6"/>
      <c r="OT98" s="6"/>
      <c r="OU98" s="6"/>
      <c r="OV98" s="5" t="str">
        <f t="shared" si="346"/>
        <v>NO APLICA</v>
      </c>
      <c r="OW98" s="6"/>
      <c r="OX98" s="6"/>
      <c r="OY98" s="6"/>
      <c r="OZ98" s="6"/>
      <c r="PA98" s="5" t="str">
        <f t="shared" si="347"/>
        <v>NO APLICA</v>
      </c>
      <c r="PB98" s="6"/>
      <c r="PC98" s="6"/>
      <c r="PD98" s="6"/>
      <c r="PE98" s="6"/>
      <c r="PF98" s="5" t="str">
        <f t="shared" si="348"/>
        <v>NO APLICA</v>
      </c>
      <c r="PG98" s="6"/>
      <c r="PH98" s="6"/>
      <c r="PI98" s="6"/>
      <c r="PJ98" s="6"/>
      <c r="PK98" s="5" t="str">
        <f t="shared" si="349"/>
        <v>NO APLICA</v>
      </c>
      <c r="PL98" s="5"/>
      <c r="PM98" s="6"/>
      <c r="PN98" s="4"/>
      <c r="PO98" s="8"/>
      <c r="PP98" s="5" t="str">
        <f t="shared" si="350"/>
        <v>NO APLICA</v>
      </c>
      <c r="PQ98" s="6"/>
      <c r="PR98" s="6"/>
      <c r="PS98" s="6"/>
      <c r="PT98" s="6"/>
      <c r="PU98" s="5" t="str">
        <f t="shared" si="351"/>
        <v>NO APLICA</v>
      </c>
      <c r="PV98" s="5"/>
      <c r="PW98" s="6"/>
      <c r="PX98" s="6"/>
      <c r="PY98" s="6"/>
      <c r="PZ98" s="5" t="str">
        <f t="shared" si="352"/>
        <v>NO APLICA</v>
      </c>
    </row>
    <row r="99" spans="1:442" ht="15.6" hidden="1" thickTop="1" thickBot="1" x14ac:dyDescent="0.35">
      <c r="A99" s="26">
        <v>96</v>
      </c>
      <c r="B99" s="31">
        <v>1724</v>
      </c>
      <c r="C99" s="28" t="s">
        <v>343</v>
      </c>
      <c r="D99" s="29" t="s">
        <v>68</v>
      </c>
      <c r="E99" s="30" t="s">
        <v>73</v>
      </c>
      <c r="F99" s="6"/>
      <c r="G99" s="6"/>
      <c r="H99" s="6"/>
      <c r="I99" s="6"/>
      <c r="J99" s="5" t="str">
        <f t="shared" si="242"/>
        <v>NO APLICA</v>
      </c>
      <c r="K99" s="6"/>
      <c r="L99" s="6"/>
      <c r="M99" s="6"/>
      <c r="N99" s="6"/>
      <c r="O99" s="5" t="str">
        <f t="shared" si="243"/>
        <v>NO APLICA</v>
      </c>
      <c r="P99" s="6"/>
      <c r="Q99" s="6"/>
      <c r="R99" s="6"/>
      <c r="S99" s="6"/>
      <c r="T99" s="5" t="str">
        <f t="shared" si="353"/>
        <v>NO APLICA</v>
      </c>
      <c r="U99" s="5"/>
      <c r="V99" s="6" t="s">
        <v>344</v>
      </c>
      <c r="W99" s="4">
        <v>45309</v>
      </c>
      <c r="X99" s="4">
        <f t="shared" si="244"/>
        <v>47136</v>
      </c>
      <c r="Y99" s="8">
        <f t="shared" ca="1" si="245"/>
        <v>991</v>
      </c>
      <c r="Z99" s="5" t="str">
        <f t="shared" ca="1" si="246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7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8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9"/>
        <v>544</v>
      </c>
      <c r="AP99" s="5" t="str">
        <f t="shared" ca="1" si="250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1"/>
        <v>633</v>
      </c>
      <c r="AU99" s="5" t="str">
        <f t="shared" ca="1" si="252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3"/>
        <v>557</v>
      </c>
      <c r="AZ99" s="5" t="str">
        <f t="shared" ca="1" si="254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5"/>
        <v>626</v>
      </c>
      <c r="BE99" s="5" t="str">
        <f t="shared" ca="1" si="256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7"/>
        <v>572</v>
      </c>
      <c r="BJ99" s="5" t="str">
        <f t="shared" ca="1" si="258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9"/>
        <v>641</v>
      </c>
      <c r="BO99" s="5" t="str">
        <f t="shared" ca="1" si="260"/>
        <v>VIGENTE</v>
      </c>
      <c r="BP99" s="4"/>
      <c r="BQ99" s="39">
        <v>45988</v>
      </c>
      <c r="BR99" s="4">
        <f>DATE(YEAR(BQ99)+2,MONTH(BQ99),DAY(BQ99))</f>
        <v>46718</v>
      </c>
      <c r="BS99" s="8">
        <f t="shared" ca="1" si="261"/>
        <v>573</v>
      </c>
      <c r="BT99" s="5" t="str">
        <f t="shared" ca="1" si="262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3"/>
        <v>616</v>
      </c>
      <c r="BY99" s="5" t="str">
        <f t="shared" ca="1" si="264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5"/>
        <v>559</v>
      </c>
      <c r="CD99" s="5" t="str">
        <f t="shared" ca="1" si="266"/>
        <v>VIGENTE</v>
      </c>
      <c r="CE99" s="6"/>
      <c r="CF99" s="4">
        <v>45565</v>
      </c>
      <c r="CG99" s="4">
        <f t="shared" si="387"/>
        <v>47026</v>
      </c>
      <c r="CH99" s="8">
        <f t="shared" ca="1" si="388"/>
        <v>881</v>
      </c>
      <c r="CI99" s="5" t="str">
        <f t="shared" ca="1" si="269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0"/>
        <v>603</v>
      </c>
      <c r="CN99" s="5" t="str">
        <f t="shared" ca="1" si="271"/>
        <v>VIGENTE</v>
      </c>
      <c r="CO99" s="4"/>
      <c r="CP99" s="39">
        <v>46038</v>
      </c>
      <c r="CQ99" s="4">
        <f>DATE(YEAR(CP99)+2,MONTH(CP99),DAY(CP99))</f>
        <v>46768</v>
      </c>
      <c r="CR99" s="8">
        <f t="shared" ca="1" si="272"/>
        <v>623</v>
      </c>
      <c r="CS99" s="5" t="str">
        <f t="shared" ca="1" si="273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4"/>
        <v>628</v>
      </c>
      <c r="CX99" s="5" t="str">
        <f t="shared" ca="1" si="275"/>
        <v>VIGENTE</v>
      </c>
      <c r="CY99" s="4"/>
      <c r="CZ99" s="4">
        <v>45646</v>
      </c>
      <c r="DA99" s="4">
        <f t="shared" si="399"/>
        <v>46375</v>
      </c>
      <c r="DB99" s="8">
        <f t="shared" ca="1" si="276"/>
        <v>230</v>
      </c>
      <c r="DC99" s="5" t="str">
        <f t="shared" ca="1" si="277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8"/>
        <v>581</v>
      </c>
      <c r="DH99" s="5" t="str">
        <f t="shared" ca="1" si="279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0"/>
        <v>658</v>
      </c>
      <c r="DM99" s="5" t="str">
        <f t="shared" ca="1" si="281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2"/>
        <v>631</v>
      </c>
      <c r="DR99" s="5" t="str">
        <f t="shared" ca="1" si="283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4"/>
        <v>657</v>
      </c>
      <c r="DW99" s="5" t="str">
        <f t="shared" ca="1" si="285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6"/>
        <v>617</v>
      </c>
      <c r="EB99" s="5" t="str">
        <f t="shared" ca="1" si="287"/>
        <v>VIGENTE</v>
      </c>
      <c r="EC99" s="4"/>
      <c r="ED99" s="4">
        <v>46112</v>
      </c>
      <c r="EE99" s="4">
        <f>DATE(YEAR(ED99)+2,MONTH(ED99),DAY(ED99)-1)</f>
        <v>46842</v>
      </c>
      <c r="EF99" s="8">
        <f t="shared" ca="1" si="288"/>
        <v>697</v>
      </c>
      <c r="EG99" s="5" t="str">
        <f t="shared" ca="1" si="289"/>
        <v>VIGENTE</v>
      </c>
      <c r="EH99" s="3"/>
      <c r="EI99" s="4">
        <v>46115</v>
      </c>
      <c r="EJ99" s="4">
        <f t="shared" si="355"/>
        <v>46480</v>
      </c>
      <c r="EK99" s="8">
        <f t="shared" ca="1" si="290"/>
        <v>335</v>
      </c>
      <c r="EL99" s="5" t="str">
        <f t="shared" ca="1" si="291"/>
        <v>VIGENTE</v>
      </c>
      <c r="EM99" s="3"/>
      <c r="EN99" s="4">
        <v>45983</v>
      </c>
      <c r="EO99" s="4">
        <f>DATE(YEAR(EN99)+2,MONTH(EN99),DAY(EN99))</f>
        <v>46713</v>
      </c>
      <c r="EP99" s="8">
        <f t="shared" ca="1" si="292"/>
        <v>568</v>
      </c>
      <c r="EQ99" s="5" t="str">
        <f t="shared" ca="1" si="293"/>
        <v>VIGENTE</v>
      </c>
      <c r="ER99" s="6"/>
      <c r="ES99" s="39">
        <v>45999</v>
      </c>
      <c r="ET99" s="4">
        <f>DATE(YEAR(ES99)+2,MONTH(ES99),DAY(ES99))</f>
        <v>46729</v>
      </c>
      <c r="EU99" s="8">
        <f t="shared" ca="1" si="294"/>
        <v>584</v>
      </c>
      <c r="EV99" s="5" t="str">
        <f t="shared" ca="1" si="295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6"/>
        <v>622</v>
      </c>
      <c r="FA99" s="5" t="str">
        <f t="shared" ca="1" si="297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8"/>
        <v>677</v>
      </c>
      <c r="FF99" s="5" t="str">
        <f t="shared" ca="1" si="299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0"/>
        <v>90</v>
      </c>
      <c r="FK99" s="5" t="str">
        <f t="shared" ca="1" si="301"/>
        <v>POR VENCER</v>
      </c>
      <c r="FL99" s="4"/>
      <c r="FM99" s="39">
        <v>46049</v>
      </c>
      <c r="FN99" s="4">
        <f>DATE(YEAR(FM99)+2,MONTH(FM99),DAY(FM99))</f>
        <v>46779</v>
      </c>
      <c r="FO99" s="8">
        <f t="shared" ca="1" si="302"/>
        <v>634</v>
      </c>
      <c r="FP99" s="5" t="str">
        <f t="shared" ca="1" si="303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4"/>
        <v>642</v>
      </c>
      <c r="FU99" s="5" t="str">
        <f t="shared" ca="1" si="305"/>
        <v>VIGENTE</v>
      </c>
      <c r="FV99" s="4"/>
      <c r="FW99" s="4">
        <v>45587</v>
      </c>
      <c r="FX99" s="4">
        <f t="shared" si="400"/>
        <v>46316</v>
      </c>
      <c r="FY99" s="8">
        <f t="shared" ca="1" si="306"/>
        <v>171</v>
      </c>
      <c r="FZ99" s="5" t="str">
        <f t="shared" ca="1" si="307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8"/>
        <v>615</v>
      </c>
      <c r="GE99" s="5" t="str">
        <f t="shared" ca="1" si="309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0"/>
        <v>664</v>
      </c>
      <c r="GJ99" s="5" t="str">
        <f t="shared" ca="1" si="311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2"/>
        <v>629</v>
      </c>
      <c r="GO99" s="5" t="str">
        <f t="shared" ca="1" si="313"/>
        <v>VIGENTE</v>
      </c>
      <c r="GP99" s="4"/>
      <c r="GQ99" s="4">
        <v>45367</v>
      </c>
      <c r="GR99" s="4">
        <f t="shared" si="314"/>
        <v>47193</v>
      </c>
      <c r="GS99" s="8">
        <f t="shared" ca="1" si="384"/>
        <v>1048</v>
      </c>
      <c r="GT99" s="5" t="str">
        <f t="shared" ca="1" si="378"/>
        <v>VIGENTE</v>
      </c>
      <c r="GU99" s="4"/>
      <c r="GV99" s="4">
        <v>45507</v>
      </c>
      <c r="GW99" s="4">
        <f t="shared" si="316"/>
        <v>47333</v>
      </c>
      <c r="GX99" s="8">
        <f t="shared" ca="1" si="317"/>
        <v>1188</v>
      </c>
      <c r="GY99" s="5" t="str">
        <f t="shared" ca="1" si="379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5"/>
        <v>NO APLICA</v>
      </c>
      <c r="HO99" s="2"/>
      <c r="HP99" s="2"/>
      <c r="HQ99" s="4"/>
      <c r="HR99" s="2"/>
      <c r="HS99" s="5" t="str">
        <f t="shared" si="322"/>
        <v>NO APLICA</v>
      </c>
      <c r="HT99" s="6"/>
      <c r="HU99" s="6"/>
      <c r="HV99" s="4"/>
      <c r="HW99" s="8"/>
      <c r="HX99" s="5" t="str">
        <f t="shared" si="323"/>
        <v>NO APLICA</v>
      </c>
      <c r="HY99" s="6"/>
      <c r="HZ99" s="6"/>
      <c r="IA99" s="4"/>
      <c r="IB99" s="8"/>
      <c r="IC99" s="5" t="str">
        <f t="shared" si="324"/>
        <v>NO APLICA</v>
      </c>
      <c r="ID99" s="6"/>
      <c r="IE99" s="4"/>
      <c r="IF99" s="4"/>
      <c r="IG99" s="8"/>
      <c r="IH99" s="5" t="str">
        <f t="shared" si="325"/>
        <v>NO APLICA</v>
      </c>
      <c r="II99" s="6"/>
      <c r="IJ99" s="6"/>
      <c r="IK99" s="4"/>
      <c r="IL99" s="6"/>
      <c r="IM99" s="5" t="str">
        <f t="shared" si="326"/>
        <v>NO APLICA</v>
      </c>
      <c r="IN99" s="6"/>
      <c r="IO99" s="6"/>
      <c r="IP99" s="4"/>
      <c r="IQ99" s="8"/>
      <c r="IR99" s="5" t="str">
        <f t="shared" si="327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8"/>
        <v>VIGENTE</v>
      </c>
      <c r="IX99" s="6"/>
      <c r="IY99" s="6"/>
      <c r="IZ99" s="4"/>
      <c r="JA99" s="8"/>
      <c r="JB99" s="5" t="str">
        <f t="shared" si="329"/>
        <v>NO APLICA</v>
      </c>
      <c r="JC99" s="3" t="s">
        <v>780</v>
      </c>
      <c r="JD99" s="3"/>
      <c r="JE99" s="4"/>
      <c r="JF99" s="8"/>
      <c r="JG99" s="5"/>
      <c r="JH99" s="3" t="s">
        <v>780</v>
      </c>
      <c r="JI99" s="6"/>
      <c r="JJ99" s="6"/>
      <c r="JK99" s="6"/>
      <c r="JL99" s="5"/>
      <c r="JM99" s="6" t="s">
        <v>780</v>
      </c>
      <c r="JN99" s="6"/>
      <c r="JO99" s="6"/>
      <c r="JP99" s="6"/>
      <c r="JQ99" s="5"/>
      <c r="JR99" s="6" t="s">
        <v>780</v>
      </c>
      <c r="JS99" s="6"/>
      <c r="JT99" s="6"/>
      <c r="JU99" s="6"/>
      <c r="JV99" s="5"/>
      <c r="JW99" s="6" t="s">
        <v>780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30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6"/>
        <v>VIGENTE</v>
      </c>
      <c r="KL99" s="5"/>
      <c r="KM99" s="2"/>
      <c r="KN99" s="4"/>
      <c r="KO99" s="8"/>
      <c r="KP99" s="5" t="str">
        <f t="shared" si="331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7"/>
        <v>VIGENTE</v>
      </c>
      <c r="KV99" s="6"/>
      <c r="KW99" s="6"/>
      <c r="KX99" s="4"/>
      <c r="KY99" s="6"/>
      <c r="KZ99" s="5" t="str">
        <f t="shared" si="366"/>
        <v>NO APLICA</v>
      </c>
      <c r="LA99" s="5"/>
      <c r="LB99" s="6"/>
      <c r="LC99" s="4"/>
      <c r="LD99" s="6"/>
      <c r="LE99" s="5" t="str">
        <f t="shared" si="358"/>
        <v>NO APLICA</v>
      </c>
      <c r="LF99" s="6"/>
      <c r="LG99" s="4"/>
      <c r="LH99" s="4"/>
      <c r="LI99" s="8"/>
      <c r="LJ99" s="5" t="str">
        <f t="shared" si="332"/>
        <v>NO APLICA</v>
      </c>
      <c r="LK99" s="5"/>
      <c r="LL99" s="5"/>
      <c r="LM99" s="4"/>
      <c r="LN99" s="8"/>
      <c r="LO99" s="5" t="str">
        <f t="shared" si="367"/>
        <v>NO APLICA</v>
      </c>
      <c r="LP99" s="6"/>
      <c r="LQ99" s="6"/>
      <c r="LR99" s="4"/>
      <c r="LS99" s="8"/>
      <c r="LT99" s="5" t="str">
        <f t="shared" si="359"/>
        <v>NO APLICA</v>
      </c>
      <c r="LU99" s="6"/>
      <c r="LV99" s="6"/>
      <c r="LW99" s="4"/>
      <c r="LX99" s="6"/>
      <c r="LY99" s="5" t="str">
        <f t="shared" si="360"/>
        <v>NO APLICA</v>
      </c>
      <c r="LZ99" s="6"/>
      <c r="MA99" s="6"/>
      <c r="MB99" s="4"/>
      <c r="MC99" s="6"/>
      <c r="MD99" s="5" t="str">
        <f t="shared" si="361"/>
        <v>NO APLICA</v>
      </c>
      <c r="ME99" s="6"/>
      <c r="MF99" s="6"/>
      <c r="MG99" s="4"/>
      <c r="MH99" s="6"/>
      <c r="MI99" s="5" t="str">
        <f t="shared" si="333"/>
        <v>NO APLICA</v>
      </c>
      <c r="MJ99" s="6"/>
      <c r="MK99" s="6"/>
      <c r="ML99" s="4"/>
      <c r="MM99" s="6"/>
      <c r="MN99" s="5" t="str">
        <f t="shared" si="334"/>
        <v>NO APLICA</v>
      </c>
      <c r="MO99" s="5"/>
      <c r="MP99" s="6"/>
      <c r="MQ99" s="4"/>
      <c r="MR99" s="6"/>
      <c r="MS99" s="5" t="str">
        <f t="shared" si="335"/>
        <v>NO APLICA</v>
      </c>
      <c r="MT99" s="5"/>
      <c r="MU99" s="6"/>
      <c r="MV99" s="6"/>
      <c r="MW99" s="6"/>
      <c r="MX99" s="5" t="str">
        <f t="shared" si="336"/>
        <v>NO APLICA</v>
      </c>
      <c r="MY99" s="6"/>
      <c r="MZ99" s="6"/>
      <c r="NA99" s="4"/>
      <c r="NB99" s="6"/>
      <c r="NC99" s="5" t="str">
        <f t="shared" si="337"/>
        <v>NO APLICA</v>
      </c>
      <c r="ND99" s="6"/>
      <c r="NE99" s="6"/>
      <c r="NF99" s="4"/>
      <c r="NG99" s="6"/>
      <c r="NH99" s="5" t="str">
        <f t="shared" si="338"/>
        <v>NO APLICA</v>
      </c>
      <c r="NI99" s="6"/>
      <c r="NJ99" s="6"/>
      <c r="NK99" s="4"/>
      <c r="NL99" s="6"/>
      <c r="NM99" s="5" t="str">
        <f t="shared" si="339"/>
        <v>NO APLICA</v>
      </c>
      <c r="NN99" s="6"/>
      <c r="NO99" s="6"/>
      <c r="NP99" s="4"/>
      <c r="NQ99" s="6"/>
      <c r="NR99" s="5" t="str">
        <f t="shared" si="340"/>
        <v>NO APLICA</v>
      </c>
      <c r="NS99" s="6"/>
      <c r="NT99" s="6"/>
      <c r="NU99" s="4"/>
      <c r="NV99" s="6"/>
      <c r="NW99" s="5" t="str">
        <f t="shared" si="341"/>
        <v>NO APLICA</v>
      </c>
      <c r="NX99" s="6"/>
      <c r="NY99" s="6"/>
      <c r="NZ99" s="4"/>
      <c r="OA99" s="8"/>
      <c r="OB99" s="5" t="str">
        <f t="shared" si="342"/>
        <v>NO APLICA</v>
      </c>
      <c r="OC99" s="6"/>
      <c r="OD99" s="6"/>
      <c r="OE99" s="6"/>
      <c r="OF99" s="6"/>
      <c r="OG99" s="5" t="str">
        <f t="shared" si="343"/>
        <v>NO APLICA</v>
      </c>
      <c r="OH99" s="6"/>
      <c r="OI99" s="6"/>
      <c r="OJ99" s="6"/>
      <c r="OK99" s="6"/>
      <c r="OL99" s="5" t="str">
        <f t="shared" si="344"/>
        <v>NO APLICA</v>
      </c>
      <c r="OM99" s="6"/>
      <c r="ON99" s="6"/>
      <c r="OO99" s="6"/>
      <c r="OP99" s="6"/>
      <c r="OQ99" s="5" t="str">
        <f t="shared" si="345"/>
        <v>NO APLICA</v>
      </c>
      <c r="OR99" s="6"/>
      <c r="OS99" s="6"/>
      <c r="OT99" s="6"/>
      <c r="OU99" s="6"/>
      <c r="OV99" s="5" t="str">
        <f t="shared" si="346"/>
        <v>NO APLICA</v>
      </c>
      <c r="OW99" s="6"/>
      <c r="OX99" s="6"/>
      <c r="OY99" s="6"/>
      <c r="OZ99" s="6"/>
      <c r="PA99" s="5" t="str">
        <f t="shared" si="347"/>
        <v>NO APLICA</v>
      </c>
      <c r="PB99" s="6"/>
      <c r="PC99" s="6"/>
      <c r="PD99" s="6"/>
      <c r="PE99" s="6"/>
      <c r="PF99" s="5" t="str">
        <f t="shared" si="348"/>
        <v>NO APLICA</v>
      </c>
      <c r="PG99" s="6"/>
      <c r="PH99" s="6"/>
      <c r="PI99" s="6"/>
      <c r="PJ99" s="6"/>
      <c r="PK99" s="5" t="str">
        <f t="shared" si="349"/>
        <v>NO APLICA</v>
      </c>
      <c r="PL99" s="5"/>
      <c r="PM99" s="6"/>
      <c r="PN99" s="6"/>
      <c r="PO99" s="6"/>
      <c r="PP99" s="5" t="str">
        <f t="shared" si="350"/>
        <v>NO APLICA</v>
      </c>
      <c r="PQ99" s="6"/>
      <c r="PR99" s="6"/>
      <c r="PS99" s="6"/>
      <c r="PT99" s="6"/>
      <c r="PU99" s="5" t="str">
        <f t="shared" si="351"/>
        <v>NO APLICA</v>
      </c>
      <c r="PV99" s="5"/>
      <c r="PW99" s="6"/>
      <c r="PX99" s="6"/>
      <c r="PY99" s="6"/>
      <c r="PZ99" s="5" t="str">
        <f t="shared" si="352"/>
        <v>NO APLICA</v>
      </c>
    </row>
    <row r="100" spans="1:442" ht="15.6" hidden="1" thickTop="1" thickBot="1" x14ac:dyDescent="0.35">
      <c r="A100" s="26">
        <v>97</v>
      </c>
      <c r="B100" s="27">
        <v>996</v>
      </c>
      <c r="C100" s="28" t="s">
        <v>346</v>
      </c>
      <c r="D100" s="29" t="s">
        <v>68</v>
      </c>
      <c r="E100" s="30" t="s">
        <v>122</v>
      </c>
      <c r="F100" s="5"/>
      <c r="G100" s="6"/>
      <c r="H100" s="4"/>
      <c r="I100" s="8"/>
      <c r="J100" s="5" t="str">
        <f t="shared" si="242"/>
        <v>NO APLICA</v>
      </c>
      <c r="K100" s="5"/>
      <c r="L100" s="6"/>
      <c r="M100" s="6"/>
      <c r="N100" s="8"/>
      <c r="O100" s="5" t="str">
        <f t="shared" si="243"/>
        <v>NO APLICA</v>
      </c>
      <c r="P100" s="6"/>
      <c r="Q100" s="6"/>
      <c r="R100" s="4"/>
      <c r="S100" s="8"/>
      <c r="T100" s="5" t="str">
        <f t="shared" si="353"/>
        <v>NO APLICA</v>
      </c>
      <c r="U100" s="5"/>
      <c r="V100" s="2" t="s">
        <v>347</v>
      </c>
      <c r="W100" s="4">
        <v>45500</v>
      </c>
      <c r="X100" s="4">
        <f t="shared" si="244"/>
        <v>47326</v>
      </c>
      <c r="Y100" s="8">
        <f t="shared" ca="1" si="245"/>
        <v>1181</v>
      </c>
      <c r="Z100" s="5" t="str">
        <f t="shared" ca="1" si="246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7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8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9"/>
        <v>511</v>
      </c>
      <c r="AP100" s="5" t="str">
        <f t="shared" ca="1" si="250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1"/>
        <v>489</v>
      </c>
      <c r="AU100" s="5" t="str">
        <f t="shared" ca="1" si="252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3"/>
        <v>575</v>
      </c>
      <c r="AZ100" s="5" t="str">
        <f t="shared" ca="1" si="254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5"/>
        <v>565</v>
      </c>
      <c r="BE100" s="5" t="str">
        <f t="shared" ca="1" si="256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7"/>
        <v>572</v>
      </c>
      <c r="BJ100" s="5" t="str">
        <f t="shared" ca="1" si="258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9"/>
        <v>620</v>
      </c>
      <c r="BO100" s="5" t="str">
        <f t="shared" ca="1" si="260"/>
        <v>VIGENTE</v>
      </c>
      <c r="BP100" s="3"/>
      <c r="BQ100" s="39">
        <v>46069</v>
      </c>
      <c r="BR100" s="4">
        <f>DATE(YEAR(BQ100)+2,MONTH(BQ100),DAY(BQ100))</f>
        <v>46799</v>
      </c>
      <c r="BS100" s="8">
        <f t="shared" ca="1" si="261"/>
        <v>654</v>
      </c>
      <c r="BT100" s="5" t="str">
        <f t="shared" ca="1" si="262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3"/>
        <v>456</v>
      </c>
      <c r="BY100" s="5" t="str">
        <f t="shared" ca="1" si="264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5"/>
        <v>539</v>
      </c>
      <c r="CD100" s="5" t="str">
        <f t="shared" ca="1" si="266"/>
        <v>VIGENTE</v>
      </c>
      <c r="CE100" s="6"/>
      <c r="CF100" s="4">
        <v>45301</v>
      </c>
      <c r="CG100" s="4">
        <f t="shared" si="387"/>
        <v>46762</v>
      </c>
      <c r="CH100" s="8">
        <f t="shared" ca="1" si="388"/>
        <v>617</v>
      </c>
      <c r="CI100" s="5" t="str">
        <f t="shared" ca="1" si="269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0"/>
        <v>514</v>
      </c>
      <c r="CN100" s="5" t="str">
        <f t="shared" ca="1" si="271"/>
        <v>VIGENTE</v>
      </c>
      <c r="CO100" s="3"/>
      <c r="CP100" s="39">
        <v>45898</v>
      </c>
      <c r="CQ100" s="4">
        <f>DATE(YEAR(CP100)+2,MONTH(CP100),DAY(CP100))</f>
        <v>46628</v>
      </c>
      <c r="CR100" s="8">
        <f t="shared" ca="1" si="272"/>
        <v>483</v>
      </c>
      <c r="CS100" s="5" t="str">
        <f t="shared" ca="1" si="273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4"/>
        <v>215</v>
      </c>
      <c r="CX100" s="5" t="str">
        <f t="shared" ca="1" si="275"/>
        <v>VIGENTE</v>
      </c>
      <c r="CY100" s="3"/>
      <c r="CZ100" s="4">
        <v>45665</v>
      </c>
      <c r="DA100" s="4">
        <f t="shared" si="399"/>
        <v>46394</v>
      </c>
      <c r="DB100" s="8">
        <f t="shared" ca="1" si="276"/>
        <v>249</v>
      </c>
      <c r="DC100" s="5" t="str">
        <f t="shared" ca="1" si="277"/>
        <v>VIGENTE</v>
      </c>
      <c r="DD100" s="4"/>
      <c r="DE100" s="39">
        <v>45689</v>
      </c>
      <c r="DF100" s="4">
        <f>DATE(YEAR(DE100)+2,MONTH(DE100),DAY(DE100)-1)</f>
        <v>46418</v>
      </c>
      <c r="DG100" s="8">
        <f t="shared" ca="1" si="278"/>
        <v>273</v>
      </c>
      <c r="DH100" s="5" t="str">
        <f t="shared" ca="1" si="279"/>
        <v>VIGENTE</v>
      </c>
      <c r="DI100" s="3"/>
      <c r="DJ100" s="39">
        <v>45899</v>
      </c>
      <c r="DK100" s="4">
        <f>DATE(YEAR(DJ100)+2,MONTH(DJ100),DAY(DJ100))</f>
        <v>46629</v>
      </c>
      <c r="DL100" s="8">
        <f t="shared" ca="1" si="280"/>
        <v>484</v>
      </c>
      <c r="DM100" s="5" t="str">
        <f t="shared" ca="1" si="281"/>
        <v>VIGENTE</v>
      </c>
      <c r="DN100" s="3"/>
      <c r="DO100" s="4">
        <v>46128</v>
      </c>
      <c r="DP100" s="4">
        <f>DATE(YEAR(DO100)+2,MONTH(DO100),DAY(DO100)-1)</f>
        <v>46858</v>
      </c>
      <c r="DQ100" s="8">
        <f t="shared" ca="1" si="282"/>
        <v>713</v>
      </c>
      <c r="DR100" s="5" t="str">
        <f t="shared" ca="1" si="283"/>
        <v>VIGENTE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4"/>
        <v>436</v>
      </c>
      <c r="DW100" s="5" t="str">
        <f t="shared" ca="1" si="285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6"/>
        <v>519</v>
      </c>
      <c r="EB100" s="5" t="str">
        <f t="shared" ca="1" si="287"/>
        <v>VIGENTE</v>
      </c>
      <c r="EC100" s="3"/>
      <c r="ED100" s="39">
        <v>45883</v>
      </c>
      <c r="EE100" s="4">
        <f>DATE(YEAR(ED100)+2,MONTH(ED100),DAY(ED100))</f>
        <v>46613</v>
      </c>
      <c r="EF100" s="8">
        <f t="shared" ca="1" si="288"/>
        <v>468</v>
      </c>
      <c r="EG100" s="5" t="str">
        <f t="shared" ca="1" si="289"/>
        <v>VIGENTE</v>
      </c>
      <c r="EH100" s="3"/>
      <c r="EI100" s="3">
        <v>46002</v>
      </c>
      <c r="EJ100" s="4">
        <f t="shared" si="355"/>
        <v>46367</v>
      </c>
      <c r="EK100" s="8">
        <f t="shared" ca="1" si="290"/>
        <v>222</v>
      </c>
      <c r="EL100" s="5" t="str">
        <f t="shared" ca="1" si="291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2"/>
        <v>551</v>
      </c>
      <c r="EQ100" s="5" t="str">
        <f t="shared" ca="1" si="293"/>
        <v>VIGENTE</v>
      </c>
      <c r="ER100" s="3"/>
      <c r="ES100" s="39">
        <v>45999</v>
      </c>
      <c r="ET100" s="4">
        <f>DATE(YEAR(ES100)+2,MONTH(ES100),DAY(ES100))</f>
        <v>46729</v>
      </c>
      <c r="EU100" s="8">
        <f t="shared" ca="1" si="294"/>
        <v>584</v>
      </c>
      <c r="EV100" s="5" t="str">
        <f t="shared" ca="1" si="295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6"/>
        <v>538</v>
      </c>
      <c r="FA100" s="5" t="str">
        <f t="shared" ca="1" si="297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8"/>
        <v>507</v>
      </c>
      <c r="FF100" s="5" t="str">
        <f t="shared" ca="1" si="299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0"/>
        <v>547</v>
      </c>
      <c r="FK100" s="5" t="str">
        <f t="shared" ca="1" si="301"/>
        <v>VIGENTE</v>
      </c>
      <c r="FL100" s="3"/>
      <c r="FM100" s="39">
        <v>45920</v>
      </c>
      <c r="FN100" s="4">
        <f>DATE(YEAR(FM100)+2,MONTH(FM100),DAY(FM100))</f>
        <v>46650</v>
      </c>
      <c r="FO100" s="8">
        <f t="shared" ca="1" si="302"/>
        <v>505</v>
      </c>
      <c r="FP100" s="5" t="str">
        <f t="shared" ca="1" si="303"/>
        <v>VIGENTE</v>
      </c>
      <c r="FQ100" s="3"/>
      <c r="FR100" s="39">
        <v>45957</v>
      </c>
      <c r="FS100" s="4">
        <f>DATE(YEAR(FR100)+2,MONTH(FR100),DAY(FR100))</f>
        <v>46687</v>
      </c>
      <c r="FT100" s="8">
        <f t="shared" ca="1" si="304"/>
        <v>542</v>
      </c>
      <c r="FU100" s="5" t="str">
        <f t="shared" ca="1" si="305"/>
        <v>VIGENTE</v>
      </c>
      <c r="FV100" s="4"/>
      <c r="FW100" s="4">
        <v>45574</v>
      </c>
      <c r="FX100" s="4">
        <f t="shared" si="400"/>
        <v>46303</v>
      </c>
      <c r="FY100" s="8">
        <f t="shared" ca="1" si="306"/>
        <v>158</v>
      </c>
      <c r="FZ100" s="5" t="str">
        <f t="shared" ca="1" si="307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8"/>
        <v>615</v>
      </c>
      <c r="GE100" s="5" t="str">
        <f t="shared" ca="1" si="309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0"/>
        <v>545</v>
      </c>
      <c r="GJ100" s="5" t="str">
        <f t="shared" ca="1" si="311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2"/>
        <v>543</v>
      </c>
      <c r="GO100" s="5" t="str">
        <f t="shared" ca="1" si="313"/>
        <v>VIGENTE</v>
      </c>
      <c r="GP100" s="4"/>
      <c r="GQ100" s="4">
        <v>45265</v>
      </c>
      <c r="GR100" s="4">
        <f t="shared" si="314"/>
        <v>47092</v>
      </c>
      <c r="GS100" s="8">
        <f t="shared" ca="1" si="384"/>
        <v>947</v>
      </c>
      <c r="GT100" s="5" t="str">
        <f t="shared" ca="1" si="378"/>
        <v>VIGENTE</v>
      </c>
      <c r="GU100" s="3"/>
      <c r="GV100" s="4">
        <v>45329</v>
      </c>
      <c r="GW100" s="4">
        <f t="shared" si="316"/>
        <v>47156</v>
      </c>
      <c r="GX100" s="8">
        <f t="shared" ca="1" si="317"/>
        <v>1011</v>
      </c>
      <c r="GY100" s="5" t="str">
        <f t="shared" ca="1" si="379"/>
        <v>VIGENTE</v>
      </c>
      <c r="GZ100" s="3"/>
      <c r="HA100" s="4">
        <v>45268</v>
      </c>
      <c r="HB100" s="4">
        <f t="shared" si="319"/>
        <v>47095</v>
      </c>
      <c r="HC100" s="8">
        <f t="shared" ca="1" si="320"/>
        <v>950</v>
      </c>
      <c r="HD100" s="5" t="str">
        <f t="shared" ref="HD100:HD105" ca="1" si="401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2">DATE(YEAR(HF100)+5,MONTH(HF100),DAY(HF100))</f>
        <v>46702</v>
      </c>
      <c r="HH100" s="8">
        <f t="shared" ref="HH100:HH104" ca="1" si="403">HG100-TODAY()</f>
        <v>557</v>
      </c>
      <c r="HI100" s="5" t="str">
        <f t="shared" ref="HI100:HI105" ca="1" si="404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5"/>
        <v>NO APLICA</v>
      </c>
      <c r="HO100" s="2"/>
      <c r="HP100" s="2"/>
      <c r="HQ100" s="4"/>
      <c r="HR100" s="2"/>
      <c r="HS100" s="5" t="str">
        <f t="shared" si="322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3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4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5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6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7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8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9"/>
        <v>VIGENTE</v>
      </c>
      <c r="JC100" s="3" t="s">
        <v>780</v>
      </c>
      <c r="JD100" s="3"/>
      <c r="JE100" s="4"/>
      <c r="JF100" s="8"/>
      <c r="JG100" s="5"/>
      <c r="JH100" s="3" t="s">
        <v>780</v>
      </c>
      <c r="JI100" s="4"/>
      <c r="JJ100" s="4"/>
      <c r="JK100" s="8"/>
      <c r="JL100" s="5"/>
      <c r="JM100" s="6" t="s">
        <v>780</v>
      </c>
      <c r="JN100" s="4"/>
      <c r="JO100" s="4"/>
      <c r="JP100" s="8"/>
      <c r="JQ100" s="5"/>
      <c r="JR100" s="6" t="s">
        <v>780</v>
      </c>
      <c r="JS100" s="4"/>
      <c r="JT100" s="4"/>
      <c r="JU100" s="8"/>
      <c r="JV100" s="5"/>
      <c r="JW100" s="6" t="s">
        <v>780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30"/>
        <v>NO APLICA</v>
      </c>
      <c r="KG100" s="5"/>
      <c r="KH100" s="2"/>
      <c r="KI100" s="4"/>
      <c r="KJ100" s="8"/>
      <c r="KK100" s="5" t="str">
        <f t="shared" si="356"/>
        <v>NO APLICA</v>
      </c>
      <c r="KL100" s="5"/>
      <c r="KM100" s="2"/>
      <c r="KN100" s="4"/>
      <c r="KO100" s="8"/>
      <c r="KP100" s="5" t="str">
        <f t="shared" si="331"/>
        <v>NO APLICA</v>
      </c>
      <c r="KQ100" s="5"/>
      <c r="KR100" s="2"/>
      <c r="KS100" s="4"/>
      <c r="KT100" s="8"/>
      <c r="KU100" s="5" t="str">
        <f t="shared" si="357"/>
        <v>NO APLICA</v>
      </c>
      <c r="KV100" s="2"/>
      <c r="KW100" s="6"/>
      <c r="KX100" s="4"/>
      <c r="KY100" s="8"/>
      <c r="KZ100" s="5" t="str">
        <f t="shared" si="366"/>
        <v>NO APLICA</v>
      </c>
      <c r="LA100" s="5"/>
      <c r="LB100" s="6"/>
      <c r="LC100" s="4"/>
      <c r="LD100" s="8"/>
      <c r="LE100" s="5" t="str">
        <f t="shared" si="358"/>
        <v>NO APLICA</v>
      </c>
      <c r="LF100" s="6"/>
      <c r="LG100" s="4"/>
      <c r="LH100" s="4"/>
      <c r="LI100" s="8"/>
      <c r="LJ100" s="5" t="str">
        <f t="shared" si="332"/>
        <v>NO APLICA</v>
      </c>
      <c r="LK100" s="5"/>
      <c r="LL100" s="5"/>
      <c r="LM100" s="4"/>
      <c r="LN100" s="8"/>
      <c r="LO100" s="5" t="str">
        <f t="shared" si="367"/>
        <v>NO APLICA</v>
      </c>
      <c r="LP100" s="2"/>
      <c r="LQ100" s="6"/>
      <c r="LR100" s="4"/>
      <c r="LS100" s="8"/>
      <c r="LT100" s="5" t="str">
        <f t="shared" si="359"/>
        <v>NO APLICA</v>
      </c>
      <c r="LU100" s="6"/>
      <c r="LV100" s="6"/>
      <c r="LW100" s="4"/>
      <c r="LX100" s="8"/>
      <c r="LY100" s="5" t="str">
        <f t="shared" si="360"/>
        <v>NO APLICA</v>
      </c>
      <c r="LZ100" s="6"/>
      <c r="MA100" s="6"/>
      <c r="MB100" s="4"/>
      <c r="MC100" s="8"/>
      <c r="MD100" s="5" t="str">
        <f t="shared" si="361"/>
        <v>NO APLICA</v>
      </c>
      <c r="ME100" s="2"/>
      <c r="MF100" s="2"/>
      <c r="MG100" s="4"/>
      <c r="MH100" s="8"/>
      <c r="MI100" s="5" t="str">
        <f t="shared" si="333"/>
        <v>NO APLICA</v>
      </c>
      <c r="MJ100" s="2"/>
      <c r="MK100" s="2"/>
      <c r="ML100" s="4"/>
      <c r="MM100" s="8"/>
      <c r="MN100" s="5" t="str">
        <f t="shared" si="334"/>
        <v>NO APLICA</v>
      </c>
      <c r="MO100" s="5"/>
      <c r="MP100" s="2"/>
      <c r="MQ100" s="4"/>
      <c r="MR100" s="8"/>
      <c r="MS100" s="5" t="str">
        <f t="shared" si="335"/>
        <v>NO APLICA</v>
      </c>
      <c r="MT100" s="5"/>
      <c r="MU100" s="2"/>
      <c r="MV100" s="4"/>
      <c r="MW100" s="2"/>
      <c r="MX100" s="5" t="str">
        <f t="shared" si="336"/>
        <v>NO APLICA</v>
      </c>
      <c r="MY100" s="2"/>
      <c r="MZ100" s="6"/>
      <c r="NA100" s="4"/>
      <c r="NB100" s="8"/>
      <c r="NC100" s="5" t="str">
        <f t="shared" si="337"/>
        <v>NO APLICA</v>
      </c>
      <c r="ND100" s="2"/>
      <c r="NE100" s="6"/>
      <c r="NF100" s="4"/>
      <c r="NG100" s="8"/>
      <c r="NH100" s="5" t="str">
        <f t="shared" si="338"/>
        <v>NO APLICA</v>
      </c>
      <c r="NI100" s="2"/>
      <c r="NJ100" s="6"/>
      <c r="NK100" s="4"/>
      <c r="NL100" s="8"/>
      <c r="NM100" s="5" t="str">
        <f t="shared" si="339"/>
        <v>NO APLICA</v>
      </c>
      <c r="NN100" s="2"/>
      <c r="NO100" s="2"/>
      <c r="NP100" s="4"/>
      <c r="NQ100" s="2"/>
      <c r="NR100" s="5" t="str">
        <f t="shared" si="340"/>
        <v>NO APLICA</v>
      </c>
      <c r="NS100" s="2"/>
      <c r="NT100" s="2"/>
      <c r="NU100" s="2"/>
      <c r="NV100" s="2"/>
      <c r="NW100" s="5" t="str">
        <f t="shared" si="341"/>
        <v>NO APLICA</v>
      </c>
      <c r="NX100" s="6"/>
      <c r="NY100" s="6"/>
      <c r="NZ100" s="4"/>
      <c r="OA100" s="8"/>
      <c r="OB100" s="5" t="str">
        <f t="shared" si="342"/>
        <v>NO APLICA</v>
      </c>
      <c r="OC100" s="6"/>
      <c r="OD100" s="6"/>
      <c r="OE100" s="6"/>
      <c r="OF100" s="6"/>
      <c r="OG100" s="5" t="str">
        <f t="shared" si="343"/>
        <v>NO APLICA</v>
      </c>
      <c r="OH100" s="6"/>
      <c r="OI100" s="6"/>
      <c r="OJ100" s="4"/>
      <c r="OK100" s="8"/>
      <c r="OL100" s="5" t="str">
        <f t="shared" si="344"/>
        <v>NO APLICA</v>
      </c>
      <c r="OM100" s="6"/>
      <c r="ON100" s="6"/>
      <c r="OO100" s="6"/>
      <c r="OP100" s="6"/>
      <c r="OQ100" s="5" t="str">
        <f t="shared" si="345"/>
        <v>NO APLICA</v>
      </c>
      <c r="OR100" s="6"/>
      <c r="OS100" s="6"/>
      <c r="OT100" s="6"/>
      <c r="OU100" s="6"/>
      <c r="OV100" s="5" t="str">
        <f t="shared" si="346"/>
        <v>NO APLICA</v>
      </c>
      <c r="OW100" s="6"/>
      <c r="OX100" s="6"/>
      <c r="OY100" s="6"/>
      <c r="OZ100" s="6"/>
      <c r="PA100" s="5" t="str">
        <f t="shared" si="347"/>
        <v>NO APLICA</v>
      </c>
      <c r="PB100" s="6"/>
      <c r="PC100" s="6"/>
      <c r="PD100" s="6"/>
      <c r="PE100" s="6"/>
      <c r="PF100" s="5" t="str">
        <f t="shared" si="348"/>
        <v>NO APLICA</v>
      </c>
      <c r="PG100" s="6"/>
      <c r="PH100" s="6"/>
      <c r="PI100" s="6"/>
      <c r="PJ100" s="6"/>
      <c r="PK100" s="5" t="str">
        <f t="shared" si="349"/>
        <v>NO APLICA</v>
      </c>
      <c r="PL100" s="5"/>
      <c r="PM100" s="6"/>
      <c r="PN100" s="4"/>
      <c r="PO100" s="8"/>
      <c r="PP100" s="5" t="str">
        <f t="shared" si="350"/>
        <v>NO APLICA</v>
      </c>
      <c r="PQ100" s="6"/>
      <c r="PR100" s="6"/>
      <c r="PS100" s="6"/>
      <c r="PT100" s="6"/>
      <c r="PU100" s="5" t="str">
        <f t="shared" si="351"/>
        <v>NO APLICA</v>
      </c>
      <c r="PV100" s="5"/>
      <c r="PW100" s="6"/>
      <c r="PX100" s="6"/>
      <c r="PY100" s="6"/>
      <c r="PZ100" s="5" t="str">
        <f t="shared" si="352"/>
        <v>NO APLICA</v>
      </c>
    </row>
    <row r="101" spans="1:442" ht="15.6" hidden="1" thickTop="1" thickBot="1" x14ac:dyDescent="0.35">
      <c r="A101" s="26">
        <v>98</v>
      </c>
      <c r="B101" s="27">
        <v>880</v>
      </c>
      <c r="C101" s="28" t="s">
        <v>349</v>
      </c>
      <c r="D101" s="29" t="s">
        <v>68</v>
      </c>
      <c r="E101" s="30" t="s">
        <v>129</v>
      </c>
      <c r="F101" s="5"/>
      <c r="G101" s="6"/>
      <c r="H101" s="4"/>
      <c r="I101" s="8"/>
      <c r="J101" s="5" t="str">
        <f t="shared" si="242"/>
        <v>NO APLICA</v>
      </c>
      <c r="K101" s="2"/>
      <c r="L101" s="6"/>
      <c r="M101" s="6"/>
      <c r="N101" s="8"/>
      <c r="O101" s="5" t="str">
        <f t="shared" si="243"/>
        <v>NO APLICA</v>
      </c>
      <c r="P101" s="6"/>
      <c r="Q101" s="6"/>
      <c r="R101" s="4"/>
      <c r="S101" s="8"/>
      <c r="T101" s="5" t="str">
        <f t="shared" si="353"/>
        <v>NO APLICA</v>
      </c>
      <c r="U101" s="5"/>
      <c r="V101" s="2" t="s">
        <v>350</v>
      </c>
      <c r="W101" s="4">
        <v>45492</v>
      </c>
      <c r="X101" s="4">
        <f t="shared" si="244"/>
        <v>47318</v>
      </c>
      <c r="Y101" s="8">
        <f t="shared" ca="1" si="245"/>
        <v>1173</v>
      </c>
      <c r="Z101" s="5" t="str">
        <f t="shared" ca="1" si="246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7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8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9"/>
        <v>522</v>
      </c>
      <c r="AP101" s="5" t="str">
        <f t="shared" ca="1" si="250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1"/>
        <v>633</v>
      </c>
      <c r="AU101" s="5" t="str">
        <f t="shared" ca="1" si="252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3"/>
        <v>655</v>
      </c>
      <c r="AZ101" s="5" t="str">
        <f t="shared" ca="1" si="254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5"/>
        <v>626</v>
      </c>
      <c r="BE101" s="5" t="str">
        <f t="shared" ca="1" si="256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7"/>
        <v>572</v>
      </c>
      <c r="BJ101" s="5" t="str">
        <f t="shared" ca="1" si="258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9"/>
        <v>620</v>
      </c>
      <c r="BO101" s="5" t="str">
        <f t="shared" ca="1" si="260"/>
        <v>VIGENTE</v>
      </c>
      <c r="BP101" s="3"/>
      <c r="BQ101" s="39">
        <v>46069</v>
      </c>
      <c r="BR101" s="4">
        <f>DATE(YEAR(BQ101)+2,MONTH(BQ101),DAY(BQ101))</f>
        <v>46799</v>
      </c>
      <c r="BS101" s="8">
        <f t="shared" ca="1" si="261"/>
        <v>654</v>
      </c>
      <c r="BT101" s="5" t="str">
        <f t="shared" ca="1" si="262"/>
        <v>VIGENTE</v>
      </c>
      <c r="BU101" s="3"/>
      <c r="BV101" s="4">
        <v>46116</v>
      </c>
      <c r="BW101" s="4">
        <f>DATE(YEAR(BV101)+2,MONTH(BV101),DAY(BV101)-1)</f>
        <v>46846</v>
      </c>
      <c r="BX101" s="8">
        <f t="shared" ca="1" si="263"/>
        <v>701</v>
      </c>
      <c r="BY101" s="5" t="str">
        <f t="shared" ca="1" si="264"/>
        <v>VIGENTE</v>
      </c>
      <c r="BZ101" s="3"/>
      <c r="CA101" s="4">
        <v>45944</v>
      </c>
      <c r="CB101" s="4">
        <f>DATE(YEAR(CA101)+2,MONTH(CA101),DAY(CA101))</f>
        <v>46674</v>
      </c>
      <c r="CC101" s="8">
        <f t="shared" ca="1" si="265"/>
        <v>529</v>
      </c>
      <c r="CD101" s="5" t="str">
        <f t="shared" ca="1" si="266"/>
        <v>VIGENTE</v>
      </c>
      <c r="CE101" s="6"/>
      <c r="CF101" s="4">
        <v>45282</v>
      </c>
      <c r="CG101" s="4">
        <f t="shared" si="387"/>
        <v>46743</v>
      </c>
      <c r="CH101" s="8">
        <f t="shared" ca="1" si="388"/>
        <v>598</v>
      </c>
      <c r="CI101" s="5" t="str">
        <f t="shared" ca="1" si="269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0"/>
        <v>649</v>
      </c>
      <c r="CN101" s="5" t="str">
        <f t="shared" ca="1" si="271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2"/>
        <v>687</v>
      </c>
      <c r="CS101" s="5" t="str">
        <f t="shared" ca="1" si="273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4"/>
        <v>215</v>
      </c>
      <c r="CX101" s="5" t="str">
        <f t="shared" ca="1" si="275"/>
        <v>VIGENTE</v>
      </c>
      <c r="CY101" s="3"/>
      <c r="CZ101" s="4">
        <v>45665</v>
      </c>
      <c r="DA101" s="4">
        <f t="shared" si="399"/>
        <v>46394</v>
      </c>
      <c r="DB101" s="8">
        <f t="shared" ca="1" si="276"/>
        <v>249</v>
      </c>
      <c r="DC101" s="5" t="str">
        <f t="shared" ca="1" si="277"/>
        <v>VIGENTE</v>
      </c>
      <c r="DD101" s="3"/>
      <c r="DE101" s="39">
        <v>45689</v>
      </c>
      <c r="DF101" s="4">
        <f>DATE(YEAR(DE101)+2,MONTH(DE101),DAY(DE101)-1)</f>
        <v>46418</v>
      </c>
      <c r="DG101" s="8">
        <f t="shared" ca="1" si="278"/>
        <v>273</v>
      </c>
      <c r="DH101" s="5" t="str">
        <f t="shared" ca="1" si="279"/>
        <v>VIGENTE</v>
      </c>
      <c r="DI101" s="3"/>
      <c r="DJ101" s="39">
        <v>46029</v>
      </c>
      <c r="DK101" s="4">
        <f>DATE(YEAR(DJ101)+2,MONTH(DJ101),DAY(DJ101))</f>
        <v>46759</v>
      </c>
      <c r="DL101" s="8">
        <f t="shared" ca="1" si="280"/>
        <v>614</v>
      </c>
      <c r="DM101" s="5" t="str">
        <f t="shared" ca="1" si="281"/>
        <v>VIGENTE</v>
      </c>
      <c r="DN101" s="3"/>
      <c r="DO101" s="4">
        <v>46128</v>
      </c>
      <c r="DP101" s="4">
        <f>DATE(YEAR(DO101)+2,MONTH(DO101),DAY(DO101)-1)</f>
        <v>46858</v>
      </c>
      <c r="DQ101" s="8">
        <f t="shared" ca="1" si="282"/>
        <v>713</v>
      </c>
      <c r="DR101" s="5" t="str">
        <f t="shared" ca="1" si="283"/>
        <v>VIGENTE</v>
      </c>
      <c r="DS101" s="3"/>
      <c r="DT101" s="4">
        <v>46053</v>
      </c>
      <c r="DU101" s="4">
        <f>DATE(YEAR(DT101)+2,MONTH(DT101),DAY(DT101))</f>
        <v>46783</v>
      </c>
      <c r="DV101" s="8">
        <f t="shared" ca="1" si="284"/>
        <v>638</v>
      </c>
      <c r="DW101" s="5" t="str">
        <f t="shared" ca="1" si="285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6"/>
        <v>685</v>
      </c>
      <c r="EB101" s="5" t="str">
        <f t="shared" ca="1" si="287"/>
        <v>VIGENTE</v>
      </c>
      <c r="EC101" s="3"/>
      <c r="ED101" s="39">
        <v>46104</v>
      </c>
      <c r="EE101" s="4">
        <f>DATE(YEAR(ED101)+2,MONTH(ED101),DAY(ED101))</f>
        <v>46835</v>
      </c>
      <c r="EF101" s="8">
        <f t="shared" ca="1" si="288"/>
        <v>690</v>
      </c>
      <c r="EG101" s="5" t="str">
        <f t="shared" ca="1" si="289"/>
        <v>VIGENTE</v>
      </c>
      <c r="EH101" s="3"/>
      <c r="EI101" s="4">
        <v>46115</v>
      </c>
      <c r="EJ101" s="4">
        <f t="shared" si="355"/>
        <v>46480</v>
      </c>
      <c r="EK101" s="8">
        <f t="shared" ca="1" si="290"/>
        <v>335</v>
      </c>
      <c r="EL101" s="5" t="str">
        <f t="shared" ca="1" si="291"/>
        <v>VIGENTE</v>
      </c>
      <c r="EM101" s="3"/>
      <c r="EN101" s="4">
        <v>46135</v>
      </c>
      <c r="EO101" s="4">
        <f>DATE(YEAR(EN101)+2,MONTH(EN101),DAY(EN101)-1)</f>
        <v>46865</v>
      </c>
      <c r="EP101" s="8">
        <f t="shared" ca="1" si="292"/>
        <v>720</v>
      </c>
      <c r="EQ101" s="5" t="str">
        <f t="shared" ca="1" si="293"/>
        <v>VIGENTE</v>
      </c>
      <c r="ER101" s="3"/>
      <c r="ES101" s="39">
        <v>46094</v>
      </c>
      <c r="ET101" s="4">
        <f>DATE(YEAR(ES101)+2,MONTH(ES101),DAY(ES101))</f>
        <v>46825</v>
      </c>
      <c r="EU101" s="8">
        <f t="shared" ca="1" si="294"/>
        <v>680</v>
      </c>
      <c r="EV101" s="5" t="str">
        <f t="shared" ca="1" si="295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6"/>
        <v>538</v>
      </c>
      <c r="FA101" s="5" t="str">
        <f t="shared" ca="1" si="297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8"/>
        <v>573</v>
      </c>
      <c r="FF101" s="5" t="str">
        <f t="shared" ca="1" si="299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0"/>
        <v>554</v>
      </c>
      <c r="FK101" s="5" t="str">
        <f t="shared" ca="1" si="301"/>
        <v>VIGENTE</v>
      </c>
      <c r="FL101" s="3"/>
      <c r="FM101" s="39">
        <v>46129</v>
      </c>
      <c r="FN101" s="4">
        <f>DATE(YEAR(FM101)+2,MONTH(FM101),DAY(FM101)-1)</f>
        <v>46859</v>
      </c>
      <c r="FO101" s="8">
        <f t="shared" ca="1" si="302"/>
        <v>714</v>
      </c>
      <c r="FP101" s="5" t="str">
        <f t="shared" ca="1" si="303"/>
        <v>VIGENTE</v>
      </c>
      <c r="FQ101" s="3"/>
      <c r="FR101" s="39">
        <v>46122</v>
      </c>
      <c r="FS101" s="4">
        <f>DATE(YEAR(FR101)+2,MONTH(FR101),DAY(FR101)-1)</f>
        <v>46852</v>
      </c>
      <c r="FT101" s="8">
        <f t="shared" ca="1" si="304"/>
        <v>707</v>
      </c>
      <c r="FU101" s="5" t="str">
        <f t="shared" ca="1" si="305"/>
        <v>VIGENTE</v>
      </c>
      <c r="FV101" s="3"/>
      <c r="FW101" s="4">
        <v>45574</v>
      </c>
      <c r="FX101" s="4">
        <f t="shared" si="400"/>
        <v>46303</v>
      </c>
      <c r="FY101" s="8">
        <f t="shared" ca="1" si="306"/>
        <v>158</v>
      </c>
      <c r="FZ101" s="5" t="str">
        <f t="shared" ca="1" si="307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8"/>
        <v>251</v>
      </c>
      <c r="GE101" s="5" t="str">
        <f t="shared" ca="1" si="309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0"/>
        <v>621</v>
      </c>
      <c r="GJ101" s="5" t="str">
        <f t="shared" ca="1" si="311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2"/>
        <v>508</v>
      </c>
      <c r="GO101" s="5" t="str">
        <f t="shared" ca="1" si="313"/>
        <v>VIGENTE</v>
      </c>
      <c r="GP101" s="4"/>
      <c r="GQ101" s="4">
        <v>45459</v>
      </c>
      <c r="GR101" s="4">
        <f t="shared" si="314"/>
        <v>47285</v>
      </c>
      <c r="GS101" s="8">
        <f t="shared" ca="1" si="384"/>
        <v>1140</v>
      </c>
      <c r="GT101" s="5" t="str">
        <f t="shared" ca="1" si="378"/>
        <v>VIGENTE</v>
      </c>
      <c r="GU101" s="3"/>
      <c r="GV101" s="4">
        <v>45464</v>
      </c>
      <c r="GW101" s="4">
        <f t="shared" si="316"/>
        <v>47290</v>
      </c>
      <c r="GX101" s="8">
        <f t="shared" ca="1" si="317"/>
        <v>1145</v>
      </c>
      <c r="GY101" s="5" t="str">
        <f t="shared" ca="1" si="379"/>
        <v>VIGENTE</v>
      </c>
      <c r="GZ101" s="3"/>
      <c r="HA101" s="4">
        <v>45454</v>
      </c>
      <c r="HB101" s="4">
        <f t="shared" si="319"/>
        <v>47280</v>
      </c>
      <c r="HC101" s="8">
        <f t="shared" ca="1" si="320"/>
        <v>1135</v>
      </c>
      <c r="HD101" s="5" t="str">
        <f t="shared" ca="1" si="401"/>
        <v>VIGENTE</v>
      </c>
      <c r="HE101" s="6"/>
      <c r="HF101" s="4">
        <v>44862</v>
      </c>
      <c r="HG101" s="4">
        <f t="shared" si="402"/>
        <v>46688</v>
      </c>
      <c r="HH101" s="8">
        <f t="shared" ca="1" si="403"/>
        <v>543</v>
      </c>
      <c r="HI101" s="5" t="str">
        <f t="shared" ca="1" si="404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5"/>
        <v>VIGENTE</v>
      </c>
      <c r="HO101" s="2"/>
      <c r="HP101" s="2"/>
      <c r="HQ101" s="4"/>
      <c r="HR101" s="2"/>
      <c r="HS101" s="5" t="str">
        <f t="shared" si="322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3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4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5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6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7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8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9"/>
        <v>VIGENTE</v>
      </c>
      <c r="JC101" s="3" t="s">
        <v>780</v>
      </c>
      <c r="JD101" s="3"/>
      <c r="JE101" s="4"/>
      <c r="JF101" s="8"/>
      <c r="JG101" s="5"/>
      <c r="JH101" s="3" t="s">
        <v>780</v>
      </c>
      <c r="JI101" s="6"/>
      <c r="JJ101" s="6"/>
      <c r="JK101" s="6"/>
      <c r="JL101" s="5"/>
      <c r="JM101" s="6" t="s">
        <v>780</v>
      </c>
      <c r="JN101" s="6"/>
      <c r="JO101" s="6"/>
      <c r="JP101" s="6"/>
      <c r="JQ101" s="5"/>
      <c r="JR101" s="6" t="s">
        <v>780</v>
      </c>
      <c r="JS101" s="6"/>
      <c r="JT101" s="6"/>
      <c r="JU101" s="6"/>
      <c r="JV101" s="5"/>
      <c r="JW101" s="6" t="s">
        <v>780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30"/>
        <v>NO APLICA</v>
      </c>
      <c r="KG101" s="5"/>
      <c r="KH101" s="2"/>
      <c r="KI101" s="4"/>
      <c r="KJ101" s="8"/>
      <c r="KK101" s="5" t="str">
        <f t="shared" si="356"/>
        <v>NO APLICA</v>
      </c>
      <c r="KL101" s="5"/>
      <c r="KM101" s="2"/>
      <c r="KN101" s="4"/>
      <c r="KO101" s="8"/>
      <c r="KP101" s="5" t="str">
        <f t="shared" si="331"/>
        <v>NO APLICA</v>
      </c>
      <c r="KQ101" s="5"/>
      <c r="KR101" s="2"/>
      <c r="KS101" s="4"/>
      <c r="KT101" s="8"/>
      <c r="KU101" s="5" t="str">
        <f t="shared" si="357"/>
        <v>NO APLICA</v>
      </c>
      <c r="KV101" s="2"/>
      <c r="KW101" s="6"/>
      <c r="KX101" s="4"/>
      <c r="KY101" s="8"/>
      <c r="KZ101" s="5" t="str">
        <f t="shared" si="366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8"/>
        <v>VIGENTE</v>
      </c>
      <c r="LF101" s="4"/>
      <c r="LG101" s="4"/>
      <c r="LH101" s="4"/>
      <c r="LI101" s="8"/>
      <c r="LJ101" s="5" t="str">
        <f t="shared" si="332"/>
        <v>NO APLICA</v>
      </c>
      <c r="LK101" s="5"/>
      <c r="LL101" s="5"/>
      <c r="LM101" s="4"/>
      <c r="LN101" s="8"/>
      <c r="LO101" s="5" t="str">
        <f t="shared" si="367"/>
        <v>NO APLICA</v>
      </c>
      <c r="LP101" s="2"/>
      <c r="LQ101" s="6"/>
      <c r="LR101" s="4"/>
      <c r="LS101" s="8"/>
      <c r="LT101" s="5" t="str">
        <f t="shared" si="359"/>
        <v>NO APLICA</v>
      </c>
      <c r="LU101" s="6"/>
      <c r="LV101" s="6"/>
      <c r="LW101" s="4"/>
      <c r="LX101" s="8"/>
      <c r="LY101" s="5" t="str">
        <f t="shared" si="360"/>
        <v>NO APLICA</v>
      </c>
      <c r="LZ101" s="6"/>
      <c r="MA101" s="6"/>
      <c r="MB101" s="4"/>
      <c r="MC101" s="8"/>
      <c r="MD101" s="5" t="str">
        <f t="shared" si="361"/>
        <v>NO APLICA</v>
      </c>
      <c r="ME101" s="2"/>
      <c r="MF101" s="2"/>
      <c r="MG101" s="4"/>
      <c r="MH101" s="8"/>
      <c r="MI101" s="5" t="str">
        <f t="shared" si="333"/>
        <v>NO APLICA</v>
      </c>
      <c r="MJ101" s="2"/>
      <c r="MK101" s="2"/>
      <c r="ML101" s="4"/>
      <c r="MM101" s="8"/>
      <c r="MN101" s="5" t="str">
        <f t="shared" si="334"/>
        <v>NO APLICA</v>
      </c>
      <c r="MO101" s="5"/>
      <c r="MP101" s="2"/>
      <c r="MQ101" s="4"/>
      <c r="MR101" s="8"/>
      <c r="MS101" s="5" t="str">
        <f t="shared" si="335"/>
        <v>NO APLICA</v>
      </c>
      <c r="MT101" s="5"/>
      <c r="MU101" s="2"/>
      <c r="MV101" s="4"/>
      <c r="MW101" s="2"/>
      <c r="MX101" s="5" t="str">
        <f t="shared" si="336"/>
        <v>NO APLICA</v>
      </c>
      <c r="MY101" s="2"/>
      <c r="MZ101" s="6"/>
      <c r="NA101" s="4"/>
      <c r="NB101" s="8"/>
      <c r="NC101" s="5" t="str">
        <f t="shared" si="337"/>
        <v>NO APLICA</v>
      </c>
      <c r="ND101" s="2"/>
      <c r="NE101" s="6"/>
      <c r="NF101" s="4"/>
      <c r="NG101" s="8"/>
      <c r="NH101" s="5" t="str">
        <f t="shared" si="338"/>
        <v>NO APLICA</v>
      </c>
      <c r="NI101" s="2"/>
      <c r="NJ101" s="6"/>
      <c r="NK101" s="4"/>
      <c r="NL101" s="8"/>
      <c r="NM101" s="5" t="str">
        <f t="shared" si="339"/>
        <v>NO APLICA</v>
      </c>
      <c r="NN101" s="2"/>
      <c r="NO101" s="2"/>
      <c r="NP101" s="4"/>
      <c r="NQ101" s="8"/>
      <c r="NR101" s="5" t="str">
        <f t="shared" si="340"/>
        <v>NO APLICA</v>
      </c>
      <c r="NS101" s="2"/>
      <c r="NT101" s="2"/>
      <c r="NU101" s="2"/>
      <c r="NV101" s="2"/>
      <c r="NW101" s="5" t="str">
        <f t="shared" si="341"/>
        <v>NO APLICA</v>
      </c>
      <c r="NX101" s="6"/>
      <c r="NY101" s="6"/>
      <c r="NZ101" s="4"/>
      <c r="OA101" s="8"/>
      <c r="OB101" s="5" t="str">
        <f t="shared" si="342"/>
        <v>NO APLICA</v>
      </c>
      <c r="OC101" s="6"/>
      <c r="OD101" s="6"/>
      <c r="OE101" s="6"/>
      <c r="OF101" s="6"/>
      <c r="OG101" s="5" t="str">
        <f t="shared" si="343"/>
        <v>NO APLICA</v>
      </c>
      <c r="OH101" s="6"/>
      <c r="OI101" s="6"/>
      <c r="OJ101" s="4"/>
      <c r="OK101" s="8"/>
      <c r="OL101" s="5" t="str">
        <f t="shared" si="344"/>
        <v>NO APLICA</v>
      </c>
      <c r="OM101" s="6"/>
      <c r="ON101" s="6"/>
      <c r="OO101" s="6"/>
      <c r="OP101" s="6"/>
      <c r="OQ101" s="5" t="str">
        <f t="shared" si="345"/>
        <v>NO APLICA</v>
      </c>
      <c r="OR101" s="6"/>
      <c r="OS101" s="6"/>
      <c r="OT101" s="6"/>
      <c r="OU101" s="6"/>
      <c r="OV101" s="5" t="str">
        <f t="shared" si="346"/>
        <v>NO APLICA</v>
      </c>
      <c r="OW101" s="6"/>
      <c r="OX101" s="6"/>
      <c r="OY101" s="6"/>
      <c r="OZ101" s="6"/>
      <c r="PA101" s="5" t="str">
        <f t="shared" si="347"/>
        <v>NO APLICA</v>
      </c>
      <c r="PB101" s="6"/>
      <c r="PC101" s="6"/>
      <c r="PD101" s="6"/>
      <c r="PE101" s="6"/>
      <c r="PF101" s="5" t="str">
        <f t="shared" si="348"/>
        <v>NO APLICA</v>
      </c>
      <c r="PG101" s="6"/>
      <c r="PH101" s="6"/>
      <c r="PI101" s="6"/>
      <c r="PJ101" s="6"/>
      <c r="PK101" s="5" t="str">
        <f t="shared" si="349"/>
        <v>NO APLICA</v>
      </c>
      <c r="PL101" s="5"/>
      <c r="PM101" s="6"/>
      <c r="PN101" s="4"/>
      <c r="PO101" s="8"/>
      <c r="PP101" s="5" t="str">
        <f t="shared" si="350"/>
        <v>NO APLICA</v>
      </c>
      <c r="PQ101" s="6"/>
      <c r="PR101" s="6"/>
      <c r="PS101" s="6"/>
      <c r="PT101" s="6"/>
      <c r="PU101" s="5" t="str">
        <f t="shared" si="351"/>
        <v>NO APLICA</v>
      </c>
      <c r="PV101" s="5"/>
      <c r="PW101" s="6"/>
      <c r="PX101" s="6"/>
      <c r="PY101" s="6"/>
      <c r="PZ101" s="5" t="str">
        <f t="shared" si="352"/>
        <v>NO APLICA</v>
      </c>
    </row>
    <row r="102" spans="1:442" ht="15.6" hidden="1" thickTop="1" thickBot="1" x14ac:dyDescent="0.35">
      <c r="A102" s="26">
        <v>99</v>
      </c>
      <c r="B102" s="27">
        <v>811</v>
      </c>
      <c r="C102" s="28" t="s">
        <v>352</v>
      </c>
      <c r="D102" s="29" t="s">
        <v>68</v>
      </c>
      <c r="E102" s="30" t="s">
        <v>77</v>
      </c>
      <c r="F102" s="2"/>
      <c r="G102" s="6"/>
      <c r="H102" s="4"/>
      <c r="I102" s="8"/>
      <c r="J102" s="5" t="str">
        <f t="shared" si="242"/>
        <v>NO APLICA</v>
      </c>
      <c r="K102" s="2"/>
      <c r="L102" s="6"/>
      <c r="M102" s="6"/>
      <c r="N102" s="8"/>
      <c r="O102" s="5" t="str">
        <f t="shared" si="243"/>
        <v>NO APLICA</v>
      </c>
      <c r="P102" s="6"/>
      <c r="Q102" s="6"/>
      <c r="R102" s="4"/>
      <c r="S102" s="8"/>
      <c r="T102" s="5" t="str">
        <f t="shared" si="353"/>
        <v>NO APLICA</v>
      </c>
      <c r="U102" s="5"/>
      <c r="V102" s="2" t="s">
        <v>353</v>
      </c>
      <c r="W102" s="4">
        <v>44829</v>
      </c>
      <c r="X102" s="4">
        <f t="shared" si="244"/>
        <v>46655</v>
      </c>
      <c r="Y102" s="8">
        <f t="shared" ca="1" si="245"/>
        <v>510</v>
      </c>
      <c r="Z102" s="5" t="str">
        <f t="shared" ca="1" si="246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7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8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9"/>
        <v>544</v>
      </c>
      <c r="AP102" s="5" t="str">
        <f t="shared" ca="1" si="250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1"/>
        <v>581</v>
      </c>
      <c r="AU102" s="5" t="str">
        <f t="shared" ca="1" si="252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3"/>
        <v>557</v>
      </c>
      <c r="AZ102" s="5" t="str">
        <f t="shared" ca="1" si="254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5"/>
        <v>187</v>
      </c>
      <c r="BE102" s="5" t="str">
        <f t="shared" ca="1" si="256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7"/>
        <v>652</v>
      </c>
      <c r="BJ102" s="5" t="str">
        <f t="shared" ca="1" si="258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9"/>
        <v>620</v>
      </c>
      <c r="BO102" s="5" t="str">
        <f t="shared" ca="1" si="260"/>
        <v>VIGENTE</v>
      </c>
      <c r="BP102" s="3"/>
      <c r="BQ102" s="39">
        <v>46069</v>
      </c>
      <c r="BR102" s="4">
        <f>DATE(YEAR(BQ102)+2,MONTH(BQ102),DAY(BQ102))</f>
        <v>46799</v>
      </c>
      <c r="BS102" s="8">
        <f t="shared" ca="1" si="261"/>
        <v>654</v>
      </c>
      <c r="BT102" s="5" t="str">
        <f t="shared" ca="1" si="262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3"/>
        <v>279</v>
      </c>
      <c r="BY102" s="5" t="str">
        <f t="shared" ca="1" si="264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5"/>
        <v>559</v>
      </c>
      <c r="CD102" s="5" t="str">
        <f t="shared" ca="1" si="266"/>
        <v>VIGENTE</v>
      </c>
      <c r="CE102" s="6"/>
      <c r="CF102" s="4">
        <v>45282</v>
      </c>
      <c r="CG102" s="4">
        <f t="shared" si="387"/>
        <v>46743</v>
      </c>
      <c r="CH102" s="8">
        <f t="shared" ca="1" si="388"/>
        <v>598</v>
      </c>
      <c r="CI102" s="5" t="str">
        <f t="shared" ca="1" si="269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0"/>
        <v>272</v>
      </c>
      <c r="CN102" s="5" t="str">
        <f t="shared" ca="1" si="271"/>
        <v>VIGENTE</v>
      </c>
      <c r="CO102" s="3"/>
      <c r="CP102" s="39">
        <v>45726</v>
      </c>
      <c r="CQ102" s="4">
        <f>DATE(YEAR(CP102)+2,MONTH(CP102),DAY(CP102)-1)</f>
        <v>46455</v>
      </c>
      <c r="CR102" s="8">
        <f t="shared" ca="1" si="272"/>
        <v>310</v>
      </c>
      <c r="CS102" s="5" t="str">
        <f t="shared" ca="1" si="273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4"/>
        <v>215</v>
      </c>
      <c r="CX102" s="5" t="str">
        <f t="shared" ca="1" si="275"/>
        <v>VIGENTE</v>
      </c>
      <c r="CY102" s="3"/>
      <c r="CZ102" s="4">
        <v>45661</v>
      </c>
      <c r="DA102" s="4">
        <f t="shared" si="399"/>
        <v>46390</v>
      </c>
      <c r="DB102" s="8">
        <f t="shared" ca="1" si="276"/>
        <v>245</v>
      </c>
      <c r="DC102" s="5" t="str">
        <f t="shared" ca="1" si="277"/>
        <v>VIGENTE</v>
      </c>
      <c r="DD102" s="3"/>
      <c r="DE102" s="39">
        <v>45607</v>
      </c>
      <c r="DF102" s="4">
        <f>DATE(YEAR(DE102)+2,MONTH(DE102),DAY(DE102)-1)</f>
        <v>46336</v>
      </c>
      <c r="DG102" s="8">
        <f t="shared" ca="1" si="278"/>
        <v>191</v>
      </c>
      <c r="DH102" s="5" t="str">
        <f t="shared" ca="1" si="279"/>
        <v>VIGENTE</v>
      </c>
      <c r="DI102" s="3"/>
      <c r="DJ102" s="39">
        <v>45580</v>
      </c>
      <c r="DK102" s="4">
        <f>DATE(YEAR(DJ102)+2,MONTH(DJ102),DAY(DJ102)-1)</f>
        <v>46309</v>
      </c>
      <c r="DL102" s="8">
        <f t="shared" ca="1" si="280"/>
        <v>164</v>
      </c>
      <c r="DM102" s="5" t="str">
        <f t="shared" ca="1" si="281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2"/>
        <v>593</v>
      </c>
      <c r="DR102" s="5" t="str">
        <f t="shared" ca="1" si="283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4"/>
        <v>269</v>
      </c>
      <c r="DW102" s="5" t="str">
        <f t="shared" ca="1" si="285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6"/>
        <v>247</v>
      </c>
      <c r="EB102" s="5" t="str">
        <f t="shared" ca="1" si="287"/>
        <v>VIGENTE</v>
      </c>
      <c r="EC102" s="3"/>
      <c r="ED102" s="39">
        <v>45674</v>
      </c>
      <c r="EE102" s="4">
        <f>DATE(YEAR(ED102)+2,MONTH(ED102),DAY(ED102)-1)</f>
        <v>46403</v>
      </c>
      <c r="EF102" s="8">
        <f t="shared" ca="1" si="288"/>
        <v>258</v>
      </c>
      <c r="EG102" s="5" t="str">
        <f t="shared" ca="1" si="289"/>
        <v>VIGENTE</v>
      </c>
      <c r="EH102" s="3"/>
      <c r="EI102" s="3">
        <v>46085</v>
      </c>
      <c r="EJ102" s="4">
        <f t="shared" si="355"/>
        <v>46450</v>
      </c>
      <c r="EK102" s="8">
        <f t="shared" ca="1" si="290"/>
        <v>305</v>
      </c>
      <c r="EL102" s="5" t="str">
        <f t="shared" ca="1" si="291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2"/>
        <v>196</v>
      </c>
      <c r="EQ102" s="5" t="str">
        <f t="shared" ca="1" si="293"/>
        <v>VIGENTE</v>
      </c>
      <c r="ER102" s="2"/>
      <c r="ES102" s="39">
        <v>45755</v>
      </c>
      <c r="ET102" s="4">
        <f>DATE(YEAR(ES102)+2,MONTH(ES102),DAY(ES102)-1)</f>
        <v>46484</v>
      </c>
      <c r="EU102" s="8">
        <f t="shared" ca="1" si="294"/>
        <v>339</v>
      </c>
      <c r="EV102" s="5" t="str">
        <f t="shared" ca="1" si="295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6"/>
        <v>558</v>
      </c>
      <c r="FA102" s="5" t="str">
        <f t="shared" ca="1" si="297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8"/>
        <v>602</v>
      </c>
      <c r="FF102" s="5" t="str">
        <f t="shared" ca="1" si="299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0"/>
        <v>594</v>
      </c>
      <c r="FK102" s="5" t="str">
        <f t="shared" ca="1" si="301"/>
        <v>VIGENTE</v>
      </c>
      <c r="FL102" s="3"/>
      <c r="FM102" s="39">
        <v>45637</v>
      </c>
      <c r="FN102" s="4">
        <f>DATE(YEAR(FM102)+2,MONTH(FM102),DAY(FM102)-1)</f>
        <v>46366</v>
      </c>
      <c r="FO102" s="8">
        <f t="shared" ca="1" si="302"/>
        <v>221</v>
      </c>
      <c r="FP102" s="5" t="str">
        <f t="shared" ca="1" si="303"/>
        <v>VIGENTE</v>
      </c>
      <c r="FQ102" s="3"/>
      <c r="FR102" s="39">
        <v>45605</v>
      </c>
      <c r="FS102" s="4">
        <f>DATE(YEAR(FR102)+2,MONTH(FR102),DAY(FR102)-1)</f>
        <v>46334</v>
      </c>
      <c r="FT102" s="8">
        <f t="shared" ca="1" si="304"/>
        <v>189</v>
      </c>
      <c r="FU102" s="5" t="str">
        <f t="shared" ca="1" si="305"/>
        <v>VIGENTE</v>
      </c>
      <c r="FV102" s="3"/>
      <c r="FW102" s="4">
        <v>45587</v>
      </c>
      <c r="FX102" s="4">
        <f t="shared" si="400"/>
        <v>46316</v>
      </c>
      <c r="FY102" s="8">
        <f t="shared" ca="1" si="306"/>
        <v>171</v>
      </c>
      <c r="FZ102" s="5" t="str">
        <f t="shared" ca="1" si="307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8"/>
        <v>179</v>
      </c>
      <c r="GE102" s="5" t="str">
        <f t="shared" ca="1" si="309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0"/>
        <v>82</v>
      </c>
      <c r="GJ102" s="5" t="str">
        <f t="shared" ca="1" si="311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2"/>
        <v>543</v>
      </c>
      <c r="GO102" s="5" t="str">
        <f t="shared" ca="1" si="313"/>
        <v>VIGENTE</v>
      </c>
      <c r="GP102" s="4"/>
      <c r="GQ102" s="4">
        <v>45283</v>
      </c>
      <c r="GR102" s="4">
        <f t="shared" si="314"/>
        <v>47110</v>
      </c>
      <c r="GS102" s="8">
        <f t="shared" ca="1" si="384"/>
        <v>965</v>
      </c>
      <c r="GT102" s="5" t="str">
        <f t="shared" ca="1" si="378"/>
        <v>VIGENTE</v>
      </c>
      <c r="GU102" s="3"/>
      <c r="GV102" s="4">
        <v>45252</v>
      </c>
      <c r="GW102" s="4">
        <f t="shared" si="316"/>
        <v>47079</v>
      </c>
      <c r="GX102" s="8">
        <f t="shared" ca="1" si="317"/>
        <v>934</v>
      </c>
      <c r="GY102" s="5" t="str">
        <f t="shared" ca="1" si="379"/>
        <v>VIGENTE</v>
      </c>
      <c r="GZ102" s="3"/>
      <c r="HA102" s="4">
        <v>45251</v>
      </c>
      <c r="HB102" s="4">
        <f t="shared" si="319"/>
        <v>47078</v>
      </c>
      <c r="HC102" s="8">
        <f t="shared" ca="1" si="320"/>
        <v>933</v>
      </c>
      <c r="HD102" s="5" t="str">
        <f t="shared" ca="1" si="401"/>
        <v>VIGENTE</v>
      </c>
      <c r="HE102" s="6"/>
      <c r="HF102" s="4">
        <v>44862</v>
      </c>
      <c r="HG102" s="4">
        <f t="shared" si="402"/>
        <v>46688</v>
      </c>
      <c r="HH102" s="8">
        <f t="shared" ca="1" si="403"/>
        <v>543</v>
      </c>
      <c r="HI102" s="5" t="str">
        <f t="shared" ca="1" si="404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2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3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4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5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6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7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8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9"/>
        <v>VIGENTE</v>
      </c>
      <c r="JC102" s="3" t="s">
        <v>780</v>
      </c>
      <c r="JD102" s="3"/>
      <c r="JE102" s="4"/>
      <c r="JF102" s="8"/>
      <c r="JG102" s="5"/>
      <c r="JH102" s="3" t="s">
        <v>780</v>
      </c>
      <c r="JI102" s="6"/>
      <c r="JJ102" s="6"/>
      <c r="JK102" s="6"/>
      <c r="JL102" s="5"/>
      <c r="JM102" s="6" t="s">
        <v>780</v>
      </c>
      <c r="JN102" s="6"/>
      <c r="JO102" s="6"/>
      <c r="JP102" s="6"/>
      <c r="JQ102" s="5"/>
      <c r="JR102" s="6" t="s">
        <v>780</v>
      </c>
      <c r="JS102" s="6"/>
      <c r="JT102" s="6"/>
      <c r="JU102" s="6"/>
      <c r="JV102" s="5"/>
      <c r="JW102" s="6" t="s">
        <v>780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30"/>
        <v>NO APLICA</v>
      </c>
      <c r="KG102" s="5"/>
      <c r="KH102" s="2"/>
      <c r="KI102" s="4"/>
      <c r="KJ102" s="8"/>
      <c r="KK102" s="5" t="str">
        <f t="shared" si="356"/>
        <v>NO APLICA</v>
      </c>
      <c r="KL102" s="5"/>
      <c r="KM102" s="2"/>
      <c r="KN102" s="4"/>
      <c r="KO102" s="8"/>
      <c r="KP102" s="5" t="str">
        <f t="shared" si="331"/>
        <v>NO APLICA</v>
      </c>
      <c r="KQ102" s="5"/>
      <c r="KR102" s="2"/>
      <c r="KS102" s="4"/>
      <c r="KT102" s="8"/>
      <c r="KU102" s="5" t="str">
        <f t="shared" si="357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6"/>
        <v>VIGENTE</v>
      </c>
      <c r="LA102" s="5"/>
      <c r="LB102" s="6"/>
      <c r="LC102" s="4"/>
      <c r="LD102" s="8"/>
      <c r="LE102" s="5" t="str">
        <f t="shared" si="358"/>
        <v>NO APLICA</v>
      </c>
      <c r="LF102" s="4"/>
      <c r="LG102" s="4"/>
      <c r="LH102" s="4"/>
      <c r="LI102" s="8"/>
      <c r="LJ102" s="5" t="str">
        <f t="shared" si="332"/>
        <v>NO APLICA</v>
      </c>
      <c r="LK102" s="5"/>
      <c r="LL102" s="5"/>
      <c r="LM102" s="4"/>
      <c r="LN102" s="8"/>
      <c r="LO102" s="5" t="str">
        <f t="shared" si="367"/>
        <v>NO APLICA</v>
      </c>
      <c r="LP102" s="2"/>
      <c r="LQ102" s="6"/>
      <c r="LR102" s="4"/>
      <c r="LS102" s="8"/>
      <c r="LT102" s="5" t="str">
        <f t="shared" si="359"/>
        <v>NO APLICA</v>
      </c>
      <c r="LU102" s="6"/>
      <c r="LV102" s="6"/>
      <c r="LW102" s="4"/>
      <c r="LX102" s="8"/>
      <c r="LY102" s="5" t="str">
        <f t="shared" si="360"/>
        <v>NO APLICA</v>
      </c>
      <c r="LZ102" s="6"/>
      <c r="MA102" s="6"/>
      <c r="MB102" s="4"/>
      <c r="MC102" s="8"/>
      <c r="MD102" s="5" t="str">
        <f t="shared" si="361"/>
        <v>NO APLICA</v>
      </c>
      <c r="ME102" s="2"/>
      <c r="MF102" s="2"/>
      <c r="MG102" s="4"/>
      <c r="MH102" s="8"/>
      <c r="MI102" s="5" t="str">
        <f t="shared" si="333"/>
        <v>NO APLICA</v>
      </c>
      <c r="MJ102" s="2"/>
      <c r="MK102" s="2"/>
      <c r="ML102" s="4"/>
      <c r="MM102" s="8"/>
      <c r="MN102" s="5" t="str">
        <f t="shared" si="334"/>
        <v>NO APLICA</v>
      </c>
      <c r="MO102" s="5"/>
      <c r="MP102" s="2"/>
      <c r="MQ102" s="4"/>
      <c r="MR102" s="8"/>
      <c r="MS102" s="5" t="str">
        <f t="shared" si="335"/>
        <v>NO APLICA</v>
      </c>
      <c r="MT102" s="5"/>
      <c r="MU102" s="2"/>
      <c r="MV102" s="4"/>
      <c r="MW102" s="2"/>
      <c r="MX102" s="5" t="str">
        <f t="shared" si="336"/>
        <v>NO APLICA</v>
      </c>
      <c r="MY102" s="2"/>
      <c r="MZ102" s="6"/>
      <c r="NA102" s="4"/>
      <c r="NB102" s="8"/>
      <c r="NC102" s="5" t="str">
        <f t="shared" si="337"/>
        <v>NO APLICA</v>
      </c>
      <c r="ND102" s="2"/>
      <c r="NE102" s="6"/>
      <c r="NF102" s="4"/>
      <c r="NG102" s="8"/>
      <c r="NH102" s="5" t="str">
        <f t="shared" si="338"/>
        <v>NO APLICA</v>
      </c>
      <c r="NI102" s="2"/>
      <c r="NJ102" s="6"/>
      <c r="NK102" s="4"/>
      <c r="NL102" s="8"/>
      <c r="NM102" s="5" t="str">
        <f t="shared" si="339"/>
        <v>NO APLICA</v>
      </c>
      <c r="NN102" s="2"/>
      <c r="NO102" s="2"/>
      <c r="NP102" s="4"/>
      <c r="NQ102" s="8"/>
      <c r="NR102" s="5" t="str">
        <f t="shared" si="340"/>
        <v>NO APLICA</v>
      </c>
      <c r="NS102" s="2"/>
      <c r="NT102" s="2"/>
      <c r="NU102" s="2"/>
      <c r="NV102" s="2"/>
      <c r="NW102" s="5" t="str">
        <f t="shared" si="341"/>
        <v>NO APLICA</v>
      </c>
      <c r="NX102" s="6"/>
      <c r="NY102" s="6"/>
      <c r="NZ102" s="4"/>
      <c r="OA102" s="8"/>
      <c r="OB102" s="5" t="str">
        <f t="shared" si="342"/>
        <v>NO APLICA</v>
      </c>
      <c r="OC102" s="6"/>
      <c r="OD102" s="6"/>
      <c r="OE102" s="6"/>
      <c r="OF102" s="6"/>
      <c r="OG102" s="5" t="str">
        <f t="shared" si="343"/>
        <v>NO APLICA</v>
      </c>
      <c r="OH102" s="6"/>
      <c r="OI102" s="6"/>
      <c r="OJ102" s="4"/>
      <c r="OK102" s="8"/>
      <c r="OL102" s="5" t="str">
        <f t="shared" si="344"/>
        <v>NO APLICA</v>
      </c>
      <c r="OM102" s="6"/>
      <c r="ON102" s="6"/>
      <c r="OO102" s="6"/>
      <c r="OP102" s="6"/>
      <c r="OQ102" s="5" t="str">
        <f t="shared" si="345"/>
        <v>NO APLICA</v>
      </c>
      <c r="OR102" s="6"/>
      <c r="OS102" s="6"/>
      <c r="OT102" s="6"/>
      <c r="OU102" s="6"/>
      <c r="OV102" s="5" t="str">
        <f t="shared" si="346"/>
        <v>NO APLICA</v>
      </c>
      <c r="OW102" s="6"/>
      <c r="OX102" s="6"/>
      <c r="OY102" s="6"/>
      <c r="OZ102" s="6"/>
      <c r="PA102" s="5" t="str">
        <f t="shared" si="347"/>
        <v>NO APLICA</v>
      </c>
      <c r="PB102" s="6"/>
      <c r="PC102" s="6"/>
      <c r="PD102" s="6"/>
      <c r="PE102" s="6"/>
      <c r="PF102" s="5" t="str">
        <f t="shared" si="348"/>
        <v>NO APLICA</v>
      </c>
      <c r="PG102" s="6"/>
      <c r="PH102" s="6"/>
      <c r="PI102" s="6"/>
      <c r="PJ102" s="6"/>
      <c r="PK102" s="5" t="str">
        <f t="shared" si="349"/>
        <v>NO APLICA</v>
      </c>
      <c r="PL102" s="5"/>
      <c r="PM102" s="6"/>
      <c r="PN102" s="4"/>
      <c r="PO102" s="8"/>
      <c r="PP102" s="5" t="str">
        <f t="shared" si="350"/>
        <v>NO APLICA</v>
      </c>
      <c r="PQ102" s="6"/>
      <c r="PR102" s="6"/>
      <c r="PS102" s="6"/>
      <c r="PT102" s="6"/>
      <c r="PU102" s="5" t="str">
        <f t="shared" si="351"/>
        <v>NO APLICA</v>
      </c>
      <c r="PV102" s="5"/>
      <c r="PW102" s="6"/>
      <c r="PX102" s="6"/>
      <c r="PY102" s="6"/>
      <c r="PZ102" s="5" t="str">
        <f t="shared" si="352"/>
        <v>NO APLICA</v>
      </c>
    </row>
    <row r="103" spans="1:442" ht="15.6" hidden="1" thickTop="1" thickBot="1" x14ac:dyDescent="0.35">
      <c r="A103" s="26">
        <v>100</v>
      </c>
      <c r="B103" s="27">
        <v>323</v>
      </c>
      <c r="C103" s="28" t="s">
        <v>760</v>
      </c>
      <c r="D103" s="29" t="s">
        <v>68</v>
      </c>
      <c r="E103" s="30" t="s">
        <v>355</v>
      </c>
      <c r="F103" s="5"/>
      <c r="G103" s="6"/>
      <c r="H103" s="4"/>
      <c r="I103" s="8"/>
      <c r="J103" s="5" t="str">
        <f t="shared" si="242"/>
        <v>NO APLICA</v>
      </c>
      <c r="K103" s="5"/>
      <c r="L103" s="6"/>
      <c r="M103" s="6"/>
      <c r="N103" s="8"/>
      <c r="O103" s="5" t="str">
        <f t="shared" si="243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3"/>
        <v>VIGENTE</v>
      </c>
      <c r="U103" s="5"/>
      <c r="V103" s="2" t="s">
        <v>356</v>
      </c>
      <c r="W103" s="4">
        <v>44918</v>
      </c>
      <c r="X103" s="4">
        <f t="shared" si="244"/>
        <v>46744</v>
      </c>
      <c r="Y103" s="8">
        <f t="shared" ca="1" si="245"/>
        <v>599</v>
      </c>
      <c r="Z103" s="5" t="str">
        <f t="shared" ca="1" si="246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7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8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9"/>
        <v>294</v>
      </c>
      <c r="AP103" s="5" t="str">
        <f t="shared" ca="1" si="250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1"/>
        <v>287</v>
      </c>
      <c r="AU103" s="5" t="str">
        <f t="shared" ca="1" si="252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3"/>
        <v>286</v>
      </c>
      <c r="AZ103" s="5" t="str">
        <f t="shared" ca="1" si="254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5"/>
        <v>187</v>
      </c>
      <c r="BE103" s="5" t="str">
        <f t="shared" ca="1" si="256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7"/>
        <v>189</v>
      </c>
      <c r="BJ103" s="5" t="str">
        <f t="shared" ca="1" si="258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9"/>
        <v>184</v>
      </c>
      <c r="BO103" s="5" t="str">
        <f t="shared" ca="1" si="260"/>
        <v>VIGENTE</v>
      </c>
      <c r="BP103" s="3"/>
      <c r="BQ103" s="39">
        <v>45701</v>
      </c>
      <c r="BR103" s="4">
        <f>DATE(YEAR(BQ103)+2,MONTH(BQ103),DAY(BQ103)-1)</f>
        <v>46430</v>
      </c>
      <c r="BS103" s="8">
        <f t="shared" ca="1" si="261"/>
        <v>285</v>
      </c>
      <c r="BT103" s="5" t="str">
        <f t="shared" ca="1" si="262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3"/>
        <v>156</v>
      </c>
      <c r="BY103" s="5" t="str">
        <f t="shared" ca="1" si="264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5"/>
        <v>213</v>
      </c>
      <c r="CD103" s="5" t="str">
        <f t="shared" ca="1" si="266"/>
        <v>VIGENTE</v>
      </c>
      <c r="CE103" s="6"/>
      <c r="CF103" s="4">
        <v>45282</v>
      </c>
      <c r="CG103" s="4">
        <f t="shared" si="387"/>
        <v>46743</v>
      </c>
      <c r="CH103" s="8">
        <f t="shared" ca="1" si="388"/>
        <v>598</v>
      </c>
      <c r="CI103" s="5" t="str">
        <f t="shared" ca="1" si="269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0"/>
        <v>185</v>
      </c>
      <c r="CN103" s="5" t="str">
        <f t="shared" ca="1" si="271"/>
        <v>VIGENTE</v>
      </c>
      <c r="CO103" s="3"/>
      <c r="CP103" s="39">
        <v>45618</v>
      </c>
      <c r="CQ103" s="4">
        <f>DATE(YEAR(CP103)+2,MONTH(CP103),DAY(CP103)-1)</f>
        <v>46347</v>
      </c>
      <c r="CR103" s="8">
        <f t="shared" ca="1" si="272"/>
        <v>202</v>
      </c>
      <c r="CS103" s="5" t="str">
        <f t="shared" ca="1" si="273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4"/>
        <v>215</v>
      </c>
      <c r="CX103" s="5" t="str">
        <f t="shared" ca="1" si="275"/>
        <v>VIGENTE</v>
      </c>
      <c r="CY103" s="3"/>
      <c r="CZ103" s="4">
        <v>45646</v>
      </c>
      <c r="DA103" s="4">
        <f t="shared" si="399"/>
        <v>46375</v>
      </c>
      <c r="DB103" s="8">
        <f t="shared" ca="1" si="276"/>
        <v>230</v>
      </c>
      <c r="DC103" s="5" t="str">
        <f t="shared" ca="1" si="277"/>
        <v>VIGENTE</v>
      </c>
      <c r="DD103" s="3"/>
      <c r="DE103" s="39">
        <v>45689</v>
      </c>
      <c r="DF103" s="4">
        <f>DATE(YEAR(DE103)+2,MONTH(DE103),DAY(DE103)-1)</f>
        <v>46418</v>
      </c>
      <c r="DG103" s="8">
        <f t="shared" ca="1" si="278"/>
        <v>273</v>
      </c>
      <c r="DH103" s="5" t="str">
        <f t="shared" ca="1" si="279"/>
        <v>VIGENTE</v>
      </c>
      <c r="DI103" s="3"/>
      <c r="DJ103" s="39">
        <v>45696</v>
      </c>
      <c r="DK103" s="4">
        <f>DATE(YEAR(DJ103)+2,MONTH(DJ103),DAY(DJ103)-1)</f>
        <v>46425</v>
      </c>
      <c r="DL103" s="8">
        <f t="shared" ca="1" si="280"/>
        <v>280</v>
      </c>
      <c r="DM103" s="5" t="str">
        <f t="shared" ca="1" si="281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2"/>
        <v>161</v>
      </c>
      <c r="DR103" s="5" t="str">
        <f t="shared" ca="1" si="283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4"/>
        <v>203</v>
      </c>
      <c r="DW103" s="5" t="str">
        <f t="shared" ca="1" si="285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6"/>
        <v>166</v>
      </c>
      <c r="EB103" s="5" t="str">
        <f t="shared" ca="1" si="287"/>
        <v>VIGENTE</v>
      </c>
      <c r="EC103" s="3"/>
      <c r="ED103" s="39">
        <v>45602</v>
      </c>
      <c r="EE103" s="4">
        <f>DATE(YEAR(ED103)+2,MONTH(ED103),DAY(ED103)-1)</f>
        <v>46331</v>
      </c>
      <c r="EF103" s="8">
        <f t="shared" ca="1" si="288"/>
        <v>186</v>
      </c>
      <c r="EG103" s="5" t="str">
        <f t="shared" ca="1" si="289"/>
        <v>VIGENTE</v>
      </c>
      <c r="EH103" s="3"/>
      <c r="EI103" s="4">
        <v>46115</v>
      </c>
      <c r="EJ103" s="4">
        <f t="shared" si="355"/>
        <v>46480</v>
      </c>
      <c r="EK103" s="8">
        <f t="shared" ca="1" si="290"/>
        <v>335</v>
      </c>
      <c r="EL103" s="5" t="str">
        <f t="shared" ca="1" si="291"/>
        <v>VIGENTE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2"/>
        <v>255</v>
      </c>
      <c r="EQ103" s="5" t="str">
        <f t="shared" ca="1" si="293"/>
        <v>VIGENTE</v>
      </c>
      <c r="ER103" s="3"/>
      <c r="ES103" s="39">
        <v>45575</v>
      </c>
      <c r="ET103" s="4">
        <f>DATE(YEAR(ES103)+2,MONTH(ES103),DAY(ES103)-1)</f>
        <v>46304</v>
      </c>
      <c r="EU103" s="8">
        <f t="shared" ca="1" si="294"/>
        <v>159</v>
      </c>
      <c r="EV103" s="5" t="str">
        <f t="shared" ca="1" si="295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6"/>
        <v>194</v>
      </c>
      <c r="FA103" s="5" t="str">
        <f t="shared" ca="1" si="297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8"/>
        <v>195</v>
      </c>
      <c r="FF103" s="5" t="str">
        <f t="shared" ca="1" si="299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0"/>
        <v>252</v>
      </c>
      <c r="FK103" s="5" t="str">
        <f t="shared" ca="1" si="301"/>
        <v>VIGENTE</v>
      </c>
      <c r="FL103" s="3"/>
      <c r="FM103" s="39">
        <v>45588</v>
      </c>
      <c r="FN103" s="4">
        <f>DATE(YEAR(FM103)+2,MONTH(FM103),DAY(FM103)-1)</f>
        <v>46317</v>
      </c>
      <c r="FO103" s="8">
        <f t="shared" ca="1" si="302"/>
        <v>172</v>
      </c>
      <c r="FP103" s="5" t="str">
        <f t="shared" ca="1" si="303"/>
        <v>VIGENTE</v>
      </c>
      <c r="FQ103" s="3"/>
      <c r="FR103" s="39">
        <v>45664</v>
      </c>
      <c r="FS103" s="4">
        <f>DATE(YEAR(FR103)+2,MONTH(FR103),DAY(FR103)-1)</f>
        <v>46393</v>
      </c>
      <c r="FT103" s="8">
        <f t="shared" ca="1" si="304"/>
        <v>248</v>
      </c>
      <c r="FU103" s="5" t="str">
        <f t="shared" ca="1" si="305"/>
        <v>VIGENTE</v>
      </c>
      <c r="FV103" s="3"/>
      <c r="FW103" s="4">
        <v>45700</v>
      </c>
      <c r="FX103" s="4">
        <f t="shared" si="400"/>
        <v>46429</v>
      </c>
      <c r="FY103" s="8">
        <f t="shared" ca="1" si="306"/>
        <v>284</v>
      </c>
      <c r="FZ103" s="5" t="str">
        <f t="shared" ca="1" si="307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8"/>
        <v>251</v>
      </c>
      <c r="GE103" s="5" t="str">
        <f t="shared" ca="1" si="309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0"/>
        <v>256</v>
      </c>
      <c r="GJ103" s="5" t="str">
        <f t="shared" ca="1" si="311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2"/>
        <v>192</v>
      </c>
      <c r="GO103" s="5" t="str">
        <f t="shared" ca="1" si="313"/>
        <v>VIGENTE</v>
      </c>
      <c r="GP103" s="4"/>
      <c r="GQ103" s="4">
        <v>44952</v>
      </c>
      <c r="GR103" s="4">
        <f t="shared" si="314"/>
        <v>46778</v>
      </c>
      <c r="GS103" s="8">
        <f t="shared" ca="1" si="384"/>
        <v>633</v>
      </c>
      <c r="GT103" s="5" t="str">
        <f t="shared" ca="1" si="378"/>
        <v>VIGENTE</v>
      </c>
      <c r="GU103" s="3"/>
      <c r="GV103" s="4">
        <v>44961</v>
      </c>
      <c r="GW103" s="4">
        <f t="shared" si="316"/>
        <v>46787</v>
      </c>
      <c r="GX103" s="8">
        <f t="shared" ca="1" si="317"/>
        <v>642</v>
      </c>
      <c r="GY103" s="5" t="str">
        <f t="shared" ca="1" si="379"/>
        <v>VIGENTE</v>
      </c>
      <c r="GZ103" s="2"/>
      <c r="HA103" s="4">
        <v>44980</v>
      </c>
      <c r="HB103" s="4">
        <f t="shared" si="319"/>
        <v>46806</v>
      </c>
      <c r="HC103" s="8">
        <f t="shared" ca="1" si="320"/>
        <v>661</v>
      </c>
      <c r="HD103" s="5" t="str">
        <f t="shared" ca="1" si="401"/>
        <v>VIGENTE</v>
      </c>
      <c r="HE103" s="6"/>
      <c r="HF103" s="4">
        <v>45115</v>
      </c>
      <c r="HG103" s="4">
        <f t="shared" si="402"/>
        <v>46942</v>
      </c>
      <c r="HH103" s="8">
        <f t="shared" ca="1" si="403"/>
        <v>797</v>
      </c>
      <c r="HI103" s="5" t="str">
        <f t="shared" ca="1" si="404"/>
        <v>VIGENTE</v>
      </c>
      <c r="HJ103" s="2"/>
      <c r="HK103" s="6"/>
      <c r="HL103" s="4"/>
      <c r="HM103" s="8"/>
      <c r="HN103" s="5" t="str">
        <f t="shared" si="385"/>
        <v>NO APLICA</v>
      </c>
      <c r="HO103" s="2"/>
      <c r="HP103" s="5"/>
      <c r="HQ103" s="4"/>
      <c r="HR103" s="5"/>
      <c r="HS103" s="5" t="str">
        <f t="shared" si="322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3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4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5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6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7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8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9"/>
        <v>VIGENTE</v>
      </c>
      <c r="JC103" s="3" t="s">
        <v>780</v>
      </c>
      <c r="JD103" s="3"/>
      <c r="JE103" s="4"/>
      <c r="JF103" s="8"/>
      <c r="JG103" s="5"/>
      <c r="JH103" s="3" t="s">
        <v>780</v>
      </c>
      <c r="JI103" s="6"/>
      <c r="JJ103" s="6"/>
      <c r="JK103" s="6"/>
      <c r="JL103" s="5"/>
      <c r="JM103" s="6" t="s">
        <v>780</v>
      </c>
      <c r="JN103" s="6"/>
      <c r="JO103" s="6"/>
      <c r="JP103" s="6"/>
      <c r="JQ103" s="5"/>
      <c r="JR103" s="6" t="s">
        <v>780</v>
      </c>
      <c r="JS103" s="6"/>
      <c r="JT103" s="6"/>
      <c r="JU103" s="6"/>
      <c r="JV103" s="5"/>
      <c r="JW103" s="6" t="s">
        <v>780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30"/>
        <v>NO APLICA</v>
      </c>
      <c r="KG103" s="5"/>
      <c r="KH103" s="5"/>
      <c r="KI103" s="4"/>
      <c r="KJ103" s="8"/>
      <c r="KK103" s="5" t="str">
        <f t="shared" si="356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1"/>
        <v>VIGENTE</v>
      </c>
      <c r="KQ103" s="5"/>
      <c r="KR103" s="2"/>
      <c r="KS103" s="4"/>
      <c r="KT103" s="8"/>
      <c r="KU103" s="5" t="str">
        <f t="shared" si="357"/>
        <v>NO APLICA</v>
      </c>
      <c r="KV103" s="2"/>
      <c r="KW103" s="6"/>
      <c r="KX103" s="4"/>
      <c r="KY103" s="8"/>
      <c r="KZ103" s="5" t="str">
        <f t="shared" si="366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8"/>
        <v>VIGENTE</v>
      </c>
      <c r="LF103" s="6"/>
      <c r="LG103" s="6"/>
      <c r="LH103" s="4"/>
      <c r="LI103" s="8"/>
      <c r="LJ103" s="5" t="str">
        <f t="shared" si="332"/>
        <v>NO APLICA</v>
      </c>
      <c r="LK103" s="5"/>
      <c r="LL103" s="5"/>
      <c r="LM103" s="4"/>
      <c r="LN103" s="8"/>
      <c r="LO103" s="5" t="str">
        <f t="shared" si="367"/>
        <v>NO APLICA</v>
      </c>
      <c r="LP103" s="5"/>
      <c r="LQ103" s="6"/>
      <c r="LR103" s="4"/>
      <c r="LS103" s="8"/>
      <c r="LT103" s="5" t="str">
        <f t="shared" si="359"/>
        <v>NO APLICA</v>
      </c>
      <c r="LU103" s="6"/>
      <c r="LV103" s="6"/>
      <c r="LW103" s="4"/>
      <c r="LX103" s="8"/>
      <c r="LY103" s="5" t="str">
        <f t="shared" si="360"/>
        <v>NO APLICA</v>
      </c>
      <c r="LZ103" s="6"/>
      <c r="MA103" s="6"/>
      <c r="MB103" s="4"/>
      <c r="MC103" s="8"/>
      <c r="MD103" s="5" t="str">
        <f t="shared" si="361"/>
        <v>NO APLICA</v>
      </c>
      <c r="ME103" s="5"/>
      <c r="MF103" s="5"/>
      <c r="MG103" s="4"/>
      <c r="MH103" s="8"/>
      <c r="MI103" s="5" t="str">
        <f t="shared" si="333"/>
        <v>NO APLICA</v>
      </c>
      <c r="MJ103" s="5"/>
      <c r="MK103" s="5"/>
      <c r="ML103" s="4"/>
      <c r="MM103" s="8"/>
      <c r="MN103" s="5" t="str">
        <f t="shared" si="334"/>
        <v>NO APLICA</v>
      </c>
      <c r="MO103" s="5"/>
      <c r="MP103" s="5"/>
      <c r="MQ103" s="4"/>
      <c r="MR103" s="8"/>
      <c r="MS103" s="5" t="str">
        <f t="shared" si="335"/>
        <v>NO APLICA</v>
      </c>
      <c r="MT103" s="5"/>
      <c r="MU103" s="5"/>
      <c r="MV103" s="4"/>
      <c r="MW103" s="5"/>
      <c r="MX103" s="5" t="str">
        <f t="shared" si="336"/>
        <v>NO APLICA</v>
      </c>
      <c r="MY103" s="5"/>
      <c r="MZ103" s="6"/>
      <c r="NA103" s="4"/>
      <c r="NB103" s="8"/>
      <c r="NC103" s="5" t="str">
        <f t="shared" si="337"/>
        <v>NO APLICA</v>
      </c>
      <c r="ND103" s="5"/>
      <c r="NE103" s="6"/>
      <c r="NF103" s="4"/>
      <c r="NG103" s="8"/>
      <c r="NH103" s="5" t="str">
        <f t="shared" si="338"/>
        <v>NO APLICA</v>
      </c>
      <c r="NI103" s="5"/>
      <c r="NJ103" s="6"/>
      <c r="NK103" s="4"/>
      <c r="NL103" s="8"/>
      <c r="NM103" s="5" t="str">
        <f t="shared" si="339"/>
        <v>NO APLICA</v>
      </c>
      <c r="NN103" s="5"/>
      <c r="NO103" s="5"/>
      <c r="NP103" s="4"/>
      <c r="NQ103" s="8"/>
      <c r="NR103" s="5" t="str">
        <f t="shared" si="340"/>
        <v>NO APLICA</v>
      </c>
      <c r="NS103" s="5"/>
      <c r="NT103" s="5"/>
      <c r="NU103" s="5"/>
      <c r="NV103" s="5"/>
      <c r="NW103" s="5" t="str">
        <f t="shared" si="341"/>
        <v>NO APLICA</v>
      </c>
      <c r="NX103" s="6"/>
      <c r="NY103" s="6"/>
      <c r="NZ103" s="6"/>
      <c r="OA103" s="6"/>
      <c r="OB103" s="5" t="str">
        <f t="shared" si="342"/>
        <v>NO APLICA</v>
      </c>
      <c r="OC103" s="6"/>
      <c r="OD103" s="6"/>
      <c r="OE103" s="6"/>
      <c r="OF103" s="6"/>
      <c r="OG103" s="5" t="str">
        <f t="shared" si="343"/>
        <v>NO APLICA</v>
      </c>
      <c r="OH103" s="5"/>
      <c r="OI103" s="5"/>
      <c r="OJ103" s="4"/>
      <c r="OK103" s="8"/>
      <c r="OL103" s="5" t="str">
        <f t="shared" si="344"/>
        <v>NO APLICA</v>
      </c>
      <c r="OM103" s="6"/>
      <c r="ON103" s="6"/>
      <c r="OO103" s="6"/>
      <c r="OP103" s="6"/>
      <c r="OQ103" s="5" t="str">
        <f t="shared" si="345"/>
        <v>NO APLICA</v>
      </c>
      <c r="OR103" s="6"/>
      <c r="OS103" s="6"/>
      <c r="OT103" s="6"/>
      <c r="OU103" s="6"/>
      <c r="OV103" s="5" t="str">
        <f t="shared" si="346"/>
        <v>NO APLICA</v>
      </c>
      <c r="OW103" s="6"/>
      <c r="OX103" s="6"/>
      <c r="OY103" s="6"/>
      <c r="OZ103" s="6"/>
      <c r="PA103" s="5" t="str">
        <f t="shared" si="347"/>
        <v>NO APLICA</v>
      </c>
      <c r="PB103" s="6"/>
      <c r="PC103" s="6"/>
      <c r="PD103" s="6"/>
      <c r="PE103" s="6"/>
      <c r="PF103" s="5" t="str">
        <f t="shared" si="348"/>
        <v>NO APLICA</v>
      </c>
      <c r="PG103" s="6"/>
      <c r="PH103" s="6"/>
      <c r="PI103" s="6"/>
      <c r="PJ103" s="6"/>
      <c r="PK103" s="5" t="str">
        <f t="shared" si="349"/>
        <v>NO APLICA</v>
      </c>
      <c r="PL103" s="5"/>
      <c r="PM103" s="6"/>
      <c r="PN103" s="4"/>
      <c r="PO103" s="8"/>
      <c r="PP103" s="5" t="str">
        <f t="shared" si="350"/>
        <v>NO APLICA</v>
      </c>
      <c r="PQ103" s="6"/>
      <c r="PR103" s="6"/>
      <c r="PS103" s="6"/>
      <c r="PT103" s="6"/>
      <c r="PU103" s="5" t="str">
        <f t="shared" si="351"/>
        <v>NO APLICA</v>
      </c>
      <c r="PV103" s="5"/>
      <c r="PW103" s="6"/>
      <c r="PX103" s="6"/>
      <c r="PY103" s="6"/>
      <c r="PZ103" s="5" t="str">
        <f t="shared" si="352"/>
        <v>NO APLICA</v>
      </c>
    </row>
    <row r="104" spans="1:442" ht="15.6" hidden="1" thickTop="1" thickBot="1" x14ac:dyDescent="0.35">
      <c r="A104" s="26">
        <v>101</v>
      </c>
      <c r="B104" s="31">
        <v>1716</v>
      </c>
      <c r="C104" s="28" t="s">
        <v>358</v>
      </c>
      <c r="D104" s="29" t="s">
        <v>64</v>
      </c>
      <c r="E104" s="30" t="s">
        <v>81</v>
      </c>
      <c r="F104" s="6"/>
      <c r="G104" s="6"/>
      <c r="H104" s="6"/>
      <c r="I104" s="6"/>
      <c r="J104" s="5" t="str">
        <f t="shared" si="242"/>
        <v>NO APLICA</v>
      </c>
      <c r="K104" s="6"/>
      <c r="L104" s="6"/>
      <c r="M104" s="6"/>
      <c r="N104" s="6"/>
      <c r="O104" s="5" t="str">
        <f t="shared" si="243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3"/>
        <v>VIGENTE</v>
      </c>
      <c r="U104" s="5"/>
      <c r="V104" s="6" t="s">
        <v>359</v>
      </c>
      <c r="W104" s="4">
        <v>45309</v>
      </c>
      <c r="X104" s="4">
        <f t="shared" si="244"/>
        <v>47136</v>
      </c>
      <c r="Y104" s="8">
        <f t="shared" ca="1" si="245"/>
        <v>991</v>
      </c>
      <c r="Z104" s="5" t="str">
        <f t="shared" ca="1" si="246"/>
        <v>VIGENTE</v>
      </c>
      <c r="AA104" s="5"/>
      <c r="AB104" s="6"/>
      <c r="AC104" s="6"/>
      <c r="AD104" s="4"/>
      <c r="AE104" s="8"/>
      <c r="AF104" s="5" t="str">
        <f t="shared" si="247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8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9"/>
        <v>522</v>
      </c>
      <c r="AP104" s="5" t="str">
        <f t="shared" ca="1" si="250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1"/>
        <v>574</v>
      </c>
      <c r="AU104" s="5" t="str">
        <f t="shared" ca="1" si="252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3"/>
        <v>557</v>
      </c>
      <c r="AZ104" s="5" t="str">
        <f t="shared" ca="1" si="254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5"/>
        <v>626</v>
      </c>
      <c r="BE104" s="5" t="str">
        <f t="shared" ca="1" si="256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7"/>
        <v>582</v>
      </c>
      <c r="BJ104" s="5" t="str">
        <f t="shared" ca="1" si="258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9"/>
        <v>602</v>
      </c>
      <c r="BO104" s="5" t="str">
        <f t="shared" ca="1" si="260"/>
        <v>VIGENTE</v>
      </c>
      <c r="BP104" s="4"/>
      <c r="BQ104" s="39">
        <v>46050</v>
      </c>
      <c r="BR104" s="4">
        <f>DATE(YEAR(BQ104)+2,MONTH(BQ104),DAY(BQ104))</f>
        <v>46780</v>
      </c>
      <c r="BS104" s="8">
        <f t="shared" ca="1" si="261"/>
        <v>635</v>
      </c>
      <c r="BT104" s="5" t="str">
        <f t="shared" ca="1" si="262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3"/>
        <v>616</v>
      </c>
      <c r="BY104" s="5" t="str">
        <f t="shared" ca="1" si="264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5"/>
        <v>571</v>
      </c>
      <c r="CD104" s="5" t="str">
        <f t="shared" ca="1" si="266"/>
        <v>VIGENTE</v>
      </c>
      <c r="CE104" s="6"/>
      <c r="CF104" s="4">
        <v>45723</v>
      </c>
      <c r="CG104" s="4">
        <f t="shared" si="387"/>
        <v>47184</v>
      </c>
      <c r="CH104" s="8">
        <f t="shared" ca="1" si="388"/>
        <v>1039</v>
      </c>
      <c r="CI104" s="5" t="str">
        <f t="shared" ca="1" si="269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0"/>
        <v>603</v>
      </c>
      <c r="CN104" s="5" t="str">
        <f t="shared" ca="1" si="271"/>
        <v>VIGENTE</v>
      </c>
      <c r="CO104" s="4"/>
      <c r="CP104" s="39">
        <v>45979</v>
      </c>
      <c r="CQ104" s="4">
        <f>DATE(YEAR(CP104)+2,MONTH(CP104),DAY(CP104))</f>
        <v>46709</v>
      </c>
      <c r="CR104" s="8">
        <f t="shared" ca="1" si="272"/>
        <v>564</v>
      </c>
      <c r="CS104" s="5" t="str">
        <f t="shared" ca="1" si="273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4"/>
        <v>628</v>
      </c>
      <c r="CX104" s="5" t="str">
        <f t="shared" ca="1" si="275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6"/>
        <v>585</v>
      </c>
      <c r="DC104" s="5" t="str">
        <f t="shared" ca="1" si="277"/>
        <v>VIGENTE</v>
      </c>
      <c r="DD104" s="3"/>
      <c r="DE104" s="39">
        <v>45996</v>
      </c>
      <c r="DF104" s="4">
        <f>DATE(YEAR(DE104)+2,MONTH(DE104),DAY(DE104))</f>
        <v>46726</v>
      </c>
      <c r="DG104" s="8">
        <f t="shared" ca="1" si="278"/>
        <v>581</v>
      </c>
      <c r="DH104" s="5" t="str">
        <f t="shared" ca="1" si="279"/>
        <v>VIGENTE</v>
      </c>
      <c r="DI104" s="4"/>
      <c r="DJ104" s="39">
        <v>45975</v>
      </c>
      <c r="DK104" s="4">
        <f>DATE(YEAR(DJ104)+2,MONTH(DJ104),DAY(DJ104))</f>
        <v>46705</v>
      </c>
      <c r="DL104" s="8">
        <f t="shared" ca="1" si="280"/>
        <v>560</v>
      </c>
      <c r="DM104" s="5" t="str">
        <f t="shared" ca="1" si="281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2"/>
        <v>567</v>
      </c>
      <c r="DR104" s="5" t="str">
        <f t="shared" ca="1" si="283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4"/>
        <v>594</v>
      </c>
      <c r="DW104" s="5" t="str">
        <f t="shared" ca="1" si="285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6"/>
        <v>617</v>
      </c>
      <c r="EB104" s="5" t="str">
        <f t="shared" ca="1" si="287"/>
        <v>VIGENTE</v>
      </c>
      <c r="EC104" s="4"/>
      <c r="ED104" s="39">
        <v>45994</v>
      </c>
      <c r="EE104" s="4">
        <f>DATE(YEAR(ED104)+2,MONTH(ED104),DAY(ED104))</f>
        <v>46724</v>
      </c>
      <c r="EF104" s="8">
        <f t="shared" ca="1" si="288"/>
        <v>579</v>
      </c>
      <c r="EG104" s="5" t="str">
        <f t="shared" ca="1" si="289"/>
        <v>VIGENTE</v>
      </c>
      <c r="EH104" s="3"/>
      <c r="EI104" s="3">
        <v>46015</v>
      </c>
      <c r="EJ104" s="4">
        <f t="shared" si="355"/>
        <v>46380</v>
      </c>
      <c r="EK104" s="8">
        <f t="shared" ca="1" si="290"/>
        <v>235</v>
      </c>
      <c r="EL104" s="5" t="str">
        <f t="shared" ca="1" si="291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2"/>
        <v>568</v>
      </c>
      <c r="EQ104" s="5" t="str">
        <f t="shared" ca="1" si="293"/>
        <v>VIGENTE</v>
      </c>
      <c r="ER104" s="6"/>
      <c r="ES104" s="39">
        <v>45999</v>
      </c>
      <c r="ET104" s="4">
        <f>DATE(YEAR(ES104)+2,MONTH(ES104),DAY(ES104))</f>
        <v>46729</v>
      </c>
      <c r="EU104" s="8">
        <f t="shared" ca="1" si="294"/>
        <v>584</v>
      </c>
      <c r="EV104" s="5" t="str">
        <f t="shared" ca="1" si="295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6"/>
        <v>549</v>
      </c>
      <c r="FA104" s="5" t="str">
        <f t="shared" ca="1" si="297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8"/>
        <v>573</v>
      </c>
      <c r="FF104" s="5" t="str">
        <f t="shared" ca="1" si="299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0"/>
        <v>547</v>
      </c>
      <c r="FK104" s="5" t="str">
        <f t="shared" ca="1" si="301"/>
        <v>VIGENTE</v>
      </c>
      <c r="FL104" s="4"/>
      <c r="FM104" s="39">
        <v>46039</v>
      </c>
      <c r="FN104" s="4">
        <f>DATE(YEAR(FM104)+2,MONTH(FM104),DAY(FM104))</f>
        <v>46769</v>
      </c>
      <c r="FO104" s="8">
        <f t="shared" ca="1" si="302"/>
        <v>624</v>
      </c>
      <c r="FP104" s="5" t="str">
        <f t="shared" ca="1" si="303"/>
        <v>VIGENTE</v>
      </c>
      <c r="FQ104" s="4"/>
      <c r="FR104" s="39">
        <v>46034</v>
      </c>
      <c r="FS104" s="4">
        <f>DATE(YEAR(FR104)+2,MONTH(FR104),DAY(FR104))</f>
        <v>46764</v>
      </c>
      <c r="FT104" s="8">
        <f t="shared" ca="1" si="304"/>
        <v>619</v>
      </c>
      <c r="FU104" s="5" t="str">
        <f t="shared" ca="1" si="305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6"/>
        <v>589</v>
      </c>
      <c r="FZ104" s="5" t="str">
        <f t="shared" ca="1" si="307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8"/>
        <v>510</v>
      </c>
      <c r="GE104" s="5" t="str">
        <f t="shared" ca="1" si="309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0"/>
        <v>545</v>
      </c>
      <c r="GJ104" s="5" t="str">
        <f t="shared" ca="1" si="311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2"/>
        <v>83</v>
      </c>
      <c r="GO104" s="5" t="str">
        <f t="shared" ca="1" si="313"/>
        <v>VIGENTE</v>
      </c>
      <c r="GP104" s="4"/>
      <c r="GQ104" s="4">
        <v>45299</v>
      </c>
      <c r="GR104" s="4">
        <f t="shared" si="314"/>
        <v>47126</v>
      </c>
      <c r="GS104" s="8">
        <f t="shared" ca="1" si="384"/>
        <v>981</v>
      </c>
      <c r="GT104" s="5" t="str">
        <f t="shared" ca="1" si="378"/>
        <v>VIGENTE</v>
      </c>
      <c r="GU104" s="4"/>
      <c r="GV104" s="4">
        <v>45329</v>
      </c>
      <c r="GW104" s="4">
        <f t="shared" si="316"/>
        <v>47156</v>
      </c>
      <c r="GX104" s="8">
        <f t="shared" ca="1" si="317"/>
        <v>1011</v>
      </c>
      <c r="GY104" s="5" t="str">
        <f t="shared" ca="1" si="379"/>
        <v>VIGENTE</v>
      </c>
      <c r="GZ104" s="6"/>
      <c r="HA104" s="4">
        <v>45343</v>
      </c>
      <c r="HB104" s="4">
        <f t="shared" si="319"/>
        <v>47170</v>
      </c>
      <c r="HC104" s="8">
        <f t="shared" ca="1" si="320"/>
        <v>1025</v>
      </c>
      <c r="HD104" s="5" t="str">
        <f t="shared" ca="1" si="401"/>
        <v>VIGENTE</v>
      </c>
      <c r="HE104" s="6"/>
      <c r="HF104" s="4">
        <v>45317</v>
      </c>
      <c r="HG104" s="4">
        <f t="shared" si="402"/>
        <v>47144</v>
      </c>
      <c r="HH104" s="8">
        <f t="shared" ca="1" si="403"/>
        <v>999</v>
      </c>
      <c r="HI104" s="5" t="str">
        <f t="shared" ca="1" si="404"/>
        <v>VIGENTE</v>
      </c>
      <c r="HJ104" s="6"/>
      <c r="HK104" s="6"/>
      <c r="HL104" s="4"/>
      <c r="HM104" s="8"/>
      <c r="HN104" s="5" t="str">
        <f t="shared" si="385"/>
        <v>NO APLICA</v>
      </c>
      <c r="HO104" s="2"/>
      <c r="HP104" s="2"/>
      <c r="HQ104" s="4"/>
      <c r="HR104" s="2"/>
      <c r="HS104" s="5" t="str">
        <f t="shared" si="322"/>
        <v>NO APLICA</v>
      </c>
      <c r="HT104" s="6"/>
      <c r="HU104" s="6"/>
      <c r="HV104" s="4"/>
      <c r="HW104" s="8"/>
      <c r="HX104" s="5" t="str">
        <f t="shared" si="323"/>
        <v>NO APLICA</v>
      </c>
      <c r="HY104" s="6"/>
      <c r="HZ104" s="6"/>
      <c r="IA104" s="4"/>
      <c r="IB104" s="8"/>
      <c r="IC104" s="5" t="str">
        <f t="shared" si="324"/>
        <v>NO APLICA</v>
      </c>
      <c r="ID104" s="6"/>
      <c r="IE104" s="6"/>
      <c r="IF104" s="4"/>
      <c r="IG104" s="8"/>
      <c r="IH104" s="5" t="str">
        <f t="shared" si="325"/>
        <v>NO APLICA</v>
      </c>
      <c r="II104" s="6"/>
      <c r="IJ104" s="6"/>
      <c r="IK104" s="4"/>
      <c r="IL104" s="6"/>
      <c r="IM104" s="5" t="str">
        <f t="shared" si="326"/>
        <v>NO APLICA</v>
      </c>
      <c r="IN104" s="6"/>
      <c r="IO104" s="6"/>
      <c r="IP104" s="4"/>
      <c r="IQ104" s="8"/>
      <c r="IR104" s="5" t="str">
        <f t="shared" si="327"/>
        <v>NO APLICA</v>
      </c>
      <c r="IS104" s="6"/>
      <c r="IT104" s="6"/>
      <c r="IU104" s="4"/>
      <c r="IV104" s="8"/>
      <c r="IW104" s="5" t="str">
        <f t="shared" si="328"/>
        <v>NO APLICA</v>
      </c>
      <c r="IX104" s="6"/>
      <c r="IY104" s="6"/>
      <c r="IZ104" s="4"/>
      <c r="JA104" s="8"/>
      <c r="JB104" s="5" t="str">
        <f t="shared" si="329"/>
        <v>NO APLICA</v>
      </c>
      <c r="JC104" s="3" t="s">
        <v>780</v>
      </c>
      <c r="JD104" s="3"/>
      <c r="JE104" s="4"/>
      <c r="JF104" s="8"/>
      <c r="JG104" s="5"/>
      <c r="JH104" s="3" t="s">
        <v>780</v>
      </c>
      <c r="JI104" s="6"/>
      <c r="JJ104" s="6"/>
      <c r="JK104" s="6"/>
      <c r="JL104" s="5"/>
      <c r="JM104" s="6" t="s">
        <v>780</v>
      </c>
      <c r="JN104" s="6"/>
      <c r="JO104" s="6"/>
      <c r="JP104" s="6"/>
      <c r="JQ104" s="5"/>
      <c r="JR104" s="6" t="s">
        <v>780</v>
      </c>
      <c r="JS104" s="6"/>
      <c r="JT104" s="6"/>
      <c r="JU104" s="6"/>
      <c r="JV104" s="5"/>
      <c r="JW104" s="6" t="s">
        <v>780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30"/>
        <v>NO APLICA</v>
      </c>
      <c r="KG104" s="5"/>
      <c r="KH104" s="2"/>
      <c r="KI104" s="4"/>
      <c r="KJ104" s="8"/>
      <c r="KK104" s="5" t="str">
        <f t="shared" si="356"/>
        <v>NO APLICA</v>
      </c>
      <c r="KL104" s="5"/>
      <c r="KM104" s="2"/>
      <c r="KN104" s="4"/>
      <c r="KO104" s="8"/>
      <c r="KP104" s="5" t="str">
        <f t="shared" si="331"/>
        <v>NO APLICA</v>
      </c>
      <c r="KQ104" s="5"/>
      <c r="KR104" s="2"/>
      <c r="KS104" s="4"/>
      <c r="KT104" s="8"/>
      <c r="KU104" s="5" t="str">
        <f t="shared" si="357"/>
        <v>NO APLICA</v>
      </c>
      <c r="KV104" s="6"/>
      <c r="KW104" s="6"/>
      <c r="KX104" s="4"/>
      <c r="KY104" s="6"/>
      <c r="KZ104" s="5" t="str">
        <f t="shared" si="366"/>
        <v>NO APLICA</v>
      </c>
      <c r="LA104" s="5"/>
      <c r="LB104" s="6"/>
      <c r="LC104" s="4"/>
      <c r="LD104" s="6"/>
      <c r="LE104" s="5" t="str">
        <f t="shared" si="358"/>
        <v>NO APLICA</v>
      </c>
      <c r="LF104" s="6"/>
      <c r="LG104" s="6"/>
      <c r="LH104" s="6"/>
      <c r="LI104" s="6"/>
      <c r="LJ104" s="5" t="str">
        <f t="shared" si="332"/>
        <v>NO APLICA</v>
      </c>
      <c r="LK104" s="5"/>
      <c r="LL104" s="5"/>
      <c r="LM104" s="4"/>
      <c r="LN104" s="8"/>
      <c r="LO104" s="5" t="str">
        <f t="shared" si="367"/>
        <v>NO APLICA</v>
      </c>
      <c r="LP104" s="6"/>
      <c r="LQ104" s="6"/>
      <c r="LR104" s="4"/>
      <c r="LS104" s="8"/>
      <c r="LT104" s="5" t="str">
        <f t="shared" si="359"/>
        <v>NO APLICA</v>
      </c>
      <c r="LU104" s="6"/>
      <c r="LV104" s="6"/>
      <c r="LW104" s="4"/>
      <c r="LX104" s="6"/>
      <c r="LY104" s="5" t="str">
        <f t="shared" si="360"/>
        <v>NO APLICA</v>
      </c>
      <c r="LZ104" s="6"/>
      <c r="MA104" s="6"/>
      <c r="MB104" s="4"/>
      <c r="MC104" s="6"/>
      <c r="MD104" s="5" t="str">
        <f t="shared" si="361"/>
        <v>NO APLICA</v>
      </c>
      <c r="ME104" s="6"/>
      <c r="MF104" s="6"/>
      <c r="MG104" s="4"/>
      <c r="MH104" s="6"/>
      <c r="MI104" s="5" t="str">
        <f t="shared" si="333"/>
        <v>NO APLICA</v>
      </c>
      <c r="MJ104" s="6"/>
      <c r="MK104" s="6"/>
      <c r="ML104" s="4"/>
      <c r="MM104" s="6"/>
      <c r="MN104" s="5" t="str">
        <f t="shared" si="334"/>
        <v>NO APLICA</v>
      </c>
      <c r="MO104" s="5"/>
      <c r="MP104" s="6"/>
      <c r="MQ104" s="4"/>
      <c r="MR104" s="6"/>
      <c r="MS104" s="5" t="str">
        <f t="shared" si="335"/>
        <v>NO APLICA</v>
      </c>
      <c r="MT104" s="5"/>
      <c r="MU104" s="6"/>
      <c r="MV104" s="6"/>
      <c r="MW104" s="6"/>
      <c r="MX104" s="5" t="str">
        <f t="shared" si="336"/>
        <v>NO APLICA</v>
      </c>
      <c r="MY104" s="6"/>
      <c r="MZ104" s="6"/>
      <c r="NA104" s="4"/>
      <c r="NB104" s="6"/>
      <c r="NC104" s="5" t="str">
        <f t="shared" si="337"/>
        <v>NO APLICA</v>
      </c>
      <c r="ND104" s="6"/>
      <c r="NE104" s="6"/>
      <c r="NF104" s="4"/>
      <c r="NG104" s="6"/>
      <c r="NH104" s="5" t="str">
        <f t="shared" si="338"/>
        <v>NO APLICA</v>
      </c>
      <c r="NI104" s="6"/>
      <c r="NJ104" s="6"/>
      <c r="NK104" s="4"/>
      <c r="NL104" s="6"/>
      <c r="NM104" s="5" t="str">
        <f t="shared" si="339"/>
        <v>NO APLICA</v>
      </c>
      <c r="NN104" s="6"/>
      <c r="NO104" s="6"/>
      <c r="NP104" s="4"/>
      <c r="NQ104" s="6"/>
      <c r="NR104" s="5" t="str">
        <f t="shared" si="340"/>
        <v>NO APLICA</v>
      </c>
      <c r="NS104" s="6"/>
      <c r="NT104" s="6"/>
      <c r="NU104" s="4"/>
      <c r="NV104" s="6"/>
      <c r="NW104" s="5" t="str">
        <f t="shared" si="341"/>
        <v>NO APLICA</v>
      </c>
      <c r="NX104" s="6"/>
      <c r="NY104" s="4"/>
      <c r="NZ104" s="4"/>
      <c r="OA104" s="8"/>
      <c r="OB104" s="5" t="str">
        <f t="shared" si="342"/>
        <v>NO APLICA</v>
      </c>
      <c r="OC104" s="6"/>
      <c r="OD104" s="6"/>
      <c r="OE104" s="6"/>
      <c r="OF104" s="6"/>
      <c r="OG104" s="5" t="str">
        <f t="shared" si="343"/>
        <v>NO APLICA</v>
      </c>
      <c r="OH104" s="6"/>
      <c r="OI104" s="6"/>
      <c r="OJ104" s="6"/>
      <c r="OK104" s="6"/>
      <c r="OL104" s="5" t="str">
        <f t="shared" si="344"/>
        <v>NO APLICA</v>
      </c>
      <c r="OM104" s="6"/>
      <c r="ON104" s="6"/>
      <c r="OO104" s="6"/>
      <c r="OP104" s="6"/>
      <c r="OQ104" s="5" t="str">
        <f t="shared" si="345"/>
        <v>NO APLICA</v>
      </c>
      <c r="OR104" s="6"/>
      <c r="OS104" s="6"/>
      <c r="OT104" s="6"/>
      <c r="OU104" s="6"/>
      <c r="OV104" s="5" t="str">
        <f t="shared" si="346"/>
        <v>NO APLICA</v>
      </c>
      <c r="OW104" s="6"/>
      <c r="OX104" s="6"/>
      <c r="OY104" s="6"/>
      <c r="OZ104" s="6"/>
      <c r="PA104" s="5" t="str">
        <f t="shared" si="347"/>
        <v>NO APLICA</v>
      </c>
      <c r="PB104" s="6"/>
      <c r="PC104" s="6"/>
      <c r="PD104" s="6"/>
      <c r="PE104" s="6"/>
      <c r="PF104" s="5" t="str">
        <f t="shared" si="348"/>
        <v>NO APLICA</v>
      </c>
      <c r="PG104" s="6"/>
      <c r="PH104" s="6"/>
      <c r="PI104" s="6"/>
      <c r="PJ104" s="6"/>
      <c r="PK104" s="5" t="str">
        <f t="shared" si="349"/>
        <v>NO APLICA</v>
      </c>
      <c r="PL104" s="5"/>
      <c r="PM104" s="6"/>
      <c r="PN104" s="6"/>
      <c r="PO104" s="6"/>
      <c r="PP104" s="5" t="str">
        <f t="shared" si="350"/>
        <v>NO APLICA</v>
      </c>
      <c r="PQ104" s="6"/>
      <c r="PR104" s="6"/>
      <c r="PS104" s="6"/>
      <c r="PT104" s="6"/>
      <c r="PU104" s="5" t="str">
        <f t="shared" si="351"/>
        <v>NO APLICA</v>
      </c>
      <c r="PV104" s="5"/>
      <c r="PW104" s="6"/>
      <c r="PX104" s="6"/>
      <c r="PY104" s="6"/>
      <c r="PZ104" s="5" t="str">
        <f t="shared" si="352"/>
        <v>NO APLICA</v>
      </c>
    </row>
    <row r="105" spans="1:442" ht="15.6" hidden="1" thickTop="1" thickBot="1" x14ac:dyDescent="0.35">
      <c r="A105" s="26">
        <v>102</v>
      </c>
      <c r="B105" s="27">
        <v>917</v>
      </c>
      <c r="C105" s="28" t="s">
        <v>761</v>
      </c>
      <c r="D105" s="29" t="s">
        <v>113</v>
      </c>
      <c r="E105" s="30" t="s">
        <v>360</v>
      </c>
      <c r="F105" s="5"/>
      <c r="G105" s="6"/>
      <c r="H105" s="4"/>
      <c r="I105" s="8"/>
      <c r="J105" s="5" t="str">
        <f t="shared" si="242"/>
        <v>NO APLICA</v>
      </c>
      <c r="K105" s="5"/>
      <c r="L105" s="6"/>
      <c r="M105" s="6"/>
      <c r="N105" s="8"/>
      <c r="O105" s="5" t="str">
        <f t="shared" si="243"/>
        <v>NO APLICA</v>
      </c>
      <c r="P105" s="6"/>
      <c r="Q105" s="6"/>
      <c r="R105" s="4"/>
      <c r="S105" s="8"/>
      <c r="T105" s="5" t="str">
        <f t="shared" si="353"/>
        <v>NO APLICA</v>
      </c>
      <c r="U105" s="5"/>
      <c r="V105" s="2" t="s">
        <v>361</v>
      </c>
      <c r="W105" s="4">
        <v>45282</v>
      </c>
      <c r="X105" s="4">
        <f t="shared" si="244"/>
        <v>47109</v>
      </c>
      <c r="Y105" s="8">
        <f t="shared" ca="1" si="245"/>
        <v>964</v>
      </c>
      <c r="Z105" s="5" t="str">
        <f t="shared" ca="1" si="246"/>
        <v>VIGENTE</v>
      </c>
      <c r="AA105" s="5"/>
      <c r="AB105" s="2"/>
      <c r="AC105" s="6"/>
      <c r="AD105" s="4"/>
      <c r="AE105" s="8"/>
      <c r="AF105" s="5" t="str">
        <f t="shared" si="247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8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9"/>
        <v>488</v>
      </c>
      <c r="AP105" s="5" t="str">
        <f t="shared" ca="1" si="250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1"/>
        <v>489</v>
      </c>
      <c r="AU105" s="5" t="str">
        <f t="shared" ca="1" si="252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3"/>
        <v>512</v>
      </c>
      <c r="AZ105" s="5" t="str">
        <f t="shared" ca="1" si="254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5"/>
        <v>301</v>
      </c>
      <c r="BE105" s="5" t="str">
        <f t="shared" ca="1" si="256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7"/>
        <v>282</v>
      </c>
      <c r="BJ105" s="5" t="str">
        <f t="shared" ca="1" si="258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9"/>
        <v>184</v>
      </c>
      <c r="BO105" s="5" t="str">
        <f t="shared" ca="1" si="260"/>
        <v>VIGENTE</v>
      </c>
      <c r="BP105" s="3"/>
      <c r="BQ105" s="39">
        <v>45701</v>
      </c>
      <c r="BR105" s="4">
        <f>DATE(YEAR(BQ105)+2,MONTH(BQ105),DAY(BQ105)-1)</f>
        <v>46430</v>
      </c>
      <c r="BS105" s="8">
        <f t="shared" ca="1" si="261"/>
        <v>285</v>
      </c>
      <c r="BT105" s="5" t="str">
        <f t="shared" ca="1" si="262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3"/>
        <v>195</v>
      </c>
      <c r="BY105" s="5" t="str">
        <f t="shared" ca="1" si="264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5"/>
        <v>539</v>
      </c>
      <c r="CD105" s="5" t="str">
        <f t="shared" ca="1" si="266"/>
        <v>VIGENTE</v>
      </c>
      <c r="CE105" s="6"/>
      <c r="CF105" s="4">
        <v>45832</v>
      </c>
      <c r="CG105" s="4">
        <f t="shared" si="387"/>
        <v>47293</v>
      </c>
      <c r="CH105" s="8">
        <f t="shared" ca="1" si="388"/>
        <v>1148</v>
      </c>
      <c r="CI105" s="5" t="str">
        <f t="shared" ca="1" si="269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0"/>
        <v>272</v>
      </c>
      <c r="CN105" s="5" t="str">
        <f t="shared" ca="1" si="271"/>
        <v>VIGENTE</v>
      </c>
      <c r="CO105" s="3"/>
      <c r="CP105" s="39">
        <v>45726</v>
      </c>
      <c r="CQ105" s="4">
        <f>DATE(YEAR(CP105)+2,MONTH(CP105),DAY(CP105)-1)</f>
        <v>46455</v>
      </c>
      <c r="CR105" s="8">
        <f t="shared" ca="1" si="272"/>
        <v>310</v>
      </c>
      <c r="CS105" s="5" t="str">
        <f t="shared" ca="1" si="273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4"/>
        <v>490</v>
      </c>
      <c r="CX105" s="5" t="str">
        <f t="shared" ca="1" si="275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6"/>
        <v>585</v>
      </c>
      <c r="DC105" s="5" t="str">
        <f t="shared" ca="1" si="277"/>
        <v>VIGENTE</v>
      </c>
      <c r="DD105" s="3"/>
      <c r="DE105" s="39">
        <v>45761</v>
      </c>
      <c r="DF105" s="4">
        <f>DATE(YEAR(DE105)+2,MONTH(DE105),DAY(DE105))</f>
        <v>46491</v>
      </c>
      <c r="DG105" s="8">
        <f t="shared" ca="1" si="278"/>
        <v>346</v>
      </c>
      <c r="DH105" s="5" t="str">
        <f t="shared" ca="1" si="279"/>
        <v>VIGENTE</v>
      </c>
      <c r="DI105" s="3"/>
      <c r="DJ105" s="39">
        <v>45834</v>
      </c>
      <c r="DK105" s="4">
        <f>DATE(YEAR(DJ105)+2,MONTH(DJ105),DAY(DJ105))</f>
        <v>46564</v>
      </c>
      <c r="DL105" s="8">
        <f t="shared" ca="1" si="280"/>
        <v>419</v>
      </c>
      <c r="DM105" s="5" t="str">
        <f t="shared" ca="1" si="281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2"/>
        <v>567</v>
      </c>
      <c r="DR105" s="5" t="str">
        <f t="shared" ca="1" si="283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4"/>
        <v>269</v>
      </c>
      <c r="DW105" s="5" t="str">
        <f t="shared" ca="1" si="285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6"/>
        <v>247</v>
      </c>
      <c r="EB105" s="5" t="str">
        <f t="shared" ca="1" si="287"/>
        <v>VIGENTE</v>
      </c>
      <c r="EC105" s="3"/>
      <c r="ED105" s="39">
        <v>45674</v>
      </c>
      <c r="EE105" s="4">
        <f>DATE(YEAR(ED105)+2,MONTH(ED105),DAY(ED105)-1)</f>
        <v>46403</v>
      </c>
      <c r="EF105" s="8">
        <f t="shared" ca="1" si="288"/>
        <v>258</v>
      </c>
      <c r="EG105" s="5" t="str">
        <f t="shared" ca="1" si="289"/>
        <v>VIGENTE</v>
      </c>
      <c r="EH105" s="3"/>
      <c r="EI105" s="3">
        <v>46085</v>
      </c>
      <c r="EJ105" s="4">
        <f t="shared" si="355"/>
        <v>46450</v>
      </c>
      <c r="EK105" s="8">
        <f t="shared" ca="1" si="290"/>
        <v>305</v>
      </c>
      <c r="EL105" s="5" t="str">
        <f t="shared" ca="1" si="291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2"/>
        <v>289</v>
      </c>
      <c r="EQ105" s="5" t="str">
        <f t="shared" ca="1" si="293"/>
        <v>VIGENTE</v>
      </c>
      <c r="ER105" s="2"/>
      <c r="ES105" s="39">
        <v>45735</v>
      </c>
      <c r="ET105" s="4">
        <f>DATE(YEAR(ES105)+2,MONTH(ES105),DAY(ES105)-1)</f>
        <v>46464</v>
      </c>
      <c r="EU105" s="8">
        <f t="shared" ca="1" si="294"/>
        <v>319</v>
      </c>
      <c r="EV105" s="5" t="str">
        <f t="shared" ca="1" si="295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6"/>
        <v>502</v>
      </c>
      <c r="FA105" s="5" t="str">
        <f t="shared" ca="1" si="297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8"/>
        <v>516</v>
      </c>
      <c r="FF105" s="5" t="str">
        <f t="shared" ca="1" si="299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0"/>
        <v>517</v>
      </c>
      <c r="FK105" s="5" t="str">
        <f t="shared" ca="1" si="301"/>
        <v>VIGENTE</v>
      </c>
      <c r="FL105" s="3"/>
      <c r="FM105" s="39">
        <v>45670</v>
      </c>
      <c r="FN105" s="4">
        <f>DATE(YEAR(FM105)+2,MONTH(FM105),DAY(FM105)-1)</f>
        <v>46399</v>
      </c>
      <c r="FO105" s="8">
        <f t="shared" ca="1" si="302"/>
        <v>254</v>
      </c>
      <c r="FP105" s="5" t="str">
        <f t="shared" ca="1" si="303"/>
        <v>VIGENTE</v>
      </c>
      <c r="FQ105" s="3"/>
      <c r="FR105" s="39">
        <v>45664</v>
      </c>
      <c r="FS105" s="4">
        <f>DATE(YEAR(FR105)+2,MONTH(FR105),DAY(FR105)-1)</f>
        <v>46393</v>
      </c>
      <c r="FT105" s="8">
        <f t="shared" ca="1" si="304"/>
        <v>248</v>
      </c>
      <c r="FU105" s="5" t="str">
        <f t="shared" ca="1" si="305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6"/>
        <v>599</v>
      </c>
      <c r="FZ105" s="5" t="str">
        <f t="shared" ca="1" si="307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8"/>
        <v>251</v>
      </c>
      <c r="GE105" s="5" t="str">
        <f t="shared" ca="1" si="309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0"/>
        <v>256</v>
      </c>
      <c r="GJ105" s="5" t="str">
        <f t="shared" ca="1" si="311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2"/>
        <v>530</v>
      </c>
      <c r="GO105" s="5" t="str">
        <f t="shared" ca="1" si="313"/>
        <v>VIGENTE</v>
      </c>
      <c r="GP105" s="4"/>
      <c r="GQ105" s="4">
        <v>45013</v>
      </c>
      <c r="GR105" s="4">
        <f t="shared" si="314"/>
        <v>46840</v>
      </c>
      <c r="GS105" s="8">
        <f t="shared" ca="1" si="384"/>
        <v>695</v>
      </c>
      <c r="GT105" s="5" t="str">
        <f t="shared" ca="1" si="378"/>
        <v>VIGENTE</v>
      </c>
      <c r="GU105" s="3"/>
      <c r="GV105" s="4">
        <v>45099</v>
      </c>
      <c r="GW105" s="4">
        <f t="shared" si="316"/>
        <v>46926</v>
      </c>
      <c r="GX105" s="8">
        <f t="shared" ca="1" si="317"/>
        <v>781</v>
      </c>
      <c r="GY105" s="5" t="str">
        <f t="shared" ca="1" si="379"/>
        <v>VIGENTE</v>
      </c>
      <c r="GZ105" s="2"/>
      <c r="HA105" s="4">
        <v>45073</v>
      </c>
      <c r="HB105" s="4">
        <f t="shared" si="319"/>
        <v>46900</v>
      </c>
      <c r="HC105" s="8">
        <f t="shared" ca="1" si="320"/>
        <v>755</v>
      </c>
      <c r="HD105" s="5" t="str">
        <f t="shared" ca="1" si="401"/>
        <v>VIGENTE</v>
      </c>
      <c r="HE105" s="6"/>
      <c r="HF105" s="6"/>
      <c r="HG105" s="4"/>
      <c r="HH105" s="8"/>
      <c r="HI105" s="5" t="str">
        <f t="shared" si="404"/>
        <v>NO APLICA</v>
      </c>
      <c r="HJ105" s="2"/>
      <c r="HK105" s="6"/>
      <c r="HL105" s="4"/>
      <c r="HM105" s="8"/>
      <c r="HN105" s="5" t="str">
        <f t="shared" si="385"/>
        <v>NO APLICA</v>
      </c>
      <c r="HO105" s="2"/>
      <c r="HP105" s="2"/>
      <c r="HQ105" s="4"/>
      <c r="HR105" s="2"/>
      <c r="HS105" s="5" t="str">
        <f t="shared" si="322"/>
        <v>NO APLICA</v>
      </c>
      <c r="HT105" s="2"/>
      <c r="HU105" s="6"/>
      <c r="HV105" s="4"/>
      <c r="HW105" s="8"/>
      <c r="HX105" s="5" t="str">
        <f t="shared" si="323"/>
        <v>NO APLICA</v>
      </c>
      <c r="HY105" s="2"/>
      <c r="HZ105" s="6"/>
      <c r="IA105" s="4"/>
      <c r="IB105" s="8"/>
      <c r="IC105" s="5" t="str">
        <f t="shared" si="324"/>
        <v>NO APLICA</v>
      </c>
      <c r="ID105" s="2"/>
      <c r="IE105" s="6"/>
      <c r="IF105" s="4"/>
      <c r="IG105" s="8"/>
      <c r="IH105" s="5" t="str">
        <f t="shared" si="325"/>
        <v>NO APLICA</v>
      </c>
      <c r="II105" s="6"/>
      <c r="IJ105" s="6"/>
      <c r="IK105" s="4"/>
      <c r="IL105" s="8"/>
      <c r="IM105" s="5" t="str">
        <f t="shared" si="326"/>
        <v>NO APLICA</v>
      </c>
      <c r="IN105" s="2"/>
      <c r="IO105" s="6"/>
      <c r="IP105" s="4"/>
      <c r="IQ105" s="8"/>
      <c r="IR105" s="5" t="str">
        <f t="shared" si="327"/>
        <v>NO APLICA</v>
      </c>
      <c r="IS105" s="2"/>
      <c r="IT105" s="6"/>
      <c r="IU105" s="4"/>
      <c r="IV105" s="8"/>
      <c r="IW105" s="5" t="str">
        <f t="shared" si="328"/>
        <v>NO APLICA</v>
      </c>
      <c r="IX105" s="2"/>
      <c r="IY105" s="6"/>
      <c r="IZ105" s="4"/>
      <c r="JA105" s="8"/>
      <c r="JB105" s="5" t="str">
        <f t="shared" si="329"/>
        <v>NO APLICA</v>
      </c>
      <c r="JC105" s="3" t="s">
        <v>780</v>
      </c>
      <c r="JD105" s="3"/>
      <c r="JE105" s="4"/>
      <c r="JF105" s="8"/>
      <c r="JG105" s="5"/>
      <c r="JH105" s="3" t="s">
        <v>780</v>
      </c>
      <c r="JI105" s="6"/>
      <c r="JJ105" s="6"/>
      <c r="JK105" s="6"/>
      <c r="JL105" s="5"/>
      <c r="JM105" s="6" t="s">
        <v>780</v>
      </c>
      <c r="JN105" s="6"/>
      <c r="JO105" s="6"/>
      <c r="JP105" s="6"/>
      <c r="JQ105" s="5"/>
      <c r="JR105" s="6" t="s">
        <v>780</v>
      </c>
      <c r="JS105" s="6"/>
      <c r="JT105" s="6"/>
      <c r="JU105" s="6"/>
      <c r="JV105" s="5"/>
      <c r="JW105" s="6" t="s">
        <v>780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30"/>
        <v>NO APLICA</v>
      </c>
      <c r="KG105" s="5"/>
      <c r="KH105" s="2"/>
      <c r="KI105" s="4"/>
      <c r="KJ105" s="8"/>
      <c r="KK105" s="5" t="str">
        <f t="shared" si="356"/>
        <v>NO APLICA</v>
      </c>
      <c r="KL105" s="5"/>
      <c r="KM105" s="2"/>
      <c r="KN105" s="4"/>
      <c r="KO105" s="8"/>
      <c r="KP105" s="5" t="str">
        <f t="shared" si="331"/>
        <v>NO APLICA</v>
      </c>
      <c r="KQ105" s="5"/>
      <c r="KR105" s="2"/>
      <c r="KS105" s="4"/>
      <c r="KT105" s="8"/>
      <c r="KU105" s="5" t="str">
        <f t="shared" si="357"/>
        <v>NO APLICA</v>
      </c>
      <c r="KV105" s="2"/>
      <c r="KW105" s="6"/>
      <c r="KX105" s="4"/>
      <c r="KY105" s="8"/>
      <c r="KZ105" s="5" t="str">
        <f t="shared" si="366"/>
        <v>NO APLICA</v>
      </c>
      <c r="LA105" s="5"/>
      <c r="LB105" s="6"/>
      <c r="LC105" s="4"/>
      <c r="LD105" s="8"/>
      <c r="LE105" s="5" t="str">
        <f t="shared" si="358"/>
        <v>NO APLICA</v>
      </c>
      <c r="LF105" s="6"/>
      <c r="LG105" s="6"/>
      <c r="LH105" s="4"/>
      <c r="LI105" s="8"/>
      <c r="LJ105" s="5" t="str">
        <f t="shared" si="332"/>
        <v>NO APLICA</v>
      </c>
      <c r="LK105" s="5"/>
      <c r="LL105" s="5"/>
      <c r="LM105" s="4"/>
      <c r="LN105" s="8"/>
      <c r="LO105" s="5" t="str">
        <f t="shared" si="367"/>
        <v>NO APLICA</v>
      </c>
      <c r="LP105" s="2"/>
      <c r="LQ105" s="6"/>
      <c r="LR105" s="4"/>
      <c r="LS105" s="8"/>
      <c r="LT105" s="5" t="str">
        <f t="shared" si="359"/>
        <v>NO APLICA</v>
      </c>
      <c r="LU105" s="6"/>
      <c r="LV105" s="6"/>
      <c r="LW105" s="4"/>
      <c r="LX105" s="8"/>
      <c r="LY105" s="5" t="str">
        <f t="shared" si="360"/>
        <v>NO APLICA</v>
      </c>
      <c r="LZ105" s="6"/>
      <c r="MA105" s="6"/>
      <c r="MB105" s="4"/>
      <c r="MC105" s="8"/>
      <c r="MD105" s="5" t="str">
        <f t="shared" si="361"/>
        <v>NO APLICA</v>
      </c>
      <c r="ME105" s="2"/>
      <c r="MF105" s="2"/>
      <c r="MG105" s="4"/>
      <c r="MH105" s="8"/>
      <c r="MI105" s="5" t="str">
        <f t="shared" si="333"/>
        <v>NO APLICA</v>
      </c>
      <c r="MJ105" s="2"/>
      <c r="MK105" s="2"/>
      <c r="ML105" s="4"/>
      <c r="MM105" s="8"/>
      <c r="MN105" s="5" t="str">
        <f t="shared" si="334"/>
        <v>NO APLICA</v>
      </c>
      <c r="MO105" s="5"/>
      <c r="MP105" s="2"/>
      <c r="MQ105" s="4"/>
      <c r="MR105" s="8"/>
      <c r="MS105" s="5" t="str">
        <f t="shared" si="335"/>
        <v>NO APLICA</v>
      </c>
      <c r="MT105" s="5"/>
      <c r="MU105" s="2"/>
      <c r="MV105" s="4"/>
      <c r="MW105" s="2"/>
      <c r="MX105" s="5" t="str">
        <f t="shared" si="336"/>
        <v>NO APLICA</v>
      </c>
      <c r="MY105" s="2"/>
      <c r="MZ105" s="6"/>
      <c r="NA105" s="4"/>
      <c r="NB105" s="8"/>
      <c r="NC105" s="5" t="str">
        <f t="shared" si="337"/>
        <v>NO APLICA</v>
      </c>
      <c r="ND105" s="2"/>
      <c r="NE105" s="6"/>
      <c r="NF105" s="4"/>
      <c r="NG105" s="8"/>
      <c r="NH105" s="5" t="str">
        <f t="shared" si="338"/>
        <v>NO APLICA</v>
      </c>
      <c r="NI105" s="2"/>
      <c r="NJ105" s="6"/>
      <c r="NK105" s="4"/>
      <c r="NL105" s="8"/>
      <c r="NM105" s="5" t="str">
        <f t="shared" si="339"/>
        <v>NO APLICA</v>
      </c>
      <c r="NN105" s="2"/>
      <c r="NO105" s="2"/>
      <c r="NP105" s="4"/>
      <c r="NQ105" s="2"/>
      <c r="NR105" s="5" t="str">
        <f t="shared" si="340"/>
        <v>NO APLICA</v>
      </c>
      <c r="NS105" s="2"/>
      <c r="NT105" s="2"/>
      <c r="NU105" s="2"/>
      <c r="NV105" s="2"/>
      <c r="NW105" s="5" t="str">
        <f t="shared" si="341"/>
        <v>NO APLICA</v>
      </c>
      <c r="NX105" s="6"/>
      <c r="NY105" s="6"/>
      <c r="NZ105" s="4"/>
      <c r="OA105" s="8"/>
      <c r="OB105" s="5" t="str">
        <f t="shared" si="342"/>
        <v>NO APLICA</v>
      </c>
      <c r="OC105" s="6"/>
      <c r="OD105" s="6"/>
      <c r="OE105" s="6"/>
      <c r="OF105" s="6"/>
      <c r="OG105" s="5" t="str">
        <f t="shared" si="343"/>
        <v>NO APLICA</v>
      </c>
      <c r="OH105" s="2"/>
      <c r="OI105" s="2"/>
      <c r="OJ105" s="4"/>
      <c r="OK105" s="8"/>
      <c r="OL105" s="5" t="str">
        <f t="shared" si="344"/>
        <v>NO APLICA</v>
      </c>
      <c r="OM105" s="6"/>
      <c r="ON105" s="6"/>
      <c r="OO105" s="6"/>
      <c r="OP105" s="6"/>
      <c r="OQ105" s="5" t="str">
        <f t="shared" si="345"/>
        <v>NO APLICA</v>
      </c>
      <c r="OR105" s="6"/>
      <c r="OS105" s="6"/>
      <c r="OT105" s="6"/>
      <c r="OU105" s="6"/>
      <c r="OV105" s="5" t="str">
        <f t="shared" si="346"/>
        <v>NO APLICA</v>
      </c>
      <c r="OW105" s="6"/>
      <c r="OX105" s="6"/>
      <c r="OY105" s="6"/>
      <c r="OZ105" s="6"/>
      <c r="PA105" s="5" t="str">
        <f t="shared" si="347"/>
        <v>NO APLICA</v>
      </c>
      <c r="PB105" s="6"/>
      <c r="PC105" s="6"/>
      <c r="PD105" s="6"/>
      <c r="PE105" s="6"/>
      <c r="PF105" s="5" t="str">
        <f t="shared" si="348"/>
        <v>NO APLICA</v>
      </c>
      <c r="PG105" s="6"/>
      <c r="PH105" s="6"/>
      <c r="PI105" s="6"/>
      <c r="PJ105" s="6"/>
      <c r="PK105" s="5" t="str">
        <f t="shared" si="349"/>
        <v>NO APLICA</v>
      </c>
      <c r="PL105" s="5"/>
      <c r="PM105" s="6"/>
      <c r="PN105" s="4"/>
      <c r="PO105" s="8"/>
      <c r="PP105" s="5" t="str">
        <f t="shared" si="350"/>
        <v>NO APLICA</v>
      </c>
      <c r="PQ105" s="6"/>
      <c r="PR105" s="6"/>
      <c r="PS105" s="6"/>
      <c r="PT105" s="6"/>
      <c r="PU105" s="5" t="str">
        <f t="shared" si="351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2"/>
        <v>VIGENTE</v>
      </c>
    </row>
    <row r="106" spans="1:442" ht="15.6" hidden="1" thickTop="1" thickBot="1" x14ac:dyDescent="0.35">
      <c r="A106" s="26">
        <v>103</v>
      </c>
      <c r="B106" s="31">
        <v>1742</v>
      </c>
      <c r="C106" s="28" t="s">
        <v>362</v>
      </c>
      <c r="D106" s="29" t="s">
        <v>157</v>
      </c>
      <c r="E106" s="30" t="s">
        <v>158</v>
      </c>
      <c r="F106" s="6"/>
      <c r="G106" s="6"/>
      <c r="H106" s="6"/>
      <c r="I106" s="6"/>
      <c r="J106" s="5" t="str">
        <f t="shared" si="242"/>
        <v>NO APLICA</v>
      </c>
      <c r="K106" s="6"/>
      <c r="L106" s="6"/>
      <c r="M106" s="6"/>
      <c r="N106" s="6"/>
      <c r="O106" s="5" t="str">
        <f t="shared" si="243"/>
        <v>NO APLICA</v>
      </c>
      <c r="P106" s="6"/>
      <c r="Q106" s="6"/>
      <c r="R106" s="6"/>
      <c r="S106" s="6"/>
      <c r="T106" s="5" t="str">
        <f t="shared" si="353"/>
        <v>NO APLICA</v>
      </c>
      <c r="U106" s="5"/>
      <c r="V106" s="6" t="s">
        <v>363</v>
      </c>
      <c r="W106" s="4">
        <v>45693</v>
      </c>
      <c r="X106" s="4">
        <f t="shared" si="244"/>
        <v>47519</v>
      </c>
      <c r="Y106" s="8">
        <f t="shared" ca="1" si="245"/>
        <v>1374</v>
      </c>
      <c r="Z106" s="5" t="str">
        <f t="shared" ca="1" si="246"/>
        <v>VIGENTE</v>
      </c>
      <c r="AA106" s="5"/>
      <c r="AB106" s="2"/>
      <c r="AC106" s="2"/>
      <c r="AD106" s="4"/>
      <c r="AE106" s="8"/>
      <c r="AF106" s="5" t="str">
        <f t="shared" si="247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8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9"/>
        <v>186</v>
      </c>
      <c r="AP106" s="5" t="str">
        <f t="shared" ca="1" si="250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1"/>
        <v>175</v>
      </c>
      <c r="AU106" s="5" t="str">
        <f t="shared" ca="1" si="252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3"/>
        <v>228</v>
      </c>
      <c r="AZ106" s="5" t="str">
        <f t="shared" ca="1" si="254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5"/>
        <v>187</v>
      </c>
      <c r="BE106" s="5" t="str">
        <f t="shared" ca="1" si="256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7"/>
        <v>189</v>
      </c>
      <c r="BJ106" s="5" t="str">
        <f t="shared" ca="1" si="258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9"/>
        <v>184</v>
      </c>
      <c r="BO106" s="5" t="str">
        <f t="shared" ca="1" si="260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1"/>
        <v>188</v>
      </c>
      <c r="BT106" s="5" t="str">
        <f t="shared" ca="1" si="262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3"/>
        <v>152</v>
      </c>
      <c r="BY106" s="5" t="str">
        <f t="shared" ca="1" si="264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5"/>
        <v>314</v>
      </c>
      <c r="CD106" s="5" t="str">
        <f t="shared" ca="1" si="266"/>
        <v>VIGENTE</v>
      </c>
      <c r="CE106" s="6"/>
      <c r="CF106" s="4">
        <v>45723</v>
      </c>
      <c r="CG106" s="4">
        <f t="shared" si="387"/>
        <v>47184</v>
      </c>
      <c r="CH106" s="8">
        <f t="shared" ca="1" si="388"/>
        <v>1039</v>
      </c>
      <c r="CI106" s="5" t="str">
        <f t="shared" ca="1" si="269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0"/>
        <v>185</v>
      </c>
      <c r="CN106" s="5" t="str">
        <f t="shared" ca="1" si="271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2"/>
        <v>181</v>
      </c>
      <c r="CS106" s="5" t="str">
        <f t="shared" ca="1" si="273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4"/>
        <v>208</v>
      </c>
      <c r="CX106" s="5" t="str">
        <f t="shared" ca="1" si="275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6"/>
        <v>230</v>
      </c>
      <c r="DC106" s="5" t="str">
        <f t="shared" ca="1" si="277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8"/>
        <v>180</v>
      </c>
      <c r="DH106" s="5" t="str">
        <f t="shared" ca="1" si="279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0"/>
        <v>164</v>
      </c>
      <c r="DM106" s="5" t="str">
        <f t="shared" ca="1" si="281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2"/>
        <v>161</v>
      </c>
      <c r="DR106" s="5" t="str">
        <f t="shared" ca="1" si="283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4"/>
        <v>192</v>
      </c>
      <c r="DW106" s="5" t="str">
        <f t="shared" ca="1" si="285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6"/>
        <v>166</v>
      </c>
      <c r="EB106" s="5" t="str">
        <f t="shared" ca="1" si="287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8"/>
        <v>167</v>
      </c>
      <c r="EG106" s="5" t="str">
        <f t="shared" ca="1" si="289"/>
        <v>VIGENTE</v>
      </c>
      <c r="EH106" s="3"/>
      <c r="EI106" s="3">
        <v>46107</v>
      </c>
      <c r="EJ106" s="4">
        <f t="shared" si="355"/>
        <v>46472</v>
      </c>
      <c r="EK106" s="8">
        <f t="shared" ca="1" si="290"/>
        <v>327</v>
      </c>
      <c r="EL106" s="5" t="str">
        <f t="shared" ca="1" si="291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2"/>
        <v>168</v>
      </c>
      <c r="EQ106" s="5" t="str">
        <f t="shared" ca="1" si="293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4"/>
        <v>159</v>
      </c>
      <c r="EV106" s="5" t="str">
        <f t="shared" ca="1" si="295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6"/>
        <v>194</v>
      </c>
      <c r="FA106" s="5" t="str">
        <f t="shared" ca="1" si="297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8"/>
        <v>195</v>
      </c>
      <c r="FF106" s="5" t="str">
        <f t="shared" ca="1" si="299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0"/>
        <v>252</v>
      </c>
      <c r="FK106" s="5" t="str">
        <f t="shared" ca="1" si="301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2"/>
        <v>172</v>
      </c>
      <c r="FP106" s="5" t="str">
        <f t="shared" ca="1" si="303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4"/>
        <v>170</v>
      </c>
      <c r="FU106" s="5" t="str">
        <f t="shared" ca="1" si="305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6"/>
        <v>171</v>
      </c>
      <c r="FZ106" s="5" t="str">
        <f t="shared" ca="1" si="307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8"/>
        <v>179</v>
      </c>
      <c r="GE106" s="5" t="str">
        <f t="shared" ca="1" si="309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0"/>
        <v>163</v>
      </c>
      <c r="GJ106" s="5" t="str">
        <f t="shared" ca="1" si="311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2"/>
        <v>151</v>
      </c>
      <c r="GO106" s="5" t="str">
        <f t="shared" ca="1" si="313"/>
        <v>VIGENTE</v>
      </c>
      <c r="GP106" s="4"/>
      <c r="GQ106" s="6"/>
      <c r="GR106" s="4"/>
      <c r="GS106" s="6"/>
      <c r="GT106" s="5" t="str">
        <f t="shared" si="378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2"/>
        <v>NO APLICA</v>
      </c>
      <c r="HT106" s="6"/>
      <c r="HU106" s="6"/>
      <c r="HV106" s="4"/>
      <c r="HW106" s="6"/>
      <c r="HX106" s="5" t="str">
        <f t="shared" si="323"/>
        <v>NO APLICA</v>
      </c>
      <c r="HY106" s="6"/>
      <c r="HZ106" s="6"/>
      <c r="IA106" s="4"/>
      <c r="IB106" s="6"/>
      <c r="IC106" s="5" t="str">
        <f t="shared" si="324"/>
        <v>NO APLICA</v>
      </c>
      <c r="ID106" s="6"/>
      <c r="IE106" s="6"/>
      <c r="IF106" s="4"/>
      <c r="IG106" s="6"/>
      <c r="IH106" s="5" t="str">
        <f t="shared" si="325"/>
        <v>NO APLICA</v>
      </c>
      <c r="II106" s="6"/>
      <c r="IJ106" s="6"/>
      <c r="IK106" s="4"/>
      <c r="IL106" s="6"/>
      <c r="IM106" s="5" t="str">
        <f t="shared" si="326"/>
        <v>NO APLICA</v>
      </c>
      <c r="IN106" s="6"/>
      <c r="IO106" s="6"/>
      <c r="IP106" s="4"/>
      <c r="IQ106" s="6"/>
      <c r="IR106" s="5" t="str">
        <f t="shared" si="327"/>
        <v>NO APLICA</v>
      </c>
      <c r="IS106" s="6"/>
      <c r="IT106" s="6"/>
      <c r="IU106" s="4"/>
      <c r="IV106" s="6"/>
      <c r="IW106" s="5" t="str">
        <f t="shared" si="328"/>
        <v>NO APLICA</v>
      </c>
      <c r="IX106" s="6"/>
      <c r="IY106" s="6"/>
      <c r="IZ106" s="4"/>
      <c r="JA106" s="6"/>
      <c r="JB106" s="5" t="str">
        <f t="shared" si="329"/>
        <v>NO APLICA</v>
      </c>
      <c r="JC106" s="3" t="s">
        <v>780</v>
      </c>
      <c r="JD106" s="6"/>
      <c r="JE106" s="6"/>
      <c r="JF106" s="6"/>
      <c r="JG106" s="5"/>
      <c r="JH106" s="3" t="s">
        <v>780</v>
      </c>
      <c r="JI106" s="6"/>
      <c r="JJ106" s="6"/>
      <c r="JK106" s="6"/>
      <c r="JL106" s="5"/>
      <c r="JM106" s="6" t="s">
        <v>780</v>
      </c>
      <c r="JN106" s="6"/>
      <c r="JO106" s="6"/>
      <c r="JP106" s="6"/>
      <c r="JQ106" s="5"/>
      <c r="JR106" s="6" t="s">
        <v>780</v>
      </c>
      <c r="JS106" s="6"/>
      <c r="JT106" s="6"/>
      <c r="JU106" s="6"/>
      <c r="JV106" s="5"/>
      <c r="JW106" s="6" t="s">
        <v>780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30"/>
        <v>NO APLICA</v>
      </c>
      <c r="KG106" s="5"/>
      <c r="KH106" s="6"/>
      <c r="KI106" s="4"/>
      <c r="KJ106" s="6"/>
      <c r="KK106" s="5" t="str">
        <f t="shared" si="356"/>
        <v>NO APLICA</v>
      </c>
      <c r="KL106" s="5"/>
      <c r="KM106" s="6"/>
      <c r="KN106" s="4"/>
      <c r="KO106" s="6"/>
      <c r="KP106" s="5" t="str">
        <f t="shared" si="331"/>
        <v>NO APLICA</v>
      </c>
      <c r="KQ106" s="5"/>
      <c r="KR106" s="2"/>
      <c r="KS106" s="2"/>
      <c r="KT106" s="2"/>
      <c r="KU106" s="5" t="str">
        <f t="shared" si="357"/>
        <v>NO APLICA</v>
      </c>
      <c r="KV106" s="6"/>
      <c r="KW106" s="6"/>
      <c r="KX106" s="4"/>
      <c r="KY106" s="6"/>
      <c r="KZ106" s="5" t="str">
        <f t="shared" si="366"/>
        <v>NO APLICA</v>
      </c>
      <c r="LA106" s="5"/>
      <c r="LB106" s="6"/>
      <c r="LC106" s="4"/>
      <c r="LD106" s="6"/>
      <c r="LE106" s="5" t="str">
        <f t="shared" si="358"/>
        <v>NO APLICA</v>
      </c>
      <c r="LF106" s="6"/>
      <c r="LG106" s="6"/>
      <c r="LH106" s="6"/>
      <c r="LI106" s="6"/>
      <c r="LJ106" s="5" t="str">
        <f t="shared" si="332"/>
        <v>NO APLICA</v>
      </c>
      <c r="LK106" s="5"/>
      <c r="LL106" s="5"/>
      <c r="LM106" s="4"/>
      <c r="LN106" s="8"/>
      <c r="LO106" s="5" t="str">
        <f t="shared" si="367"/>
        <v>NO APLICA</v>
      </c>
      <c r="LP106" s="6"/>
      <c r="LQ106" s="6"/>
      <c r="LR106" s="6"/>
      <c r="LS106" s="6"/>
      <c r="LT106" s="5" t="str">
        <f t="shared" si="359"/>
        <v>NO APLICA</v>
      </c>
      <c r="LU106" s="6"/>
      <c r="LV106" s="6"/>
      <c r="LW106" s="4"/>
      <c r="LX106" s="6"/>
      <c r="LY106" s="5" t="str">
        <f t="shared" si="360"/>
        <v>NO APLICA</v>
      </c>
      <c r="LZ106" s="6"/>
      <c r="MA106" s="6"/>
      <c r="MB106" s="4"/>
      <c r="MC106" s="6"/>
      <c r="MD106" s="5" t="str">
        <f t="shared" si="361"/>
        <v>NO APLICA</v>
      </c>
      <c r="ME106" s="6"/>
      <c r="MF106" s="6"/>
      <c r="MG106" s="4"/>
      <c r="MH106" s="6"/>
      <c r="MI106" s="5" t="str">
        <f t="shared" si="333"/>
        <v>NO APLICA</v>
      </c>
      <c r="MJ106" s="6"/>
      <c r="MK106" s="6"/>
      <c r="ML106" s="4"/>
      <c r="MM106" s="6"/>
      <c r="MN106" s="5" t="str">
        <f t="shared" si="334"/>
        <v>NO APLICA</v>
      </c>
      <c r="MO106" s="5"/>
      <c r="MP106" s="6"/>
      <c r="MQ106" s="4"/>
      <c r="MR106" s="6"/>
      <c r="MS106" s="5" t="str">
        <f t="shared" si="335"/>
        <v>NO APLICA</v>
      </c>
      <c r="MT106" s="5"/>
      <c r="MU106" s="6"/>
      <c r="MV106" s="6"/>
      <c r="MW106" s="6"/>
      <c r="MX106" s="5" t="str">
        <f t="shared" si="336"/>
        <v>NO APLICA</v>
      </c>
      <c r="MY106" s="6"/>
      <c r="MZ106" s="6"/>
      <c r="NA106" s="4"/>
      <c r="NB106" s="6"/>
      <c r="NC106" s="5" t="str">
        <f t="shared" si="337"/>
        <v>NO APLICA</v>
      </c>
      <c r="ND106" s="6"/>
      <c r="NE106" s="6"/>
      <c r="NF106" s="4"/>
      <c r="NG106" s="6"/>
      <c r="NH106" s="5" t="str">
        <f t="shared" si="338"/>
        <v>NO APLICA</v>
      </c>
      <c r="NI106" s="6"/>
      <c r="NJ106" s="6"/>
      <c r="NK106" s="4"/>
      <c r="NL106" s="6"/>
      <c r="NM106" s="5" t="str">
        <f t="shared" si="339"/>
        <v>NO APLICA</v>
      </c>
      <c r="NN106" s="6"/>
      <c r="NO106" s="6"/>
      <c r="NP106" s="4"/>
      <c r="NQ106" s="6"/>
      <c r="NR106" s="5" t="str">
        <f t="shared" si="340"/>
        <v>NO APLICA</v>
      </c>
      <c r="NS106" s="6"/>
      <c r="NT106" s="6"/>
      <c r="NU106" s="4"/>
      <c r="NV106" s="6"/>
      <c r="NW106" s="5" t="str">
        <f t="shared" si="341"/>
        <v>NO APLICA</v>
      </c>
      <c r="NX106" s="6"/>
      <c r="NY106" s="6"/>
      <c r="NZ106" s="4"/>
      <c r="OA106" s="8"/>
      <c r="OB106" s="5" t="str">
        <f t="shared" si="342"/>
        <v>NO APLICA</v>
      </c>
      <c r="OC106" s="6"/>
      <c r="OD106" s="6"/>
      <c r="OE106" s="6"/>
      <c r="OF106" s="6"/>
      <c r="OG106" s="5" t="str">
        <f t="shared" si="343"/>
        <v>NO APLICA</v>
      </c>
      <c r="OH106" s="6"/>
      <c r="OI106" s="6"/>
      <c r="OJ106" s="6"/>
      <c r="OK106" s="6"/>
      <c r="OL106" s="5" t="str">
        <f t="shared" si="344"/>
        <v>NO APLICA</v>
      </c>
      <c r="OM106" s="6"/>
      <c r="ON106" s="6"/>
      <c r="OO106" s="6"/>
      <c r="OP106" s="6"/>
      <c r="OQ106" s="5" t="str">
        <f t="shared" si="345"/>
        <v>NO APLICA</v>
      </c>
      <c r="OR106" s="6"/>
      <c r="OS106" s="6"/>
      <c r="OT106" s="6"/>
      <c r="OU106" s="6"/>
      <c r="OV106" s="5" t="str">
        <f t="shared" si="346"/>
        <v>NO APLICA</v>
      </c>
      <c r="OW106" s="6"/>
      <c r="OX106" s="6"/>
      <c r="OY106" s="6"/>
      <c r="OZ106" s="6"/>
      <c r="PA106" s="5" t="str">
        <f t="shared" si="347"/>
        <v>NO APLICA</v>
      </c>
      <c r="PB106" s="6"/>
      <c r="PC106" s="6"/>
      <c r="PD106" s="6"/>
      <c r="PE106" s="6"/>
      <c r="PF106" s="5" t="str">
        <f t="shared" si="348"/>
        <v>NO APLICA</v>
      </c>
      <c r="PG106" s="6"/>
      <c r="PH106" s="6"/>
      <c r="PI106" s="6"/>
      <c r="PJ106" s="6"/>
      <c r="PK106" s="5" t="str">
        <f t="shared" si="349"/>
        <v>NO APLICA</v>
      </c>
      <c r="PL106" s="5"/>
      <c r="PM106" s="6"/>
      <c r="PN106" s="6"/>
      <c r="PO106" s="6"/>
      <c r="PP106" s="5" t="str">
        <f t="shared" si="350"/>
        <v>NO APLICA</v>
      </c>
      <c r="PQ106" s="6"/>
      <c r="PR106" s="6"/>
      <c r="PS106" s="6"/>
      <c r="PT106" s="6"/>
      <c r="PU106" s="5" t="str">
        <f t="shared" si="351"/>
        <v>NO APLICA</v>
      </c>
      <c r="PV106" s="5"/>
      <c r="PW106" s="6"/>
      <c r="PX106" s="4"/>
      <c r="PY106" s="8"/>
      <c r="PZ106" s="5" t="str">
        <f t="shared" si="352"/>
        <v>NO APLICA</v>
      </c>
    </row>
    <row r="107" spans="1:442" ht="15.6" hidden="1" thickTop="1" thickBot="1" x14ac:dyDescent="0.35">
      <c r="A107" s="26">
        <v>104</v>
      </c>
      <c r="B107" s="31">
        <v>1689</v>
      </c>
      <c r="C107" s="28" t="s">
        <v>762</v>
      </c>
      <c r="D107" s="29" t="s">
        <v>68</v>
      </c>
      <c r="E107" s="30" t="s">
        <v>73</v>
      </c>
      <c r="F107" s="5"/>
      <c r="G107" s="6"/>
      <c r="H107" s="4"/>
      <c r="I107" s="8"/>
      <c r="J107" s="5" t="str">
        <f t="shared" si="242"/>
        <v>NO APLICA</v>
      </c>
      <c r="K107" s="5"/>
      <c r="L107" s="6"/>
      <c r="M107" s="6"/>
      <c r="N107" s="8"/>
      <c r="O107" s="5" t="str">
        <f t="shared" si="243"/>
        <v>NO APLICA</v>
      </c>
      <c r="P107" s="4"/>
      <c r="Q107" s="4"/>
      <c r="R107" s="4"/>
      <c r="S107" s="8"/>
      <c r="T107" s="5" t="str">
        <f t="shared" si="353"/>
        <v>NO APLICA</v>
      </c>
      <c r="U107" s="5"/>
      <c r="V107" s="2" t="s">
        <v>364</v>
      </c>
      <c r="W107" s="4">
        <v>45142</v>
      </c>
      <c r="X107" s="4">
        <f t="shared" si="244"/>
        <v>46969</v>
      </c>
      <c r="Y107" s="8">
        <f t="shared" ca="1" si="245"/>
        <v>824</v>
      </c>
      <c r="Z107" s="5" t="str">
        <f t="shared" ca="1" si="246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7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8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9"/>
        <v>522</v>
      </c>
      <c r="AP107" s="5" t="str">
        <f t="shared" ca="1" si="250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1"/>
        <v>552</v>
      </c>
      <c r="AU107" s="5" t="str">
        <f t="shared" ca="1" si="252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3"/>
        <v>537</v>
      </c>
      <c r="AZ107" s="5" t="str">
        <f t="shared" ca="1" si="254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5"/>
        <v>656</v>
      </c>
      <c r="BE107" s="5" t="str">
        <f t="shared" ca="1" si="256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7"/>
        <v>572</v>
      </c>
      <c r="BJ107" s="5" t="str">
        <f t="shared" ca="1" si="258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9"/>
        <v>602</v>
      </c>
      <c r="BO107" s="5" t="str">
        <f t="shared" ca="1" si="260"/>
        <v>VIGENTE</v>
      </c>
      <c r="BP107" s="3"/>
      <c r="BQ107" s="39">
        <v>45988</v>
      </c>
      <c r="BR107" s="4">
        <f>DATE(YEAR(BQ107)+2,MONTH(BQ107),DAY(BQ107))</f>
        <v>46718</v>
      </c>
      <c r="BS107" s="8">
        <f t="shared" ca="1" si="261"/>
        <v>573</v>
      </c>
      <c r="BT107" s="5" t="str">
        <f t="shared" ca="1" si="262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3"/>
        <v>616</v>
      </c>
      <c r="BY107" s="5" t="str">
        <f t="shared" ca="1" si="264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5"/>
        <v>571</v>
      </c>
      <c r="CD107" s="5" t="str">
        <f t="shared" ca="1" si="266"/>
        <v>VIGENTE</v>
      </c>
      <c r="CE107" s="6"/>
      <c r="CF107" s="4">
        <v>45533</v>
      </c>
      <c r="CG107" s="4">
        <f t="shared" si="387"/>
        <v>46994</v>
      </c>
      <c r="CH107" s="8">
        <f t="shared" ca="1" si="388"/>
        <v>849</v>
      </c>
      <c r="CI107" s="5" t="str">
        <f t="shared" ca="1" si="269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0"/>
        <v>605</v>
      </c>
      <c r="CN107" s="5" t="str">
        <f t="shared" ca="1" si="271"/>
        <v>VIGENTE</v>
      </c>
      <c r="CO107" s="3"/>
      <c r="CP107" s="39">
        <v>45994</v>
      </c>
      <c r="CQ107" s="4">
        <f>DATE(YEAR(CP107)+2,MONTH(CP107),DAY(CP107))</f>
        <v>46724</v>
      </c>
      <c r="CR107" s="8">
        <f t="shared" ca="1" si="272"/>
        <v>579</v>
      </c>
      <c r="CS107" s="5" t="str">
        <f t="shared" ca="1" si="273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4"/>
        <v>524</v>
      </c>
      <c r="CX107" s="5" t="str">
        <f t="shared" ca="1" si="275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6"/>
        <v>585</v>
      </c>
      <c r="DC107" s="5" t="str">
        <f t="shared" ca="1" si="277"/>
        <v>VIGENTE</v>
      </c>
      <c r="DD107" s="4"/>
      <c r="DE107" s="39">
        <v>46045</v>
      </c>
      <c r="DF107" s="4">
        <f>DATE(YEAR(DE107)+2,MONTH(DE107),DAY(DE107))</f>
        <v>46775</v>
      </c>
      <c r="DG107" s="8">
        <f t="shared" ca="1" si="278"/>
        <v>630</v>
      </c>
      <c r="DH107" s="5" t="str">
        <f t="shared" ca="1" si="279"/>
        <v>VIGENTE</v>
      </c>
      <c r="DI107" s="3"/>
      <c r="DJ107" s="39">
        <v>45955</v>
      </c>
      <c r="DK107" s="4">
        <f>DATE(YEAR(DJ107)+2,MONTH(DJ107),DAY(DJ107))</f>
        <v>46685</v>
      </c>
      <c r="DL107" s="8">
        <f t="shared" ca="1" si="280"/>
        <v>540</v>
      </c>
      <c r="DM107" s="5" t="str">
        <f t="shared" ca="1" si="281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2"/>
        <v>592</v>
      </c>
      <c r="DR107" s="5" t="str">
        <f t="shared" ca="1" si="283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4"/>
        <v>603</v>
      </c>
      <c r="DW107" s="5" t="str">
        <f t="shared" ca="1" si="285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6"/>
        <v>617</v>
      </c>
      <c r="EB107" s="5" t="str">
        <f t="shared" ca="1" si="287"/>
        <v>VIGENTE</v>
      </c>
      <c r="EC107" s="4"/>
      <c r="ED107" s="39">
        <v>45985</v>
      </c>
      <c r="EE107" s="4">
        <f>DATE(YEAR(ED107)+2,MONTH(ED107),DAY(ED107))</f>
        <v>46715</v>
      </c>
      <c r="EF107" s="8">
        <f t="shared" ca="1" si="288"/>
        <v>570</v>
      </c>
      <c r="EG107" s="5" t="str">
        <f t="shared" ca="1" si="289"/>
        <v>VIGENTE</v>
      </c>
      <c r="EH107" s="3"/>
      <c r="EI107" s="4">
        <v>46115</v>
      </c>
      <c r="EJ107" s="4">
        <f t="shared" si="355"/>
        <v>46480</v>
      </c>
      <c r="EK107" s="8">
        <f t="shared" ca="1" si="290"/>
        <v>335</v>
      </c>
      <c r="EL107" s="5" t="str">
        <f t="shared" ca="1" si="291"/>
        <v>VIGENTE</v>
      </c>
      <c r="EM107" s="3"/>
      <c r="EN107" s="4">
        <v>45983</v>
      </c>
      <c r="EO107" s="4">
        <f>DATE(YEAR(EN107)+2,MONTH(EN107),DAY(EN107))</f>
        <v>46713</v>
      </c>
      <c r="EP107" s="8">
        <f t="shared" ca="1" si="292"/>
        <v>568</v>
      </c>
      <c r="EQ107" s="5" t="str">
        <f t="shared" ca="1" si="293"/>
        <v>VIGENTE</v>
      </c>
      <c r="ER107" s="2"/>
      <c r="ES107" s="39">
        <v>45999</v>
      </c>
      <c r="ET107" s="4">
        <f>DATE(YEAR(ES107)+2,MONTH(ES107),DAY(ES107))</f>
        <v>46729</v>
      </c>
      <c r="EU107" s="8">
        <f t="shared" ca="1" si="294"/>
        <v>584</v>
      </c>
      <c r="EV107" s="5" t="str">
        <f t="shared" ca="1" si="295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6"/>
        <v>549</v>
      </c>
      <c r="FA107" s="5" t="str">
        <f t="shared" ca="1" si="297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8"/>
        <v>595</v>
      </c>
      <c r="FF107" s="5" t="str">
        <f t="shared" ca="1" si="299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0"/>
        <v>554</v>
      </c>
      <c r="FK107" s="5" t="str">
        <f t="shared" ca="1" si="301"/>
        <v>VIGENTE</v>
      </c>
      <c r="FL107" s="3"/>
      <c r="FM107" s="39">
        <v>46049</v>
      </c>
      <c r="FN107" s="4">
        <f>DATE(YEAR(FM107)+2,MONTH(FM107),DAY(FM107))</f>
        <v>46779</v>
      </c>
      <c r="FO107" s="8">
        <f t="shared" ca="1" si="302"/>
        <v>634</v>
      </c>
      <c r="FP107" s="5" t="str">
        <f t="shared" ca="1" si="303"/>
        <v>VIGENTE</v>
      </c>
      <c r="FQ107" s="4"/>
      <c r="FR107" s="39">
        <v>46034</v>
      </c>
      <c r="FS107" s="4">
        <f>DATE(YEAR(FR107)+2,MONTH(FR107),DAY(FR107))</f>
        <v>46764</v>
      </c>
      <c r="FT107" s="8">
        <f t="shared" ca="1" si="304"/>
        <v>619</v>
      </c>
      <c r="FU107" s="5" t="str">
        <f t="shared" ca="1" si="305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6"/>
        <v>599</v>
      </c>
      <c r="FZ107" s="5" t="str">
        <f t="shared" ca="1" si="307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8"/>
        <v>510</v>
      </c>
      <c r="GE107" s="5" t="str">
        <f t="shared" ca="1" si="309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0"/>
        <v>545</v>
      </c>
      <c r="GJ107" s="5" t="str">
        <f t="shared" ca="1" si="311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2"/>
        <v>629</v>
      </c>
      <c r="GO107" s="5" t="str">
        <f t="shared" ca="1" si="313"/>
        <v>VIGENTE</v>
      </c>
      <c r="GP107" s="4"/>
      <c r="GQ107" s="4">
        <v>45299</v>
      </c>
      <c r="GR107" s="4">
        <f t="shared" si="314"/>
        <v>47126</v>
      </c>
      <c r="GS107" s="8">
        <f t="shared" ref="GS107:GS170" ca="1" si="405">GR107-TODAY()</f>
        <v>981</v>
      </c>
      <c r="GT107" s="5" t="str">
        <f t="shared" ca="1" si="378"/>
        <v>VIGENTE</v>
      </c>
      <c r="GU107" s="3"/>
      <c r="GV107" s="4">
        <v>45329</v>
      </c>
      <c r="GW107" s="4">
        <f t="shared" si="316"/>
        <v>47156</v>
      </c>
      <c r="GX107" s="8">
        <f t="shared" ca="1" si="317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9"/>
        <v>47170</v>
      </c>
      <c r="HC107" s="8">
        <f t="shared" ca="1" si="320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6">DATE(YEAR(HF107)+5,MONTH(HF107),DAY(HF107))</f>
        <v>47144</v>
      </c>
      <c r="HH107" s="8">
        <f t="shared" ref="HH107:HH118" ca="1" si="407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2"/>
        <v>NO APLICA</v>
      </c>
      <c r="HT107" s="2"/>
      <c r="HU107" s="6"/>
      <c r="HV107" s="4"/>
      <c r="HW107" s="8"/>
      <c r="HX107" s="5" t="str">
        <f t="shared" si="323"/>
        <v>NO APLICA</v>
      </c>
      <c r="HY107" s="2"/>
      <c r="HZ107" s="6"/>
      <c r="IA107" s="4"/>
      <c r="IB107" s="8"/>
      <c r="IC107" s="5" t="str">
        <f t="shared" si="324"/>
        <v>NO APLICA</v>
      </c>
      <c r="ID107" s="2"/>
      <c r="IE107" s="6"/>
      <c r="IF107" s="4"/>
      <c r="IG107" s="8"/>
      <c r="IH107" s="5" t="str">
        <f t="shared" si="325"/>
        <v>NO APLICA</v>
      </c>
      <c r="II107" s="6"/>
      <c r="IJ107" s="6"/>
      <c r="IK107" s="4"/>
      <c r="IL107" s="8"/>
      <c r="IM107" s="5" t="str">
        <f t="shared" si="326"/>
        <v>NO APLICA</v>
      </c>
      <c r="IN107" s="2"/>
      <c r="IO107" s="6"/>
      <c r="IP107" s="4"/>
      <c r="IQ107" s="8"/>
      <c r="IR107" s="5" t="str">
        <f t="shared" si="327"/>
        <v>NO APLICA</v>
      </c>
      <c r="IS107" s="2"/>
      <c r="IT107" s="6"/>
      <c r="IU107" s="4"/>
      <c r="IV107" s="8"/>
      <c r="IW107" s="5" t="str">
        <f t="shared" si="328"/>
        <v>NO APLICA</v>
      </c>
      <c r="IX107" s="2"/>
      <c r="IY107" s="6"/>
      <c r="IZ107" s="4"/>
      <c r="JA107" s="8"/>
      <c r="JB107" s="5" t="str">
        <f t="shared" si="329"/>
        <v>NO APLICA</v>
      </c>
      <c r="JC107" s="3" t="s">
        <v>780</v>
      </c>
      <c r="JD107" s="3"/>
      <c r="JE107" s="4"/>
      <c r="JF107" s="8"/>
      <c r="JG107" s="5"/>
      <c r="JH107" s="3" t="s">
        <v>780</v>
      </c>
      <c r="JI107" s="6"/>
      <c r="JJ107" s="6"/>
      <c r="JK107" s="6"/>
      <c r="JL107" s="5"/>
      <c r="JM107" s="6" t="s">
        <v>780</v>
      </c>
      <c r="JN107" s="6"/>
      <c r="JO107" s="6"/>
      <c r="JP107" s="6"/>
      <c r="JQ107" s="5"/>
      <c r="JR107" s="6" t="s">
        <v>780</v>
      </c>
      <c r="JS107" s="6"/>
      <c r="JT107" s="6"/>
      <c r="JU107" s="6"/>
      <c r="JV107" s="5"/>
      <c r="JW107" s="6" t="s">
        <v>780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30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6"/>
        <v>VIGENTE</v>
      </c>
      <c r="KL107" s="5"/>
      <c r="KM107" s="2"/>
      <c r="KN107" s="4"/>
      <c r="KO107" s="8"/>
      <c r="KP107" s="5" t="str">
        <f t="shared" si="331"/>
        <v>NO APLICA</v>
      </c>
      <c r="KQ107" s="5"/>
      <c r="KR107" s="2"/>
      <c r="KS107" s="4"/>
      <c r="KT107" s="8"/>
      <c r="KU107" s="5" t="str">
        <f t="shared" si="357"/>
        <v>NO APLICA</v>
      </c>
      <c r="KV107" s="2"/>
      <c r="KW107" s="6"/>
      <c r="KX107" s="4"/>
      <c r="KY107" s="8"/>
      <c r="KZ107" s="5" t="str">
        <f t="shared" si="366"/>
        <v>NO APLICA</v>
      </c>
      <c r="LA107" s="5"/>
      <c r="LB107" s="6"/>
      <c r="LC107" s="4"/>
      <c r="LD107" s="8"/>
      <c r="LE107" s="5" t="str">
        <f t="shared" si="358"/>
        <v>NO APLICA</v>
      </c>
      <c r="LF107" s="6"/>
      <c r="LG107" s="6"/>
      <c r="LH107" s="4"/>
      <c r="LI107" s="8"/>
      <c r="LJ107" s="5" t="str">
        <f t="shared" si="332"/>
        <v>NO APLICA</v>
      </c>
      <c r="LK107" s="5"/>
      <c r="LL107" s="5"/>
      <c r="LM107" s="5"/>
      <c r="LN107" s="5"/>
      <c r="LO107" s="5" t="str">
        <f t="shared" si="367"/>
        <v>NO APLICA</v>
      </c>
      <c r="LP107" s="2"/>
      <c r="LQ107" s="6"/>
      <c r="LR107" s="4"/>
      <c r="LS107" s="8"/>
      <c r="LT107" s="5" t="str">
        <f t="shared" si="359"/>
        <v>NO APLICA</v>
      </c>
      <c r="LU107" s="6"/>
      <c r="LV107" s="6"/>
      <c r="LW107" s="4"/>
      <c r="LX107" s="8"/>
      <c r="LY107" s="5" t="str">
        <f t="shared" si="360"/>
        <v>NO APLICA</v>
      </c>
      <c r="LZ107" s="6"/>
      <c r="MA107" s="6"/>
      <c r="MB107" s="4"/>
      <c r="MC107" s="8"/>
      <c r="MD107" s="5" t="str">
        <f t="shared" si="361"/>
        <v>NO APLICA</v>
      </c>
      <c r="ME107" s="2"/>
      <c r="MF107" s="2"/>
      <c r="MG107" s="4"/>
      <c r="MH107" s="8"/>
      <c r="MI107" s="5" t="str">
        <f t="shared" si="333"/>
        <v>NO APLICA</v>
      </c>
      <c r="MJ107" s="2"/>
      <c r="MK107" s="2"/>
      <c r="ML107" s="4"/>
      <c r="MM107" s="8"/>
      <c r="MN107" s="5" t="str">
        <f t="shared" si="334"/>
        <v>NO APLICA</v>
      </c>
      <c r="MO107" s="5"/>
      <c r="MP107" s="2"/>
      <c r="MQ107" s="4"/>
      <c r="MR107" s="8"/>
      <c r="MS107" s="5" t="str">
        <f t="shared" si="335"/>
        <v>NO APLICA</v>
      </c>
      <c r="MT107" s="5"/>
      <c r="MU107" s="2"/>
      <c r="MV107" s="4"/>
      <c r="MW107" s="2"/>
      <c r="MX107" s="5" t="str">
        <f t="shared" si="336"/>
        <v>NO APLICA</v>
      </c>
      <c r="MY107" s="2"/>
      <c r="MZ107" s="6"/>
      <c r="NA107" s="4"/>
      <c r="NB107" s="8"/>
      <c r="NC107" s="5" t="str">
        <f t="shared" si="337"/>
        <v>NO APLICA</v>
      </c>
      <c r="ND107" s="2"/>
      <c r="NE107" s="6"/>
      <c r="NF107" s="4"/>
      <c r="NG107" s="8"/>
      <c r="NH107" s="5" t="str">
        <f t="shared" si="338"/>
        <v>NO APLICA</v>
      </c>
      <c r="NI107" s="2"/>
      <c r="NJ107" s="6"/>
      <c r="NK107" s="4"/>
      <c r="NL107" s="8"/>
      <c r="NM107" s="5" t="str">
        <f t="shared" si="339"/>
        <v>NO APLICA</v>
      </c>
      <c r="NN107" s="2"/>
      <c r="NO107" s="2"/>
      <c r="NP107" s="4"/>
      <c r="NQ107" s="8"/>
      <c r="NR107" s="5" t="str">
        <f t="shared" si="340"/>
        <v>NO APLICA</v>
      </c>
      <c r="NS107" s="2"/>
      <c r="NT107" s="2"/>
      <c r="NU107" s="4"/>
      <c r="NV107" s="2"/>
      <c r="NW107" s="5" t="str">
        <f t="shared" si="341"/>
        <v>NO APLICA</v>
      </c>
      <c r="NX107" s="6"/>
      <c r="NY107" s="6"/>
      <c r="NZ107" s="4"/>
      <c r="OA107" s="8"/>
      <c r="OB107" s="5" t="str">
        <f t="shared" si="342"/>
        <v>NO APLICA</v>
      </c>
      <c r="OC107" s="6"/>
      <c r="OD107" s="6"/>
      <c r="OE107" s="6"/>
      <c r="OF107" s="6"/>
      <c r="OG107" s="5" t="str">
        <f t="shared" si="343"/>
        <v>NO APLICA</v>
      </c>
      <c r="OH107" s="6"/>
      <c r="OI107" s="6"/>
      <c r="OJ107" s="4"/>
      <c r="OK107" s="8"/>
      <c r="OL107" s="5" t="str">
        <f t="shared" si="344"/>
        <v>NO APLICA</v>
      </c>
      <c r="OM107" s="6"/>
      <c r="ON107" s="6"/>
      <c r="OO107" s="6"/>
      <c r="OP107" s="6"/>
      <c r="OQ107" s="5" t="str">
        <f t="shared" si="345"/>
        <v>NO APLICA</v>
      </c>
      <c r="OR107" s="6"/>
      <c r="OS107" s="6"/>
      <c r="OT107" s="6"/>
      <c r="OU107" s="6"/>
      <c r="OV107" s="5" t="str">
        <f t="shared" si="346"/>
        <v>NO APLICA</v>
      </c>
      <c r="OW107" s="6"/>
      <c r="OX107" s="6"/>
      <c r="OY107" s="6"/>
      <c r="OZ107" s="6"/>
      <c r="PA107" s="5" t="str">
        <f t="shared" si="347"/>
        <v>NO APLICA</v>
      </c>
      <c r="PB107" s="6"/>
      <c r="PC107" s="6"/>
      <c r="PD107" s="6"/>
      <c r="PE107" s="6"/>
      <c r="PF107" s="5" t="str">
        <f t="shared" si="348"/>
        <v>NO APLICA</v>
      </c>
      <c r="PG107" s="6"/>
      <c r="PH107" s="6"/>
      <c r="PI107" s="6"/>
      <c r="PJ107" s="6"/>
      <c r="PK107" s="5" t="str">
        <f t="shared" si="349"/>
        <v>NO APLICA</v>
      </c>
      <c r="PL107" s="5"/>
      <c r="PM107" s="6"/>
      <c r="PN107" s="4"/>
      <c r="PO107" s="8"/>
      <c r="PP107" s="5" t="str">
        <f t="shared" si="350"/>
        <v>NO APLICA</v>
      </c>
      <c r="PQ107" s="6"/>
      <c r="PR107" s="6"/>
      <c r="PS107" s="6"/>
      <c r="PT107" s="6"/>
      <c r="PU107" s="5" t="str">
        <f t="shared" si="351"/>
        <v>NO APLICA</v>
      </c>
      <c r="PV107" s="5"/>
      <c r="PW107" s="6"/>
      <c r="PX107" s="6"/>
      <c r="PY107" s="6"/>
      <c r="PZ107" s="5" t="str">
        <f t="shared" si="352"/>
        <v>NO APLICA</v>
      </c>
    </row>
    <row r="108" spans="1:442" ht="15.6" hidden="1" thickTop="1" thickBot="1" x14ac:dyDescent="0.35">
      <c r="A108" s="26">
        <v>105</v>
      </c>
      <c r="B108" s="27">
        <v>1603</v>
      </c>
      <c r="C108" s="28" t="s">
        <v>366</v>
      </c>
      <c r="D108" s="29" t="s">
        <v>68</v>
      </c>
      <c r="E108" s="30" t="s">
        <v>153</v>
      </c>
      <c r="F108" s="5"/>
      <c r="G108" s="6"/>
      <c r="H108" s="4"/>
      <c r="I108" s="8"/>
      <c r="J108" s="5" t="str">
        <f t="shared" si="242"/>
        <v>NO APLICA</v>
      </c>
      <c r="K108" s="2"/>
      <c r="L108" s="6"/>
      <c r="M108" s="6"/>
      <c r="N108" s="8"/>
      <c r="O108" s="5" t="str">
        <f t="shared" si="243"/>
        <v>NO APLICA</v>
      </c>
      <c r="P108" s="4"/>
      <c r="Q108" s="4"/>
      <c r="R108" s="4"/>
      <c r="S108" s="8"/>
      <c r="T108" s="5" t="str">
        <f t="shared" si="353"/>
        <v>NO APLICA</v>
      </c>
      <c r="U108" s="5"/>
      <c r="V108" s="2" t="s">
        <v>367</v>
      </c>
      <c r="W108" s="4">
        <v>44772</v>
      </c>
      <c r="X108" s="4">
        <f t="shared" si="244"/>
        <v>46598</v>
      </c>
      <c r="Y108" s="8">
        <f t="shared" ca="1" si="245"/>
        <v>453</v>
      </c>
      <c r="Z108" s="5" t="str">
        <f t="shared" ca="1" si="246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7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8"/>
        <v>487</v>
      </c>
      <c r="AK108" s="5" t="str">
        <f t="shared" ref="AK108:AK171" ca="1" si="408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9"/>
        <v>488</v>
      </c>
      <c r="AP108" s="5" t="str">
        <f t="shared" ca="1" si="250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1"/>
        <v>574</v>
      </c>
      <c r="AU108" s="5" t="str">
        <f t="shared" ca="1" si="252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3"/>
        <v>655</v>
      </c>
      <c r="AZ108" s="5" t="str">
        <f t="shared" ca="1" si="254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5"/>
        <v>187</v>
      </c>
      <c r="BE108" s="5" t="str">
        <f t="shared" ca="1" si="256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7"/>
        <v>282</v>
      </c>
      <c r="BJ108" s="5" t="str">
        <f t="shared" ca="1" si="258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9"/>
        <v>184</v>
      </c>
      <c r="BO108" s="5" t="str">
        <f t="shared" ca="1" si="260"/>
        <v>VIGENTE</v>
      </c>
      <c r="BP108" s="3"/>
      <c r="BQ108" s="39">
        <v>45604</v>
      </c>
      <c r="BR108" s="4">
        <f>DATE(YEAR(BQ108)+2,MONTH(BQ108),DAY(BQ108)-1)</f>
        <v>46333</v>
      </c>
      <c r="BS108" s="8">
        <f t="shared" ca="1" si="261"/>
        <v>188</v>
      </c>
      <c r="BT108" s="5" t="str">
        <f t="shared" ca="1" si="262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3"/>
        <v>195</v>
      </c>
      <c r="BY108" s="5" t="str">
        <f t="shared" ca="1" si="264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5"/>
        <v>539</v>
      </c>
      <c r="CD108" s="5" t="str">
        <f t="shared" ca="1" si="266"/>
        <v>VIGENTE</v>
      </c>
      <c r="CE108" s="6"/>
      <c r="CF108" s="4">
        <v>45301</v>
      </c>
      <c r="CG108" s="4">
        <f t="shared" si="387"/>
        <v>46762</v>
      </c>
      <c r="CH108" s="8">
        <f t="shared" ca="1" si="388"/>
        <v>617</v>
      </c>
      <c r="CI108" s="5" t="str">
        <f t="shared" ca="1" si="269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0"/>
        <v>272</v>
      </c>
      <c r="CN108" s="5" t="str">
        <f t="shared" ca="1" si="271"/>
        <v>VIGENTE</v>
      </c>
      <c r="CO108" s="3"/>
      <c r="CP108" s="39">
        <v>45726</v>
      </c>
      <c r="CQ108" s="4">
        <f>DATE(YEAR(CP108)+2,MONTH(CP108),DAY(CP108)-1)</f>
        <v>46455</v>
      </c>
      <c r="CR108" s="8">
        <f t="shared" ca="1" si="272"/>
        <v>310</v>
      </c>
      <c r="CS108" s="5" t="str">
        <f t="shared" ca="1" si="273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4"/>
        <v>628</v>
      </c>
      <c r="CX108" s="5" t="str">
        <f t="shared" ca="1" si="275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6"/>
        <v>585</v>
      </c>
      <c r="DC108" s="5" t="str">
        <f t="shared" ca="1" si="277"/>
        <v>VIGENTE</v>
      </c>
      <c r="DD108" s="3"/>
      <c r="DE108" s="39">
        <v>45761</v>
      </c>
      <c r="DF108" s="4">
        <f>DATE(YEAR(DE108)+2,MONTH(DE108),DAY(DE108))</f>
        <v>46491</v>
      </c>
      <c r="DG108" s="8">
        <f t="shared" ca="1" si="278"/>
        <v>346</v>
      </c>
      <c r="DH108" s="5" t="str">
        <f t="shared" ca="1" si="279"/>
        <v>VIGENTE</v>
      </c>
      <c r="DI108" s="3"/>
      <c r="DJ108" s="39">
        <v>46029</v>
      </c>
      <c r="DK108" s="4">
        <f>DATE(YEAR(DJ108)+2,MONTH(DJ108),DAY(DJ108))</f>
        <v>46759</v>
      </c>
      <c r="DL108" s="8">
        <f t="shared" ca="1" si="280"/>
        <v>614</v>
      </c>
      <c r="DM108" s="5" t="str">
        <f t="shared" ca="1" si="281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2"/>
        <v>567</v>
      </c>
      <c r="DR108" s="5" t="str">
        <f t="shared" ca="1" si="283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4"/>
        <v>203</v>
      </c>
      <c r="DW108" s="5" t="str">
        <f t="shared" ca="1" si="285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6"/>
        <v>266</v>
      </c>
      <c r="EB108" s="5" t="str">
        <f t="shared" ca="1" si="287"/>
        <v>VIGENTE</v>
      </c>
      <c r="EC108" s="3"/>
      <c r="ED108" s="39">
        <v>45583</v>
      </c>
      <c r="EE108" s="4">
        <f>DATE(YEAR(ED108)+2,MONTH(ED108),DAY(ED108)-1)</f>
        <v>46312</v>
      </c>
      <c r="EF108" s="8">
        <f t="shared" ca="1" si="288"/>
        <v>167</v>
      </c>
      <c r="EG108" s="5" t="str">
        <f t="shared" ca="1" si="289"/>
        <v>VIGENTE</v>
      </c>
      <c r="EH108" s="3"/>
      <c r="EI108" s="3">
        <v>46085</v>
      </c>
      <c r="EJ108" s="4">
        <f t="shared" si="355"/>
        <v>46450</v>
      </c>
      <c r="EK108" s="8">
        <f t="shared" ca="1" si="290"/>
        <v>305</v>
      </c>
      <c r="EL108" s="5" t="str">
        <f t="shared" ca="1" si="291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2"/>
        <v>244</v>
      </c>
      <c r="EQ108" s="5" t="str">
        <f t="shared" ca="1" si="293"/>
        <v>VIGENTE</v>
      </c>
      <c r="ER108" s="3"/>
      <c r="ES108" s="39">
        <v>45677</v>
      </c>
      <c r="ET108" s="4">
        <f>DATE(YEAR(ES108)+2,MONTH(ES108),DAY(ES108)-1)</f>
        <v>46406</v>
      </c>
      <c r="EU108" s="8">
        <f t="shared" ca="1" si="294"/>
        <v>261</v>
      </c>
      <c r="EV108" s="5" t="str">
        <f t="shared" ca="1" si="295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6"/>
        <v>538</v>
      </c>
      <c r="FA108" s="5" t="str">
        <f t="shared" ca="1" si="297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8"/>
        <v>536</v>
      </c>
      <c r="FF108" s="5" t="str">
        <f t="shared" ca="1" si="299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0"/>
        <v>504</v>
      </c>
      <c r="FK108" s="5" t="str">
        <f t="shared" ca="1" si="301"/>
        <v>VIGENTE</v>
      </c>
      <c r="FL108" s="3"/>
      <c r="FM108" s="39">
        <v>45588</v>
      </c>
      <c r="FN108" s="4">
        <f>DATE(YEAR(FM108)+2,MONTH(FM108),DAY(FM108)-1)</f>
        <v>46317</v>
      </c>
      <c r="FO108" s="8">
        <f t="shared" ca="1" si="302"/>
        <v>172</v>
      </c>
      <c r="FP108" s="5" t="str">
        <f t="shared" ca="1" si="303"/>
        <v>VIGENTE</v>
      </c>
      <c r="FQ108" s="3"/>
      <c r="FR108" s="39">
        <v>45605</v>
      </c>
      <c r="FS108" s="4">
        <f>DATE(YEAR(FR108)+2,MONTH(FR108),DAY(FR108)-1)</f>
        <v>46334</v>
      </c>
      <c r="FT108" s="8">
        <f t="shared" ca="1" si="304"/>
        <v>189</v>
      </c>
      <c r="FU108" s="5" t="str">
        <f t="shared" ca="1" si="305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6"/>
        <v>599</v>
      </c>
      <c r="FZ108" s="5" t="str">
        <f t="shared" ca="1" si="307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8"/>
        <v>251</v>
      </c>
      <c r="GE108" s="5" t="str">
        <f t="shared" ca="1" si="309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0"/>
        <v>163</v>
      </c>
      <c r="GJ108" s="5" t="str">
        <f t="shared" ca="1" si="311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2"/>
        <v>336</v>
      </c>
      <c r="GO108" s="5" t="str">
        <f t="shared" ca="1" si="313"/>
        <v>VIGENTE</v>
      </c>
      <c r="GP108" s="4"/>
      <c r="GQ108" s="4">
        <v>44952</v>
      </c>
      <c r="GR108" s="4">
        <f t="shared" si="314"/>
        <v>46778</v>
      </c>
      <c r="GS108" s="8">
        <f t="shared" ca="1" si="405"/>
        <v>633</v>
      </c>
      <c r="GT108" s="5" t="str">
        <f t="shared" ca="1" si="378"/>
        <v>VIGENTE</v>
      </c>
      <c r="GU108" s="3"/>
      <c r="GV108" s="4">
        <v>45010</v>
      </c>
      <c r="GW108" s="4">
        <f t="shared" si="316"/>
        <v>46837</v>
      </c>
      <c r="GX108" s="8">
        <f t="shared" ca="1" si="317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9"/>
        <v>46806</v>
      </c>
      <c r="HC108" s="8">
        <f t="shared" ca="1" si="320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6"/>
        <v>46921</v>
      </c>
      <c r="HH108" s="8">
        <f t="shared" ca="1" si="407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2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3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4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5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6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7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8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9"/>
        <v>VIGENTE</v>
      </c>
      <c r="JC108" s="3" t="s">
        <v>780</v>
      </c>
      <c r="JD108" s="3"/>
      <c r="JE108" s="4"/>
      <c r="JF108" s="8"/>
      <c r="JG108" s="5"/>
      <c r="JH108" s="3" t="s">
        <v>780</v>
      </c>
      <c r="JI108" s="6"/>
      <c r="JJ108" s="6"/>
      <c r="JK108" s="6"/>
      <c r="JL108" s="5"/>
      <c r="JM108" s="6" t="s">
        <v>780</v>
      </c>
      <c r="JN108" s="6"/>
      <c r="JO108" s="6"/>
      <c r="JP108" s="6"/>
      <c r="JQ108" s="5"/>
      <c r="JR108" s="6" t="s">
        <v>780</v>
      </c>
      <c r="JS108" s="6"/>
      <c r="JT108" s="6"/>
      <c r="JU108" s="6"/>
      <c r="JV108" s="5"/>
      <c r="JW108" s="6" t="s">
        <v>780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30"/>
        <v>VIGENTE</v>
      </c>
      <c r="KG108" s="5"/>
      <c r="KH108" s="2"/>
      <c r="KI108" s="4"/>
      <c r="KJ108" s="8"/>
      <c r="KK108" s="5" t="str">
        <f t="shared" si="356"/>
        <v>NO APLICA</v>
      </c>
      <c r="KL108" s="5"/>
      <c r="KM108" s="3"/>
      <c r="KN108" s="4"/>
      <c r="KO108" s="8"/>
      <c r="KP108" s="5" t="str">
        <f t="shared" si="331"/>
        <v>NO APLICA</v>
      </c>
      <c r="KQ108" s="5"/>
      <c r="KR108" s="2"/>
      <c r="KS108" s="4"/>
      <c r="KT108" s="8"/>
      <c r="KU108" s="5" t="str">
        <f t="shared" si="357"/>
        <v>NO APLICA</v>
      </c>
      <c r="KV108" s="2"/>
      <c r="KW108" s="6"/>
      <c r="KX108" s="4"/>
      <c r="KY108" s="8"/>
      <c r="KZ108" s="5" t="str">
        <f t="shared" si="366"/>
        <v>NO APLICA</v>
      </c>
      <c r="LA108" s="5"/>
      <c r="LB108" s="6"/>
      <c r="LC108" s="4"/>
      <c r="LD108" s="8"/>
      <c r="LE108" s="5" t="str">
        <f t="shared" si="358"/>
        <v>NO APLICA</v>
      </c>
      <c r="LF108" s="6"/>
      <c r="LG108" s="6"/>
      <c r="LH108" s="4"/>
      <c r="LI108" s="8"/>
      <c r="LJ108" s="5" t="str">
        <f t="shared" si="332"/>
        <v>NO APLICA</v>
      </c>
      <c r="LK108" s="5"/>
      <c r="LL108" s="5"/>
      <c r="LM108" s="4"/>
      <c r="LN108" s="8"/>
      <c r="LO108" s="5" t="str">
        <f t="shared" si="367"/>
        <v>NO APLICA</v>
      </c>
      <c r="LP108" s="2"/>
      <c r="LQ108" s="6"/>
      <c r="LR108" s="4"/>
      <c r="LS108" s="8"/>
      <c r="LT108" s="5" t="str">
        <f t="shared" si="359"/>
        <v>NO APLICA</v>
      </c>
      <c r="LU108" s="6"/>
      <c r="LV108" s="6"/>
      <c r="LW108" s="4"/>
      <c r="LX108" s="8"/>
      <c r="LY108" s="5" t="str">
        <f t="shared" si="360"/>
        <v>NO APLICA</v>
      </c>
      <c r="LZ108" s="6"/>
      <c r="MA108" s="6"/>
      <c r="MB108" s="4"/>
      <c r="MC108" s="8"/>
      <c r="MD108" s="5" t="str">
        <f t="shared" si="361"/>
        <v>NO APLICA</v>
      </c>
      <c r="ME108" s="2"/>
      <c r="MF108" s="2"/>
      <c r="MG108" s="4"/>
      <c r="MH108" s="8"/>
      <c r="MI108" s="5" t="str">
        <f t="shared" si="333"/>
        <v>NO APLICA</v>
      </c>
      <c r="MJ108" s="2"/>
      <c r="MK108" s="2"/>
      <c r="ML108" s="4"/>
      <c r="MM108" s="8"/>
      <c r="MN108" s="5" t="str">
        <f t="shared" si="334"/>
        <v>NO APLICA</v>
      </c>
      <c r="MO108" s="5"/>
      <c r="MP108" s="2"/>
      <c r="MQ108" s="4"/>
      <c r="MR108" s="8"/>
      <c r="MS108" s="5" t="str">
        <f t="shared" si="335"/>
        <v>NO APLICA</v>
      </c>
      <c r="MT108" s="5"/>
      <c r="MU108" s="2"/>
      <c r="MV108" s="4"/>
      <c r="MW108" s="2"/>
      <c r="MX108" s="5" t="str">
        <f t="shared" si="336"/>
        <v>NO APLICA</v>
      </c>
      <c r="MY108" s="2"/>
      <c r="MZ108" s="6"/>
      <c r="NA108" s="4"/>
      <c r="NB108" s="8"/>
      <c r="NC108" s="5" t="str">
        <f t="shared" si="337"/>
        <v>NO APLICA</v>
      </c>
      <c r="ND108" s="2"/>
      <c r="NE108" s="6"/>
      <c r="NF108" s="4"/>
      <c r="NG108" s="8"/>
      <c r="NH108" s="5" t="str">
        <f t="shared" si="338"/>
        <v>NO APLICA</v>
      </c>
      <c r="NI108" s="2"/>
      <c r="NJ108" s="6"/>
      <c r="NK108" s="4"/>
      <c r="NL108" s="8"/>
      <c r="NM108" s="5" t="str">
        <f t="shared" si="339"/>
        <v>NO APLICA</v>
      </c>
      <c r="NN108" s="2"/>
      <c r="NO108" s="2"/>
      <c r="NP108" s="4"/>
      <c r="NQ108" s="8"/>
      <c r="NR108" s="5" t="str">
        <f t="shared" si="340"/>
        <v>NO APLICA</v>
      </c>
      <c r="NS108" s="2"/>
      <c r="NT108" s="2"/>
      <c r="NU108" s="4"/>
      <c r="NV108" s="2"/>
      <c r="NW108" s="5" t="str">
        <f t="shared" si="341"/>
        <v>NO APLICA</v>
      </c>
      <c r="NX108" s="6"/>
      <c r="NY108" s="6"/>
      <c r="NZ108" s="4"/>
      <c r="OA108" s="8"/>
      <c r="OB108" s="5" t="str">
        <f t="shared" si="342"/>
        <v>NO APLICA</v>
      </c>
      <c r="OC108" s="6"/>
      <c r="OD108" s="6"/>
      <c r="OE108" s="6"/>
      <c r="OF108" s="6"/>
      <c r="OG108" s="5" t="str">
        <f t="shared" si="343"/>
        <v>NO APLICA</v>
      </c>
      <c r="OH108" s="6"/>
      <c r="OI108" s="6"/>
      <c r="OJ108" s="4"/>
      <c r="OK108" s="8"/>
      <c r="OL108" s="5" t="str">
        <f t="shared" si="344"/>
        <v>NO APLICA</v>
      </c>
      <c r="OM108" s="6"/>
      <c r="ON108" s="6"/>
      <c r="OO108" s="6"/>
      <c r="OP108" s="6"/>
      <c r="OQ108" s="5" t="str">
        <f t="shared" si="345"/>
        <v>NO APLICA</v>
      </c>
      <c r="OR108" s="6"/>
      <c r="OS108" s="6"/>
      <c r="OT108" s="6"/>
      <c r="OU108" s="6"/>
      <c r="OV108" s="5" t="str">
        <f t="shared" si="346"/>
        <v>NO APLICA</v>
      </c>
      <c r="OW108" s="6"/>
      <c r="OX108" s="6"/>
      <c r="OY108" s="6"/>
      <c r="OZ108" s="6"/>
      <c r="PA108" s="5" t="str">
        <f t="shared" si="347"/>
        <v>NO APLICA</v>
      </c>
      <c r="PB108" s="6"/>
      <c r="PC108" s="6"/>
      <c r="PD108" s="6"/>
      <c r="PE108" s="6"/>
      <c r="PF108" s="5" t="str">
        <f t="shared" si="348"/>
        <v>NO APLICA</v>
      </c>
      <c r="PG108" s="6"/>
      <c r="PH108" s="6"/>
      <c r="PI108" s="6"/>
      <c r="PJ108" s="6"/>
      <c r="PK108" s="5" t="str">
        <f t="shared" si="349"/>
        <v>NO APLICA</v>
      </c>
      <c r="PL108" s="5"/>
      <c r="PM108" s="6"/>
      <c r="PN108" s="4"/>
      <c r="PO108" s="8"/>
      <c r="PP108" s="5" t="str">
        <f t="shared" si="350"/>
        <v>NO APLICA</v>
      </c>
      <c r="PQ108" s="6"/>
      <c r="PR108" s="6"/>
      <c r="PS108" s="6"/>
      <c r="PT108" s="6"/>
      <c r="PU108" s="5" t="str">
        <f t="shared" si="351"/>
        <v>NO APLICA</v>
      </c>
      <c r="PV108" s="5"/>
      <c r="PW108" s="6"/>
      <c r="PX108" s="6"/>
      <c r="PY108" s="6"/>
      <c r="PZ108" s="5" t="str">
        <f t="shared" si="352"/>
        <v>NO APLICA</v>
      </c>
    </row>
    <row r="109" spans="1:442" ht="15.6" hidden="1" thickTop="1" thickBot="1" x14ac:dyDescent="0.35">
      <c r="A109" s="26">
        <v>106</v>
      </c>
      <c r="B109" s="27">
        <v>1744</v>
      </c>
      <c r="C109" s="28" t="s">
        <v>369</v>
      </c>
      <c r="D109" s="29" t="s">
        <v>64</v>
      </c>
      <c r="E109" s="30" t="s">
        <v>161</v>
      </c>
      <c r="F109" s="7"/>
      <c r="G109" s="7"/>
      <c r="H109" s="7"/>
      <c r="I109" s="7"/>
      <c r="J109" s="5" t="str">
        <f t="shared" si="242"/>
        <v>NO APLICA</v>
      </c>
      <c r="K109" s="3"/>
      <c r="L109" s="4"/>
      <c r="M109" s="7"/>
      <c r="N109" s="7"/>
      <c r="O109" s="5" t="str">
        <f t="shared" si="243"/>
        <v>NO APLICA</v>
      </c>
      <c r="P109" s="7"/>
      <c r="Q109" s="7"/>
      <c r="R109" s="7"/>
      <c r="S109" s="7"/>
      <c r="T109" s="5" t="str">
        <f t="shared" si="353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7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8"/>
        <v>193</v>
      </c>
      <c r="AK109" s="5" t="str">
        <f t="shared" ca="1" si="408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9"/>
        <v>294</v>
      </c>
      <c r="AP109" s="5" t="str">
        <f t="shared" ca="1" si="250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1"/>
        <v>224</v>
      </c>
      <c r="AU109" s="5" t="str">
        <f t="shared" ca="1" si="252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3"/>
        <v>228</v>
      </c>
      <c r="AZ109" s="5" t="str">
        <f t="shared" ca="1" si="254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5"/>
        <v>187</v>
      </c>
      <c r="BE109" s="5" t="str">
        <f t="shared" ca="1" si="256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7"/>
        <v>227</v>
      </c>
      <c r="BJ109" s="5" t="str">
        <f t="shared" ca="1" si="258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9"/>
        <v>283</v>
      </c>
      <c r="BO109" s="5" t="str">
        <f t="shared" ca="1" si="260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1"/>
        <v>285</v>
      </c>
      <c r="BT109" s="5" t="str">
        <f t="shared" ca="1" si="262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3"/>
        <v>279</v>
      </c>
      <c r="BY109" s="5" t="str">
        <f t="shared" ca="1" si="264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5"/>
        <v>314</v>
      </c>
      <c r="CD109" s="5" t="str">
        <f t="shared" ca="1" si="266"/>
        <v>VIGENTE</v>
      </c>
      <c r="CE109" s="2"/>
      <c r="CF109" s="2"/>
      <c r="CG109" s="4"/>
      <c r="CH109" s="8"/>
      <c r="CI109" s="5" t="str">
        <f t="shared" si="269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0"/>
        <v>272</v>
      </c>
      <c r="CN109" s="5" t="str">
        <f t="shared" ca="1" si="271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2"/>
        <v>268</v>
      </c>
      <c r="CS109" s="5" t="str">
        <f t="shared" ca="1" si="273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4"/>
        <v>223</v>
      </c>
      <c r="CX109" s="5" t="str">
        <f t="shared" ca="1" si="275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6"/>
        <v>230</v>
      </c>
      <c r="DC109" s="5" t="str">
        <f t="shared" ca="1" si="277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8"/>
        <v>273</v>
      </c>
      <c r="DH109" s="5" t="str">
        <f t="shared" ca="1" si="279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0"/>
        <v>280</v>
      </c>
      <c r="DM109" s="5" t="str">
        <f t="shared" ca="1" si="281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2"/>
        <v>315</v>
      </c>
      <c r="DR109" s="5" t="str">
        <f t="shared" ca="1" si="283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4"/>
        <v>209</v>
      </c>
      <c r="DW109" s="5" t="str">
        <f t="shared" ca="1" si="285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6"/>
        <v>247</v>
      </c>
      <c r="EB109" s="5" t="str">
        <f t="shared" ca="1" si="287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8"/>
        <v>226</v>
      </c>
      <c r="EG109" s="5" t="str">
        <f t="shared" ca="1" si="289"/>
        <v>VIGENTE</v>
      </c>
      <c r="EH109" s="3"/>
      <c r="EI109" s="3">
        <v>46107</v>
      </c>
      <c r="EJ109" s="4">
        <f t="shared" si="355"/>
        <v>46472</v>
      </c>
      <c r="EK109" s="8">
        <f t="shared" ca="1" si="290"/>
        <v>327</v>
      </c>
      <c r="EL109" s="5" t="str">
        <f t="shared" ca="1" si="291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2"/>
        <v>220</v>
      </c>
      <c r="EQ109" s="5" t="str">
        <f t="shared" ca="1" si="293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4"/>
        <v>261</v>
      </c>
      <c r="EV109" s="5" t="str">
        <f t="shared" ca="1" si="295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6"/>
        <v>214</v>
      </c>
      <c r="FA109" s="5" t="str">
        <f t="shared" ca="1" si="297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8"/>
        <v>216</v>
      </c>
      <c r="FF109" s="5" t="str">
        <f t="shared" ca="1" si="299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0"/>
        <v>252</v>
      </c>
      <c r="FK109" s="5" t="str">
        <f t="shared" ca="1" si="301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2"/>
        <v>221</v>
      </c>
      <c r="FP109" s="5" t="str">
        <f t="shared" ca="1" si="303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4"/>
        <v>248</v>
      </c>
      <c r="FU109" s="5" t="str">
        <f t="shared" ca="1" si="305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6"/>
        <v>284</v>
      </c>
      <c r="FZ109" s="5" t="str">
        <f t="shared" ca="1" si="307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8"/>
        <v>210</v>
      </c>
      <c r="GE109" s="5" t="str">
        <f t="shared" ca="1" si="309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0"/>
        <v>256</v>
      </c>
      <c r="GJ109" s="5" t="str">
        <f t="shared" ca="1" si="311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2"/>
        <v>217</v>
      </c>
      <c r="GO109" s="5" t="str">
        <f t="shared" ca="1" si="313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9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2"/>
        <v>NO APLICA</v>
      </c>
      <c r="HT109" s="6"/>
      <c r="HU109" s="6"/>
      <c r="HV109" s="6"/>
      <c r="HW109" s="6"/>
      <c r="HX109" s="5" t="str">
        <f t="shared" si="323"/>
        <v>NO APLICA</v>
      </c>
      <c r="HY109" s="6"/>
      <c r="HZ109" s="6"/>
      <c r="IA109" s="6"/>
      <c r="IB109" s="6"/>
      <c r="IC109" s="5" t="str">
        <f t="shared" si="324"/>
        <v>NO APLICA</v>
      </c>
      <c r="ID109" s="6"/>
      <c r="IE109" s="6"/>
      <c r="IF109" s="6"/>
      <c r="IG109" s="6"/>
      <c r="IH109" s="5" t="str">
        <f t="shared" si="325"/>
        <v>NO APLICA</v>
      </c>
      <c r="II109" s="6"/>
      <c r="IJ109" s="6"/>
      <c r="IK109" s="6"/>
      <c r="IL109" s="6"/>
      <c r="IM109" s="5" t="str">
        <f t="shared" si="326"/>
        <v>NO APLICA</v>
      </c>
      <c r="IN109" s="6"/>
      <c r="IO109" s="6"/>
      <c r="IP109" s="6"/>
      <c r="IQ109" s="6"/>
      <c r="IR109" s="5" t="str">
        <f t="shared" si="327"/>
        <v>NO APLICA</v>
      </c>
      <c r="IS109" s="6"/>
      <c r="IT109" s="6"/>
      <c r="IU109" s="6"/>
      <c r="IV109" s="6"/>
      <c r="IW109" s="5" t="str">
        <f t="shared" si="328"/>
        <v>NO APLICA</v>
      </c>
      <c r="IX109" s="6"/>
      <c r="IY109" s="6"/>
      <c r="IZ109" s="6"/>
      <c r="JA109" s="6"/>
      <c r="JB109" s="5" t="str">
        <f t="shared" si="329"/>
        <v>NO APLICA</v>
      </c>
      <c r="JC109" s="3" t="s">
        <v>780</v>
      </c>
      <c r="JD109" s="6"/>
      <c r="JE109" s="6"/>
      <c r="JF109" s="6"/>
      <c r="JG109" s="5"/>
      <c r="JH109" s="3" t="s">
        <v>780</v>
      </c>
      <c r="JI109" s="6"/>
      <c r="JJ109" s="6"/>
      <c r="JK109" s="6"/>
      <c r="JL109" s="5"/>
      <c r="JM109" s="6" t="s">
        <v>780</v>
      </c>
      <c r="JN109" s="6"/>
      <c r="JO109" s="6"/>
      <c r="JP109" s="6"/>
      <c r="JQ109" s="5"/>
      <c r="JR109" s="6" t="s">
        <v>780</v>
      </c>
      <c r="JS109" s="6"/>
      <c r="JT109" s="6"/>
      <c r="JU109" s="6"/>
      <c r="JV109" s="5"/>
      <c r="JW109" s="6" t="s">
        <v>780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30"/>
        <v>NO APLICA</v>
      </c>
      <c r="KG109" s="5"/>
      <c r="KH109" s="6"/>
      <c r="KI109" s="6"/>
      <c r="KJ109" s="6"/>
      <c r="KK109" s="5" t="str">
        <f t="shared" si="356"/>
        <v>NO APLICA</v>
      </c>
      <c r="KL109" s="5"/>
      <c r="KM109" s="6"/>
      <c r="KN109" s="6"/>
      <c r="KO109" s="6"/>
      <c r="KP109" s="5" t="str">
        <f t="shared" si="331"/>
        <v>NO APLICA</v>
      </c>
      <c r="KQ109" s="5"/>
      <c r="KR109" s="2"/>
      <c r="KS109" s="2"/>
      <c r="KT109" s="2"/>
      <c r="KU109" s="5" t="str">
        <f t="shared" si="357"/>
        <v>NO APLICA</v>
      </c>
      <c r="KV109" s="6"/>
      <c r="KW109" s="6"/>
      <c r="KX109" s="6"/>
      <c r="KY109" s="6"/>
      <c r="KZ109" s="5" t="str">
        <f t="shared" si="366"/>
        <v>NO APLICA</v>
      </c>
      <c r="LA109" s="5"/>
      <c r="LB109" s="6"/>
      <c r="LC109" s="6"/>
      <c r="LD109" s="6"/>
      <c r="LE109" s="5" t="str">
        <f t="shared" si="358"/>
        <v>NO APLICA</v>
      </c>
      <c r="LF109" s="6"/>
      <c r="LG109" s="6"/>
      <c r="LH109" s="6"/>
      <c r="LI109" s="6"/>
      <c r="LJ109" s="5" t="str">
        <f t="shared" si="332"/>
        <v>NO APLICA</v>
      </c>
      <c r="LK109" s="5"/>
      <c r="LL109" s="5"/>
      <c r="LM109" s="4"/>
      <c r="LN109" s="8"/>
      <c r="LO109" s="5" t="str">
        <f t="shared" si="367"/>
        <v>NO APLICA</v>
      </c>
      <c r="LP109" s="6"/>
      <c r="LQ109" s="6"/>
      <c r="LR109" s="6"/>
      <c r="LS109" s="6"/>
      <c r="LT109" s="5" t="str">
        <f t="shared" si="359"/>
        <v>NO APLICA</v>
      </c>
      <c r="LU109" s="6"/>
      <c r="LV109" s="6"/>
      <c r="LW109" s="6"/>
      <c r="LX109" s="6"/>
      <c r="LY109" s="5" t="str">
        <f t="shared" si="360"/>
        <v>NO APLICA</v>
      </c>
      <c r="LZ109" s="6"/>
      <c r="MA109" s="6"/>
      <c r="MB109" s="6"/>
      <c r="MC109" s="6"/>
      <c r="MD109" s="5" t="str">
        <f t="shared" si="361"/>
        <v>NO APLICA</v>
      </c>
      <c r="ME109" s="6"/>
      <c r="MF109" s="6"/>
      <c r="MG109" s="6"/>
      <c r="MH109" s="6"/>
      <c r="MI109" s="5" t="str">
        <f t="shared" si="333"/>
        <v>NO APLICA</v>
      </c>
      <c r="MJ109" s="6"/>
      <c r="MK109" s="6"/>
      <c r="ML109" s="6"/>
      <c r="MM109" s="6"/>
      <c r="MN109" s="5" t="str">
        <f t="shared" si="334"/>
        <v>NO APLICA</v>
      </c>
      <c r="MO109" s="5"/>
      <c r="MP109" s="6"/>
      <c r="MQ109" s="6"/>
      <c r="MR109" s="6"/>
      <c r="MS109" s="5" t="str">
        <f t="shared" si="335"/>
        <v>NO APLICA</v>
      </c>
      <c r="MT109" s="5"/>
      <c r="MU109" s="6"/>
      <c r="MV109" s="6"/>
      <c r="MW109" s="6"/>
      <c r="MX109" s="5" t="str">
        <f t="shared" si="336"/>
        <v>NO APLICA</v>
      </c>
      <c r="MY109" s="6"/>
      <c r="MZ109" s="6"/>
      <c r="NA109" s="6"/>
      <c r="NB109" s="6"/>
      <c r="NC109" s="5" t="str">
        <f t="shared" si="337"/>
        <v>NO APLICA</v>
      </c>
      <c r="ND109" s="6"/>
      <c r="NE109" s="6"/>
      <c r="NF109" s="6"/>
      <c r="NG109" s="6"/>
      <c r="NH109" s="5" t="str">
        <f t="shared" si="338"/>
        <v>NO APLICA</v>
      </c>
      <c r="NI109" s="6"/>
      <c r="NJ109" s="6"/>
      <c r="NK109" s="6"/>
      <c r="NL109" s="6"/>
      <c r="NM109" s="5" t="str">
        <f t="shared" si="339"/>
        <v>NO APLICA</v>
      </c>
      <c r="NN109" s="6"/>
      <c r="NO109" s="6"/>
      <c r="NP109" s="6"/>
      <c r="NQ109" s="6"/>
      <c r="NR109" s="5" t="str">
        <f t="shared" si="340"/>
        <v>NO APLICA</v>
      </c>
      <c r="NS109" s="6"/>
      <c r="NT109" s="6"/>
      <c r="NU109" s="6"/>
      <c r="NV109" s="6"/>
      <c r="NW109" s="5" t="str">
        <f t="shared" si="341"/>
        <v>NO APLICA</v>
      </c>
      <c r="NX109" s="6"/>
      <c r="NY109" s="6"/>
      <c r="NZ109" s="6"/>
      <c r="OA109" s="6"/>
      <c r="OB109" s="5" t="str">
        <f t="shared" si="342"/>
        <v>NO APLICA</v>
      </c>
      <c r="OC109" s="6"/>
      <c r="OD109" s="6"/>
      <c r="OE109" s="6"/>
      <c r="OF109" s="6"/>
      <c r="OG109" s="5" t="str">
        <f t="shared" si="343"/>
        <v>NO APLICA</v>
      </c>
      <c r="OH109" s="6"/>
      <c r="OI109" s="6"/>
      <c r="OJ109" s="6"/>
      <c r="OK109" s="6"/>
      <c r="OL109" s="5" t="str">
        <f t="shared" si="344"/>
        <v>NO APLICA</v>
      </c>
      <c r="OM109" s="6"/>
      <c r="ON109" s="6"/>
      <c r="OO109" s="6"/>
      <c r="OP109" s="6"/>
      <c r="OQ109" s="5" t="str">
        <f t="shared" si="345"/>
        <v>NO APLICA</v>
      </c>
      <c r="OR109" s="6"/>
      <c r="OS109" s="6"/>
      <c r="OT109" s="6"/>
      <c r="OU109" s="6"/>
      <c r="OV109" s="5" t="str">
        <f t="shared" si="346"/>
        <v>NO APLICA</v>
      </c>
      <c r="OW109" s="6"/>
      <c r="OX109" s="6"/>
      <c r="OY109" s="6"/>
      <c r="OZ109" s="6"/>
      <c r="PA109" s="5" t="str">
        <f t="shared" si="347"/>
        <v>NO APLICA</v>
      </c>
      <c r="PB109" s="6"/>
      <c r="PC109" s="6"/>
      <c r="PD109" s="6"/>
      <c r="PE109" s="6"/>
      <c r="PF109" s="5" t="str">
        <f t="shared" si="348"/>
        <v>NO APLICA</v>
      </c>
      <c r="PG109" s="6"/>
      <c r="PH109" s="6"/>
      <c r="PI109" s="6"/>
      <c r="PJ109" s="6"/>
      <c r="PK109" s="5" t="str">
        <f t="shared" si="349"/>
        <v>NO APLICA</v>
      </c>
      <c r="PL109" s="5"/>
      <c r="PM109" s="6"/>
      <c r="PN109" s="6"/>
      <c r="PO109" s="6"/>
      <c r="PP109" s="5" t="str">
        <f t="shared" si="350"/>
        <v>NO APLICA</v>
      </c>
      <c r="PQ109" s="6"/>
      <c r="PR109" s="6"/>
      <c r="PS109" s="6"/>
      <c r="PT109" s="6"/>
      <c r="PU109" s="5" t="str">
        <f t="shared" si="351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2"/>
        <v>VIGENTE</v>
      </c>
    </row>
    <row r="110" spans="1:442" ht="15.6" hidden="1" thickTop="1" thickBot="1" x14ac:dyDescent="0.35">
      <c r="A110" s="26">
        <v>107</v>
      </c>
      <c r="B110" s="27">
        <v>1546</v>
      </c>
      <c r="C110" s="28" t="s">
        <v>370</v>
      </c>
      <c r="D110" s="29" t="s">
        <v>68</v>
      </c>
      <c r="E110" s="30" t="s">
        <v>93</v>
      </c>
      <c r="F110" s="5"/>
      <c r="G110" s="6"/>
      <c r="H110" s="4"/>
      <c r="I110" s="8"/>
      <c r="J110" s="5" t="str">
        <f t="shared" si="242"/>
        <v>NO APLICA</v>
      </c>
      <c r="K110" s="5"/>
      <c r="L110" s="6"/>
      <c r="M110" s="6"/>
      <c r="N110" s="8"/>
      <c r="O110" s="5" t="str">
        <f t="shared" si="243"/>
        <v>NO APLICA</v>
      </c>
      <c r="P110" s="6"/>
      <c r="Q110" s="6"/>
      <c r="R110" s="4"/>
      <c r="S110" s="8"/>
      <c r="T110" s="5" t="str">
        <f t="shared" si="353"/>
        <v>NO APLICA</v>
      </c>
      <c r="U110" s="5"/>
      <c r="V110" s="6" t="s">
        <v>371</v>
      </c>
      <c r="W110" s="4">
        <v>45426</v>
      </c>
      <c r="X110" s="4">
        <f t="shared" ref="X110:X157" si="410">DATE(YEAR(W110)+5,MONTH(W110),DAY(W110))</f>
        <v>47252</v>
      </c>
      <c r="Y110" s="8">
        <f t="shared" ref="Y110:Y157" ca="1" si="411">X110-TODAY()</f>
        <v>1107</v>
      </c>
      <c r="Z110" s="5" t="str">
        <f t="shared" ref="Z110:Z173" ca="1" si="412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3">DATE(YEAR(AC110)+5,MONTH(AC110),DAY(AC110))</f>
        <v>46650</v>
      </c>
      <c r="AE110" s="8">
        <f t="shared" ref="AE110:AE118" ca="1" si="414">AD110-TODAY()</f>
        <v>505</v>
      </c>
      <c r="AF110" s="5" t="str">
        <f t="shared" ca="1" si="247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8"/>
        <v>178</v>
      </c>
      <c r="AK110" s="5" t="str">
        <f t="shared" ca="1" si="408"/>
        <v>VIGENTE</v>
      </c>
      <c r="AL110" s="4"/>
      <c r="AM110" s="4">
        <v>45926</v>
      </c>
      <c r="AN110" s="4">
        <f t="shared" ref="AN110:AN116" si="415">DATE(YEAR(AM110)+2,MONTH(AM110),DAY(AM110))</f>
        <v>46656</v>
      </c>
      <c r="AO110" s="8">
        <f t="shared" ca="1" si="249"/>
        <v>511</v>
      </c>
      <c r="AP110" s="5" t="str">
        <f t="shared" ca="1" si="250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1"/>
        <v>287</v>
      </c>
      <c r="AU110" s="5" t="str">
        <f t="shared" ca="1" si="252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3"/>
        <v>286</v>
      </c>
      <c r="AZ110" s="5" t="str">
        <f t="shared" ca="1" si="254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5"/>
        <v>187</v>
      </c>
      <c r="BE110" s="5" t="str">
        <f t="shared" ca="1" si="256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7"/>
        <v>572</v>
      </c>
      <c r="BJ110" s="5" t="str">
        <f t="shared" ca="1" si="258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9"/>
        <v>602</v>
      </c>
      <c r="BO110" s="5" t="str">
        <f t="shared" ca="1" si="260"/>
        <v>VIGENTE</v>
      </c>
      <c r="BP110" s="3"/>
      <c r="BQ110" s="39">
        <v>45701</v>
      </c>
      <c r="BR110" s="4">
        <f>DATE(YEAR(BQ110)+2,MONTH(BQ110),DAY(BQ110)-1)</f>
        <v>46430</v>
      </c>
      <c r="BS110" s="8">
        <f t="shared" ca="1" si="261"/>
        <v>285</v>
      </c>
      <c r="BT110" s="5" t="str">
        <f t="shared" ca="1" si="262"/>
        <v>VIGENTE</v>
      </c>
      <c r="BU110" s="3"/>
      <c r="BV110" s="4">
        <v>46116</v>
      </c>
      <c r="BW110" s="4">
        <f>DATE(YEAR(BV110)+2,MONTH(BV110),DAY(BV110)-1)</f>
        <v>46846</v>
      </c>
      <c r="BX110" s="8">
        <f t="shared" ca="1" si="263"/>
        <v>701</v>
      </c>
      <c r="BY110" s="5" t="str">
        <f t="shared" ca="1" si="264"/>
        <v>VIGENTE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5"/>
        <v>64</v>
      </c>
      <c r="CD110" s="5" t="str">
        <f t="shared" ca="1" si="266"/>
        <v>POR VENCER</v>
      </c>
      <c r="CE110" s="6"/>
      <c r="CF110" s="4">
        <v>45211</v>
      </c>
      <c r="CG110" s="4">
        <f t="shared" ref="CG110:CG157" si="416">DATE(YEAR(CF110)+4,MONTH(CF110),DAY(CF110))</f>
        <v>46672</v>
      </c>
      <c r="CH110" s="8">
        <f t="shared" ref="CH110:CH157" ca="1" si="417">CG110-TODAY()</f>
        <v>527</v>
      </c>
      <c r="CI110" s="5" t="str">
        <f t="shared" ref="CI110:CI142" ca="1" si="418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0"/>
        <v>88</v>
      </c>
      <c r="CN110" s="5" t="str">
        <f t="shared" ca="1" si="271"/>
        <v>POR VENCER</v>
      </c>
      <c r="CO110" s="3"/>
      <c r="CP110" s="39">
        <v>45517</v>
      </c>
      <c r="CQ110" s="4">
        <f>DATE(YEAR(CP110)+2,MONTH(CP110),DAY(CP110)-1)</f>
        <v>46246</v>
      </c>
      <c r="CR110" s="8">
        <f t="shared" ca="1" si="272"/>
        <v>101</v>
      </c>
      <c r="CS110" s="5" t="str">
        <f t="shared" ca="1" si="273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4"/>
        <v>311</v>
      </c>
      <c r="CX110" s="5" t="str">
        <f t="shared" ca="1" si="275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6"/>
        <v>249</v>
      </c>
      <c r="DC110" s="5" t="str">
        <f t="shared" ca="1" si="277"/>
        <v>VIGENTE</v>
      </c>
      <c r="DD110" s="3"/>
      <c r="DE110" s="39">
        <v>45689</v>
      </c>
      <c r="DF110" s="4">
        <f>DATE(YEAR(DE110)+2,MONTH(DE110),DAY(DE110)-1)</f>
        <v>46418</v>
      </c>
      <c r="DG110" s="8">
        <f t="shared" ca="1" si="278"/>
        <v>273</v>
      </c>
      <c r="DH110" s="5" t="str">
        <f t="shared" ca="1" si="279"/>
        <v>VIGENTE</v>
      </c>
      <c r="DI110" s="3"/>
      <c r="DJ110" s="39">
        <v>45696</v>
      </c>
      <c r="DK110" s="4">
        <f>DATE(YEAR(DJ110)+2,MONTH(DJ110),DAY(DJ110)-1)</f>
        <v>46425</v>
      </c>
      <c r="DL110" s="8">
        <f t="shared" ca="1" si="280"/>
        <v>280</v>
      </c>
      <c r="DM110" s="5" t="str">
        <f t="shared" ca="1" si="281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2"/>
        <v>567</v>
      </c>
      <c r="DR110" s="5" t="str">
        <f t="shared" ca="1" si="283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4"/>
        <v>203</v>
      </c>
      <c r="DW110" s="5" t="str">
        <f t="shared" ca="1" si="285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6"/>
        <v>166</v>
      </c>
      <c r="EB110" s="5" t="str">
        <f t="shared" ca="1" si="287"/>
        <v>VIGENTE</v>
      </c>
      <c r="EC110" s="3"/>
      <c r="ED110" s="39">
        <v>45674</v>
      </c>
      <c r="EE110" s="4">
        <f>DATE(YEAR(ED110)+2,MONTH(ED110),DAY(ED110)-1)</f>
        <v>46403</v>
      </c>
      <c r="EF110" s="8">
        <f t="shared" ca="1" si="288"/>
        <v>258</v>
      </c>
      <c r="EG110" s="5" t="str">
        <f t="shared" ca="1" si="289"/>
        <v>VIGENTE</v>
      </c>
      <c r="EH110" s="3"/>
      <c r="EI110" s="4">
        <v>46115</v>
      </c>
      <c r="EJ110" s="4">
        <f t="shared" si="355"/>
        <v>46480</v>
      </c>
      <c r="EK110" s="8">
        <f t="shared" ca="1" si="290"/>
        <v>335</v>
      </c>
      <c r="EL110" s="5" t="str">
        <f t="shared" ca="1" si="291"/>
        <v>VIGENTE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2"/>
        <v>168</v>
      </c>
      <c r="EQ110" s="5" t="str">
        <f t="shared" ca="1" si="293"/>
        <v>VIGENTE</v>
      </c>
      <c r="ER110" s="2"/>
      <c r="ES110" s="39">
        <v>45749</v>
      </c>
      <c r="ET110" s="4">
        <f>DATE(YEAR(ES110)+2,MONTH(ES110),DAY(ES110)-1)</f>
        <v>46478</v>
      </c>
      <c r="EU110" s="8">
        <f t="shared" ca="1" si="294"/>
        <v>333</v>
      </c>
      <c r="EV110" s="5" t="str">
        <f t="shared" ca="1" si="295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6"/>
        <v>278</v>
      </c>
      <c r="FA110" s="5" t="str">
        <f t="shared" ca="1" si="297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8"/>
        <v>250</v>
      </c>
      <c r="FF110" s="5" t="str">
        <f t="shared" ca="1" si="299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0"/>
        <v>252</v>
      </c>
      <c r="FK110" s="5" t="str">
        <f t="shared" ca="1" si="301"/>
        <v>VIGENTE</v>
      </c>
      <c r="FL110" s="3"/>
      <c r="FM110" s="39">
        <v>45738</v>
      </c>
      <c r="FN110" s="4">
        <f>DATE(YEAR(FM110)+2,MONTH(FM110),DAY(FM110)-1)</f>
        <v>46467</v>
      </c>
      <c r="FO110" s="8">
        <f t="shared" ca="1" si="302"/>
        <v>322</v>
      </c>
      <c r="FP110" s="5" t="str">
        <f t="shared" ca="1" si="303"/>
        <v>VIGENTE</v>
      </c>
      <c r="FQ110" s="3"/>
      <c r="FR110" s="39">
        <v>45664</v>
      </c>
      <c r="FS110" s="4">
        <f>DATE(YEAR(FR110)+2,MONTH(FR110),DAY(FR110)-1)</f>
        <v>46393</v>
      </c>
      <c r="FT110" s="8">
        <f t="shared" ca="1" si="304"/>
        <v>248</v>
      </c>
      <c r="FU110" s="5" t="str">
        <f t="shared" ca="1" si="305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6"/>
        <v>284</v>
      </c>
      <c r="FZ110" s="5" t="str">
        <f t="shared" ca="1" si="307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8"/>
        <v>325</v>
      </c>
      <c r="GE110" s="5" t="str">
        <f t="shared" ca="1" si="309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0"/>
        <v>256</v>
      </c>
      <c r="GJ110" s="5" t="str">
        <f t="shared" ca="1" si="311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2"/>
        <v>629</v>
      </c>
      <c r="GO110" s="5" t="str">
        <f t="shared" ca="1" si="313"/>
        <v>VIGENTE</v>
      </c>
      <c r="GP110" s="4"/>
      <c r="GQ110" s="4">
        <v>45224</v>
      </c>
      <c r="GR110" s="4">
        <f t="shared" si="314"/>
        <v>47051</v>
      </c>
      <c r="GS110" s="8">
        <f t="shared" ca="1" si="405"/>
        <v>906</v>
      </c>
      <c r="GT110" s="5" t="str">
        <f t="shared" ref="GT110:GT173" ca="1" si="419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6"/>
        <v>47104</v>
      </c>
      <c r="GX110" s="8">
        <f t="shared" ca="1" si="317"/>
        <v>959</v>
      </c>
      <c r="GY110" s="5" t="str">
        <f t="shared" ref="GY110:GY115" ca="1" si="420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9"/>
        <v>47095</v>
      </c>
      <c r="HC110" s="8">
        <f t="shared" ca="1" si="320"/>
        <v>950</v>
      </c>
      <c r="HD110" s="5" t="str">
        <f t="shared" ref="HD110:HD173" ca="1" si="421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6"/>
        <v>46710</v>
      </c>
      <c r="HH110" s="8">
        <f t="shared" ca="1" si="407"/>
        <v>565</v>
      </c>
      <c r="HI110" s="5" t="str">
        <f t="shared" ref="HI110:HI115" ca="1" si="422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9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2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3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4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5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6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7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8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9"/>
        <v>VIGENTE</v>
      </c>
      <c r="JC110" s="3" t="s">
        <v>780</v>
      </c>
      <c r="JD110" s="3"/>
      <c r="JE110" s="4"/>
      <c r="JF110" s="8"/>
      <c r="JG110" s="5"/>
      <c r="JH110" s="3" t="s">
        <v>780</v>
      </c>
      <c r="JI110" s="6"/>
      <c r="JJ110" s="6"/>
      <c r="JK110" s="6"/>
      <c r="JL110" s="5"/>
      <c r="JM110" s="6" t="s">
        <v>780</v>
      </c>
      <c r="JN110" s="6"/>
      <c r="JO110" s="6"/>
      <c r="JP110" s="6"/>
      <c r="JQ110" s="5"/>
      <c r="JR110" s="6" t="s">
        <v>780</v>
      </c>
      <c r="JS110" s="6"/>
      <c r="JT110" s="6"/>
      <c r="JU110" s="6"/>
      <c r="JV110" s="5"/>
      <c r="JW110" s="6" t="s">
        <v>780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30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6"/>
        <v>VIGENTE</v>
      </c>
      <c r="KL110" s="5"/>
      <c r="KM110" s="2"/>
      <c r="KN110" s="4"/>
      <c r="KO110" s="8"/>
      <c r="KP110" s="5" t="str">
        <f t="shared" si="331"/>
        <v>NO APLICA</v>
      </c>
      <c r="KQ110" s="5"/>
      <c r="KR110" s="2"/>
      <c r="KS110" s="4"/>
      <c r="KT110" s="8"/>
      <c r="KU110" s="5" t="str">
        <f t="shared" si="357"/>
        <v>NO APLICA</v>
      </c>
      <c r="KV110" s="2"/>
      <c r="KW110" s="6"/>
      <c r="KX110" s="4"/>
      <c r="KY110" s="8"/>
      <c r="KZ110" s="5" t="str">
        <f t="shared" si="366"/>
        <v>NO APLICA</v>
      </c>
      <c r="LA110" s="5"/>
      <c r="LB110" s="6"/>
      <c r="LC110" s="4"/>
      <c r="LD110" s="8"/>
      <c r="LE110" s="5" t="str">
        <f t="shared" si="358"/>
        <v>NO APLICA</v>
      </c>
      <c r="LF110" s="4"/>
      <c r="LG110" s="4"/>
      <c r="LH110" s="4"/>
      <c r="LI110" s="8"/>
      <c r="LJ110" s="5" t="str">
        <f t="shared" si="332"/>
        <v>NO APLICA</v>
      </c>
      <c r="LK110" s="5"/>
      <c r="LL110" s="5"/>
      <c r="LM110" s="4"/>
      <c r="LN110" s="8"/>
      <c r="LO110" s="5" t="str">
        <f t="shared" si="367"/>
        <v>NO APLICA</v>
      </c>
      <c r="LP110" s="2"/>
      <c r="LQ110" s="6"/>
      <c r="LR110" s="4"/>
      <c r="LS110" s="8"/>
      <c r="LT110" s="5" t="str">
        <f t="shared" si="359"/>
        <v>NO APLICA</v>
      </c>
      <c r="LU110" s="6"/>
      <c r="LV110" s="6"/>
      <c r="LW110" s="4"/>
      <c r="LX110" s="8"/>
      <c r="LY110" s="5" t="str">
        <f t="shared" si="360"/>
        <v>NO APLICA</v>
      </c>
      <c r="LZ110" s="6"/>
      <c r="MA110" s="6"/>
      <c r="MB110" s="4"/>
      <c r="MC110" s="8"/>
      <c r="MD110" s="5" t="str">
        <f t="shared" si="361"/>
        <v>NO APLICA</v>
      </c>
      <c r="ME110" s="2"/>
      <c r="MF110" s="2"/>
      <c r="MG110" s="4"/>
      <c r="MH110" s="8"/>
      <c r="MI110" s="5" t="str">
        <f t="shared" si="333"/>
        <v>NO APLICA</v>
      </c>
      <c r="MJ110" s="2"/>
      <c r="MK110" s="2"/>
      <c r="ML110" s="4"/>
      <c r="MM110" s="8"/>
      <c r="MN110" s="5" t="str">
        <f t="shared" si="334"/>
        <v>NO APLICA</v>
      </c>
      <c r="MO110" s="5"/>
      <c r="MP110" s="2"/>
      <c r="MQ110" s="4"/>
      <c r="MR110" s="8"/>
      <c r="MS110" s="5" t="str">
        <f t="shared" si="335"/>
        <v>NO APLICA</v>
      </c>
      <c r="MT110" s="5"/>
      <c r="MU110" s="2"/>
      <c r="MV110" s="4"/>
      <c r="MW110" s="2"/>
      <c r="MX110" s="5" t="str">
        <f t="shared" si="336"/>
        <v>NO APLICA</v>
      </c>
      <c r="MY110" s="2"/>
      <c r="MZ110" s="6"/>
      <c r="NA110" s="4"/>
      <c r="NB110" s="8"/>
      <c r="NC110" s="5" t="str">
        <f t="shared" si="337"/>
        <v>NO APLICA</v>
      </c>
      <c r="ND110" s="2"/>
      <c r="NE110" s="6"/>
      <c r="NF110" s="4"/>
      <c r="NG110" s="8"/>
      <c r="NH110" s="5" t="str">
        <f t="shared" si="338"/>
        <v>NO APLICA</v>
      </c>
      <c r="NI110" s="2"/>
      <c r="NJ110" s="6"/>
      <c r="NK110" s="4"/>
      <c r="NL110" s="8"/>
      <c r="NM110" s="5" t="str">
        <f t="shared" si="339"/>
        <v>NO APLICA</v>
      </c>
      <c r="NN110" s="2"/>
      <c r="NO110" s="2"/>
      <c r="NP110" s="4"/>
      <c r="NQ110" s="2"/>
      <c r="NR110" s="5" t="str">
        <f t="shared" si="340"/>
        <v>NO APLICA</v>
      </c>
      <c r="NS110" s="2"/>
      <c r="NT110" s="2"/>
      <c r="NU110" s="4"/>
      <c r="NV110" s="2"/>
      <c r="NW110" s="5" t="str">
        <f t="shared" si="341"/>
        <v>NO APLICA</v>
      </c>
      <c r="NX110" s="6"/>
      <c r="NY110" s="6"/>
      <c r="NZ110" s="4"/>
      <c r="OA110" s="8"/>
      <c r="OB110" s="5" t="str">
        <f t="shared" si="342"/>
        <v>NO APLICA</v>
      </c>
      <c r="OC110" s="6"/>
      <c r="OD110" s="6"/>
      <c r="OE110" s="6"/>
      <c r="OF110" s="6"/>
      <c r="OG110" s="5" t="str">
        <f t="shared" si="343"/>
        <v>NO APLICA</v>
      </c>
      <c r="OH110" s="2"/>
      <c r="OI110" s="2"/>
      <c r="OJ110" s="4"/>
      <c r="OK110" s="8"/>
      <c r="OL110" s="5" t="str">
        <f t="shared" si="344"/>
        <v>NO APLICA</v>
      </c>
      <c r="OM110" s="6"/>
      <c r="ON110" s="6"/>
      <c r="OO110" s="6"/>
      <c r="OP110" s="6"/>
      <c r="OQ110" s="5" t="str">
        <f t="shared" si="345"/>
        <v>NO APLICA</v>
      </c>
      <c r="OR110" s="6"/>
      <c r="OS110" s="6"/>
      <c r="OT110" s="6"/>
      <c r="OU110" s="6"/>
      <c r="OV110" s="5" t="str">
        <f t="shared" si="346"/>
        <v>NO APLICA</v>
      </c>
      <c r="OW110" s="6"/>
      <c r="OX110" s="6"/>
      <c r="OY110" s="6"/>
      <c r="OZ110" s="6"/>
      <c r="PA110" s="5" t="str">
        <f t="shared" si="347"/>
        <v>NO APLICA</v>
      </c>
      <c r="PB110" s="6"/>
      <c r="PC110" s="6"/>
      <c r="PD110" s="6"/>
      <c r="PE110" s="6"/>
      <c r="PF110" s="5" t="str">
        <f t="shared" si="348"/>
        <v>NO APLICA</v>
      </c>
      <c r="PG110" s="6"/>
      <c r="PH110" s="6"/>
      <c r="PI110" s="6"/>
      <c r="PJ110" s="6"/>
      <c r="PK110" s="5" t="str">
        <f t="shared" si="349"/>
        <v>NO APLICA</v>
      </c>
      <c r="PL110" s="5"/>
      <c r="PM110" s="6"/>
      <c r="PN110" s="4"/>
      <c r="PO110" s="8"/>
      <c r="PP110" s="5" t="str">
        <f t="shared" si="350"/>
        <v>NO APLICA</v>
      </c>
      <c r="PQ110" s="6"/>
      <c r="PR110" s="6"/>
      <c r="PS110" s="6"/>
      <c r="PT110" s="6"/>
      <c r="PU110" s="5" t="str">
        <f t="shared" si="351"/>
        <v>NO APLICA</v>
      </c>
      <c r="PV110" s="5"/>
      <c r="PW110" s="6"/>
      <c r="PX110" s="6"/>
      <c r="PY110" s="6"/>
      <c r="PZ110" s="5" t="str">
        <f t="shared" si="352"/>
        <v>NO APLICA</v>
      </c>
    </row>
    <row r="111" spans="1:442" ht="15.6" hidden="1" thickTop="1" thickBot="1" x14ac:dyDescent="0.35">
      <c r="A111" s="26">
        <v>108</v>
      </c>
      <c r="B111" s="27">
        <v>541</v>
      </c>
      <c r="C111" s="28" t="s">
        <v>373</v>
      </c>
      <c r="D111" s="29" t="s">
        <v>68</v>
      </c>
      <c r="E111" s="30" t="s">
        <v>185</v>
      </c>
      <c r="F111" s="5"/>
      <c r="G111" s="6"/>
      <c r="H111" s="4"/>
      <c r="I111" s="8"/>
      <c r="J111" s="5" t="str">
        <f t="shared" si="242"/>
        <v>NO APLICA</v>
      </c>
      <c r="K111" s="5"/>
      <c r="L111" s="6"/>
      <c r="M111" s="6"/>
      <c r="N111" s="8"/>
      <c r="O111" s="5" t="str">
        <f t="shared" si="243"/>
        <v>NO APLICA</v>
      </c>
      <c r="P111" s="6"/>
      <c r="Q111" s="6"/>
      <c r="R111" s="4"/>
      <c r="S111" s="8"/>
      <c r="T111" s="5" t="str">
        <f t="shared" si="353"/>
        <v>NO APLICA</v>
      </c>
      <c r="U111" s="5"/>
      <c r="V111" s="2" t="s">
        <v>374</v>
      </c>
      <c r="W111" s="4">
        <v>44790</v>
      </c>
      <c r="X111" s="4">
        <f t="shared" si="410"/>
        <v>46616</v>
      </c>
      <c r="Y111" s="8">
        <f t="shared" ca="1" si="411"/>
        <v>471</v>
      </c>
      <c r="Z111" s="5" t="str">
        <f t="shared" ca="1" si="412"/>
        <v>VIGENTE</v>
      </c>
      <c r="AA111" s="5"/>
      <c r="AB111" s="2" t="s">
        <v>375</v>
      </c>
      <c r="AC111" s="4">
        <v>44828</v>
      </c>
      <c r="AD111" s="4">
        <f t="shared" si="413"/>
        <v>46654</v>
      </c>
      <c r="AE111" s="8">
        <f t="shared" ca="1" si="414"/>
        <v>509</v>
      </c>
      <c r="AF111" s="5" t="str">
        <f t="shared" ca="1" si="247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8"/>
        <v>178</v>
      </c>
      <c r="AK111" s="5" t="str">
        <f t="shared" ca="1" si="408"/>
        <v>VIGENTE</v>
      </c>
      <c r="AL111" s="3"/>
      <c r="AM111" s="4">
        <v>45926</v>
      </c>
      <c r="AN111" s="4">
        <f t="shared" si="415"/>
        <v>46656</v>
      </c>
      <c r="AO111" s="8">
        <f t="shared" ca="1" si="249"/>
        <v>511</v>
      </c>
      <c r="AP111" s="5" t="str">
        <f t="shared" ca="1" si="250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1"/>
        <v>287</v>
      </c>
      <c r="AU111" s="5" t="str">
        <f t="shared" ca="1" si="252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3"/>
        <v>286</v>
      </c>
      <c r="AZ111" s="5" t="str">
        <f t="shared" ca="1" si="254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5"/>
        <v>187</v>
      </c>
      <c r="BE111" s="5" t="str">
        <f t="shared" ca="1" si="256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7"/>
        <v>282</v>
      </c>
      <c r="BJ111" s="5" t="str">
        <f t="shared" ca="1" si="258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9"/>
        <v>184</v>
      </c>
      <c r="BO111" s="5" t="str">
        <f t="shared" ca="1" si="260"/>
        <v>VIGENTE</v>
      </c>
      <c r="BP111" s="3"/>
      <c r="BQ111" s="39">
        <v>45701</v>
      </c>
      <c r="BR111" s="4">
        <f>DATE(YEAR(BQ111)+2,MONTH(BQ111),DAY(BQ111)-1)</f>
        <v>46430</v>
      </c>
      <c r="BS111" s="8">
        <f t="shared" ca="1" si="261"/>
        <v>285</v>
      </c>
      <c r="BT111" s="5" t="str">
        <f t="shared" ca="1" si="262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3"/>
        <v>279</v>
      </c>
      <c r="BY111" s="5" t="str">
        <f t="shared" ca="1" si="264"/>
        <v>VIGENTE</v>
      </c>
      <c r="BZ111" s="3"/>
      <c r="CA111" s="4">
        <v>45944</v>
      </c>
      <c r="CB111" s="4">
        <f t="shared" ref="CB111:CB120" si="423">DATE(YEAR(CA111)+2,MONTH(CA111),DAY(CA111))</f>
        <v>46674</v>
      </c>
      <c r="CC111" s="8">
        <f t="shared" ca="1" si="265"/>
        <v>529</v>
      </c>
      <c r="CD111" s="5" t="str">
        <f t="shared" ca="1" si="266"/>
        <v>VIGENTE</v>
      </c>
      <c r="CE111" s="6"/>
      <c r="CF111" s="4">
        <v>45241</v>
      </c>
      <c r="CG111" s="4">
        <f t="shared" si="416"/>
        <v>46702</v>
      </c>
      <c r="CH111" s="8">
        <f t="shared" ca="1" si="417"/>
        <v>557</v>
      </c>
      <c r="CI111" s="5" t="str">
        <f t="shared" ca="1" si="418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0"/>
        <v>185</v>
      </c>
      <c r="CN111" s="5" t="str">
        <f t="shared" ca="1" si="271"/>
        <v>VIGENTE</v>
      </c>
      <c r="CO111" s="3"/>
      <c r="CP111" s="39">
        <v>45684</v>
      </c>
      <c r="CQ111" s="4">
        <f>DATE(YEAR(CP111)+2,MONTH(CP111),DAY(CP111)-1)</f>
        <v>46413</v>
      </c>
      <c r="CR111" s="8">
        <f t="shared" ca="1" si="272"/>
        <v>268</v>
      </c>
      <c r="CS111" s="5" t="str">
        <f t="shared" ca="1" si="273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4"/>
        <v>215</v>
      </c>
      <c r="CX111" s="5" t="str">
        <f t="shared" ca="1" si="275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6"/>
        <v>245</v>
      </c>
      <c r="DC111" s="5" t="str">
        <f t="shared" ca="1" si="277"/>
        <v>VIGENTE</v>
      </c>
      <c r="DD111" s="3"/>
      <c r="DE111" s="39">
        <v>45689</v>
      </c>
      <c r="DF111" s="4">
        <f>DATE(YEAR(DE111)+2,MONTH(DE111),DAY(DE111)-1)</f>
        <v>46418</v>
      </c>
      <c r="DG111" s="8">
        <f t="shared" ca="1" si="278"/>
        <v>273</v>
      </c>
      <c r="DH111" s="5" t="str">
        <f t="shared" ca="1" si="279"/>
        <v>VIGENTE</v>
      </c>
      <c r="DI111" s="3"/>
      <c r="DJ111" s="39">
        <v>45734</v>
      </c>
      <c r="DK111" s="4">
        <f>DATE(YEAR(DJ111)+2,MONTH(DJ111),DAY(DJ111)-1)</f>
        <v>46463</v>
      </c>
      <c r="DL111" s="8">
        <f t="shared" ca="1" si="280"/>
        <v>318</v>
      </c>
      <c r="DM111" s="5" t="str">
        <f t="shared" ca="1" si="281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2"/>
        <v>161</v>
      </c>
      <c r="DR111" s="5" t="str">
        <f t="shared" ca="1" si="283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4"/>
        <v>312</v>
      </c>
      <c r="DW111" s="5" t="str">
        <f t="shared" ca="1" si="285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6"/>
        <v>335</v>
      </c>
      <c r="EB111" s="5" t="str">
        <f t="shared" ca="1" si="287"/>
        <v>VIGENTE</v>
      </c>
      <c r="EC111" s="3"/>
      <c r="ED111" s="39">
        <v>45768</v>
      </c>
      <c r="EE111" s="4">
        <f>DATE(YEAR(ED111)+2,MONTH(ED111),DAY(ED111))</f>
        <v>46498</v>
      </c>
      <c r="EF111" s="8">
        <f t="shared" ca="1" si="288"/>
        <v>353</v>
      </c>
      <c r="EG111" s="5" t="str">
        <f t="shared" ca="1" si="289"/>
        <v>VIGENTE</v>
      </c>
      <c r="EH111" s="3"/>
      <c r="EI111" s="3">
        <v>46002</v>
      </c>
      <c r="EJ111" s="4">
        <f t="shared" si="355"/>
        <v>46367</v>
      </c>
      <c r="EK111" s="8">
        <f t="shared" ca="1" si="290"/>
        <v>222</v>
      </c>
      <c r="EL111" s="5" t="str">
        <f t="shared" ca="1" si="291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2"/>
        <v>244</v>
      </c>
      <c r="EQ111" s="5" t="str">
        <f t="shared" ca="1" si="293"/>
        <v>VIGENTE</v>
      </c>
      <c r="ER111" s="3"/>
      <c r="ES111" s="39">
        <v>45677</v>
      </c>
      <c r="ET111" s="4">
        <f>DATE(YEAR(ES111)+2,MONTH(ES111),DAY(ES111)-1)</f>
        <v>46406</v>
      </c>
      <c r="EU111" s="8">
        <f t="shared" ca="1" si="294"/>
        <v>261</v>
      </c>
      <c r="EV111" s="5" t="str">
        <f t="shared" ca="1" si="295"/>
        <v>VIGENTE</v>
      </c>
      <c r="EW111" s="3"/>
      <c r="EX111" s="4">
        <v>45953</v>
      </c>
      <c r="EY111" s="4">
        <f t="shared" ref="EY111:EY120" si="424">DATE(YEAR(EX111)+2,MONTH(EX111),DAY(EX111))</f>
        <v>46683</v>
      </c>
      <c r="EZ111" s="8">
        <f t="shared" ca="1" si="296"/>
        <v>538</v>
      </c>
      <c r="FA111" s="5" t="str">
        <f t="shared" ca="1" si="297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8"/>
        <v>536</v>
      </c>
      <c r="FF111" s="5" t="str">
        <f t="shared" ca="1" si="299"/>
        <v>VIGENTE</v>
      </c>
      <c r="FG111" s="3"/>
      <c r="FH111" s="4">
        <v>45969</v>
      </c>
      <c r="FI111" s="4">
        <f t="shared" ref="FI111:FI120" si="425">DATE(YEAR(FH111)+2,MONTH(FH111),DAY(FH111))</f>
        <v>46699</v>
      </c>
      <c r="FJ111" s="8">
        <f t="shared" ca="1" si="300"/>
        <v>554</v>
      </c>
      <c r="FK111" s="5" t="str">
        <f t="shared" ca="1" si="301"/>
        <v>VIGENTE</v>
      </c>
      <c r="FL111" s="3"/>
      <c r="FM111" s="39">
        <v>45588</v>
      </c>
      <c r="FN111" s="4">
        <f>DATE(YEAR(FM111)+2,MONTH(FM111),DAY(FM111)-1)</f>
        <v>46317</v>
      </c>
      <c r="FO111" s="8">
        <f t="shared" ca="1" si="302"/>
        <v>172</v>
      </c>
      <c r="FP111" s="5" t="str">
        <f t="shared" ca="1" si="303"/>
        <v>VIGENTE</v>
      </c>
      <c r="FQ111" s="3"/>
      <c r="FR111" s="39">
        <v>45664</v>
      </c>
      <c r="FS111" s="4">
        <f>DATE(YEAR(FR111)+2,MONTH(FR111),DAY(FR111)-1)</f>
        <v>46393</v>
      </c>
      <c r="FT111" s="8">
        <f t="shared" ca="1" si="304"/>
        <v>248</v>
      </c>
      <c r="FU111" s="5" t="str">
        <f t="shared" ca="1" si="305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6"/>
        <v>526</v>
      </c>
      <c r="FZ111" s="5" t="str">
        <f t="shared" ca="1" si="307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8"/>
        <v>251</v>
      </c>
      <c r="GE111" s="5" t="str">
        <f t="shared" ca="1" si="309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0"/>
        <v>82</v>
      </c>
      <c r="GJ111" s="5" t="str">
        <f t="shared" ca="1" si="311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2"/>
        <v>217</v>
      </c>
      <c r="GO111" s="5" t="str">
        <f t="shared" ca="1" si="313"/>
        <v>VIGENTE</v>
      </c>
      <c r="GP111" s="4"/>
      <c r="GQ111" s="4">
        <v>44989</v>
      </c>
      <c r="GR111" s="4">
        <f t="shared" si="314"/>
        <v>46816</v>
      </c>
      <c r="GS111" s="8">
        <f t="shared" ca="1" si="405"/>
        <v>671</v>
      </c>
      <c r="GT111" s="5" t="str">
        <f t="shared" ca="1" si="419"/>
        <v>VIGENTE</v>
      </c>
      <c r="GU111" s="3"/>
      <c r="GV111" s="4">
        <v>45464</v>
      </c>
      <c r="GW111" s="4">
        <f t="shared" si="316"/>
        <v>47290</v>
      </c>
      <c r="GX111" s="8">
        <f t="shared" ca="1" si="317"/>
        <v>1145</v>
      </c>
      <c r="GY111" s="5" t="str">
        <f t="shared" ca="1" si="420"/>
        <v>VIGENTE</v>
      </c>
      <c r="GZ111" s="2"/>
      <c r="HA111" s="4">
        <v>45003</v>
      </c>
      <c r="HB111" s="4">
        <f t="shared" si="319"/>
        <v>46830</v>
      </c>
      <c r="HC111" s="8">
        <f t="shared" ca="1" si="320"/>
        <v>685</v>
      </c>
      <c r="HD111" s="5" t="str">
        <f t="shared" ca="1" si="421"/>
        <v>VIGENTE</v>
      </c>
      <c r="HE111" s="6"/>
      <c r="HF111" s="4">
        <v>44865</v>
      </c>
      <c r="HG111" s="4">
        <f t="shared" si="406"/>
        <v>46691</v>
      </c>
      <c r="HH111" s="8">
        <f t="shared" ca="1" si="407"/>
        <v>546</v>
      </c>
      <c r="HI111" s="5" t="str">
        <f t="shared" ca="1" si="422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9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2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3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4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5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6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7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8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9"/>
        <v>VIGENTE</v>
      </c>
      <c r="JC111" s="3" t="s">
        <v>780</v>
      </c>
      <c r="JD111" s="3"/>
      <c r="JE111" s="4"/>
      <c r="JF111" s="8"/>
      <c r="JG111" s="5"/>
      <c r="JH111" s="3" t="s">
        <v>780</v>
      </c>
      <c r="JI111" s="6"/>
      <c r="JJ111" s="6"/>
      <c r="JK111" s="6"/>
      <c r="JL111" s="5"/>
      <c r="JM111" s="6" t="s">
        <v>780</v>
      </c>
      <c r="JN111" s="6"/>
      <c r="JO111" s="6"/>
      <c r="JP111" s="6"/>
      <c r="JQ111" s="5"/>
      <c r="JR111" s="6" t="s">
        <v>780</v>
      </c>
      <c r="JS111" s="6"/>
      <c r="JT111" s="6"/>
      <c r="JU111" s="6"/>
      <c r="JV111" s="5"/>
      <c r="JW111" s="6" t="s">
        <v>780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30"/>
        <v>NO APLICA</v>
      </c>
      <c r="KG111" s="5"/>
      <c r="KH111" s="5"/>
      <c r="KI111" s="4"/>
      <c r="KJ111" s="8"/>
      <c r="KK111" s="5" t="str">
        <f t="shared" si="356"/>
        <v>NO APLICA</v>
      </c>
      <c r="KL111" s="5"/>
      <c r="KM111" s="5"/>
      <c r="KN111" s="4"/>
      <c r="KO111" s="8"/>
      <c r="KP111" s="5" t="str">
        <f t="shared" si="331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7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6"/>
        <v>VIGENTE</v>
      </c>
      <c r="LA111" s="5"/>
      <c r="LB111" s="6"/>
      <c r="LC111" s="4"/>
      <c r="LD111" s="8"/>
      <c r="LE111" s="5" t="str">
        <f t="shared" si="358"/>
        <v>NO APLICA</v>
      </c>
      <c r="LF111" s="4"/>
      <c r="LG111" s="4"/>
      <c r="LH111" s="4"/>
      <c r="LI111" s="8"/>
      <c r="LJ111" s="5" t="str">
        <f t="shared" si="332"/>
        <v>NO APLICA</v>
      </c>
      <c r="LK111" s="5"/>
      <c r="LL111" s="5"/>
      <c r="LM111" s="4"/>
      <c r="LN111" s="8"/>
      <c r="LO111" s="5" t="str">
        <f t="shared" si="367"/>
        <v>NO APLICA</v>
      </c>
      <c r="LP111" s="5"/>
      <c r="LQ111" s="6"/>
      <c r="LR111" s="4"/>
      <c r="LS111" s="8"/>
      <c r="LT111" s="5" t="str">
        <f t="shared" si="359"/>
        <v>NO APLICA</v>
      </c>
      <c r="LU111" s="6"/>
      <c r="LV111" s="6"/>
      <c r="LW111" s="4"/>
      <c r="LX111" s="8"/>
      <c r="LY111" s="5" t="str">
        <f t="shared" si="360"/>
        <v>NO APLICA</v>
      </c>
      <c r="LZ111" s="6"/>
      <c r="MA111" s="6"/>
      <c r="MB111" s="4"/>
      <c r="MC111" s="8"/>
      <c r="MD111" s="5" t="str">
        <f t="shared" si="361"/>
        <v>NO APLICA</v>
      </c>
      <c r="ME111" s="5"/>
      <c r="MF111" s="5"/>
      <c r="MG111" s="4"/>
      <c r="MH111" s="8"/>
      <c r="MI111" s="5" t="str">
        <f t="shared" si="333"/>
        <v>NO APLICA</v>
      </c>
      <c r="MJ111" s="5"/>
      <c r="MK111" s="5"/>
      <c r="ML111" s="4"/>
      <c r="MM111" s="8"/>
      <c r="MN111" s="5" t="str">
        <f t="shared" si="334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5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6"/>
        <v>VIGENTE</v>
      </c>
      <c r="MY111" s="5"/>
      <c r="MZ111" s="6"/>
      <c r="NA111" s="4"/>
      <c r="NB111" s="8"/>
      <c r="NC111" s="5" t="str">
        <f t="shared" si="337"/>
        <v>NO APLICA</v>
      </c>
      <c r="ND111" s="5"/>
      <c r="NE111" s="6"/>
      <c r="NF111" s="4"/>
      <c r="NG111" s="8"/>
      <c r="NH111" s="5" t="str">
        <f t="shared" si="338"/>
        <v>NO APLICA</v>
      </c>
      <c r="NI111" s="5"/>
      <c r="NJ111" s="6"/>
      <c r="NK111" s="4"/>
      <c r="NL111" s="8"/>
      <c r="NM111" s="5" t="str">
        <f t="shared" si="339"/>
        <v>NO APLICA</v>
      </c>
      <c r="NN111" s="5"/>
      <c r="NO111" s="5"/>
      <c r="NP111" s="4"/>
      <c r="NQ111" s="8"/>
      <c r="NR111" s="5" t="str">
        <f t="shared" si="340"/>
        <v>NO APLICA</v>
      </c>
      <c r="NS111" s="5"/>
      <c r="NT111" s="5"/>
      <c r="NU111" s="5"/>
      <c r="NV111" s="5"/>
      <c r="NW111" s="5" t="str">
        <f t="shared" si="341"/>
        <v>NO APLICA</v>
      </c>
      <c r="NX111" s="6"/>
      <c r="NY111" s="6"/>
      <c r="NZ111" s="4"/>
      <c r="OA111" s="8"/>
      <c r="OB111" s="5" t="str">
        <f t="shared" si="342"/>
        <v>NO APLICA</v>
      </c>
      <c r="OC111" s="6"/>
      <c r="OD111" s="6"/>
      <c r="OE111" s="6"/>
      <c r="OF111" s="6"/>
      <c r="OG111" s="5" t="str">
        <f t="shared" si="343"/>
        <v>NO APLICA</v>
      </c>
      <c r="OH111" s="5"/>
      <c r="OI111" s="5"/>
      <c r="OJ111" s="4"/>
      <c r="OK111" s="8"/>
      <c r="OL111" s="5" t="str">
        <f t="shared" si="344"/>
        <v>NO APLICA</v>
      </c>
      <c r="OM111" s="6"/>
      <c r="ON111" s="6"/>
      <c r="OO111" s="6"/>
      <c r="OP111" s="6"/>
      <c r="OQ111" s="5" t="str">
        <f t="shared" si="345"/>
        <v>NO APLICA</v>
      </c>
      <c r="OR111" s="6"/>
      <c r="OS111" s="6"/>
      <c r="OT111" s="6"/>
      <c r="OU111" s="6"/>
      <c r="OV111" s="5" t="str">
        <f t="shared" si="346"/>
        <v>NO APLICA</v>
      </c>
      <c r="OW111" s="6"/>
      <c r="OX111" s="6"/>
      <c r="OY111" s="6"/>
      <c r="OZ111" s="6"/>
      <c r="PA111" s="5" t="str">
        <f t="shared" si="347"/>
        <v>NO APLICA</v>
      </c>
      <c r="PB111" s="6"/>
      <c r="PC111" s="6"/>
      <c r="PD111" s="6"/>
      <c r="PE111" s="6"/>
      <c r="PF111" s="5" t="str">
        <f t="shared" si="348"/>
        <v>NO APLICA</v>
      </c>
      <c r="PG111" s="6"/>
      <c r="PH111" s="6"/>
      <c r="PI111" s="6"/>
      <c r="PJ111" s="6"/>
      <c r="PK111" s="5" t="str">
        <f t="shared" si="349"/>
        <v>NO APLICA</v>
      </c>
      <c r="PL111" s="5"/>
      <c r="PM111" s="6"/>
      <c r="PN111" s="4"/>
      <c r="PO111" s="8"/>
      <c r="PP111" s="5" t="str">
        <f t="shared" si="350"/>
        <v>NO APLICA</v>
      </c>
      <c r="PQ111" s="6"/>
      <c r="PR111" s="6"/>
      <c r="PS111" s="6"/>
      <c r="PT111" s="6"/>
      <c r="PU111" s="5" t="str">
        <f t="shared" si="351"/>
        <v>NO APLICA</v>
      </c>
      <c r="PV111" s="5"/>
      <c r="PW111" s="6"/>
      <c r="PX111" s="6"/>
      <c r="PY111" s="6"/>
      <c r="PZ111" s="5" t="str">
        <f t="shared" si="352"/>
        <v>NO APLICA</v>
      </c>
    </row>
    <row r="112" spans="1:442" ht="15.6" hidden="1" thickTop="1" thickBot="1" x14ac:dyDescent="0.35">
      <c r="A112" s="26">
        <v>109</v>
      </c>
      <c r="B112" s="27">
        <v>1594</v>
      </c>
      <c r="C112" s="28" t="s">
        <v>376</v>
      </c>
      <c r="D112" s="29" t="s">
        <v>64</v>
      </c>
      <c r="E112" s="30" t="s">
        <v>377</v>
      </c>
      <c r="F112" s="5"/>
      <c r="G112" s="6"/>
      <c r="H112" s="4"/>
      <c r="I112" s="8"/>
      <c r="J112" s="5" t="str">
        <f t="shared" si="242"/>
        <v>NO APLICA</v>
      </c>
      <c r="K112" s="2"/>
      <c r="L112" s="6"/>
      <c r="M112" s="6"/>
      <c r="N112" s="8"/>
      <c r="O112" s="5" t="str">
        <f t="shared" si="243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3"/>
        <v>VIGENTE</v>
      </c>
      <c r="U112" s="5"/>
      <c r="V112" s="2" t="s">
        <v>378</v>
      </c>
      <c r="W112" s="4">
        <v>44590</v>
      </c>
      <c r="X112" s="4">
        <f t="shared" si="410"/>
        <v>46416</v>
      </c>
      <c r="Y112" s="8">
        <f t="shared" ca="1" si="411"/>
        <v>271</v>
      </c>
      <c r="Z112" s="5" t="str">
        <f t="shared" ca="1" si="412"/>
        <v>VIGENTE</v>
      </c>
      <c r="AA112" s="5"/>
      <c r="AB112" s="2" t="s">
        <v>379</v>
      </c>
      <c r="AC112" s="4">
        <v>45190</v>
      </c>
      <c r="AD112" s="4">
        <f t="shared" si="413"/>
        <v>47017</v>
      </c>
      <c r="AE112" s="8">
        <f t="shared" ca="1" si="414"/>
        <v>872</v>
      </c>
      <c r="AF112" s="5" t="str">
        <f t="shared" ca="1" si="247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8"/>
        <v>521</v>
      </c>
      <c r="AK112" s="5" t="str">
        <f t="shared" ca="1" si="408"/>
        <v>VIGENTE</v>
      </c>
      <c r="AL112" s="2"/>
      <c r="AM112" s="4">
        <v>45937</v>
      </c>
      <c r="AN112" s="4">
        <f t="shared" si="415"/>
        <v>46667</v>
      </c>
      <c r="AO112" s="8">
        <f t="shared" ca="1" si="249"/>
        <v>522</v>
      </c>
      <c r="AP112" s="5" t="str">
        <f t="shared" ca="1" si="250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1"/>
        <v>552</v>
      </c>
      <c r="AU112" s="5" t="str">
        <f t="shared" ca="1" si="252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3"/>
        <v>512</v>
      </c>
      <c r="AZ112" s="5" t="str">
        <f t="shared" ca="1" si="254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5"/>
        <v>626</v>
      </c>
      <c r="BE112" s="5" t="str">
        <f t="shared" ca="1" si="256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7"/>
        <v>553</v>
      </c>
      <c r="BJ112" s="5" t="str">
        <f t="shared" ca="1" si="258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9"/>
        <v>602</v>
      </c>
      <c r="BO112" s="5" t="str">
        <f t="shared" ca="1" si="260"/>
        <v>VIGENTE</v>
      </c>
      <c r="BP112" s="4"/>
      <c r="BQ112" s="39">
        <v>45981</v>
      </c>
      <c r="BR112" s="4">
        <f>DATE(YEAR(BQ112)+2,MONTH(BQ112),DAY(BQ112))</f>
        <v>46711</v>
      </c>
      <c r="BS112" s="8">
        <f t="shared" ca="1" si="261"/>
        <v>566</v>
      </c>
      <c r="BT112" s="5" t="str">
        <f t="shared" ca="1" si="262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3"/>
        <v>616</v>
      </c>
      <c r="BY112" s="5" t="str">
        <f t="shared" ca="1" si="264"/>
        <v>VIGENTE</v>
      </c>
      <c r="BZ112" s="2"/>
      <c r="CA112" s="4">
        <v>45986</v>
      </c>
      <c r="CB112" s="4">
        <f t="shared" si="423"/>
        <v>46716</v>
      </c>
      <c r="CC112" s="8">
        <f t="shared" ca="1" si="265"/>
        <v>571</v>
      </c>
      <c r="CD112" s="5" t="str">
        <f t="shared" ca="1" si="266"/>
        <v>VIGENTE</v>
      </c>
      <c r="CE112" s="6"/>
      <c r="CF112" s="4">
        <v>46134</v>
      </c>
      <c r="CG112" s="4">
        <f t="shared" si="416"/>
        <v>47595</v>
      </c>
      <c r="CH112" s="8">
        <f t="shared" ca="1" si="417"/>
        <v>1450</v>
      </c>
      <c r="CI112" s="5" t="str">
        <f t="shared" ca="1" si="418"/>
        <v>VIGENTE</v>
      </c>
      <c r="CJ112" s="4"/>
      <c r="CK112" s="4">
        <v>46018</v>
      </c>
      <c r="CL112" s="4">
        <f>DATE(YEAR(CK112)+2,MONTH(CK112),DAY(CK112))</f>
        <v>46748</v>
      </c>
      <c r="CM112" s="8">
        <f t="shared" ca="1" si="270"/>
        <v>603</v>
      </c>
      <c r="CN112" s="5" t="str">
        <f t="shared" ca="1" si="271"/>
        <v>VIGENTE</v>
      </c>
      <c r="CO112" s="4"/>
      <c r="CP112" s="39">
        <v>45979</v>
      </c>
      <c r="CQ112" s="4">
        <f>DATE(YEAR(CP112)+2,MONTH(CP112),DAY(CP112))</f>
        <v>46709</v>
      </c>
      <c r="CR112" s="8">
        <f t="shared" ca="1" si="272"/>
        <v>564</v>
      </c>
      <c r="CS112" s="5" t="str">
        <f t="shared" ca="1" si="273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4"/>
        <v>490</v>
      </c>
      <c r="CX112" s="5" t="str">
        <f t="shared" ca="1" si="275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6"/>
        <v>585</v>
      </c>
      <c r="DC112" s="5" t="str">
        <f t="shared" ca="1" si="277"/>
        <v>VIGENTE</v>
      </c>
      <c r="DD112" s="3"/>
      <c r="DE112" s="39">
        <v>45996</v>
      </c>
      <c r="DF112" s="4">
        <f>DATE(YEAR(DE112)+2,MONTH(DE112),DAY(DE112))</f>
        <v>46726</v>
      </c>
      <c r="DG112" s="8">
        <f t="shared" ca="1" si="278"/>
        <v>581</v>
      </c>
      <c r="DH112" s="5" t="str">
        <f t="shared" ca="1" si="279"/>
        <v>VIGENTE</v>
      </c>
      <c r="DI112" s="4"/>
      <c r="DJ112" s="39">
        <v>45975</v>
      </c>
      <c r="DK112" s="4">
        <f>DATE(YEAR(DJ112)+2,MONTH(DJ112),DAY(DJ112))</f>
        <v>46705</v>
      </c>
      <c r="DL112" s="8">
        <f t="shared" ca="1" si="280"/>
        <v>560</v>
      </c>
      <c r="DM112" s="5" t="str">
        <f t="shared" ca="1" si="281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2"/>
        <v>567</v>
      </c>
      <c r="DR112" s="5" t="str">
        <f t="shared" ca="1" si="283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4"/>
        <v>594</v>
      </c>
      <c r="DW112" s="5" t="str">
        <f t="shared" ca="1" si="285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6"/>
        <v>617</v>
      </c>
      <c r="EB112" s="5" t="str">
        <f t="shared" ca="1" si="287"/>
        <v>VIGENTE</v>
      </c>
      <c r="EC112" s="4"/>
      <c r="ED112" s="39">
        <v>45994</v>
      </c>
      <c r="EE112" s="4">
        <f>DATE(YEAR(ED112)+2,MONTH(ED112),DAY(ED112))</f>
        <v>46724</v>
      </c>
      <c r="EF112" s="8">
        <f t="shared" ca="1" si="288"/>
        <v>579</v>
      </c>
      <c r="EG112" s="5" t="str">
        <f t="shared" ca="1" si="289"/>
        <v>VIGENTE</v>
      </c>
      <c r="EH112" s="3"/>
      <c r="EI112" s="3">
        <v>46015</v>
      </c>
      <c r="EJ112" s="4">
        <f t="shared" si="355"/>
        <v>46380</v>
      </c>
      <c r="EK112" s="8">
        <f t="shared" ca="1" si="290"/>
        <v>235</v>
      </c>
      <c r="EL112" s="5" t="str">
        <f t="shared" ca="1" si="291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2"/>
        <v>568</v>
      </c>
      <c r="EQ112" s="5" t="str">
        <f t="shared" ca="1" si="293"/>
        <v>VIGENTE</v>
      </c>
      <c r="ER112" s="2"/>
      <c r="ES112" s="39">
        <v>45999</v>
      </c>
      <c r="ET112" s="4">
        <f>DATE(YEAR(ES112)+2,MONTH(ES112),DAY(ES112))</f>
        <v>46729</v>
      </c>
      <c r="EU112" s="8">
        <f t="shared" ca="1" si="294"/>
        <v>584</v>
      </c>
      <c r="EV112" s="5" t="str">
        <f t="shared" ca="1" si="295"/>
        <v>VIGENTE</v>
      </c>
      <c r="EW112" s="3"/>
      <c r="EX112" s="4">
        <v>46037</v>
      </c>
      <c r="EY112" s="4">
        <f t="shared" si="424"/>
        <v>46767</v>
      </c>
      <c r="EZ112" s="8">
        <f t="shared" ca="1" si="296"/>
        <v>622</v>
      </c>
      <c r="FA112" s="5" t="str">
        <f t="shared" ca="1" si="297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8"/>
        <v>573</v>
      </c>
      <c r="FF112" s="5" t="str">
        <f t="shared" ca="1" si="299"/>
        <v>VIGENTE</v>
      </c>
      <c r="FG112" s="3"/>
      <c r="FH112" s="4">
        <v>45962</v>
      </c>
      <c r="FI112" s="4">
        <f t="shared" si="425"/>
        <v>46692</v>
      </c>
      <c r="FJ112" s="8">
        <f t="shared" ca="1" si="300"/>
        <v>547</v>
      </c>
      <c r="FK112" s="5" t="str">
        <f t="shared" ca="1" si="301"/>
        <v>VIGENTE</v>
      </c>
      <c r="FL112" s="4"/>
      <c r="FM112" s="39">
        <v>46039</v>
      </c>
      <c r="FN112" s="4">
        <f>DATE(YEAR(FM112)+2,MONTH(FM112),DAY(FM112))</f>
        <v>46769</v>
      </c>
      <c r="FO112" s="8">
        <f t="shared" ca="1" si="302"/>
        <v>624</v>
      </c>
      <c r="FP112" s="5" t="str">
        <f t="shared" ca="1" si="303"/>
        <v>VIGENTE</v>
      </c>
      <c r="FQ112" s="4"/>
      <c r="FR112" s="39">
        <v>46034</v>
      </c>
      <c r="FS112" s="4">
        <f>DATE(YEAR(FR112)+2,MONTH(FR112),DAY(FR112))</f>
        <v>46764</v>
      </c>
      <c r="FT112" s="8">
        <f t="shared" ca="1" si="304"/>
        <v>619</v>
      </c>
      <c r="FU112" s="5" t="str">
        <f t="shared" ca="1" si="305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6"/>
        <v>589</v>
      </c>
      <c r="FZ112" s="5" t="str">
        <f t="shared" ca="1" si="307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8"/>
        <v>510</v>
      </c>
      <c r="GE112" s="5" t="str">
        <f t="shared" ca="1" si="309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0"/>
        <v>545</v>
      </c>
      <c r="GJ112" s="5" t="str">
        <f t="shared" ca="1" si="311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2"/>
        <v>629</v>
      </c>
      <c r="GO112" s="5" t="str">
        <f t="shared" ca="1" si="313"/>
        <v>VIGENTE</v>
      </c>
      <c r="GP112" s="4"/>
      <c r="GQ112" s="4">
        <v>45299</v>
      </c>
      <c r="GR112" s="4">
        <f t="shared" si="314"/>
        <v>47126</v>
      </c>
      <c r="GS112" s="8">
        <f t="shared" ca="1" si="405"/>
        <v>981</v>
      </c>
      <c r="GT112" s="5" t="str">
        <f t="shared" ca="1" si="419"/>
        <v>VIGENTE</v>
      </c>
      <c r="GU112" s="3"/>
      <c r="GV112" s="4">
        <v>45329</v>
      </c>
      <c r="GW112" s="4">
        <f t="shared" si="316"/>
        <v>47156</v>
      </c>
      <c r="GX112" s="8">
        <f t="shared" ca="1" si="317"/>
        <v>1011</v>
      </c>
      <c r="GY112" s="5" t="str">
        <f t="shared" ca="1" si="420"/>
        <v>VIGENTE</v>
      </c>
      <c r="GZ112" s="2"/>
      <c r="HA112" s="4">
        <v>45343</v>
      </c>
      <c r="HB112" s="4">
        <f t="shared" si="319"/>
        <v>47170</v>
      </c>
      <c r="HC112" s="8">
        <f t="shared" ca="1" si="320"/>
        <v>1025</v>
      </c>
      <c r="HD112" s="5" t="str">
        <f t="shared" ca="1" si="421"/>
        <v>VIGENTE</v>
      </c>
      <c r="HE112" s="6"/>
      <c r="HF112" s="4">
        <v>45317</v>
      </c>
      <c r="HG112" s="4">
        <f t="shared" si="406"/>
        <v>47144</v>
      </c>
      <c r="HH112" s="8">
        <f t="shared" ca="1" si="407"/>
        <v>999</v>
      </c>
      <c r="HI112" s="5" t="str">
        <f t="shared" ca="1" si="422"/>
        <v>VIGENTE</v>
      </c>
      <c r="HJ112" s="2"/>
      <c r="HK112" s="6"/>
      <c r="HL112" s="4"/>
      <c r="HM112" s="8"/>
      <c r="HN112" s="5" t="str">
        <f t="shared" si="409"/>
        <v>NO APLICA</v>
      </c>
      <c r="HO112" s="2"/>
      <c r="HP112" s="2"/>
      <c r="HQ112" s="4"/>
      <c r="HR112" s="2"/>
      <c r="HS112" s="5" t="str">
        <f t="shared" si="322"/>
        <v>NO APLICA</v>
      </c>
      <c r="HT112" s="2"/>
      <c r="HU112" s="6"/>
      <c r="HV112" s="4"/>
      <c r="HW112" s="8"/>
      <c r="HX112" s="5" t="str">
        <f t="shared" si="323"/>
        <v>NO APLICA</v>
      </c>
      <c r="HY112" s="2"/>
      <c r="HZ112" s="6"/>
      <c r="IA112" s="4"/>
      <c r="IB112" s="8"/>
      <c r="IC112" s="5" t="str">
        <f t="shared" si="324"/>
        <v>NO APLICA</v>
      </c>
      <c r="ID112" s="2"/>
      <c r="IE112" s="6"/>
      <c r="IF112" s="4"/>
      <c r="IG112" s="8"/>
      <c r="IH112" s="5" t="str">
        <f t="shared" si="325"/>
        <v>NO APLICA</v>
      </c>
      <c r="II112" s="6"/>
      <c r="IJ112" s="6"/>
      <c r="IK112" s="4"/>
      <c r="IL112" s="8"/>
      <c r="IM112" s="5" t="str">
        <f t="shared" si="326"/>
        <v>NO APLICA</v>
      </c>
      <c r="IN112" s="2"/>
      <c r="IO112" s="6"/>
      <c r="IP112" s="4"/>
      <c r="IQ112" s="8"/>
      <c r="IR112" s="5" t="str">
        <f t="shared" si="327"/>
        <v>NO APLICA</v>
      </c>
      <c r="IS112" s="2"/>
      <c r="IT112" s="6"/>
      <c r="IU112" s="4"/>
      <c r="IV112" s="8"/>
      <c r="IW112" s="5" t="str">
        <f t="shared" si="328"/>
        <v>NO APLICA</v>
      </c>
      <c r="IX112" s="2"/>
      <c r="IY112" s="6"/>
      <c r="IZ112" s="4"/>
      <c r="JA112" s="8"/>
      <c r="JB112" s="5" t="str">
        <f t="shared" si="329"/>
        <v>NO APLICA</v>
      </c>
      <c r="JC112" s="3" t="s">
        <v>780</v>
      </c>
      <c r="JD112" s="3"/>
      <c r="JE112" s="4"/>
      <c r="JF112" s="8"/>
      <c r="JG112" s="5"/>
      <c r="JH112" s="3" t="s">
        <v>780</v>
      </c>
      <c r="JI112" s="6"/>
      <c r="JJ112" s="6"/>
      <c r="JK112" s="6"/>
      <c r="JL112" s="5"/>
      <c r="JM112" s="6" t="s">
        <v>780</v>
      </c>
      <c r="JN112" s="6"/>
      <c r="JO112" s="6"/>
      <c r="JP112" s="6"/>
      <c r="JQ112" s="5"/>
      <c r="JR112" s="6" t="s">
        <v>780</v>
      </c>
      <c r="JS112" s="6"/>
      <c r="JT112" s="6"/>
      <c r="JU112" s="6"/>
      <c r="JV112" s="5"/>
      <c r="JW112" s="6" t="s">
        <v>780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30"/>
        <v>NO APLICA</v>
      </c>
      <c r="KG112" s="5"/>
      <c r="KH112" s="2"/>
      <c r="KI112" s="4"/>
      <c r="KJ112" s="8"/>
      <c r="KK112" s="5" t="str">
        <f t="shared" si="356"/>
        <v>NO APLICA</v>
      </c>
      <c r="KL112" s="5"/>
      <c r="KM112" s="2"/>
      <c r="KN112" s="4"/>
      <c r="KO112" s="8"/>
      <c r="KP112" s="5" t="str">
        <f t="shared" si="331"/>
        <v>NO APLICA</v>
      </c>
      <c r="KQ112" s="5"/>
      <c r="KR112" s="2"/>
      <c r="KS112" s="4"/>
      <c r="KT112" s="8"/>
      <c r="KU112" s="5" t="str">
        <f t="shared" si="357"/>
        <v>NO APLICA</v>
      </c>
      <c r="KV112" s="2"/>
      <c r="KW112" s="6"/>
      <c r="KX112" s="4"/>
      <c r="KY112" s="8"/>
      <c r="KZ112" s="5" t="str">
        <f t="shared" si="366"/>
        <v>NO APLICA</v>
      </c>
      <c r="LA112" s="5"/>
      <c r="LB112" s="6"/>
      <c r="LC112" s="4"/>
      <c r="LD112" s="8"/>
      <c r="LE112" s="5" t="str">
        <f t="shared" si="358"/>
        <v>NO APLICA</v>
      </c>
      <c r="LF112" s="6"/>
      <c r="LG112" s="6"/>
      <c r="LH112" s="4"/>
      <c r="LI112" s="8"/>
      <c r="LJ112" s="5" t="str">
        <f t="shared" si="332"/>
        <v>NO APLICA</v>
      </c>
      <c r="LK112" s="5"/>
      <c r="LL112" s="5"/>
      <c r="LM112" s="4"/>
      <c r="LN112" s="8"/>
      <c r="LO112" s="5" t="str">
        <f t="shared" si="367"/>
        <v>NO APLICA</v>
      </c>
      <c r="LP112" s="2"/>
      <c r="LQ112" s="6"/>
      <c r="LR112" s="4"/>
      <c r="LS112" s="8"/>
      <c r="LT112" s="5" t="str">
        <f t="shared" si="359"/>
        <v>NO APLICA</v>
      </c>
      <c r="LU112" s="6"/>
      <c r="LV112" s="6"/>
      <c r="LW112" s="4"/>
      <c r="LX112" s="8"/>
      <c r="LY112" s="5" t="str">
        <f t="shared" si="360"/>
        <v>NO APLICA</v>
      </c>
      <c r="LZ112" s="6"/>
      <c r="MA112" s="6"/>
      <c r="MB112" s="4"/>
      <c r="MC112" s="8"/>
      <c r="MD112" s="5" t="str">
        <f t="shared" si="361"/>
        <v>NO APLICA</v>
      </c>
      <c r="ME112" s="2"/>
      <c r="MF112" s="2"/>
      <c r="MG112" s="4"/>
      <c r="MH112" s="8"/>
      <c r="MI112" s="5" t="str">
        <f t="shared" si="333"/>
        <v>NO APLICA</v>
      </c>
      <c r="MJ112" s="2"/>
      <c r="MK112" s="2"/>
      <c r="ML112" s="4"/>
      <c r="MM112" s="8"/>
      <c r="MN112" s="5" t="str">
        <f t="shared" si="334"/>
        <v>NO APLICA</v>
      </c>
      <c r="MO112" s="5"/>
      <c r="MP112" s="2"/>
      <c r="MQ112" s="4"/>
      <c r="MR112" s="8"/>
      <c r="MS112" s="5" t="str">
        <f t="shared" si="335"/>
        <v>NO APLICA</v>
      </c>
      <c r="MT112" s="5"/>
      <c r="MU112" s="2"/>
      <c r="MV112" s="4"/>
      <c r="MW112" s="2"/>
      <c r="MX112" s="5" t="str">
        <f t="shared" si="336"/>
        <v>NO APLICA</v>
      </c>
      <c r="MY112" s="2"/>
      <c r="MZ112" s="6"/>
      <c r="NA112" s="4"/>
      <c r="NB112" s="8"/>
      <c r="NC112" s="5" t="str">
        <f t="shared" si="337"/>
        <v>NO APLICA</v>
      </c>
      <c r="ND112" s="2"/>
      <c r="NE112" s="6"/>
      <c r="NF112" s="4"/>
      <c r="NG112" s="8"/>
      <c r="NH112" s="5" t="str">
        <f t="shared" si="338"/>
        <v>NO APLICA</v>
      </c>
      <c r="NI112" s="2"/>
      <c r="NJ112" s="6"/>
      <c r="NK112" s="4"/>
      <c r="NL112" s="8"/>
      <c r="NM112" s="5" t="str">
        <f t="shared" si="339"/>
        <v>NO APLICA</v>
      </c>
      <c r="NN112" s="2"/>
      <c r="NO112" s="2"/>
      <c r="NP112" s="4"/>
      <c r="NQ112" s="8"/>
      <c r="NR112" s="5" t="str">
        <f t="shared" si="340"/>
        <v>NO APLICA</v>
      </c>
      <c r="NS112" s="2"/>
      <c r="NT112" s="2"/>
      <c r="NU112" s="4"/>
      <c r="NV112" s="2"/>
      <c r="NW112" s="5" t="str">
        <f t="shared" si="341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2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3"/>
        <v>VIGENTE</v>
      </c>
      <c r="OH112" s="6"/>
      <c r="OI112" s="6"/>
      <c r="OJ112" s="4"/>
      <c r="OK112" s="8"/>
      <c r="OL112" s="5" t="str">
        <f t="shared" si="344"/>
        <v>NO APLICA</v>
      </c>
      <c r="OM112" s="6"/>
      <c r="ON112" s="6"/>
      <c r="OO112" s="6"/>
      <c r="OP112" s="6"/>
      <c r="OQ112" s="5" t="str">
        <f t="shared" si="345"/>
        <v>NO APLICA</v>
      </c>
      <c r="OR112" s="6"/>
      <c r="OS112" s="6"/>
      <c r="OT112" s="6"/>
      <c r="OU112" s="6"/>
      <c r="OV112" s="5" t="str">
        <f t="shared" si="346"/>
        <v>NO APLICA</v>
      </c>
      <c r="OW112" s="6"/>
      <c r="OX112" s="6"/>
      <c r="OY112" s="6"/>
      <c r="OZ112" s="6"/>
      <c r="PA112" s="5" t="str">
        <f t="shared" si="347"/>
        <v>NO APLICA</v>
      </c>
      <c r="PB112" s="6"/>
      <c r="PC112" s="6"/>
      <c r="PD112" s="6"/>
      <c r="PE112" s="6"/>
      <c r="PF112" s="5" t="str">
        <f t="shared" si="348"/>
        <v>NO APLICA</v>
      </c>
      <c r="PG112" s="6"/>
      <c r="PH112" s="6"/>
      <c r="PI112" s="6"/>
      <c r="PJ112" s="6"/>
      <c r="PK112" s="5" t="str">
        <f t="shared" si="349"/>
        <v>NO APLICA</v>
      </c>
      <c r="PL112" s="5"/>
      <c r="PM112" s="6"/>
      <c r="PN112" s="4"/>
      <c r="PO112" s="8"/>
      <c r="PP112" s="5" t="str">
        <f t="shared" si="350"/>
        <v>NO APLICA</v>
      </c>
      <c r="PQ112" s="6"/>
      <c r="PR112" s="6"/>
      <c r="PS112" s="6"/>
      <c r="PT112" s="6"/>
      <c r="PU112" s="5" t="str">
        <f t="shared" si="351"/>
        <v>NO APLICA</v>
      </c>
      <c r="PV112" s="5"/>
      <c r="PW112" s="6"/>
      <c r="PX112" s="6"/>
      <c r="PY112" s="6"/>
      <c r="PZ112" s="5" t="str">
        <f t="shared" si="352"/>
        <v>NO APLICA</v>
      </c>
    </row>
    <row r="113" spans="1:442" ht="15.6" hidden="1" thickTop="1" thickBot="1" x14ac:dyDescent="0.35">
      <c r="A113" s="26">
        <v>110</v>
      </c>
      <c r="B113" s="27">
        <v>1485</v>
      </c>
      <c r="C113" s="28" t="s">
        <v>380</v>
      </c>
      <c r="D113" s="29" t="s">
        <v>68</v>
      </c>
      <c r="E113" s="30" t="s">
        <v>93</v>
      </c>
      <c r="F113" s="5"/>
      <c r="G113" s="6"/>
      <c r="H113" s="4"/>
      <c r="I113" s="8"/>
      <c r="J113" s="5" t="str">
        <f t="shared" si="242"/>
        <v>NO APLICA</v>
      </c>
      <c r="K113" s="5"/>
      <c r="L113" s="6"/>
      <c r="M113" s="6"/>
      <c r="N113" s="8"/>
      <c r="O113" s="5" t="str">
        <f t="shared" si="243"/>
        <v>NO APLICA</v>
      </c>
      <c r="P113" s="6"/>
      <c r="Q113" s="6"/>
      <c r="R113" s="4"/>
      <c r="S113" s="8"/>
      <c r="T113" s="5" t="str">
        <f t="shared" si="353"/>
        <v>NO APLICA</v>
      </c>
      <c r="U113" s="5"/>
      <c r="V113" s="2" t="s">
        <v>381</v>
      </c>
      <c r="W113" s="4">
        <v>44829</v>
      </c>
      <c r="X113" s="4">
        <f t="shared" si="410"/>
        <v>46655</v>
      </c>
      <c r="Y113" s="8">
        <f t="shared" ca="1" si="411"/>
        <v>510</v>
      </c>
      <c r="Z113" s="5" t="str">
        <f t="shared" ca="1" si="412"/>
        <v>VIGENTE</v>
      </c>
      <c r="AA113" s="5"/>
      <c r="AB113" s="2" t="s">
        <v>382</v>
      </c>
      <c r="AC113" s="4">
        <v>44603</v>
      </c>
      <c r="AD113" s="4">
        <f t="shared" si="413"/>
        <v>46429</v>
      </c>
      <c r="AE113" s="8">
        <f t="shared" ca="1" si="414"/>
        <v>284</v>
      </c>
      <c r="AF113" s="5" t="str">
        <f t="shared" ca="1" si="247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8"/>
        <v>173</v>
      </c>
      <c r="AK113" s="5" t="str">
        <f t="shared" ca="1" si="408"/>
        <v>VIGENTE</v>
      </c>
      <c r="AL113" s="3"/>
      <c r="AM113" s="4">
        <v>45959</v>
      </c>
      <c r="AN113" s="4">
        <f t="shared" si="415"/>
        <v>46689</v>
      </c>
      <c r="AO113" s="8">
        <f t="shared" ca="1" si="249"/>
        <v>544</v>
      </c>
      <c r="AP113" s="5" t="str">
        <f t="shared" ca="1" si="250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1"/>
        <v>324</v>
      </c>
      <c r="AU113" s="5" t="str">
        <f t="shared" ca="1" si="252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3"/>
        <v>286</v>
      </c>
      <c r="AZ113" s="5" t="str">
        <f t="shared" ca="1" si="254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5"/>
        <v>292</v>
      </c>
      <c r="BE113" s="5" t="str">
        <f t="shared" ca="1" si="256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7"/>
        <v>257</v>
      </c>
      <c r="BJ113" s="5" t="str">
        <f t="shared" ca="1" si="258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9"/>
        <v>636</v>
      </c>
      <c r="BO113" s="5" t="str">
        <f t="shared" ca="1" si="260"/>
        <v>VIGENTE</v>
      </c>
      <c r="BP113" s="3"/>
      <c r="BQ113" s="39">
        <v>45701</v>
      </c>
      <c r="BR113" s="4">
        <f>DATE(YEAR(BQ113)+2,MONTH(BQ113),DAY(BQ113)-1)</f>
        <v>46430</v>
      </c>
      <c r="BS113" s="8">
        <f t="shared" ca="1" si="261"/>
        <v>285</v>
      </c>
      <c r="BT113" s="5" t="str">
        <f t="shared" ca="1" si="262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3"/>
        <v>279</v>
      </c>
      <c r="BY113" s="5" t="str">
        <f t="shared" ca="1" si="264"/>
        <v>VIGENTE</v>
      </c>
      <c r="BZ113" s="3"/>
      <c r="CA113" s="4">
        <v>45944</v>
      </c>
      <c r="CB113" s="4">
        <f t="shared" si="423"/>
        <v>46674</v>
      </c>
      <c r="CC113" s="8">
        <f t="shared" ca="1" si="265"/>
        <v>529</v>
      </c>
      <c r="CD113" s="5" t="str">
        <f t="shared" ca="1" si="266"/>
        <v>VIGENTE</v>
      </c>
      <c r="CE113" s="6"/>
      <c r="CF113" s="4">
        <v>45211</v>
      </c>
      <c r="CG113" s="4">
        <f t="shared" si="416"/>
        <v>46672</v>
      </c>
      <c r="CH113" s="8">
        <f t="shared" ca="1" si="417"/>
        <v>527</v>
      </c>
      <c r="CI113" s="5" t="str">
        <f t="shared" ca="1" si="418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0"/>
        <v>307</v>
      </c>
      <c r="CN113" s="5" t="str">
        <f t="shared" ca="1" si="271"/>
        <v>VIGENTE</v>
      </c>
      <c r="CO113" s="3"/>
      <c r="CP113" s="39">
        <v>45726</v>
      </c>
      <c r="CQ113" s="4">
        <f>DATE(YEAR(CP113)+2,MONTH(CP113),DAY(CP113)-1)</f>
        <v>46455</v>
      </c>
      <c r="CR113" s="8">
        <f t="shared" ca="1" si="272"/>
        <v>310</v>
      </c>
      <c r="CS113" s="5" t="str">
        <f t="shared" ca="1" si="273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4"/>
        <v>229</v>
      </c>
      <c r="CX113" s="5" t="str">
        <f t="shared" ca="1" si="275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6"/>
        <v>245</v>
      </c>
      <c r="DC113" s="5" t="str">
        <f t="shared" ca="1" si="277"/>
        <v>VIGENTE</v>
      </c>
      <c r="DD113" s="3"/>
      <c r="DE113" s="39">
        <v>45689</v>
      </c>
      <c r="DF113" s="4">
        <f>DATE(YEAR(DE113)+2,MONTH(DE113),DAY(DE113)-1)</f>
        <v>46418</v>
      </c>
      <c r="DG113" s="8">
        <f t="shared" ca="1" si="278"/>
        <v>273</v>
      </c>
      <c r="DH113" s="5" t="str">
        <f t="shared" ca="1" si="279"/>
        <v>VIGENTE</v>
      </c>
      <c r="DI113" s="3"/>
      <c r="DJ113" s="39">
        <v>45696</v>
      </c>
      <c r="DK113" s="4">
        <f>DATE(YEAR(DJ113)+2,MONTH(DJ113),DAY(DJ113)-1)</f>
        <v>46425</v>
      </c>
      <c r="DL113" s="8">
        <f t="shared" ca="1" si="280"/>
        <v>280</v>
      </c>
      <c r="DM113" s="5" t="str">
        <f t="shared" ca="1" si="281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2"/>
        <v>567</v>
      </c>
      <c r="DR113" s="5" t="str">
        <f t="shared" ca="1" si="283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4"/>
        <v>312</v>
      </c>
      <c r="DW113" s="5" t="str">
        <f t="shared" ca="1" si="285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6"/>
        <v>266</v>
      </c>
      <c r="EB113" s="5" t="str">
        <f t="shared" ca="1" si="287"/>
        <v>VIGENTE</v>
      </c>
      <c r="EC113" s="3"/>
      <c r="ED113" s="39">
        <v>45674</v>
      </c>
      <c r="EE113" s="4">
        <f>DATE(YEAR(ED113)+2,MONTH(ED113),DAY(ED113)-1)</f>
        <v>46403</v>
      </c>
      <c r="EF113" s="8">
        <f t="shared" ca="1" si="288"/>
        <v>258</v>
      </c>
      <c r="EG113" s="5" t="str">
        <f t="shared" ca="1" si="289"/>
        <v>VIGENTE</v>
      </c>
      <c r="EH113" s="3"/>
      <c r="EI113" s="4">
        <v>46115</v>
      </c>
      <c r="EJ113" s="4">
        <f t="shared" si="355"/>
        <v>46480</v>
      </c>
      <c r="EK113" s="8">
        <f t="shared" ca="1" si="290"/>
        <v>335</v>
      </c>
      <c r="EL113" s="5" t="str">
        <f t="shared" ca="1" si="291"/>
        <v>VIGENTE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2"/>
        <v>321</v>
      </c>
      <c r="EQ113" s="5" t="str">
        <f t="shared" ca="1" si="293"/>
        <v>VIGENTE</v>
      </c>
      <c r="ER113" s="3"/>
      <c r="ES113" s="39">
        <v>45677</v>
      </c>
      <c r="ET113" s="4">
        <f>DATE(YEAR(ES113)+2,MONTH(ES113),DAY(ES113)-1)</f>
        <v>46406</v>
      </c>
      <c r="EU113" s="8">
        <f t="shared" ca="1" si="294"/>
        <v>261</v>
      </c>
      <c r="EV113" s="5" t="str">
        <f t="shared" ca="1" si="295"/>
        <v>VIGENTE</v>
      </c>
      <c r="EW113" s="3"/>
      <c r="EX113" s="4">
        <v>45953</v>
      </c>
      <c r="EY113" s="4">
        <f t="shared" si="424"/>
        <v>46683</v>
      </c>
      <c r="EZ113" s="8">
        <f t="shared" ca="1" si="296"/>
        <v>538</v>
      </c>
      <c r="FA113" s="5" t="str">
        <f t="shared" ca="1" si="297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8"/>
        <v>536</v>
      </c>
      <c r="FF113" s="5" t="str">
        <f t="shared" ca="1" si="299"/>
        <v>VIGENTE</v>
      </c>
      <c r="FG113" s="3"/>
      <c r="FH113" s="4">
        <v>45932</v>
      </c>
      <c r="FI113" s="4">
        <f t="shared" si="425"/>
        <v>46662</v>
      </c>
      <c r="FJ113" s="8">
        <f t="shared" ca="1" si="300"/>
        <v>517</v>
      </c>
      <c r="FK113" s="5" t="str">
        <f t="shared" ca="1" si="301"/>
        <v>VIGENTE</v>
      </c>
      <c r="FL113" s="3"/>
      <c r="FM113" s="39">
        <v>45738</v>
      </c>
      <c r="FN113" s="4">
        <f>DATE(YEAR(FM113)+2,MONTH(FM113),DAY(FM113)-1)</f>
        <v>46467</v>
      </c>
      <c r="FO113" s="8">
        <f t="shared" ca="1" si="302"/>
        <v>322</v>
      </c>
      <c r="FP113" s="5" t="str">
        <f t="shared" ca="1" si="303"/>
        <v>VIGENTE</v>
      </c>
      <c r="FQ113" s="3"/>
      <c r="FR113" s="39">
        <v>45678</v>
      </c>
      <c r="FS113" s="4">
        <f>DATE(YEAR(FR113)+2,MONTH(FR113),DAY(FR113)-1)</f>
        <v>46407</v>
      </c>
      <c r="FT113" s="8">
        <f t="shared" ca="1" si="304"/>
        <v>262</v>
      </c>
      <c r="FU113" s="5" t="str">
        <f t="shared" ca="1" si="305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6"/>
        <v>158</v>
      </c>
      <c r="FZ113" s="5" t="str">
        <f t="shared" ca="1" si="307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8"/>
        <v>251</v>
      </c>
      <c r="GE113" s="5" t="str">
        <f t="shared" ca="1" si="309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0"/>
        <v>256</v>
      </c>
      <c r="GJ113" s="5" t="str">
        <f t="shared" ca="1" si="311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2"/>
        <v>530</v>
      </c>
      <c r="GO113" s="5" t="str">
        <f t="shared" ca="1" si="313"/>
        <v>VIGENTE</v>
      </c>
      <c r="GP113" s="4"/>
      <c r="GQ113" s="4">
        <v>44966</v>
      </c>
      <c r="GR113" s="4">
        <f t="shared" si="314"/>
        <v>46792</v>
      </c>
      <c r="GS113" s="8">
        <f t="shared" ca="1" si="405"/>
        <v>647</v>
      </c>
      <c r="GT113" s="5" t="str">
        <f t="shared" ca="1" si="419"/>
        <v>VIGENTE</v>
      </c>
      <c r="GU113" s="3"/>
      <c r="GV113" s="4">
        <v>45245</v>
      </c>
      <c r="GW113" s="4">
        <f t="shared" si="316"/>
        <v>47072</v>
      </c>
      <c r="GX113" s="8">
        <f t="shared" ca="1" si="317"/>
        <v>927</v>
      </c>
      <c r="GY113" s="5" t="str">
        <f t="shared" ca="1" si="420"/>
        <v>VIGENTE</v>
      </c>
      <c r="GZ113" s="3"/>
      <c r="HA113" s="4">
        <v>45499</v>
      </c>
      <c r="HB113" s="4">
        <f t="shared" si="319"/>
        <v>47325</v>
      </c>
      <c r="HC113" s="8">
        <f t="shared" ca="1" si="320"/>
        <v>1180</v>
      </c>
      <c r="HD113" s="5" t="str">
        <f t="shared" ca="1" si="421"/>
        <v>VIGENTE</v>
      </c>
      <c r="HE113" s="6"/>
      <c r="HF113" s="4">
        <v>44879</v>
      </c>
      <c r="HG113" s="4">
        <f t="shared" si="406"/>
        <v>46705</v>
      </c>
      <c r="HH113" s="8">
        <f t="shared" ca="1" si="407"/>
        <v>560</v>
      </c>
      <c r="HI113" s="5" t="str">
        <f t="shared" ca="1" si="422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9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2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3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4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5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6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7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8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9"/>
        <v>VIGENTE</v>
      </c>
      <c r="JC113" s="3" t="s">
        <v>780</v>
      </c>
      <c r="JD113" s="3"/>
      <c r="JE113" s="4"/>
      <c r="JF113" s="8"/>
      <c r="JG113" s="5"/>
      <c r="JH113" s="3" t="s">
        <v>780</v>
      </c>
      <c r="JI113" s="6"/>
      <c r="JJ113" s="6"/>
      <c r="JK113" s="6"/>
      <c r="JL113" s="5"/>
      <c r="JM113" s="6" t="s">
        <v>780</v>
      </c>
      <c r="JN113" s="6"/>
      <c r="JO113" s="6"/>
      <c r="JP113" s="6"/>
      <c r="JQ113" s="5"/>
      <c r="JR113" s="6" t="s">
        <v>780</v>
      </c>
      <c r="JS113" s="6"/>
      <c r="JT113" s="6"/>
      <c r="JU113" s="6"/>
      <c r="JV113" s="5"/>
      <c r="JW113" s="6" t="s">
        <v>780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30"/>
        <v>NO APLICA</v>
      </c>
      <c r="KG113" s="5"/>
      <c r="KH113" s="2"/>
      <c r="KI113" s="4"/>
      <c r="KJ113" s="8"/>
      <c r="KK113" s="5" t="str">
        <f t="shared" si="356"/>
        <v>NO APLICA</v>
      </c>
      <c r="KL113" s="5"/>
      <c r="KM113" s="2"/>
      <c r="KN113" s="4"/>
      <c r="KO113" s="8"/>
      <c r="KP113" s="5" t="str">
        <f t="shared" si="331"/>
        <v>NO APLICA</v>
      </c>
      <c r="KQ113" s="5"/>
      <c r="KR113" s="2"/>
      <c r="KS113" s="4"/>
      <c r="KT113" s="8"/>
      <c r="KU113" s="5" t="str">
        <f t="shared" si="357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6"/>
        <v>VIGENTE</v>
      </c>
      <c r="LA113" s="5"/>
      <c r="LB113" s="6"/>
      <c r="LC113" s="4"/>
      <c r="LD113" s="8"/>
      <c r="LE113" s="5" t="str">
        <f t="shared" si="358"/>
        <v>NO APLICA</v>
      </c>
      <c r="LF113" s="6"/>
      <c r="LG113" s="4"/>
      <c r="LH113" s="4"/>
      <c r="LI113" s="8"/>
      <c r="LJ113" s="5" t="str">
        <f t="shared" si="332"/>
        <v>NO APLICA</v>
      </c>
      <c r="LK113" s="5"/>
      <c r="LL113" s="5"/>
      <c r="LM113" s="4"/>
      <c r="LN113" s="8"/>
      <c r="LO113" s="5" t="str">
        <f t="shared" si="367"/>
        <v>NO APLICA</v>
      </c>
      <c r="LP113" s="2"/>
      <c r="LQ113" s="6"/>
      <c r="LR113" s="4"/>
      <c r="LS113" s="8"/>
      <c r="LT113" s="5" t="str">
        <f t="shared" si="359"/>
        <v>NO APLICA</v>
      </c>
      <c r="LU113" s="6"/>
      <c r="LV113" s="6"/>
      <c r="LW113" s="4"/>
      <c r="LX113" s="8"/>
      <c r="LY113" s="5" t="str">
        <f t="shared" si="360"/>
        <v>NO APLICA</v>
      </c>
      <c r="LZ113" s="6"/>
      <c r="MA113" s="6"/>
      <c r="MB113" s="4"/>
      <c r="MC113" s="8"/>
      <c r="MD113" s="5" t="str">
        <f t="shared" si="361"/>
        <v>NO APLICA</v>
      </c>
      <c r="ME113" s="2"/>
      <c r="MF113" s="2"/>
      <c r="MG113" s="4"/>
      <c r="MH113" s="8"/>
      <c r="MI113" s="5" t="str">
        <f t="shared" si="333"/>
        <v>NO APLICA</v>
      </c>
      <c r="MJ113" s="2"/>
      <c r="MK113" s="2"/>
      <c r="ML113" s="4"/>
      <c r="MM113" s="8"/>
      <c r="MN113" s="5" t="str">
        <f t="shared" si="334"/>
        <v>NO APLICA</v>
      </c>
      <c r="MO113" s="5"/>
      <c r="MP113" s="2"/>
      <c r="MQ113" s="4"/>
      <c r="MR113" s="8"/>
      <c r="MS113" s="5" t="str">
        <f t="shared" si="335"/>
        <v>NO APLICA</v>
      </c>
      <c r="MT113" s="5"/>
      <c r="MU113" s="2"/>
      <c r="MV113" s="4"/>
      <c r="MW113" s="2"/>
      <c r="MX113" s="5" t="str">
        <f t="shared" si="336"/>
        <v>NO APLICA</v>
      </c>
      <c r="MY113" s="2"/>
      <c r="MZ113" s="6"/>
      <c r="NA113" s="4"/>
      <c r="NB113" s="8"/>
      <c r="NC113" s="5" t="str">
        <f t="shared" si="337"/>
        <v>NO APLICA</v>
      </c>
      <c r="ND113" s="2"/>
      <c r="NE113" s="6"/>
      <c r="NF113" s="4"/>
      <c r="NG113" s="8"/>
      <c r="NH113" s="5" t="str">
        <f t="shared" si="338"/>
        <v>NO APLICA</v>
      </c>
      <c r="NI113" s="2"/>
      <c r="NJ113" s="6"/>
      <c r="NK113" s="4"/>
      <c r="NL113" s="8"/>
      <c r="NM113" s="5" t="str">
        <f t="shared" si="339"/>
        <v>NO APLICA</v>
      </c>
      <c r="NN113" s="2"/>
      <c r="NO113" s="2"/>
      <c r="NP113" s="4"/>
      <c r="NQ113" s="8"/>
      <c r="NR113" s="5" t="str">
        <f t="shared" si="340"/>
        <v>NO APLICA</v>
      </c>
      <c r="NS113" s="2"/>
      <c r="NT113" s="2"/>
      <c r="NU113" s="4"/>
      <c r="NV113" s="2"/>
      <c r="NW113" s="5" t="str">
        <f t="shared" si="341"/>
        <v>NO APLICA</v>
      </c>
      <c r="NX113" s="6"/>
      <c r="NY113" s="6"/>
      <c r="NZ113" s="4"/>
      <c r="OA113" s="8"/>
      <c r="OB113" s="5" t="str">
        <f t="shared" si="342"/>
        <v>NO APLICA</v>
      </c>
      <c r="OC113" s="6"/>
      <c r="OD113" s="6"/>
      <c r="OE113" s="6"/>
      <c r="OF113" s="6"/>
      <c r="OG113" s="5" t="str">
        <f t="shared" si="343"/>
        <v>NO APLICA</v>
      </c>
      <c r="OH113" s="2"/>
      <c r="OI113" s="2"/>
      <c r="OJ113" s="4"/>
      <c r="OK113" s="8"/>
      <c r="OL113" s="5" t="str">
        <f t="shared" si="344"/>
        <v>NO APLICA</v>
      </c>
      <c r="OM113" s="6"/>
      <c r="ON113" s="6"/>
      <c r="OO113" s="6"/>
      <c r="OP113" s="6"/>
      <c r="OQ113" s="5" t="str">
        <f t="shared" si="345"/>
        <v>NO APLICA</v>
      </c>
      <c r="OR113" s="6"/>
      <c r="OS113" s="6"/>
      <c r="OT113" s="6"/>
      <c r="OU113" s="6"/>
      <c r="OV113" s="5" t="str">
        <f t="shared" si="346"/>
        <v>NO APLICA</v>
      </c>
      <c r="OW113" s="6"/>
      <c r="OX113" s="6"/>
      <c r="OY113" s="6"/>
      <c r="OZ113" s="6"/>
      <c r="PA113" s="5" t="str">
        <f t="shared" si="347"/>
        <v>NO APLICA</v>
      </c>
      <c r="PB113" s="6"/>
      <c r="PC113" s="6"/>
      <c r="PD113" s="6"/>
      <c r="PE113" s="6"/>
      <c r="PF113" s="5" t="str">
        <f t="shared" si="348"/>
        <v>NO APLICA</v>
      </c>
      <c r="PG113" s="6"/>
      <c r="PH113" s="6"/>
      <c r="PI113" s="6"/>
      <c r="PJ113" s="6"/>
      <c r="PK113" s="5" t="str">
        <f t="shared" si="349"/>
        <v>NO APLICA</v>
      </c>
      <c r="PL113" s="5"/>
      <c r="PM113" s="6"/>
      <c r="PN113" s="4"/>
      <c r="PO113" s="8"/>
      <c r="PP113" s="5" t="str">
        <f t="shared" si="350"/>
        <v>NO APLICA</v>
      </c>
      <c r="PQ113" s="6"/>
      <c r="PR113" s="6"/>
      <c r="PS113" s="6"/>
      <c r="PT113" s="6"/>
      <c r="PU113" s="5" t="str">
        <f t="shared" si="351"/>
        <v>NO APLICA</v>
      </c>
      <c r="PV113" s="5"/>
      <c r="PW113" s="6"/>
      <c r="PX113" s="6"/>
      <c r="PY113" s="6"/>
      <c r="PZ113" s="5" t="str">
        <f t="shared" si="352"/>
        <v>NO APLICA</v>
      </c>
    </row>
    <row r="114" spans="1:442" ht="15.6" hidden="1" thickTop="1" thickBot="1" x14ac:dyDescent="0.35">
      <c r="A114" s="26">
        <v>111</v>
      </c>
      <c r="B114" s="27">
        <v>820</v>
      </c>
      <c r="C114" s="28" t="s">
        <v>383</v>
      </c>
      <c r="D114" s="29" t="s">
        <v>68</v>
      </c>
      <c r="E114" s="30" t="s">
        <v>192</v>
      </c>
      <c r="F114" s="5"/>
      <c r="G114" s="6"/>
      <c r="H114" s="4"/>
      <c r="I114" s="8"/>
      <c r="J114" s="5" t="str">
        <f t="shared" si="242"/>
        <v>NO APLICA</v>
      </c>
      <c r="K114" s="5"/>
      <c r="L114" s="6"/>
      <c r="M114" s="6"/>
      <c r="N114" s="8"/>
      <c r="O114" s="5" t="str">
        <f t="shared" si="243"/>
        <v>NO APLICA</v>
      </c>
      <c r="P114" s="6"/>
      <c r="Q114" s="6"/>
      <c r="R114" s="4"/>
      <c r="S114" s="8"/>
      <c r="T114" s="5" t="str">
        <f t="shared" si="353"/>
        <v>NO APLICA</v>
      </c>
      <c r="U114" s="5"/>
      <c r="V114" s="2" t="s">
        <v>384</v>
      </c>
      <c r="W114" s="4">
        <v>44829</v>
      </c>
      <c r="X114" s="4">
        <f t="shared" si="410"/>
        <v>46655</v>
      </c>
      <c r="Y114" s="8">
        <f t="shared" ca="1" si="411"/>
        <v>510</v>
      </c>
      <c r="Z114" s="5" t="str">
        <f t="shared" ca="1" si="412"/>
        <v>VIGENTE</v>
      </c>
      <c r="AA114" s="5"/>
      <c r="AB114" s="2" t="s">
        <v>385</v>
      </c>
      <c r="AC114" s="4">
        <v>44824</v>
      </c>
      <c r="AD114" s="4">
        <f t="shared" si="413"/>
        <v>46650</v>
      </c>
      <c r="AE114" s="8">
        <f t="shared" ca="1" si="414"/>
        <v>505</v>
      </c>
      <c r="AF114" s="5" t="str">
        <f t="shared" ca="1" si="247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8"/>
        <v>173</v>
      </c>
      <c r="AK114" s="5" t="str">
        <f t="shared" ca="1" si="408"/>
        <v>VIGENTE</v>
      </c>
      <c r="AL114" s="3"/>
      <c r="AM114" s="4">
        <v>45903</v>
      </c>
      <c r="AN114" s="4">
        <f t="shared" si="415"/>
        <v>46633</v>
      </c>
      <c r="AO114" s="8">
        <f t="shared" ca="1" si="249"/>
        <v>488</v>
      </c>
      <c r="AP114" s="5" t="str">
        <f t="shared" ca="1" si="250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1"/>
        <v>574</v>
      </c>
      <c r="AU114" s="5" t="str">
        <f t="shared" ca="1" si="252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3"/>
        <v>557</v>
      </c>
      <c r="AZ114" s="5" t="str">
        <f t="shared" ca="1" si="254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5"/>
        <v>453</v>
      </c>
      <c r="BE114" s="5" t="str">
        <f t="shared" ca="1" si="256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7"/>
        <v>572</v>
      </c>
      <c r="BJ114" s="5" t="str">
        <f t="shared" ca="1" si="258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9"/>
        <v>636</v>
      </c>
      <c r="BO114" s="5" t="str">
        <f t="shared" ca="1" si="260"/>
        <v>VIGENTE</v>
      </c>
      <c r="BP114" s="3"/>
      <c r="BQ114" s="39">
        <v>46069</v>
      </c>
      <c r="BR114" s="4">
        <f>DATE(YEAR(BQ114)+2,MONTH(BQ114),DAY(BQ114))</f>
        <v>46799</v>
      </c>
      <c r="BS114" s="8">
        <f t="shared" ca="1" si="261"/>
        <v>654</v>
      </c>
      <c r="BT114" s="5" t="str">
        <f t="shared" ca="1" si="262"/>
        <v>VIGENTE</v>
      </c>
      <c r="BU114" s="3"/>
      <c r="BV114" s="4">
        <v>46116</v>
      </c>
      <c r="BW114" s="4">
        <f>DATE(YEAR(BV114)+2,MONTH(BV114),DAY(BV114)-1)</f>
        <v>46846</v>
      </c>
      <c r="BX114" s="8">
        <f t="shared" ca="1" si="263"/>
        <v>701</v>
      </c>
      <c r="BY114" s="5" t="str">
        <f t="shared" ca="1" si="264"/>
        <v>VIGENTE</v>
      </c>
      <c r="BZ114" s="3"/>
      <c r="CA114" s="4">
        <v>45944</v>
      </c>
      <c r="CB114" s="4">
        <f t="shared" si="423"/>
        <v>46674</v>
      </c>
      <c r="CC114" s="8">
        <f t="shared" ca="1" si="265"/>
        <v>529</v>
      </c>
      <c r="CD114" s="5" t="str">
        <f t="shared" ca="1" si="266"/>
        <v>VIGENTE</v>
      </c>
      <c r="CE114" s="6"/>
      <c r="CF114" s="4">
        <v>45227</v>
      </c>
      <c r="CG114" s="4">
        <f t="shared" si="416"/>
        <v>46688</v>
      </c>
      <c r="CH114" s="8">
        <f t="shared" ca="1" si="417"/>
        <v>543</v>
      </c>
      <c r="CI114" s="5" t="str">
        <f t="shared" ca="1" si="418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0"/>
        <v>603</v>
      </c>
      <c r="CN114" s="5" t="str">
        <f t="shared" ca="1" si="271"/>
        <v>VIGENTE</v>
      </c>
      <c r="CO114" s="3"/>
      <c r="CP114" s="39">
        <v>45517</v>
      </c>
      <c r="CQ114" s="4">
        <f>DATE(YEAR(CP114)+2,MONTH(CP114),DAY(CP114)-1)</f>
        <v>46246</v>
      </c>
      <c r="CR114" s="8">
        <f t="shared" ca="1" si="272"/>
        <v>101</v>
      </c>
      <c r="CS114" s="5" t="str">
        <f t="shared" ca="1" si="273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4"/>
        <v>215</v>
      </c>
      <c r="CX114" s="5" t="str">
        <f t="shared" ca="1" si="275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6"/>
        <v>245</v>
      </c>
      <c r="DC114" s="5" t="str">
        <f t="shared" ca="1" si="277"/>
        <v>VIGENTE</v>
      </c>
      <c r="DD114" s="3"/>
      <c r="DE114" s="39">
        <v>45689</v>
      </c>
      <c r="DF114" s="4">
        <f>DATE(YEAR(DE114)+2,MONTH(DE114),DAY(DE114)-1)</f>
        <v>46418</v>
      </c>
      <c r="DG114" s="8">
        <f t="shared" ca="1" si="278"/>
        <v>273</v>
      </c>
      <c r="DH114" s="5" t="str">
        <f t="shared" ca="1" si="279"/>
        <v>VIGENTE</v>
      </c>
      <c r="DI114" s="3"/>
      <c r="DJ114" s="39">
        <v>45899</v>
      </c>
      <c r="DK114" s="4">
        <f>DATE(YEAR(DJ114)+2,MONTH(DJ114),DAY(DJ114))</f>
        <v>46629</v>
      </c>
      <c r="DL114" s="8">
        <f t="shared" ca="1" si="280"/>
        <v>484</v>
      </c>
      <c r="DM114" s="5" t="str">
        <f t="shared" ca="1" si="281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2"/>
        <v>593</v>
      </c>
      <c r="DR114" s="5" t="str">
        <f t="shared" ca="1" si="283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4"/>
        <v>503</v>
      </c>
      <c r="DW114" s="5" t="str">
        <f t="shared" ca="1" si="285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6"/>
        <v>605</v>
      </c>
      <c r="EB114" s="5" t="str">
        <f t="shared" ca="1" si="287"/>
        <v>VIGENTE</v>
      </c>
      <c r="EC114" s="3"/>
      <c r="ED114" s="39">
        <v>45674</v>
      </c>
      <c r="EE114" s="4">
        <f>DATE(YEAR(ED114)+2,MONTH(ED114),DAY(ED114)-1)</f>
        <v>46403</v>
      </c>
      <c r="EF114" s="8">
        <f t="shared" ca="1" si="288"/>
        <v>258</v>
      </c>
      <c r="EG114" s="5" t="str">
        <f t="shared" ca="1" si="289"/>
        <v>VIGENTE</v>
      </c>
      <c r="EH114" s="3"/>
      <c r="EI114" s="4">
        <v>46115</v>
      </c>
      <c r="EJ114" s="4">
        <f t="shared" si="355"/>
        <v>46480</v>
      </c>
      <c r="EK114" s="8">
        <f t="shared" ca="1" si="290"/>
        <v>335</v>
      </c>
      <c r="EL114" s="5" t="str">
        <f t="shared" ca="1" si="291"/>
        <v>VIGENTE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2"/>
        <v>255</v>
      </c>
      <c r="EQ114" s="5" t="str">
        <f t="shared" ca="1" si="293"/>
        <v>VIGENTE</v>
      </c>
      <c r="ER114" s="3"/>
      <c r="ES114" s="39">
        <v>45677</v>
      </c>
      <c r="ET114" s="4">
        <f>DATE(YEAR(ES114)+2,MONTH(ES114),DAY(ES114)-1)</f>
        <v>46406</v>
      </c>
      <c r="EU114" s="8">
        <f t="shared" ca="1" si="294"/>
        <v>261</v>
      </c>
      <c r="EV114" s="5" t="str">
        <f t="shared" ca="1" si="295"/>
        <v>VIGENTE</v>
      </c>
      <c r="EW114" s="3"/>
      <c r="EX114" s="4">
        <v>45964</v>
      </c>
      <c r="EY114" s="4">
        <f t="shared" si="424"/>
        <v>46694</v>
      </c>
      <c r="EZ114" s="8">
        <f t="shared" ca="1" si="296"/>
        <v>549</v>
      </c>
      <c r="FA114" s="5" t="str">
        <f t="shared" ca="1" si="297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8"/>
        <v>573</v>
      </c>
      <c r="FF114" s="5" t="str">
        <f t="shared" ca="1" si="299"/>
        <v>VIGENTE</v>
      </c>
      <c r="FG114" s="3"/>
      <c r="FH114" s="4">
        <v>45919</v>
      </c>
      <c r="FI114" s="4">
        <f t="shared" si="425"/>
        <v>46649</v>
      </c>
      <c r="FJ114" s="8">
        <f t="shared" ca="1" si="300"/>
        <v>504</v>
      </c>
      <c r="FK114" s="5" t="str">
        <f t="shared" ca="1" si="301"/>
        <v>VIGENTE</v>
      </c>
      <c r="FL114" s="3"/>
      <c r="FM114" s="39">
        <v>45670</v>
      </c>
      <c r="FN114" s="4">
        <f>DATE(YEAR(FM114)+2,MONTH(FM114),DAY(FM114)-1)</f>
        <v>46399</v>
      </c>
      <c r="FO114" s="8">
        <f t="shared" ca="1" si="302"/>
        <v>254</v>
      </c>
      <c r="FP114" s="5" t="str">
        <f t="shared" ca="1" si="303"/>
        <v>VIGENTE</v>
      </c>
      <c r="FQ114" s="3"/>
      <c r="FR114" s="39">
        <v>45586</v>
      </c>
      <c r="FS114" s="4">
        <f>DATE(YEAR(FR114)+2,MONTH(FR114),DAY(FR114)-1)</f>
        <v>46315</v>
      </c>
      <c r="FT114" s="8">
        <f t="shared" ca="1" si="304"/>
        <v>170</v>
      </c>
      <c r="FU114" s="5" t="str">
        <f t="shared" ca="1" si="305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6"/>
        <v>158</v>
      </c>
      <c r="FZ114" s="5" t="str">
        <f t="shared" ca="1" si="307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8"/>
        <v>144</v>
      </c>
      <c r="GE114" s="5" t="str">
        <f t="shared" ca="1" si="309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0"/>
        <v>148</v>
      </c>
      <c r="GJ114" s="5" t="str">
        <f t="shared" ca="1" si="311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2"/>
        <v>530</v>
      </c>
      <c r="GO114" s="5" t="str">
        <f t="shared" ca="1" si="313"/>
        <v>VIGENTE</v>
      </c>
      <c r="GP114" s="4"/>
      <c r="GQ114" s="4">
        <v>44963</v>
      </c>
      <c r="GR114" s="4">
        <f t="shared" si="314"/>
        <v>46789</v>
      </c>
      <c r="GS114" s="8">
        <f t="shared" ca="1" si="405"/>
        <v>644</v>
      </c>
      <c r="GT114" s="5" t="str">
        <f t="shared" ca="1" si="419"/>
        <v>VIGENTE</v>
      </c>
      <c r="GU114" s="3"/>
      <c r="GV114" s="4">
        <v>45245</v>
      </c>
      <c r="GW114" s="4">
        <f t="shared" si="316"/>
        <v>47072</v>
      </c>
      <c r="GX114" s="8">
        <f t="shared" ca="1" si="317"/>
        <v>927</v>
      </c>
      <c r="GY114" s="5" t="str">
        <f t="shared" ca="1" si="420"/>
        <v>VIGENTE</v>
      </c>
      <c r="GZ114" s="3"/>
      <c r="HA114" s="4">
        <v>45454</v>
      </c>
      <c r="HB114" s="4">
        <f t="shared" si="319"/>
        <v>47280</v>
      </c>
      <c r="HC114" s="8">
        <f t="shared" ca="1" si="320"/>
        <v>1135</v>
      </c>
      <c r="HD114" s="5" t="str">
        <f t="shared" ca="1" si="421"/>
        <v>VIGENTE</v>
      </c>
      <c r="HE114" s="6"/>
      <c r="HF114" s="4">
        <v>44879</v>
      </c>
      <c r="HG114" s="4">
        <f t="shared" si="406"/>
        <v>46705</v>
      </c>
      <c r="HH114" s="8">
        <f t="shared" ca="1" si="407"/>
        <v>560</v>
      </c>
      <c r="HI114" s="5" t="str">
        <f t="shared" ca="1" si="422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9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2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3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4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5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6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7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8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9"/>
        <v>VIGENTE</v>
      </c>
      <c r="JC114" s="3" t="s">
        <v>780</v>
      </c>
      <c r="JD114" s="3"/>
      <c r="JE114" s="4"/>
      <c r="JF114" s="8"/>
      <c r="JG114" s="5"/>
      <c r="JH114" s="3" t="s">
        <v>780</v>
      </c>
      <c r="JI114" s="6"/>
      <c r="JJ114" s="6"/>
      <c r="JK114" s="6"/>
      <c r="JL114" s="5"/>
      <c r="JM114" s="6" t="s">
        <v>780</v>
      </c>
      <c r="JN114" s="6"/>
      <c r="JO114" s="6"/>
      <c r="JP114" s="6"/>
      <c r="JQ114" s="5"/>
      <c r="JR114" s="6" t="s">
        <v>780</v>
      </c>
      <c r="JS114" s="6"/>
      <c r="JT114" s="6"/>
      <c r="JU114" s="6"/>
      <c r="JV114" s="5"/>
      <c r="JW114" s="6" t="s">
        <v>780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30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6"/>
        <v>VIGENTE</v>
      </c>
      <c r="KL114" s="5"/>
      <c r="KM114" s="2"/>
      <c r="KN114" s="4"/>
      <c r="KO114" s="8"/>
      <c r="KP114" s="5" t="str">
        <f t="shared" si="331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7"/>
        <v>VIGENTE</v>
      </c>
      <c r="KV114" s="2"/>
      <c r="KW114" s="6"/>
      <c r="KX114" s="4"/>
      <c r="KY114" s="8"/>
      <c r="KZ114" s="5" t="str">
        <f t="shared" si="366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8"/>
        <v>VIGENTE</v>
      </c>
      <c r="LF114" s="6"/>
      <c r="LG114" s="6"/>
      <c r="LH114" s="4"/>
      <c r="LI114" s="8"/>
      <c r="LJ114" s="5" t="str">
        <f t="shared" si="332"/>
        <v>NO APLICA</v>
      </c>
      <c r="LK114" s="5"/>
      <c r="LL114" s="5"/>
      <c r="LM114" s="5"/>
      <c r="LN114" s="5"/>
      <c r="LO114" s="5" t="str">
        <f t="shared" si="367"/>
        <v>NO APLICA</v>
      </c>
      <c r="LP114" s="2"/>
      <c r="LQ114" s="6"/>
      <c r="LR114" s="4"/>
      <c r="LS114" s="8"/>
      <c r="LT114" s="5" t="str">
        <f t="shared" si="359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60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1"/>
        <v>VIGENTE</v>
      </c>
      <c r="ME114" s="2"/>
      <c r="MF114" s="2"/>
      <c r="MG114" s="4"/>
      <c r="MH114" s="8"/>
      <c r="MI114" s="5" t="str">
        <f t="shared" si="333"/>
        <v>NO APLICA</v>
      </c>
      <c r="MJ114" s="2"/>
      <c r="MK114" s="2"/>
      <c r="ML114" s="4"/>
      <c r="MM114" s="8"/>
      <c r="MN114" s="5" t="str">
        <f t="shared" si="334"/>
        <v>NO APLICA</v>
      </c>
      <c r="MO114" s="5"/>
      <c r="MP114" s="2"/>
      <c r="MQ114" s="4"/>
      <c r="MR114" s="8"/>
      <c r="MS114" s="5" t="str">
        <f t="shared" si="335"/>
        <v>NO APLICA</v>
      </c>
      <c r="MT114" s="5"/>
      <c r="MU114" s="2"/>
      <c r="MV114" s="4"/>
      <c r="MW114" s="2"/>
      <c r="MX114" s="5" t="str">
        <f t="shared" si="336"/>
        <v>NO APLICA</v>
      </c>
      <c r="MY114" s="2"/>
      <c r="MZ114" s="6"/>
      <c r="NA114" s="4"/>
      <c r="NB114" s="8"/>
      <c r="NC114" s="5" t="str">
        <f t="shared" si="337"/>
        <v>NO APLICA</v>
      </c>
      <c r="ND114" s="2"/>
      <c r="NE114" s="6"/>
      <c r="NF114" s="4"/>
      <c r="NG114" s="8"/>
      <c r="NH114" s="5" t="str">
        <f t="shared" si="338"/>
        <v>NO APLICA</v>
      </c>
      <c r="NI114" s="2"/>
      <c r="NJ114" s="6"/>
      <c r="NK114" s="4"/>
      <c r="NL114" s="8"/>
      <c r="NM114" s="5" t="str">
        <f t="shared" si="339"/>
        <v>NO APLICA</v>
      </c>
      <c r="NN114" s="2"/>
      <c r="NO114" s="2"/>
      <c r="NP114" s="4"/>
      <c r="NQ114" s="2"/>
      <c r="NR114" s="5" t="str">
        <f t="shared" si="340"/>
        <v>NO APLICA</v>
      </c>
      <c r="NS114" s="2"/>
      <c r="NT114" s="2"/>
      <c r="NU114" s="2"/>
      <c r="NV114" s="2"/>
      <c r="NW114" s="5" t="str">
        <f t="shared" si="341"/>
        <v>NO APLICA</v>
      </c>
      <c r="NX114" s="6"/>
      <c r="NY114" s="6"/>
      <c r="NZ114" s="4"/>
      <c r="OA114" s="8"/>
      <c r="OB114" s="5" t="str">
        <f t="shared" si="342"/>
        <v>NO APLICA</v>
      </c>
      <c r="OC114" s="6"/>
      <c r="OD114" s="6"/>
      <c r="OE114" s="6"/>
      <c r="OF114" s="6"/>
      <c r="OG114" s="5" t="str">
        <f t="shared" si="343"/>
        <v>NO APLICA</v>
      </c>
      <c r="OH114" s="6"/>
      <c r="OI114" s="6"/>
      <c r="OJ114" s="4"/>
      <c r="OK114" s="8"/>
      <c r="OL114" s="5" t="str">
        <f t="shared" si="344"/>
        <v>NO APLICA</v>
      </c>
      <c r="OM114" s="6"/>
      <c r="ON114" s="6"/>
      <c r="OO114" s="6"/>
      <c r="OP114" s="6"/>
      <c r="OQ114" s="5" t="str">
        <f t="shared" si="345"/>
        <v>NO APLICA</v>
      </c>
      <c r="OR114" s="6"/>
      <c r="OS114" s="6"/>
      <c r="OT114" s="6"/>
      <c r="OU114" s="6"/>
      <c r="OV114" s="5" t="str">
        <f t="shared" si="346"/>
        <v>NO APLICA</v>
      </c>
      <c r="OW114" s="6"/>
      <c r="OX114" s="6"/>
      <c r="OY114" s="6"/>
      <c r="OZ114" s="6"/>
      <c r="PA114" s="5" t="str">
        <f t="shared" si="347"/>
        <v>NO APLICA</v>
      </c>
      <c r="PB114" s="6"/>
      <c r="PC114" s="6"/>
      <c r="PD114" s="6"/>
      <c r="PE114" s="6"/>
      <c r="PF114" s="5" t="str">
        <f t="shared" si="348"/>
        <v>NO APLICA</v>
      </c>
      <c r="PG114" s="6"/>
      <c r="PH114" s="6"/>
      <c r="PI114" s="6"/>
      <c r="PJ114" s="6"/>
      <c r="PK114" s="5" t="str">
        <f t="shared" si="349"/>
        <v>NO APLICA</v>
      </c>
      <c r="PL114" s="5"/>
      <c r="PM114" s="6"/>
      <c r="PN114" s="4"/>
      <c r="PO114" s="8"/>
      <c r="PP114" s="5" t="str">
        <f t="shared" si="350"/>
        <v>NO APLICA</v>
      </c>
      <c r="PQ114" s="6"/>
      <c r="PR114" s="6"/>
      <c r="PS114" s="6"/>
      <c r="PT114" s="6"/>
      <c r="PU114" s="5" t="str">
        <f t="shared" si="351"/>
        <v>NO APLICA</v>
      </c>
      <c r="PV114" s="5"/>
      <c r="PW114" s="6"/>
      <c r="PX114" s="6"/>
      <c r="PY114" s="6"/>
      <c r="PZ114" s="5" t="str">
        <f t="shared" si="352"/>
        <v>NO APLICA</v>
      </c>
    </row>
    <row r="115" spans="1:442" ht="15.6" hidden="1" thickTop="1" thickBot="1" x14ac:dyDescent="0.35">
      <c r="A115" s="26">
        <v>112</v>
      </c>
      <c r="B115" s="31">
        <v>1708</v>
      </c>
      <c r="C115" s="28" t="s">
        <v>386</v>
      </c>
      <c r="D115" s="29" t="s">
        <v>64</v>
      </c>
      <c r="E115" s="30" t="s">
        <v>81</v>
      </c>
      <c r="F115" s="5"/>
      <c r="G115" s="6"/>
      <c r="H115" s="4"/>
      <c r="I115" s="8"/>
      <c r="J115" s="5" t="str">
        <f t="shared" si="242"/>
        <v>NO APLICA</v>
      </c>
      <c r="K115" s="2"/>
      <c r="L115" s="6"/>
      <c r="M115" s="6"/>
      <c r="N115" s="8"/>
      <c r="O115" s="5" t="str">
        <f t="shared" si="243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3"/>
        <v>VIGENTE</v>
      </c>
      <c r="U115" s="5"/>
      <c r="V115" s="2" t="s">
        <v>387</v>
      </c>
      <c r="W115" s="4">
        <v>44515</v>
      </c>
      <c r="X115" s="4">
        <f t="shared" si="410"/>
        <v>46341</v>
      </c>
      <c r="Y115" s="8">
        <f t="shared" ca="1" si="411"/>
        <v>196</v>
      </c>
      <c r="Z115" s="5" t="str">
        <f t="shared" ca="1" si="412"/>
        <v>VIGENTE</v>
      </c>
      <c r="AA115" s="5"/>
      <c r="AB115" s="2" t="s">
        <v>388</v>
      </c>
      <c r="AC115" s="4">
        <v>45233</v>
      </c>
      <c r="AD115" s="4">
        <f t="shared" si="413"/>
        <v>47060</v>
      </c>
      <c r="AE115" s="8">
        <f t="shared" ca="1" si="414"/>
        <v>915</v>
      </c>
      <c r="AF115" s="5" t="str">
        <f t="shared" ca="1" si="247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8"/>
        <v>521</v>
      </c>
      <c r="AK115" s="5" t="str">
        <f t="shared" ca="1" si="408"/>
        <v>VIGENTE</v>
      </c>
      <c r="AL115" s="2"/>
      <c r="AM115" s="4">
        <v>45937</v>
      </c>
      <c r="AN115" s="4">
        <f t="shared" si="415"/>
        <v>46667</v>
      </c>
      <c r="AO115" s="8">
        <f t="shared" ca="1" si="249"/>
        <v>522</v>
      </c>
      <c r="AP115" s="5" t="str">
        <f t="shared" ca="1" si="250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1"/>
        <v>489</v>
      </c>
      <c r="AU115" s="5" t="str">
        <f t="shared" ca="1" si="252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3"/>
        <v>512</v>
      </c>
      <c r="AZ115" s="5" t="str">
        <f t="shared" ca="1" si="254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5"/>
        <v>626</v>
      </c>
      <c r="BE115" s="5" t="str">
        <f t="shared" ca="1" si="256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7"/>
        <v>582</v>
      </c>
      <c r="BJ115" s="5" t="str">
        <f t="shared" ca="1" si="258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9"/>
        <v>591</v>
      </c>
      <c r="BO115" s="5" t="str">
        <f t="shared" ca="1" si="260"/>
        <v>VIGENTE</v>
      </c>
      <c r="BP115" s="4"/>
      <c r="BQ115" s="39">
        <v>45981</v>
      </c>
      <c r="BR115" s="4">
        <f>DATE(YEAR(BQ115)+2,MONTH(BQ115),DAY(BQ115))</f>
        <v>46711</v>
      </c>
      <c r="BS115" s="8">
        <f t="shared" ca="1" si="261"/>
        <v>566</v>
      </c>
      <c r="BT115" s="5" t="str">
        <f t="shared" ca="1" si="262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3"/>
        <v>616</v>
      </c>
      <c r="BY115" s="5" t="str">
        <f t="shared" ca="1" si="264"/>
        <v>VIGENTE</v>
      </c>
      <c r="BZ115" s="2"/>
      <c r="CA115" s="4">
        <v>45986</v>
      </c>
      <c r="CB115" s="4">
        <f t="shared" si="423"/>
        <v>46716</v>
      </c>
      <c r="CC115" s="8">
        <f t="shared" ca="1" si="265"/>
        <v>571</v>
      </c>
      <c r="CD115" s="5" t="str">
        <f t="shared" ca="1" si="266"/>
        <v>VIGENTE</v>
      </c>
      <c r="CE115" s="6"/>
      <c r="CF115" s="4">
        <v>45565</v>
      </c>
      <c r="CG115" s="4">
        <f t="shared" si="416"/>
        <v>47026</v>
      </c>
      <c r="CH115" s="8">
        <f t="shared" ca="1" si="417"/>
        <v>881</v>
      </c>
      <c r="CI115" s="5" t="str">
        <f t="shared" ca="1" si="418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0"/>
        <v>603</v>
      </c>
      <c r="CN115" s="5" t="str">
        <f t="shared" ca="1" si="271"/>
        <v>VIGENTE</v>
      </c>
      <c r="CO115" s="4"/>
      <c r="CP115" s="39">
        <v>45979</v>
      </c>
      <c r="CQ115" s="4">
        <f>DATE(YEAR(CP115)+2,MONTH(CP115),DAY(CP115))</f>
        <v>46709</v>
      </c>
      <c r="CR115" s="8">
        <f t="shared" ca="1" si="272"/>
        <v>564</v>
      </c>
      <c r="CS115" s="5" t="str">
        <f t="shared" ca="1" si="273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4"/>
        <v>490</v>
      </c>
      <c r="CX115" s="5" t="str">
        <f t="shared" ca="1" si="275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6"/>
        <v>585</v>
      </c>
      <c r="DC115" s="5" t="str">
        <f t="shared" ca="1" si="277"/>
        <v>VIGENTE</v>
      </c>
      <c r="DD115" s="3"/>
      <c r="DE115" s="39">
        <v>45996</v>
      </c>
      <c r="DF115" s="4">
        <f>DATE(YEAR(DE115)+2,MONTH(DE115),DAY(DE115))</f>
        <v>46726</v>
      </c>
      <c r="DG115" s="8">
        <f t="shared" ca="1" si="278"/>
        <v>581</v>
      </c>
      <c r="DH115" s="5" t="str">
        <f t="shared" ca="1" si="279"/>
        <v>VIGENTE</v>
      </c>
      <c r="DI115" s="4"/>
      <c r="DJ115" s="39">
        <v>45975</v>
      </c>
      <c r="DK115" s="4">
        <f>DATE(YEAR(DJ115)+2,MONTH(DJ115),DAY(DJ115))</f>
        <v>46705</v>
      </c>
      <c r="DL115" s="8">
        <f t="shared" ca="1" si="280"/>
        <v>560</v>
      </c>
      <c r="DM115" s="5" t="str">
        <f t="shared" ca="1" si="281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2"/>
        <v>592</v>
      </c>
      <c r="DR115" s="5" t="str">
        <f t="shared" ca="1" si="283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4"/>
        <v>588</v>
      </c>
      <c r="DW115" s="5" t="str">
        <f t="shared" ca="1" si="285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6"/>
        <v>617</v>
      </c>
      <c r="EB115" s="5" t="str">
        <f t="shared" ca="1" si="287"/>
        <v>VIGENTE</v>
      </c>
      <c r="EC115" s="4"/>
      <c r="ED115" s="39">
        <v>45994</v>
      </c>
      <c r="EE115" s="4">
        <f>DATE(YEAR(ED115)+2,MONTH(ED115),DAY(ED115))</f>
        <v>46724</v>
      </c>
      <c r="EF115" s="8">
        <f t="shared" ca="1" si="288"/>
        <v>579</v>
      </c>
      <c r="EG115" s="5" t="str">
        <f t="shared" ca="1" si="289"/>
        <v>VIGENTE</v>
      </c>
      <c r="EH115" s="3"/>
      <c r="EI115" s="3">
        <v>46015</v>
      </c>
      <c r="EJ115" s="4">
        <f t="shared" si="355"/>
        <v>46380</v>
      </c>
      <c r="EK115" s="8">
        <f t="shared" ca="1" si="290"/>
        <v>235</v>
      </c>
      <c r="EL115" s="5" t="str">
        <f t="shared" ca="1" si="291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2"/>
        <v>568</v>
      </c>
      <c r="EQ115" s="5" t="str">
        <f t="shared" ca="1" si="293"/>
        <v>VIGENTE</v>
      </c>
      <c r="ER115" s="2"/>
      <c r="ES115" s="39">
        <v>45999</v>
      </c>
      <c r="ET115" s="4">
        <f>DATE(YEAR(ES115)+2,MONTH(ES115),DAY(ES115))</f>
        <v>46729</v>
      </c>
      <c r="EU115" s="8">
        <f t="shared" ca="1" si="294"/>
        <v>584</v>
      </c>
      <c r="EV115" s="5" t="str">
        <f t="shared" ca="1" si="295"/>
        <v>VIGENTE</v>
      </c>
      <c r="EW115" s="3"/>
      <c r="EX115" s="4">
        <v>46037</v>
      </c>
      <c r="EY115" s="4">
        <f t="shared" si="424"/>
        <v>46767</v>
      </c>
      <c r="EZ115" s="8">
        <f t="shared" ca="1" si="296"/>
        <v>622</v>
      </c>
      <c r="FA115" s="5" t="str">
        <f t="shared" ca="1" si="297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8"/>
        <v>573</v>
      </c>
      <c r="FF115" s="5" t="str">
        <f t="shared" ca="1" si="299"/>
        <v>VIGENTE</v>
      </c>
      <c r="FG115" s="3"/>
      <c r="FH115" s="4">
        <v>45962</v>
      </c>
      <c r="FI115" s="4">
        <f t="shared" si="425"/>
        <v>46692</v>
      </c>
      <c r="FJ115" s="8">
        <f t="shared" ca="1" si="300"/>
        <v>547</v>
      </c>
      <c r="FK115" s="5" t="str">
        <f t="shared" ca="1" si="301"/>
        <v>VIGENTE</v>
      </c>
      <c r="FL115" s="4"/>
      <c r="FM115" s="39">
        <v>46039</v>
      </c>
      <c r="FN115" s="4">
        <f>DATE(YEAR(FM115)+2,MONTH(FM115),DAY(FM115))</f>
        <v>46769</v>
      </c>
      <c r="FO115" s="8">
        <f t="shared" ca="1" si="302"/>
        <v>624</v>
      </c>
      <c r="FP115" s="5" t="str">
        <f t="shared" ca="1" si="303"/>
        <v>VIGENTE</v>
      </c>
      <c r="FQ115" s="4"/>
      <c r="FR115" s="39">
        <v>46034</v>
      </c>
      <c r="FS115" s="4">
        <f>DATE(YEAR(FR115)+2,MONTH(FR115),DAY(FR115))</f>
        <v>46764</v>
      </c>
      <c r="FT115" s="8">
        <f t="shared" ca="1" si="304"/>
        <v>619</v>
      </c>
      <c r="FU115" s="5" t="str">
        <f t="shared" ca="1" si="305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6"/>
        <v>578</v>
      </c>
      <c r="FZ115" s="5" t="str">
        <f t="shared" ca="1" si="307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8"/>
        <v>510</v>
      </c>
      <c r="GE115" s="5" t="str">
        <f t="shared" ca="1" si="309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0"/>
        <v>545</v>
      </c>
      <c r="GJ115" s="5" t="str">
        <f t="shared" ca="1" si="311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2"/>
        <v>83</v>
      </c>
      <c r="GO115" s="5" t="str">
        <f t="shared" ca="1" si="313"/>
        <v>VIGENTE</v>
      </c>
      <c r="GP115" s="4"/>
      <c r="GQ115" s="4">
        <v>45299</v>
      </c>
      <c r="GR115" s="4">
        <f t="shared" si="314"/>
        <v>47126</v>
      </c>
      <c r="GS115" s="8">
        <f t="shared" ca="1" si="405"/>
        <v>981</v>
      </c>
      <c r="GT115" s="5" t="str">
        <f t="shared" ca="1" si="419"/>
        <v>VIGENTE</v>
      </c>
      <c r="GU115" s="3"/>
      <c r="GV115" s="4">
        <v>45329</v>
      </c>
      <c r="GW115" s="4">
        <f t="shared" si="316"/>
        <v>47156</v>
      </c>
      <c r="GX115" s="8">
        <f t="shared" ca="1" si="317"/>
        <v>1011</v>
      </c>
      <c r="GY115" s="5" t="str">
        <f t="shared" ca="1" si="420"/>
        <v>VIGENTE</v>
      </c>
      <c r="GZ115" s="2"/>
      <c r="HA115" s="4">
        <v>45343</v>
      </c>
      <c r="HB115" s="4">
        <f t="shared" si="319"/>
        <v>47170</v>
      </c>
      <c r="HC115" s="8">
        <f t="shared" ca="1" si="320"/>
        <v>1025</v>
      </c>
      <c r="HD115" s="5" t="str">
        <f t="shared" ca="1" si="421"/>
        <v>VIGENTE</v>
      </c>
      <c r="HE115" s="6"/>
      <c r="HF115" s="4">
        <v>45317</v>
      </c>
      <c r="HG115" s="4">
        <f t="shared" si="406"/>
        <v>47144</v>
      </c>
      <c r="HH115" s="8">
        <f t="shared" ca="1" si="407"/>
        <v>999</v>
      </c>
      <c r="HI115" s="5" t="str">
        <f t="shared" ca="1" si="422"/>
        <v>VIGENTE</v>
      </c>
      <c r="HJ115" s="2"/>
      <c r="HK115" s="6"/>
      <c r="HL115" s="4"/>
      <c r="HM115" s="8"/>
      <c r="HN115" s="5" t="str">
        <f t="shared" si="409"/>
        <v>NO APLICA</v>
      </c>
      <c r="HO115" s="2"/>
      <c r="HP115" s="2"/>
      <c r="HQ115" s="4"/>
      <c r="HR115" s="2"/>
      <c r="HS115" s="5" t="str">
        <f t="shared" si="322"/>
        <v>NO APLICA</v>
      </c>
      <c r="HT115" s="2"/>
      <c r="HU115" s="6"/>
      <c r="HV115" s="4"/>
      <c r="HW115" s="8"/>
      <c r="HX115" s="5" t="str">
        <f t="shared" si="323"/>
        <v>NO APLICA</v>
      </c>
      <c r="HY115" s="2"/>
      <c r="HZ115" s="6"/>
      <c r="IA115" s="4"/>
      <c r="IB115" s="8"/>
      <c r="IC115" s="5" t="str">
        <f t="shared" si="324"/>
        <v>NO APLICA</v>
      </c>
      <c r="ID115" s="2"/>
      <c r="IE115" s="6"/>
      <c r="IF115" s="4"/>
      <c r="IG115" s="8"/>
      <c r="IH115" s="5" t="str">
        <f t="shared" si="325"/>
        <v>NO APLICA</v>
      </c>
      <c r="II115" s="6"/>
      <c r="IJ115" s="6"/>
      <c r="IK115" s="4"/>
      <c r="IL115" s="8"/>
      <c r="IM115" s="5" t="str">
        <f t="shared" si="326"/>
        <v>NO APLICA</v>
      </c>
      <c r="IN115" s="2"/>
      <c r="IO115" s="6"/>
      <c r="IP115" s="4"/>
      <c r="IQ115" s="8"/>
      <c r="IR115" s="5" t="str">
        <f t="shared" si="327"/>
        <v>NO APLICA</v>
      </c>
      <c r="IS115" s="2"/>
      <c r="IT115" s="6"/>
      <c r="IU115" s="4"/>
      <c r="IV115" s="8"/>
      <c r="IW115" s="5" t="str">
        <f t="shared" si="328"/>
        <v>NO APLICA</v>
      </c>
      <c r="IX115" s="2"/>
      <c r="IY115" s="6"/>
      <c r="IZ115" s="4"/>
      <c r="JA115" s="8"/>
      <c r="JB115" s="5" t="str">
        <f t="shared" si="329"/>
        <v>NO APLICA</v>
      </c>
      <c r="JC115" s="3" t="s">
        <v>780</v>
      </c>
      <c r="JD115" s="3"/>
      <c r="JE115" s="4"/>
      <c r="JF115" s="8"/>
      <c r="JG115" s="5"/>
      <c r="JH115" s="3" t="s">
        <v>780</v>
      </c>
      <c r="JI115" s="6"/>
      <c r="JJ115" s="6"/>
      <c r="JK115" s="6"/>
      <c r="JL115" s="5"/>
      <c r="JM115" s="6" t="s">
        <v>780</v>
      </c>
      <c r="JN115" s="6"/>
      <c r="JO115" s="6"/>
      <c r="JP115" s="6"/>
      <c r="JQ115" s="5"/>
      <c r="JR115" s="6" t="s">
        <v>780</v>
      </c>
      <c r="JS115" s="6"/>
      <c r="JT115" s="6"/>
      <c r="JU115" s="6"/>
      <c r="JV115" s="5"/>
      <c r="JW115" s="6" t="s">
        <v>780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30"/>
        <v>NO APLICA</v>
      </c>
      <c r="KG115" s="5"/>
      <c r="KH115" s="2"/>
      <c r="KI115" s="4"/>
      <c r="KJ115" s="8"/>
      <c r="KK115" s="5" t="str">
        <f t="shared" si="356"/>
        <v>NO APLICA</v>
      </c>
      <c r="KL115" s="5"/>
      <c r="KM115" s="2"/>
      <c r="KN115" s="4"/>
      <c r="KO115" s="8"/>
      <c r="KP115" s="5" t="str">
        <f t="shared" si="331"/>
        <v>NO APLICA</v>
      </c>
      <c r="KQ115" s="5"/>
      <c r="KR115" s="2"/>
      <c r="KS115" s="4"/>
      <c r="KT115" s="8"/>
      <c r="KU115" s="5" t="str">
        <f t="shared" si="357"/>
        <v>NO APLICA</v>
      </c>
      <c r="KV115" s="2"/>
      <c r="KW115" s="6"/>
      <c r="KX115" s="4"/>
      <c r="KY115" s="8"/>
      <c r="KZ115" s="5" t="str">
        <f t="shared" si="366"/>
        <v>NO APLICA</v>
      </c>
      <c r="LA115" s="5"/>
      <c r="LB115" s="6"/>
      <c r="LC115" s="4"/>
      <c r="LD115" s="8"/>
      <c r="LE115" s="5" t="str">
        <f t="shared" si="358"/>
        <v>NO APLICA</v>
      </c>
      <c r="LF115" s="6"/>
      <c r="LG115" s="6"/>
      <c r="LH115" s="4"/>
      <c r="LI115" s="8"/>
      <c r="LJ115" s="5" t="str">
        <f t="shared" si="332"/>
        <v>NO APLICA</v>
      </c>
      <c r="LK115" s="5"/>
      <c r="LL115" s="5"/>
      <c r="LM115" s="4"/>
      <c r="LN115" s="8"/>
      <c r="LO115" s="5" t="str">
        <f t="shared" si="367"/>
        <v>NO APLICA</v>
      </c>
      <c r="LP115" s="2"/>
      <c r="LQ115" s="6"/>
      <c r="LR115" s="4"/>
      <c r="LS115" s="8"/>
      <c r="LT115" s="5" t="str">
        <f t="shared" si="359"/>
        <v>NO APLICA</v>
      </c>
      <c r="LU115" s="6"/>
      <c r="LV115" s="6"/>
      <c r="LW115" s="4"/>
      <c r="LX115" s="8"/>
      <c r="LY115" s="5" t="str">
        <f t="shared" si="360"/>
        <v>NO APLICA</v>
      </c>
      <c r="LZ115" s="6"/>
      <c r="MA115" s="6"/>
      <c r="MB115" s="4"/>
      <c r="MC115" s="8"/>
      <c r="MD115" s="5" t="str">
        <f t="shared" si="361"/>
        <v>NO APLICA</v>
      </c>
      <c r="ME115" s="2"/>
      <c r="MF115" s="2"/>
      <c r="MG115" s="4"/>
      <c r="MH115" s="8"/>
      <c r="MI115" s="5" t="str">
        <f t="shared" si="333"/>
        <v>NO APLICA</v>
      </c>
      <c r="MJ115" s="2"/>
      <c r="MK115" s="2"/>
      <c r="ML115" s="4"/>
      <c r="MM115" s="8"/>
      <c r="MN115" s="5" t="str">
        <f t="shared" si="334"/>
        <v>NO APLICA</v>
      </c>
      <c r="MO115" s="5"/>
      <c r="MP115" s="2"/>
      <c r="MQ115" s="4"/>
      <c r="MR115" s="8"/>
      <c r="MS115" s="5" t="str">
        <f t="shared" si="335"/>
        <v>NO APLICA</v>
      </c>
      <c r="MT115" s="5"/>
      <c r="MU115" s="2"/>
      <c r="MV115" s="2"/>
      <c r="MW115" s="2"/>
      <c r="MX115" s="5" t="str">
        <f t="shared" si="336"/>
        <v>NO APLICA</v>
      </c>
      <c r="MY115" s="2"/>
      <c r="MZ115" s="6"/>
      <c r="NA115" s="4"/>
      <c r="NB115" s="8"/>
      <c r="NC115" s="5" t="str">
        <f t="shared" si="337"/>
        <v>NO APLICA</v>
      </c>
      <c r="ND115" s="2"/>
      <c r="NE115" s="6"/>
      <c r="NF115" s="4"/>
      <c r="NG115" s="8"/>
      <c r="NH115" s="5" t="str">
        <f t="shared" si="338"/>
        <v>NO APLICA</v>
      </c>
      <c r="NI115" s="2"/>
      <c r="NJ115" s="6"/>
      <c r="NK115" s="4"/>
      <c r="NL115" s="8"/>
      <c r="NM115" s="5" t="str">
        <f t="shared" si="339"/>
        <v>NO APLICA</v>
      </c>
      <c r="NN115" s="2"/>
      <c r="NO115" s="2"/>
      <c r="NP115" s="4"/>
      <c r="NQ115" s="8"/>
      <c r="NR115" s="5" t="str">
        <f t="shared" si="340"/>
        <v>NO APLICA</v>
      </c>
      <c r="NS115" s="2"/>
      <c r="NT115" s="2"/>
      <c r="NU115" s="4"/>
      <c r="NV115" s="2"/>
      <c r="NW115" s="5" t="str">
        <f t="shared" si="341"/>
        <v>NO APLICA</v>
      </c>
      <c r="NX115" s="6"/>
      <c r="NY115" s="6"/>
      <c r="NZ115" s="4"/>
      <c r="OA115" s="8"/>
      <c r="OB115" s="5" t="str">
        <f t="shared" si="342"/>
        <v>NO APLICA</v>
      </c>
      <c r="OC115" s="6"/>
      <c r="OD115" s="6"/>
      <c r="OE115" s="6"/>
      <c r="OF115" s="6"/>
      <c r="OG115" s="5" t="str">
        <f t="shared" si="343"/>
        <v>NO APLICA</v>
      </c>
      <c r="OH115" s="6"/>
      <c r="OI115" s="6"/>
      <c r="OJ115" s="4"/>
      <c r="OK115" s="8"/>
      <c r="OL115" s="5" t="str">
        <f t="shared" si="344"/>
        <v>NO APLICA</v>
      </c>
      <c r="OM115" s="6"/>
      <c r="ON115" s="6"/>
      <c r="OO115" s="6"/>
      <c r="OP115" s="6"/>
      <c r="OQ115" s="5" t="str">
        <f t="shared" si="345"/>
        <v>NO APLICA</v>
      </c>
      <c r="OR115" s="6"/>
      <c r="OS115" s="6"/>
      <c r="OT115" s="6"/>
      <c r="OU115" s="6"/>
      <c r="OV115" s="5" t="str">
        <f t="shared" si="346"/>
        <v>NO APLICA</v>
      </c>
      <c r="OW115" s="6"/>
      <c r="OX115" s="6"/>
      <c r="OY115" s="6"/>
      <c r="OZ115" s="6"/>
      <c r="PA115" s="5" t="str">
        <f t="shared" si="347"/>
        <v>NO APLICA</v>
      </c>
      <c r="PB115" s="6"/>
      <c r="PC115" s="6"/>
      <c r="PD115" s="6"/>
      <c r="PE115" s="6"/>
      <c r="PF115" s="5" t="str">
        <f t="shared" si="348"/>
        <v>NO APLICA</v>
      </c>
      <c r="PG115" s="6"/>
      <c r="PH115" s="6"/>
      <c r="PI115" s="6"/>
      <c r="PJ115" s="6"/>
      <c r="PK115" s="5" t="str">
        <f t="shared" si="349"/>
        <v>NO APLICA</v>
      </c>
      <c r="PL115" s="5"/>
      <c r="PM115" s="6"/>
      <c r="PN115" s="4"/>
      <c r="PO115" s="8"/>
      <c r="PP115" s="5" t="str">
        <f t="shared" si="350"/>
        <v>NO APLICA</v>
      </c>
      <c r="PQ115" s="6"/>
      <c r="PR115" s="6"/>
      <c r="PS115" s="6"/>
      <c r="PT115" s="6"/>
      <c r="PU115" s="5" t="str">
        <f t="shared" si="351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2"/>
        <v>VIGENTE</v>
      </c>
    </row>
    <row r="116" spans="1:442" ht="15.6" hidden="1" thickTop="1" thickBot="1" x14ac:dyDescent="0.35">
      <c r="A116" s="26">
        <v>113</v>
      </c>
      <c r="B116" s="31">
        <v>1727</v>
      </c>
      <c r="C116" s="28" t="s">
        <v>389</v>
      </c>
      <c r="D116" s="29" t="s">
        <v>68</v>
      </c>
      <c r="E116" s="30" t="s">
        <v>73</v>
      </c>
      <c r="F116" s="6"/>
      <c r="G116" s="6"/>
      <c r="H116" s="6"/>
      <c r="I116" s="6"/>
      <c r="J116" s="5" t="str">
        <f t="shared" si="242"/>
        <v>NO APLICA</v>
      </c>
      <c r="K116" s="6"/>
      <c r="L116" s="6"/>
      <c r="M116" s="6"/>
      <c r="N116" s="6"/>
      <c r="O116" s="5" t="str">
        <f t="shared" si="243"/>
        <v>NO APLICA</v>
      </c>
      <c r="P116" s="6"/>
      <c r="Q116" s="6"/>
      <c r="R116" s="6"/>
      <c r="S116" s="6"/>
      <c r="T116" s="5" t="str">
        <f t="shared" si="353"/>
        <v>NO APLICA</v>
      </c>
      <c r="U116" s="5"/>
      <c r="V116" s="6" t="s">
        <v>390</v>
      </c>
      <c r="W116" s="4">
        <v>45337</v>
      </c>
      <c r="X116" s="4">
        <f t="shared" si="410"/>
        <v>47164</v>
      </c>
      <c r="Y116" s="8">
        <f t="shared" ca="1" si="411"/>
        <v>1019</v>
      </c>
      <c r="Z116" s="5" t="str">
        <f t="shared" ca="1" si="412"/>
        <v>VIGENTE</v>
      </c>
      <c r="AA116" s="5"/>
      <c r="AB116" s="6" t="s">
        <v>391</v>
      </c>
      <c r="AC116" s="4">
        <v>45577</v>
      </c>
      <c r="AD116" s="4">
        <f t="shared" si="413"/>
        <v>47403</v>
      </c>
      <c r="AE116" s="8">
        <f t="shared" ca="1" si="414"/>
        <v>1258</v>
      </c>
      <c r="AF116" s="5" t="str">
        <f t="shared" ca="1" si="247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8"/>
        <v>591</v>
      </c>
      <c r="AK116" s="5" t="str">
        <f t="shared" ca="1" si="408"/>
        <v>VIGENTE</v>
      </c>
      <c r="AL116" s="6"/>
      <c r="AM116" s="4">
        <v>45937</v>
      </c>
      <c r="AN116" s="4">
        <f t="shared" si="415"/>
        <v>46667</v>
      </c>
      <c r="AO116" s="8">
        <f t="shared" ca="1" si="249"/>
        <v>522</v>
      </c>
      <c r="AP116" s="5" t="str">
        <f t="shared" ca="1" si="250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1"/>
        <v>669</v>
      </c>
      <c r="AU116" s="5" t="str">
        <f t="shared" ca="1" si="252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3"/>
        <v>575</v>
      </c>
      <c r="AZ116" s="5" t="str">
        <f t="shared" ca="1" si="254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5"/>
        <v>656</v>
      </c>
      <c r="BE116" s="5" t="str">
        <f t="shared" ca="1" si="256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7"/>
        <v>572</v>
      </c>
      <c r="BJ116" s="5" t="str">
        <f t="shared" ca="1" si="258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9"/>
        <v>592</v>
      </c>
      <c r="BO116" s="5" t="str">
        <f t="shared" ca="1" si="260"/>
        <v>VIGENTE</v>
      </c>
      <c r="BP116" s="4"/>
      <c r="BQ116" s="39">
        <v>45988</v>
      </c>
      <c r="BR116" s="4">
        <f>DATE(YEAR(BQ116)+2,MONTH(BQ116),DAY(BQ116))</f>
        <v>46718</v>
      </c>
      <c r="BS116" s="8">
        <f t="shared" ca="1" si="261"/>
        <v>573</v>
      </c>
      <c r="BT116" s="5" t="str">
        <f t="shared" ca="1" si="262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3"/>
        <v>616</v>
      </c>
      <c r="BY116" s="5" t="str">
        <f t="shared" ca="1" si="264"/>
        <v>VIGENTE</v>
      </c>
      <c r="BZ116" s="4"/>
      <c r="CA116" s="4">
        <v>46095</v>
      </c>
      <c r="CB116" s="4">
        <f t="shared" si="423"/>
        <v>46826</v>
      </c>
      <c r="CC116" s="8">
        <f t="shared" ca="1" si="265"/>
        <v>681</v>
      </c>
      <c r="CD116" s="5" t="str">
        <f t="shared" ca="1" si="266"/>
        <v>VIGENTE</v>
      </c>
      <c r="CE116" s="6"/>
      <c r="CF116" s="4">
        <v>45393</v>
      </c>
      <c r="CG116" s="4">
        <f t="shared" si="416"/>
        <v>46854</v>
      </c>
      <c r="CH116" s="8">
        <f t="shared" ca="1" si="417"/>
        <v>709</v>
      </c>
      <c r="CI116" s="5" t="str">
        <f t="shared" ca="1" si="418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0"/>
        <v>603</v>
      </c>
      <c r="CN116" s="5" t="str">
        <f t="shared" ca="1" si="271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2"/>
        <v>687</v>
      </c>
      <c r="CS116" s="5" t="str">
        <f t="shared" ca="1" si="273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4"/>
        <v>654</v>
      </c>
      <c r="CX116" s="5" t="str">
        <f t="shared" ca="1" si="275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6"/>
        <v>585</v>
      </c>
      <c r="DC116" s="5" t="str">
        <f t="shared" ca="1" si="277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8"/>
        <v>581</v>
      </c>
      <c r="DH116" s="5" t="str">
        <f t="shared" ca="1" si="279"/>
        <v>VIGENTE</v>
      </c>
      <c r="DI116" s="6"/>
      <c r="DJ116" s="39">
        <v>46073</v>
      </c>
      <c r="DK116" s="4">
        <f>DATE(YEAR(DJ116)+2,MONTH(DJ116),DAY(DJ116))</f>
        <v>46803</v>
      </c>
      <c r="DL116" s="8">
        <f t="shared" ca="1" si="280"/>
        <v>658</v>
      </c>
      <c r="DM116" s="5" t="str">
        <f t="shared" ca="1" si="281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2"/>
        <v>631</v>
      </c>
      <c r="DR116" s="5" t="str">
        <f t="shared" ca="1" si="283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4"/>
        <v>638</v>
      </c>
      <c r="DW116" s="5" t="str">
        <f t="shared" ca="1" si="285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6"/>
        <v>685</v>
      </c>
      <c r="EB116" s="5" t="str">
        <f t="shared" ca="1" si="287"/>
        <v>VIGENTE</v>
      </c>
      <c r="EC116" s="4"/>
      <c r="ED116" s="4">
        <v>46112</v>
      </c>
      <c r="EE116" s="4">
        <f>DATE(YEAR(ED116)+2,MONTH(ED116),DAY(ED116)-1)</f>
        <v>46842</v>
      </c>
      <c r="EF116" s="8">
        <f t="shared" ca="1" si="288"/>
        <v>697</v>
      </c>
      <c r="EG116" s="5" t="str">
        <f t="shared" ca="1" si="289"/>
        <v>VIGENTE</v>
      </c>
      <c r="EH116" s="4"/>
      <c r="EI116" s="4">
        <v>46115</v>
      </c>
      <c r="EJ116" s="4">
        <f t="shared" si="355"/>
        <v>46480</v>
      </c>
      <c r="EK116" s="8">
        <f t="shared" ca="1" si="290"/>
        <v>335</v>
      </c>
      <c r="EL116" s="5" t="str">
        <f t="shared" ca="1" si="291"/>
        <v>VIGENTE</v>
      </c>
      <c r="EM116" s="4"/>
      <c r="EN116" s="4">
        <v>46135</v>
      </c>
      <c r="EO116" s="4">
        <f>DATE(YEAR(EN116)+2,MONTH(EN116),DAY(EN116)-1)</f>
        <v>46865</v>
      </c>
      <c r="EP116" s="8">
        <f t="shared" ca="1" si="292"/>
        <v>720</v>
      </c>
      <c r="EQ116" s="5" t="str">
        <f t="shared" ca="1" si="293"/>
        <v>VIGENTE</v>
      </c>
      <c r="ER116" s="6"/>
      <c r="ES116" s="39">
        <v>45999</v>
      </c>
      <c r="ET116" s="4">
        <f>DATE(YEAR(ES116)+2,MONTH(ES116),DAY(ES116))</f>
        <v>46729</v>
      </c>
      <c r="EU116" s="8">
        <f t="shared" ca="1" si="294"/>
        <v>584</v>
      </c>
      <c r="EV116" s="5" t="str">
        <f t="shared" ca="1" si="295"/>
        <v>VIGENTE</v>
      </c>
      <c r="EW116" s="4"/>
      <c r="EX116" s="4">
        <v>46063</v>
      </c>
      <c r="EY116" s="4">
        <f t="shared" si="424"/>
        <v>46793</v>
      </c>
      <c r="EZ116" s="8">
        <f t="shared" ca="1" si="296"/>
        <v>648</v>
      </c>
      <c r="FA116" s="5" t="str">
        <f t="shared" ca="1" si="297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8"/>
        <v>222</v>
      </c>
      <c r="FF116" s="5" t="str">
        <f t="shared" ca="1" si="299"/>
        <v>VIGENTE</v>
      </c>
      <c r="FG116" s="6"/>
      <c r="FH116" s="4">
        <v>46066</v>
      </c>
      <c r="FI116" s="4">
        <f t="shared" si="425"/>
        <v>46796</v>
      </c>
      <c r="FJ116" s="8">
        <f t="shared" ca="1" si="300"/>
        <v>651</v>
      </c>
      <c r="FK116" s="5" t="str">
        <f t="shared" ca="1" si="301"/>
        <v>VIGENTE</v>
      </c>
      <c r="FL116" s="4"/>
      <c r="FM116" s="39">
        <v>46102</v>
      </c>
      <c r="FN116" s="4">
        <f>DATE(YEAR(FM116)+2,MONTH(FM116),DAY(FM116))</f>
        <v>46833</v>
      </c>
      <c r="FO116" s="8">
        <f t="shared" ca="1" si="302"/>
        <v>688</v>
      </c>
      <c r="FP116" s="5" t="str">
        <f t="shared" ca="1" si="303"/>
        <v>VIGENTE</v>
      </c>
      <c r="FQ116" s="4"/>
      <c r="FR116" s="39">
        <v>46034</v>
      </c>
      <c r="FS116" s="4">
        <f>DATE(YEAR(FR116)+2,MONTH(FR116),DAY(FR116))</f>
        <v>46764</v>
      </c>
      <c r="FT116" s="8">
        <f t="shared" ca="1" si="304"/>
        <v>619</v>
      </c>
      <c r="FU116" s="5" t="str">
        <f t="shared" ca="1" si="305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6"/>
        <v>75</v>
      </c>
      <c r="FZ116" s="5" t="str">
        <f t="shared" ca="1" si="307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8"/>
        <v>615</v>
      </c>
      <c r="GE116" s="5" t="str">
        <f t="shared" ca="1" si="309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0"/>
        <v>664</v>
      </c>
      <c r="GJ116" s="5" t="str">
        <f t="shared" ca="1" si="311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2"/>
        <v>629</v>
      </c>
      <c r="GO116" s="5" t="str">
        <f t="shared" ca="1" si="313"/>
        <v>VIGENTE</v>
      </c>
      <c r="GP116" s="4"/>
      <c r="GQ116" s="4">
        <v>45367</v>
      </c>
      <c r="GR116" s="4">
        <f t="shared" si="314"/>
        <v>47193</v>
      </c>
      <c r="GS116" s="8">
        <f t="shared" ca="1" si="405"/>
        <v>1048</v>
      </c>
      <c r="GT116" s="5" t="str">
        <f t="shared" ca="1" si="419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9"/>
        <v>47305</v>
      </c>
      <c r="HC116" s="8">
        <f t="shared" ca="1" si="320"/>
        <v>1160</v>
      </c>
      <c r="HD116" s="5" t="str">
        <f t="shared" ca="1" si="421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9"/>
        <v>NO APLICA</v>
      </c>
      <c r="HO116" s="2"/>
      <c r="HP116" s="2"/>
      <c r="HQ116" s="4"/>
      <c r="HR116" s="2"/>
      <c r="HS116" s="5" t="str">
        <f t="shared" si="322"/>
        <v>NO APLICA</v>
      </c>
      <c r="HT116" s="6"/>
      <c r="HU116" s="6"/>
      <c r="HV116" s="4"/>
      <c r="HW116" s="8"/>
      <c r="HX116" s="5" t="str">
        <f t="shared" si="323"/>
        <v>NO APLICA</v>
      </c>
      <c r="HY116" s="6"/>
      <c r="HZ116" s="6"/>
      <c r="IA116" s="4"/>
      <c r="IB116" s="8"/>
      <c r="IC116" s="5" t="str">
        <f t="shared" si="324"/>
        <v>NO APLICA</v>
      </c>
      <c r="ID116" s="6"/>
      <c r="IE116" s="6"/>
      <c r="IF116" s="4"/>
      <c r="IG116" s="8"/>
      <c r="IH116" s="5" t="str">
        <f t="shared" si="325"/>
        <v>NO APLICA</v>
      </c>
      <c r="II116" s="6"/>
      <c r="IJ116" s="6"/>
      <c r="IK116" s="4"/>
      <c r="IL116" s="6"/>
      <c r="IM116" s="5" t="str">
        <f t="shared" si="326"/>
        <v>NO APLICA</v>
      </c>
      <c r="IN116" s="6"/>
      <c r="IO116" s="6"/>
      <c r="IP116" s="4"/>
      <c r="IQ116" s="8"/>
      <c r="IR116" s="5" t="str">
        <f t="shared" si="327"/>
        <v>NO APLICA</v>
      </c>
      <c r="IS116" s="6"/>
      <c r="IT116" s="6"/>
      <c r="IU116" s="4"/>
      <c r="IV116" s="8"/>
      <c r="IW116" s="5" t="str">
        <f t="shared" si="328"/>
        <v>NO APLICA</v>
      </c>
      <c r="IX116" s="6"/>
      <c r="IY116" s="6"/>
      <c r="IZ116" s="4"/>
      <c r="JA116" s="8"/>
      <c r="JB116" s="5" t="str">
        <f t="shared" si="329"/>
        <v>NO APLICA</v>
      </c>
      <c r="JC116" s="3" t="s">
        <v>780</v>
      </c>
      <c r="JD116" s="3"/>
      <c r="JE116" s="4"/>
      <c r="JF116" s="8"/>
      <c r="JG116" s="5"/>
      <c r="JH116" s="3" t="s">
        <v>780</v>
      </c>
      <c r="JI116" s="6"/>
      <c r="JJ116" s="6"/>
      <c r="JK116" s="6"/>
      <c r="JL116" s="5"/>
      <c r="JM116" s="6" t="s">
        <v>780</v>
      </c>
      <c r="JN116" s="6"/>
      <c r="JO116" s="6"/>
      <c r="JP116" s="6"/>
      <c r="JQ116" s="5"/>
      <c r="JR116" s="6" t="s">
        <v>780</v>
      </c>
      <c r="JS116" s="6"/>
      <c r="JT116" s="6"/>
      <c r="JU116" s="6"/>
      <c r="JV116" s="5"/>
      <c r="JW116" s="6" t="s">
        <v>780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30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6"/>
        <v>VIGENTE</v>
      </c>
      <c r="KL116" s="5"/>
      <c r="KM116" s="2"/>
      <c r="KN116" s="4"/>
      <c r="KO116" s="8"/>
      <c r="KP116" s="5" t="str">
        <f t="shared" si="331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7"/>
        <v>VIGENTE</v>
      </c>
      <c r="KV116" s="6"/>
      <c r="KW116" s="6"/>
      <c r="KX116" s="4"/>
      <c r="KY116" s="6"/>
      <c r="KZ116" s="5" t="str">
        <f t="shared" si="366"/>
        <v>NO APLICA</v>
      </c>
      <c r="LA116" s="5"/>
      <c r="LB116" s="6"/>
      <c r="LC116" s="4"/>
      <c r="LD116" s="6"/>
      <c r="LE116" s="5" t="str">
        <f t="shared" si="358"/>
        <v>NO APLICA</v>
      </c>
      <c r="LF116" s="6"/>
      <c r="LG116" s="4"/>
      <c r="LH116" s="4"/>
      <c r="LI116" s="8"/>
      <c r="LJ116" s="5" t="str">
        <f t="shared" si="332"/>
        <v>NO APLICA</v>
      </c>
      <c r="LK116" s="5"/>
      <c r="LL116" s="5"/>
      <c r="LM116" s="5"/>
      <c r="LN116" s="5"/>
      <c r="LO116" s="5" t="str">
        <f t="shared" si="367"/>
        <v>NO APLICA</v>
      </c>
      <c r="LP116" s="6"/>
      <c r="LQ116" s="6"/>
      <c r="LR116" s="4"/>
      <c r="LS116" s="8"/>
      <c r="LT116" s="5" t="str">
        <f t="shared" si="359"/>
        <v>NO APLICA</v>
      </c>
      <c r="LU116" s="6"/>
      <c r="LV116" s="6"/>
      <c r="LW116" s="4"/>
      <c r="LX116" s="6"/>
      <c r="LY116" s="5" t="str">
        <f t="shared" si="360"/>
        <v>NO APLICA</v>
      </c>
      <c r="LZ116" s="6"/>
      <c r="MA116" s="6"/>
      <c r="MB116" s="4"/>
      <c r="MC116" s="6"/>
      <c r="MD116" s="5" t="str">
        <f t="shared" si="361"/>
        <v>NO APLICA</v>
      </c>
      <c r="ME116" s="6"/>
      <c r="MF116" s="6"/>
      <c r="MG116" s="4"/>
      <c r="MH116" s="6"/>
      <c r="MI116" s="5" t="str">
        <f t="shared" si="333"/>
        <v>NO APLICA</v>
      </c>
      <c r="MJ116" s="6"/>
      <c r="MK116" s="6"/>
      <c r="ML116" s="4"/>
      <c r="MM116" s="6"/>
      <c r="MN116" s="5" t="str">
        <f t="shared" si="334"/>
        <v>NO APLICA</v>
      </c>
      <c r="MO116" s="5"/>
      <c r="MP116" s="6"/>
      <c r="MQ116" s="4"/>
      <c r="MR116" s="6"/>
      <c r="MS116" s="5" t="str">
        <f t="shared" si="335"/>
        <v>NO APLICA</v>
      </c>
      <c r="MT116" s="5"/>
      <c r="MU116" s="6"/>
      <c r="MV116" s="6"/>
      <c r="MW116" s="6"/>
      <c r="MX116" s="5" t="str">
        <f t="shared" si="336"/>
        <v>NO APLICA</v>
      </c>
      <c r="MY116" s="6"/>
      <c r="MZ116" s="6"/>
      <c r="NA116" s="4"/>
      <c r="NB116" s="6"/>
      <c r="NC116" s="5" t="str">
        <f t="shared" si="337"/>
        <v>NO APLICA</v>
      </c>
      <c r="ND116" s="6"/>
      <c r="NE116" s="6"/>
      <c r="NF116" s="4"/>
      <c r="NG116" s="6"/>
      <c r="NH116" s="5" t="str">
        <f t="shared" si="338"/>
        <v>NO APLICA</v>
      </c>
      <c r="NI116" s="6"/>
      <c r="NJ116" s="6"/>
      <c r="NK116" s="4"/>
      <c r="NL116" s="6"/>
      <c r="NM116" s="5" t="str">
        <f t="shared" si="339"/>
        <v>NO APLICA</v>
      </c>
      <c r="NN116" s="6"/>
      <c r="NO116" s="6"/>
      <c r="NP116" s="4"/>
      <c r="NQ116" s="6"/>
      <c r="NR116" s="5" t="str">
        <f t="shared" si="340"/>
        <v>NO APLICA</v>
      </c>
      <c r="NS116" s="6"/>
      <c r="NT116" s="6"/>
      <c r="NU116" s="4"/>
      <c r="NV116" s="6"/>
      <c r="NW116" s="5" t="str">
        <f t="shared" si="341"/>
        <v>NO APLICA</v>
      </c>
      <c r="NX116" s="6"/>
      <c r="NY116" s="6"/>
      <c r="NZ116" s="4"/>
      <c r="OA116" s="8"/>
      <c r="OB116" s="5" t="str">
        <f t="shared" si="342"/>
        <v>NO APLICA</v>
      </c>
      <c r="OC116" s="6"/>
      <c r="OD116" s="6"/>
      <c r="OE116" s="6"/>
      <c r="OF116" s="6"/>
      <c r="OG116" s="5" t="str">
        <f t="shared" si="343"/>
        <v>NO APLICA</v>
      </c>
      <c r="OH116" s="6"/>
      <c r="OI116" s="6"/>
      <c r="OJ116" s="6"/>
      <c r="OK116" s="6"/>
      <c r="OL116" s="5" t="str">
        <f t="shared" si="344"/>
        <v>NO APLICA</v>
      </c>
      <c r="OM116" s="6"/>
      <c r="ON116" s="6"/>
      <c r="OO116" s="4"/>
      <c r="OP116" s="8"/>
      <c r="OQ116" s="5" t="str">
        <f t="shared" si="345"/>
        <v>NO APLICA</v>
      </c>
      <c r="OR116" s="6"/>
      <c r="OS116" s="6"/>
      <c r="OT116" s="6"/>
      <c r="OU116" s="6"/>
      <c r="OV116" s="5" t="str">
        <f t="shared" si="346"/>
        <v>NO APLICA</v>
      </c>
      <c r="OW116" s="6"/>
      <c r="OX116" s="6"/>
      <c r="OY116" s="6"/>
      <c r="OZ116" s="6"/>
      <c r="PA116" s="5" t="str">
        <f t="shared" si="347"/>
        <v>NO APLICA</v>
      </c>
      <c r="PB116" s="6"/>
      <c r="PC116" s="6"/>
      <c r="PD116" s="6"/>
      <c r="PE116" s="6"/>
      <c r="PF116" s="5" t="str">
        <f t="shared" si="348"/>
        <v>NO APLICA</v>
      </c>
      <c r="PG116" s="6"/>
      <c r="PH116" s="6"/>
      <c r="PI116" s="6"/>
      <c r="PJ116" s="6"/>
      <c r="PK116" s="5" t="str">
        <f t="shared" si="349"/>
        <v>NO APLICA</v>
      </c>
      <c r="PL116" s="5"/>
      <c r="PM116" s="6"/>
      <c r="PN116" s="6"/>
      <c r="PO116" s="6"/>
      <c r="PP116" s="5" t="str">
        <f t="shared" si="350"/>
        <v>NO APLICA</v>
      </c>
      <c r="PQ116" s="6"/>
      <c r="PR116" s="6"/>
      <c r="PS116" s="6"/>
      <c r="PT116" s="6"/>
      <c r="PU116" s="5" t="str">
        <f t="shared" si="351"/>
        <v>NO APLICA</v>
      </c>
      <c r="PV116" s="5"/>
      <c r="PW116" s="6"/>
      <c r="PX116" s="6"/>
      <c r="PY116" s="6"/>
      <c r="PZ116" s="5" t="str">
        <f t="shared" si="352"/>
        <v>NO APLICA</v>
      </c>
    </row>
    <row r="117" spans="1:442" ht="15.6" hidden="1" thickTop="1" thickBot="1" x14ac:dyDescent="0.35">
      <c r="A117" s="26">
        <v>114</v>
      </c>
      <c r="B117" s="27">
        <v>1599</v>
      </c>
      <c r="C117" s="28" t="s">
        <v>392</v>
      </c>
      <c r="D117" s="29" t="s">
        <v>68</v>
      </c>
      <c r="E117" s="30" t="s">
        <v>73</v>
      </c>
      <c r="F117" s="5"/>
      <c r="G117" s="6"/>
      <c r="H117" s="4"/>
      <c r="I117" s="8"/>
      <c r="J117" s="5" t="str">
        <f t="shared" si="242"/>
        <v>NO APLICA</v>
      </c>
      <c r="K117" s="5"/>
      <c r="L117" s="6"/>
      <c r="M117" s="6"/>
      <c r="N117" s="8"/>
      <c r="O117" s="5" t="str">
        <f t="shared" si="243"/>
        <v>NO APLICA</v>
      </c>
      <c r="P117" s="4"/>
      <c r="Q117" s="4"/>
      <c r="R117" s="4"/>
      <c r="S117" s="8"/>
      <c r="T117" s="5" t="str">
        <f t="shared" si="353"/>
        <v>NO APLICA</v>
      </c>
      <c r="U117" s="5"/>
      <c r="V117" s="2" t="s">
        <v>393</v>
      </c>
      <c r="W117" s="4">
        <v>44590</v>
      </c>
      <c r="X117" s="4">
        <f t="shared" si="410"/>
        <v>46416</v>
      </c>
      <c r="Y117" s="8">
        <f t="shared" ca="1" si="411"/>
        <v>271</v>
      </c>
      <c r="Z117" s="5" t="str">
        <f t="shared" ca="1" si="412"/>
        <v>VIGENTE</v>
      </c>
      <c r="AA117" s="5"/>
      <c r="AB117" s="2" t="s">
        <v>394</v>
      </c>
      <c r="AC117" s="4">
        <v>45190</v>
      </c>
      <c r="AD117" s="4">
        <f t="shared" si="413"/>
        <v>47017</v>
      </c>
      <c r="AE117" s="8">
        <f t="shared" ca="1" si="414"/>
        <v>872</v>
      </c>
      <c r="AF117" s="5" t="str">
        <f t="shared" ca="1" si="247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8"/>
        <v>487</v>
      </c>
      <c r="AK117" s="5" t="str">
        <f t="shared" ca="1" si="408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9"/>
        <v>294</v>
      </c>
      <c r="AP117" s="5" t="str">
        <f t="shared" ca="1" si="250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1"/>
        <v>287</v>
      </c>
      <c r="AU117" s="5" t="str">
        <f t="shared" ca="1" si="252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3"/>
        <v>286</v>
      </c>
      <c r="AZ117" s="5" t="str">
        <f t="shared" ca="1" si="254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5"/>
        <v>187</v>
      </c>
      <c r="BE117" s="5" t="str">
        <f t="shared" ca="1" si="256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7"/>
        <v>282</v>
      </c>
      <c r="BJ117" s="5" t="str">
        <f t="shared" ca="1" si="258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9"/>
        <v>184</v>
      </c>
      <c r="BO117" s="5" t="str">
        <f t="shared" ca="1" si="260"/>
        <v>VIGENTE</v>
      </c>
      <c r="BP117" s="3"/>
      <c r="BQ117" s="39">
        <v>45701</v>
      </c>
      <c r="BR117" s="4">
        <f>DATE(YEAR(BQ117)+2,MONTH(BQ117),DAY(BQ117)-1)</f>
        <v>46430</v>
      </c>
      <c r="BS117" s="8">
        <f t="shared" ca="1" si="261"/>
        <v>285</v>
      </c>
      <c r="BT117" s="5" t="str">
        <f t="shared" ca="1" si="262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3"/>
        <v>195</v>
      </c>
      <c r="BY117" s="5" t="str">
        <f t="shared" ca="1" si="264"/>
        <v>VIGENTE</v>
      </c>
      <c r="BZ117" s="3"/>
      <c r="CA117" s="4">
        <v>45944</v>
      </c>
      <c r="CB117" s="4">
        <f t="shared" si="423"/>
        <v>46674</v>
      </c>
      <c r="CC117" s="8">
        <f t="shared" ca="1" si="265"/>
        <v>529</v>
      </c>
      <c r="CD117" s="5" t="str">
        <f t="shared" ca="1" si="266"/>
        <v>VIGENTE</v>
      </c>
      <c r="CE117" s="6"/>
      <c r="CF117" s="4">
        <v>45464</v>
      </c>
      <c r="CG117" s="4">
        <f t="shared" si="416"/>
        <v>46925</v>
      </c>
      <c r="CH117" s="8">
        <f t="shared" ca="1" si="417"/>
        <v>780</v>
      </c>
      <c r="CI117" s="5" t="str">
        <f t="shared" ca="1" si="418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0"/>
        <v>185</v>
      </c>
      <c r="CN117" s="5" t="str">
        <f t="shared" ca="1" si="271"/>
        <v>VIGENTE</v>
      </c>
      <c r="CO117" s="3"/>
      <c r="CP117" s="39">
        <v>45684</v>
      </c>
      <c r="CQ117" s="4">
        <f>DATE(YEAR(CP117)+2,MONTH(CP117),DAY(CP117)-1)</f>
        <v>46413</v>
      </c>
      <c r="CR117" s="8">
        <f t="shared" ca="1" si="272"/>
        <v>268</v>
      </c>
      <c r="CS117" s="5" t="str">
        <f t="shared" ca="1" si="273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4"/>
        <v>311</v>
      </c>
      <c r="CX117" s="5" t="str">
        <f t="shared" ca="1" si="275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6"/>
        <v>265</v>
      </c>
      <c r="DC117" s="5" t="str">
        <f t="shared" ca="1" si="277"/>
        <v>VIGENTE</v>
      </c>
      <c r="DD117" s="3"/>
      <c r="DE117" s="39">
        <v>45607</v>
      </c>
      <c r="DF117" s="4">
        <f>DATE(YEAR(DE117)+2,MONTH(DE117),DAY(DE117)-1)</f>
        <v>46336</v>
      </c>
      <c r="DG117" s="8">
        <f t="shared" ca="1" si="278"/>
        <v>191</v>
      </c>
      <c r="DH117" s="5" t="str">
        <f t="shared" ca="1" si="279"/>
        <v>VIGENTE</v>
      </c>
      <c r="DI117" s="3"/>
      <c r="DJ117" s="39">
        <v>45696</v>
      </c>
      <c r="DK117" s="4">
        <f>DATE(YEAR(DJ117)+2,MONTH(DJ117),DAY(DJ117)-1)</f>
        <v>46425</v>
      </c>
      <c r="DL117" s="8">
        <f t="shared" ca="1" si="280"/>
        <v>280</v>
      </c>
      <c r="DM117" s="5" t="str">
        <f t="shared" ca="1" si="281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2"/>
        <v>161</v>
      </c>
      <c r="DR117" s="5" t="str">
        <f t="shared" ca="1" si="283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4"/>
        <v>203</v>
      </c>
      <c r="DW117" s="5" t="str">
        <f t="shared" ca="1" si="285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6"/>
        <v>196</v>
      </c>
      <c r="EB117" s="5" t="str">
        <f t="shared" ca="1" si="287"/>
        <v>VIGENTE</v>
      </c>
      <c r="EC117" s="3"/>
      <c r="ED117" s="39">
        <v>45642</v>
      </c>
      <c r="EE117" s="4">
        <f>DATE(YEAR(ED117)+2,MONTH(ED117),DAY(ED117)-1)</f>
        <v>46371</v>
      </c>
      <c r="EF117" s="8">
        <f t="shared" ca="1" si="288"/>
        <v>226</v>
      </c>
      <c r="EG117" s="5" t="str">
        <f t="shared" ca="1" si="289"/>
        <v>VIGENTE</v>
      </c>
      <c r="EH117" s="3"/>
      <c r="EI117" s="4">
        <v>46123</v>
      </c>
      <c r="EJ117" s="4">
        <f t="shared" si="355"/>
        <v>46488</v>
      </c>
      <c r="EK117" s="8">
        <f t="shared" ca="1" si="290"/>
        <v>343</v>
      </c>
      <c r="EL117" s="5" t="str">
        <f t="shared" ca="1" si="291"/>
        <v>VIGENTE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2"/>
        <v>168</v>
      </c>
      <c r="EQ117" s="5" t="str">
        <f t="shared" ca="1" si="293"/>
        <v>VIGENTE</v>
      </c>
      <c r="ER117" s="3"/>
      <c r="ES117" s="39">
        <v>45575</v>
      </c>
      <c r="ET117" s="4">
        <f>DATE(YEAR(ES117)+2,MONTH(ES117),DAY(ES117)-1)</f>
        <v>46304</v>
      </c>
      <c r="EU117" s="8">
        <f t="shared" ca="1" si="294"/>
        <v>159</v>
      </c>
      <c r="EV117" s="5" t="str">
        <f t="shared" ca="1" si="295"/>
        <v>VIGENTE</v>
      </c>
      <c r="EW117" s="3"/>
      <c r="EX117" s="4">
        <v>45953</v>
      </c>
      <c r="EY117" s="4">
        <f t="shared" si="424"/>
        <v>46683</v>
      </c>
      <c r="EZ117" s="8">
        <f t="shared" ca="1" si="296"/>
        <v>538</v>
      </c>
      <c r="FA117" s="5" t="str">
        <f t="shared" ca="1" si="297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8"/>
        <v>536</v>
      </c>
      <c r="FF117" s="5" t="str">
        <f t="shared" ca="1" si="299"/>
        <v>VIGENTE</v>
      </c>
      <c r="FG117" s="3"/>
      <c r="FH117" s="4">
        <v>45962</v>
      </c>
      <c r="FI117" s="4">
        <f t="shared" si="425"/>
        <v>46692</v>
      </c>
      <c r="FJ117" s="8">
        <f t="shared" ca="1" si="300"/>
        <v>547</v>
      </c>
      <c r="FK117" s="5" t="str">
        <f t="shared" ca="1" si="301"/>
        <v>VIGENTE</v>
      </c>
      <c r="FL117" s="3"/>
      <c r="FM117" s="39">
        <v>45588</v>
      </c>
      <c r="FN117" s="4">
        <f>DATE(YEAR(FM117)+2,MONTH(FM117),DAY(FM117)-1)</f>
        <v>46317</v>
      </c>
      <c r="FO117" s="8">
        <f t="shared" ca="1" si="302"/>
        <v>172</v>
      </c>
      <c r="FP117" s="5" t="str">
        <f t="shared" ca="1" si="303"/>
        <v>VIGENTE</v>
      </c>
      <c r="FQ117" s="3"/>
      <c r="FR117" s="39">
        <v>45664</v>
      </c>
      <c r="FS117" s="4">
        <f>DATE(YEAR(FR117)+2,MONTH(FR117),DAY(FR117)-1)</f>
        <v>46393</v>
      </c>
      <c r="FT117" s="8">
        <f t="shared" ca="1" si="304"/>
        <v>248</v>
      </c>
      <c r="FU117" s="5" t="str">
        <f t="shared" ca="1" si="305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6"/>
        <v>599</v>
      </c>
      <c r="FZ117" s="5" t="str">
        <f t="shared" ca="1" si="307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8"/>
        <v>251</v>
      </c>
      <c r="GE117" s="5" t="str">
        <f t="shared" ca="1" si="309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0"/>
        <v>256</v>
      </c>
      <c r="GJ117" s="5" t="str">
        <f t="shared" ca="1" si="311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2"/>
        <v>192</v>
      </c>
      <c r="GO117" s="5" t="str">
        <f t="shared" ca="1" si="313"/>
        <v>VIGENTE</v>
      </c>
      <c r="GP117" s="4"/>
      <c r="GQ117" s="4">
        <v>44966</v>
      </c>
      <c r="GR117" s="4">
        <f t="shared" si="314"/>
        <v>46792</v>
      </c>
      <c r="GS117" s="8">
        <f t="shared" ca="1" si="405"/>
        <v>647</v>
      </c>
      <c r="GT117" s="5" t="str">
        <f t="shared" ca="1" si="419"/>
        <v>VIGENTE</v>
      </c>
      <c r="GU117" s="3"/>
      <c r="GV117" s="4">
        <v>44952</v>
      </c>
      <c r="GW117" s="4">
        <f t="shared" si="316"/>
        <v>46778</v>
      </c>
      <c r="GX117" s="8">
        <f t="shared" ca="1" si="317"/>
        <v>633</v>
      </c>
      <c r="GY117" s="5" t="str">
        <f t="shared" ref="GY117:GY175" ca="1" si="426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9"/>
        <v>46806</v>
      </c>
      <c r="HC117" s="8">
        <f t="shared" ca="1" si="320"/>
        <v>661</v>
      </c>
      <c r="HD117" s="5" t="str">
        <f t="shared" ca="1" si="421"/>
        <v>VIGENTE</v>
      </c>
      <c r="HE117" s="6"/>
      <c r="HF117" s="4">
        <v>44956</v>
      </c>
      <c r="HG117" s="4">
        <f t="shared" si="406"/>
        <v>46782</v>
      </c>
      <c r="HH117" s="8">
        <f t="shared" ca="1" si="407"/>
        <v>637</v>
      </c>
      <c r="HI117" s="5" t="str">
        <f t="shared" ref="HI117:HI175" ca="1" si="427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9"/>
        <v>NO APLICA</v>
      </c>
      <c r="HO117" s="2"/>
      <c r="HP117" s="2"/>
      <c r="HQ117" s="4"/>
      <c r="HR117" s="2"/>
      <c r="HS117" s="5" t="str">
        <f t="shared" si="322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3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4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5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6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7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8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9"/>
        <v>VIGENTE</v>
      </c>
      <c r="JC117" s="3" t="s">
        <v>780</v>
      </c>
      <c r="JD117" s="3"/>
      <c r="JE117" s="4"/>
      <c r="JF117" s="8"/>
      <c r="JG117" s="5"/>
      <c r="JH117" s="3" t="s">
        <v>780</v>
      </c>
      <c r="JI117" s="6"/>
      <c r="JJ117" s="6"/>
      <c r="JK117" s="6"/>
      <c r="JL117" s="5"/>
      <c r="JM117" s="6" t="s">
        <v>780</v>
      </c>
      <c r="JN117" s="6"/>
      <c r="JO117" s="6"/>
      <c r="JP117" s="6"/>
      <c r="JQ117" s="5"/>
      <c r="JR117" s="6" t="s">
        <v>780</v>
      </c>
      <c r="JS117" s="6"/>
      <c r="JT117" s="6"/>
      <c r="JU117" s="6"/>
      <c r="JV117" s="5"/>
      <c r="JW117" s="6" t="s">
        <v>780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30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6"/>
        <v>VIGENTE</v>
      </c>
      <c r="KL117" s="5"/>
      <c r="KM117" s="2"/>
      <c r="KN117" s="4"/>
      <c r="KO117" s="8"/>
      <c r="KP117" s="5" t="str">
        <f t="shared" si="331"/>
        <v>NO APLICA</v>
      </c>
      <c r="KQ117" s="5"/>
      <c r="KR117" s="2"/>
      <c r="KS117" s="4"/>
      <c r="KT117" s="8"/>
      <c r="KU117" s="5" t="str">
        <f t="shared" si="357"/>
        <v>NO APLICA</v>
      </c>
      <c r="KV117" s="2"/>
      <c r="KW117" s="6"/>
      <c r="KX117" s="4"/>
      <c r="KY117" s="8"/>
      <c r="KZ117" s="5" t="str">
        <f t="shared" si="366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8"/>
        <v>VIGENTE</v>
      </c>
      <c r="LF117" s="6"/>
      <c r="LG117" s="6"/>
      <c r="LH117" s="4"/>
      <c r="LI117" s="8"/>
      <c r="LJ117" s="5" t="str">
        <f t="shared" si="332"/>
        <v>NO APLICA</v>
      </c>
      <c r="LK117" s="5"/>
      <c r="LL117" s="5"/>
      <c r="LM117" s="4"/>
      <c r="LN117" s="8"/>
      <c r="LO117" s="5" t="str">
        <f t="shared" si="367"/>
        <v>NO APLICA</v>
      </c>
      <c r="LP117" s="2"/>
      <c r="LQ117" s="6"/>
      <c r="LR117" s="4"/>
      <c r="LS117" s="8"/>
      <c r="LT117" s="5" t="str">
        <f t="shared" si="359"/>
        <v>NO APLICA</v>
      </c>
      <c r="LU117" s="6"/>
      <c r="LV117" s="6"/>
      <c r="LW117" s="4"/>
      <c r="LX117" s="8"/>
      <c r="LY117" s="5" t="str">
        <f t="shared" si="360"/>
        <v>NO APLICA</v>
      </c>
      <c r="LZ117" s="6"/>
      <c r="MA117" s="6"/>
      <c r="MB117" s="4"/>
      <c r="MC117" s="8"/>
      <c r="MD117" s="5" t="str">
        <f t="shared" si="361"/>
        <v>NO APLICA</v>
      </c>
      <c r="ME117" s="2"/>
      <c r="MF117" s="2"/>
      <c r="MG117" s="4"/>
      <c r="MH117" s="8"/>
      <c r="MI117" s="5" t="str">
        <f t="shared" si="333"/>
        <v>NO APLICA</v>
      </c>
      <c r="MJ117" s="2"/>
      <c r="MK117" s="2"/>
      <c r="ML117" s="4"/>
      <c r="MM117" s="8"/>
      <c r="MN117" s="5" t="str">
        <f t="shared" si="334"/>
        <v>NO APLICA</v>
      </c>
      <c r="MO117" s="5"/>
      <c r="MP117" s="2"/>
      <c r="MQ117" s="4"/>
      <c r="MR117" s="8"/>
      <c r="MS117" s="5" t="str">
        <f t="shared" si="335"/>
        <v>NO APLICA</v>
      </c>
      <c r="MT117" s="5"/>
      <c r="MU117" s="2"/>
      <c r="MV117" s="4"/>
      <c r="MW117" s="2"/>
      <c r="MX117" s="5" t="str">
        <f t="shared" si="336"/>
        <v>NO APLICA</v>
      </c>
      <c r="MY117" s="2"/>
      <c r="MZ117" s="6"/>
      <c r="NA117" s="4"/>
      <c r="NB117" s="8"/>
      <c r="NC117" s="5" t="str">
        <f t="shared" si="337"/>
        <v>NO APLICA</v>
      </c>
      <c r="ND117" s="2"/>
      <c r="NE117" s="6"/>
      <c r="NF117" s="4"/>
      <c r="NG117" s="8"/>
      <c r="NH117" s="5" t="str">
        <f t="shared" si="338"/>
        <v>NO APLICA</v>
      </c>
      <c r="NI117" s="2"/>
      <c r="NJ117" s="6"/>
      <c r="NK117" s="4"/>
      <c r="NL117" s="8"/>
      <c r="NM117" s="5" t="str">
        <f t="shared" si="339"/>
        <v>NO APLICA</v>
      </c>
      <c r="NN117" s="2"/>
      <c r="NO117" s="2"/>
      <c r="NP117" s="4"/>
      <c r="NQ117" s="8"/>
      <c r="NR117" s="5" t="str">
        <f t="shared" si="340"/>
        <v>NO APLICA</v>
      </c>
      <c r="NS117" s="2"/>
      <c r="NT117" s="2"/>
      <c r="NU117" s="4"/>
      <c r="NV117" s="2"/>
      <c r="NW117" s="5" t="str">
        <f t="shared" si="341"/>
        <v>NO APLICA</v>
      </c>
      <c r="NX117" s="6"/>
      <c r="NY117" s="6"/>
      <c r="NZ117" s="4"/>
      <c r="OA117" s="8"/>
      <c r="OB117" s="5" t="str">
        <f t="shared" si="342"/>
        <v>NO APLICA</v>
      </c>
      <c r="OC117" s="6"/>
      <c r="OD117" s="6"/>
      <c r="OE117" s="6"/>
      <c r="OF117" s="6"/>
      <c r="OG117" s="5" t="str">
        <f t="shared" si="343"/>
        <v>NO APLICA</v>
      </c>
      <c r="OH117" s="2"/>
      <c r="OI117" s="2"/>
      <c r="OJ117" s="4"/>
      <c r="OK117" s="8"/>
      <c r="OL117" s="5" t="str">
        <f t="shared" si="344"/>
        <v>NO APLICA</v>
      </c>
      <c r="OM117" s="6"/>
      <c r="ON117" s="6"/>
      <c r="OO117" s="6"/>
      <c r="OP117" s="6"/>
      <c r="OQ117" s="5" t="str">
        <f t="shared" si="345"/>
        <v>NO APLICA</v>
      </c>
      <c r="OR117" s="6"/>
      <c r="OS117" s="6"/>
      <c r="OT117" s="6"/>
      <c r="OU117" s="6"/>
      <c r="OV117" s="5" t="str">
        <f t="shared" si="346"/>
        <v>NO APLICA</v>
      </c>
      <c r="OW117" s="6"/>
      <c r="OX117" s="6"/>
      <c r="OY117" s="6"/>
      <c r="OZ117" s="6"/>
      <c r="PA117" s="5" t="str">
        <f t="shared" si="347"/>
        <v>NO APLICA</v>
      </c>
      <c r="PB117" s="6"/>
      <c r="PC117" s="6"/>
      <c r="PD117" s="6"/>
      <c r="PE117" s="6"/>
      <c r="PF117" s="5" t="str">
        <f t="shared" si="348"/>
        <v>NO APLICA</v>
      </c>
      <c r="PG117" s="6"/>
      <c r="PH117" s="6"/>
      <c r="PI117" s="6"/>
      <c r="PJ117" s="6"/>
      <c r="PK117" s="5" t="str">
        <f t="shared" si="349"/>
        <v>NO APLICA</v>
      </c>
      <c r="PL117" s="5"/>
      <c r="PM117" s="6"/>
      <c r="PN117" s="4"/>
      <c r="PO117" s="8"/>
      <c r="PP117" s="5" t="str">
        <f t="shared" si="350"/>
        <v>NO APLICA</v>
      </c>
      <c r="PQ117" s="6"/>
      <c r="PR117" s="6"/>
      <c r="PS117" s="6"/>
      <c r="PT117" s="6"/>
      <c r="PU117" s="5" t="str">
        <f t="shared" si="351"/>
        <v>NO APLICA</v>
      </c>
      <c r="PV117" s="5"/>
      <c r="PW117" s="6"/>
      <c r="PX117" s="6"/>
      <c r="PY117" s="6"/>
      <c r="PZ117" s="5" t="str">
        <f t="shared" si="352"/>
        <v>NO APLICA</v>
      </c>
    </row>
    <row r="118" spans="1:442" ht="15.6" hidden="1" thickTop="1" thickBot="1" x14ac:dyDescent="0.35">
      <c r="A118" s="26">
        <v>115</v>
      </c>
      <c r="B118" s="27">
        <v>1256</v>
      </c>
      <c r="C118" s="28" t="s">
        <v>395</v>
      </c>
      <c r="D118" s="29" t="s">
        <v>68</v>
      </c>
      <c r="E118" s="30" t="s">
        <v>122</v>
      </c>
      <c r="F118" s="5"/>
      <c r="G118" s="6"/>
      <c r="H118" s="4"/>
      <c r="I118" s="8"/>
      <c r="J118" s="5" t="str">
        <f t="shared" si="242"/>
        <v>NO APLICA</v>
      </c>
      <c r="K118" s="5"/>
      <c r="L118" s="6"/>
      <c r="M118" s="6"/>
      <c r="N118" s="8"/>
      <c r="O118" s="5" t="str">
        <f t="shared" si="243"/>
        <v>NO APLICA</v>
      </c>
      <c r="P118" s="6"/>
      <c r="Q118" s="6"/>
      <c r="R118" s="4"/>
      <c r="S118" s="8"/>
      <c r="T118" s="5" t="str">
        <f t="shared" si="353"/>
        <v>NO APLICA</v>
      </c>
      <c r="U118" s="5"/>
      <c r="V118" s="6" t="s">
        <v>396</v>
      </c>
      <c r="W118" s="4">
        <v>45282</v>
      </c>
      <c r="X118" s="4">
        <f t="shared" si="410"/>
        <v>47109</v>
      </c>
      <c r="Y118" s="8">
        <f t="shared" ca="1" si="411"/>
        <v>964</v>
      </c>
      <c r="Z118" s="5" t="str">
        <f t="shared" ca="1" si="412"/>
        <v>VIGENTE</v>
      </c>
      <c r="AA118" s="5"/>
      <c r="AB118" s="2" t="s">
        <v>397</v>
      </c>
      <c r="AC118" s="4">
        <v>44603</v>
      </c>
      <c r="AD118" s="4">
        <f t="shared" si="413"/>
        <v>46429</v>
      </c>
      <c r="AE118" s="8">
        <f t="shared" ca="1" si="414"/>
        <v>284</v>
      </c>
      <c r="AF118" s="5" t="str">
        <f t="shared" ca="1" si="247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8"/>
        <v>178</v>
      </c>
      <c r="AK118" s="5" t="str">
        <f t="shared" ca="1" si="408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9"/>
        <v>522</v>
      </c>
      <c r="AP118" s="5" t="str">
        <f t="shared" ca="1" si="250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1"/>
        <v>489</v>
      </c>
      <c r="AU118" s="5" t="str">
        <f t="shared" ca="1" si="252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3"/>
        <v>557</v>
      </c>
      <c r="AZ118" s="5" t="str">
        <f t="shared" ca="1" si="254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5"/>
        <v>486</v>
      </c>
      <c r="BE118" s="5" t="str">
        <f t="shared" ca="1" si="256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7"/>
        <v>553</v>
      </c>
      <c r="BJ118" s="5" t="str">
        <f t="shared" ca="1" si="258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9"/>
        <v>641</v>
      </c>
      <c r="BO118" s="5" t="str">
        <f t="shared" ca="1" si="260"/>
        <v>VIGENTE</v>
      </c>
      <c r="BP118" s="3"/>
      <c r="BQ118" s="39">
        <v>46069</v>
      </c>
      <c r="BR118" s="4">
        <f>DATE(YEAR(BQ118)+2,MONTH(BQ118),DAY(BQ118))</f>
        <v>46799</v>
      </c>
      <c r="BS118" s="8">
        <f t="shared" ca="1" si="261"/>
        <v>654</v>
      </c>
      <c r="BT118" s="5" t="str">
        <f t="shared" ca="1" si="262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3"/>
        <v>466</v>
      </c>
      <c r="BY118" s="5" t="str">
        <f t="shared" ca="1" si="264"/>
        <v>VIGENTE</v>
      </c>
      <c r="BZ118" s="3"/>
      <c r="CA118" s="4">
        <v>45986</v>
      </c>
      <c r="CB118" s="4">
        <f t="shared" si="423"/>
        <v>46716</v>
      </c>
      <c r="CC118" s="8">
        <f t="shared" ca="1" si="265"/>
        <v>571</v>
      </c>
      <c r="CD118" s="5" t="str">
        <f t="shared" ca="1" si="266"/>
        <v>VIGENTE</v>
      </c>
      <c r="CE118" s="6"/>
      <c r="CF118" s="4">
        <v>45301</v>
      </c>
      <c r="CG118" s="4">
        <f t="shared" si="416"/>
        <v>46762</v>
      </c>
      <c r="CH118" s="8">
        <f t="shared" ca="1" si="417"/>
        <v>617</v>
      </c>
      <c r="CI118" s="5" t="str">
        <f t="shared" ca="1" si="418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0"/>
        <v>514</v>
      </c>
      <c r="CN118" s="5" t="str">
        <f t="shared" ca="1" si="271"/>
        <v>VIGENTE</v>
      </c>
      <c r="CO118" s="3"/>
      <c r="CP118" s="39">
        <v>45898</v>
      </c>
      <c r="CQ118" s="4">
        <f>DATE(YEAR(CP118)+2,MONTH(CP118),DAY(CP118))</f>
        <v>46628</v>
      </c>
      <c r="CR118" s="8">
        <f t="shared" ca="1" si="272"/>
        <v>483</v>
      </c>
      <c r="CS118" s="5" t="str">
        <f t="shared" ca="1" si="273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4"/>
        <v>223</v>
      </c>
      <c r="CX118" s="5" t="str">
        <f t="shared" ca="1" si="275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6"/>
        <v>249</v>
      </c>
      <c r="DC118" s="5" t="str">
        <f t="shared" ca="1" si="277"/>
        <v>VIGENTE</v>
      </c>
      <c r="DD118" s="3"/>
      <c r="DE118" s="39">
        <v>45689</v>
      </c>
      <c r="DF118" s="4">
        <f>DATE(YEAR(DE118)+2,MONTH(DE118),DAY(DE118)-1)</f>
        <v>46418</v>
      </c>
      <c r="DG118" s="8">
        <f t="shared" ca="1" si="278"/>
        <v>273</v>
      </c>
      <c r="DH118" s="5" t="str">
        <f t="shared" ca="1" si="279"/>
        <v>VIGENTE</v>
      </c>
      <c r="DI118" s="3"/>
      <c r="DJ118" s="39">
        <v>45955</v>
      </c>
      <c r="DK118" s="4">
        <f>DATE(YEAR(DJ118)+2,MONTH(DJ118),DAY(DJ118))</f>
        <v>46685</v>
      </c>
      <c r="DL118" s="8">
        <f t="shared" ca="1" si="280"/>
        <v>540</v>
      </c>
      <c r="DM118" s="5" t="str">
        <f t="shared" ca="1" si="281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2"/>
        <v>117</v>
      </c>
      <c r="DR118" s="5" t="str">
        <f t="shared" ca="1" si="283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4"/>
        <v>437</v>
      </c>
      <c r="DW118" s="5" t="str">
        <f t="shared" ca="1" si="285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6"/>
        <v>519</v>
      </c>
      <c r="EB118" s="5" t="str">
        <f t="shared" ca="1" si="287"/>
        <v>VIGENTE</v>
      </c>
      <c r="EC118" s="3"/>
      <c r="ED118" s="39">
        <v>46112</v>
      </c>
      <c r="EE118" s="4">
        <f>DATE(YEAR(ED118)+2,MONTH(ED118),DAY(ED118)-1)</f>
        <v>46842</v>
      </c>
      <c r="EF118" s="8">
        <f t="shared" ca="1" si="288"/>
        <v>697</v>
      </c>
      <c r="EG118" s="5" t="str">
        <f t="shared" ca="1" si="289"/>
        <v>VIGENTE</v>
      </c>
      <c r="EH118" s="3"/>
      <c r="EI118" s="4">
        <v>45948</v>
      </c>
      <c r="EJ118" s="4">
        <f t="shared" si="355"/>
        <v>46313</v>
      </c>
      <c r="EK118" s="8">
        <f t="shared" ca="1" si="290"/>
        <v>168</v>
      </c>
      <c r="EL118" s="5" t="str">
        <f t="shared" ca="1" si="291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2"/>
        <v>44</v>
      </c>
      <c r="EQ118" s="5" t="str">
        <f t="shared" ca="1" si="293"/>
        <v>POR VENCER</v>
      </c>
      <c r="ER118" s="3"/>
      <c r="ES118" s="39">
        <v>45999</v>
      </c>
      <c r="ET118" s="4">
        <f>DATE(YEAR(ES118)+2,MONTH(ES118),DAY(ES118))</f>
        <v>46729</v>
      </c>
      <c r="EU118" s="8">
        <f t="shared" ca="1" si="294"/>
        <v>584</v>
      </c>
      <c r="EV118" s="5" t="str">
        <f t="shared" ca="1" si="295"/>
        <v>VIGENTE</v>
      </c>
      <c r="EW118" s="3"/>
      <c r="EX118" s="4">
        <v>46037</v>
      </c>
      <c r="EY118" s="4">
        <f t="shared" si="424"/>
        <v>46767</v>
      </c>
      <c r="EZ118" s="8">
        <f t="shared" ca="1" si="296"/>
        <v>622</v>
      </c>
      <c r="FA118" s="5" t="str">
        <f t="shared" ca="1" si="297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8"/>
        <v>536</v>
      </c>
      <c r="FF118" s="5" t="str">
        <f t="shared" ca="1" si="299"/>
        <v>VIGENTE</v>
      </c>
      <c r="FG118" s="3"/>
      <c r="FH118" s="4">
        <v>45919</v>
      </c>
      <c r="FI118" s="4">
        <f t="shared" si="425"/>
        <v>46649</v>
      </c>
      <c r="FJ118" s="8">
        <f t="shared" ca="1" si="300"/>
        <v>504</v>
      </c>
      <c r="FK118" s="5" t="str">
        <f t="shared" ca="1" si="301"/>
        <v>VIGENTE</v>
      </c>
      <c r="FL118" s="3"/>
      <c r="FM118" s="39">
        <v>45964</v>
      </c>
      <c r="FN118" s="4">
        <f>DATE(YEAR(FM118)+2,MONTH(FM118),DAY(FM118))</f>
        <v>46694</v>
      </c>
      <c r="FO118" s="8">
        <f t="shared" ca="1" si="302"/>
        <v>549</v>
      </c>
      <c r="FP118" s="5" t="str">
        <f t="shared" ca="1" si="303"/>
        <v>VIGENTE</v>
      </c>
      <c r="FQ118" s="3"/>
      <c r="FR118" s="39">
        <v>45957</v>
      </c>
      <c r="FS118" s="4">
        <f>DATE(YEAR(FR118)+2,MONTH(FR118),DAY(FR118))</f>
        <v>46687</v>
      </c>
      <c r="FT118" s="8">
        <f t="shared" ca="1" si="304"/>
        <v>542</v>
      </c>
      <c r="FU118" s="5" t="str">
        <f t="shared" ca="1" si="305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6"/>
        <v>599</v>
      </c>
      <c r="FZ118" s="5" t="str">
        <f t="shared" ca="1" si="307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8"/>
        <v>588</v>
      </c>
      <c r="GE118" s="5" t="str">
        <f t="shared" ca="1" si="309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0"/>
        <v>497</v>
      </c>
      <c r="GJ118" s="5" t="str">
        <f t="shared" ca="1" si="311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2"/>
        <v>530</v>
      </c>
      <c r="GO118" s="5" t="str">
        <f t="shared" ca="1" si="313"/>
        <v>VIGENTE</v>
      </c>
      <c r="GP118" s="4"/>
      <c r="GQ118" s="4">
        <v>45459</v>
      </c>
      <c r="GR118" s="4">
        <f t="shared" si="314"/>
        <v>47285</v>
      </c>
      <c r="GS118" s="8">
        <f t="shared" ca="1" si="405"/>
        <v>1140</v>
      </c>
      <c r="GT118" s="5" t="str">
        <f t="shared" ca="1" si="419"/>
        <v>VIGENTE</v>
      </c>
      <c r="GU118" s="3"/>
      <c r="GV118" s="4">
        <v>45464</v>
      </c>
      <c r="GW118" s="4">
        <f t="shared" si="316"/>
        <v>47290</v>
      </c>
      <c r="GX118" s="8">
        <f t="shared" ca="1" si="317"/>
        <v>1145</v>
      </c>
      <c r="GY118" s="5" t="str">
        <f t="shared" ca="1" si="426"/>
        <v>VIGENTE</v>
      </c>
      <c r="GZ118" s="3"/>
      <c r="HA118" s="4">
        <v>45466</v>
      </c>
      <c r="HB118" s="4">
        <f t="shared" si="319"/>
        <v>47292</v>
      </c>
      <c r="HC118" s="8">
        <f t="shared" ca="1" si="320"/>
        <v>1147</v>
      </c>
      <c r="HD118" s="5" t="str">
        <f t="shared" ca="1" si="421"/>
        <v>VIGENTE</v>
      </c>
      <c r="HE118" s="6"/>
      <c r="HF118" s="4">
        <v>44865</v>
      </c>
      <c r="HG118" s="4">
        <f t="shared" si="406"/>
        <v>46691</v>
      </c>
      <c r="HH118" s="8">
        <f t="shared" ca="1" si="407"/>
        <v>546</v>
      </c>
      <c r="HI118" s="5" t="str">
        <f t="shared" ca="1" si="427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9"/>
        <v>VIGENTE</v>
      </c>
      <c r="HO118" s="2"/>
      <c r="HP118" s="2"/>
      <c r="HQ118" s="4"/>
      <c r="HR118" s="2"/>
      <c r="HS118" s="5" t="str">
        <f t="shared" si="322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3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4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5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6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7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8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9"/>
        <v>VIGENTE</v>
      </c>
      <c r="JC118" s="3" t="s">
        <v>780</v>
      </c>
      <c r="JD118" s="3"/>
      <c r="JE118" s="4"/>
      <c r="JF118" s="8"/>
      <c r="JG118" s="5"/>
      <c r="JH118" s="3" t="s">
        <v>780</v>
      </c>
      <c r="JI118" s="6"/>
      <c r="JJ118" s="6"/>
      <c r="JK118" s="6"/>
      <c r="JL118" s="5"/>
      <c r="JM118" s="6" t="s">
        <v>780</v>
      </c>
      <c r="JN118" s="6"/>
      <c r="JO118" s="6"/>
      <c r="JP118" s="6"/>
      <c r="JQ118" s="5"/>
      <c r="JR118" s="6" t="s">
        <v>780</v>
      </c>
      <c r="JS118" s="6"/>
      <c r="JT118" s="6"/>
      <c r="JU118" s="6"/>
      <c r="JV118" s="5"/>
      <c r="JW118" s="6" t="s">
        <v>780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30"/>
        <v>NO APLICA</v>
      </c>
      <c r="KG118" s="5"/>
      <c r="KH118" s="2"/>
      <c r="KI118" s="4"/>
      <c r="KJ118" s="8"/>
      <c r="KK118" s="5" t="str">
        <f t="shared" si="356"/>
        <v>NO APLICA</v>
      </c>
      <c r="KL118" s="5"/>
      <c r="KM118" s="2"/>
      <c r="KN118" s="4"/>
      <c r="KO118" s="8"/>
      <c r="KP118" s="5" t="str">
        <f t="shared" si="331"/>
        <v>NO APLICA</v>
      </c>
      <c r="KQ118" s="5"/>
      <c r="KR118" s="2"/>
      <c r="KS118" s="4"/>
      <c r="KT118" s="8"/>
      <c r="KU118" s="5" t="str">
        <f t="shared" si="357"/>
        <v>NO APLICA</v>
      </c>
      <c r="KV118" s="2"/>
      <c r="KW118" s="6"/>
      <c r="KX118" s="4"/>
      <c r="KY118" s="8"/>
      <c r="KZ118" s="5" t="str">
        <f t="shared" si="366"/>
        <v>NO APLICA</v>
      </c>
      <c r="LA118" s="5"/>
      <c r="LB118" s="6"/>
      <c r="LC118" s="4"/>
      <c r="LD118" s="8"/>
      <c r="LE118" s="5" t="str">
        <f t="shared" si="358"/>
        <v>NO APLICA</v>
      </c>
      <c r="LF118" s="6"/>
      <c r="LG118" s="4"/>
      <c r="LH118" s="4"/>
      <c r="LI118" s="8"/>
      <c r="LJ118" s="5" t="str">
        <f t="shared" si="332"/>
        <v>NO APLICA</v>
      </c>
      <c r="LK118" s="5"/>
      <c r="LL118" s="5"/>
      <c r="LM118" s="4"/>
      <c r="LN118" s="8"/>
      <c r="LO118" s="5" t="str">
        <f t="shared" si="367"/>
        <v>NO APLICA</v>
      </c>
      <c r="LP118" s="2"/>
      <c r="LQ118" s="6"/>
      <c r="LR118" s="4"/>
      <c r="LS118" s="8"/>
      <c r="LT118" s="5" t="str">
        <f t="shared" si="359"/>
        <v>NO APLICA</v>
      </c>
      <c r="LU118" s="6"/>
      <c r="LV118" s="6"/>
      <c r="LW118" s="4"/>
      <c r="LX118" s="8"/>
      <c r="LY118" s="5" t="str">
        <f t="shared" si="360"/>
        <v>NO APLICA</v>
      </c>
      <c r="LZ118" s="6"/>
      <c r="MA118" s="6"/>
      <c r="MB118" s="4"/>
      <c r="MC118" s="8"/>
      <c r="MD118" s="5" t="str">
        <f t="shared" si="361"/>
        <v>NO APLICA</v>
      </c>
      <c r="ME118" s="2"/>
      <c r="MF118" s="2"/>
      <c r="MG118" s="4"/>
      <c r="MH118" s="8"/>
      <c r="MI118" s="5" t="str">
        <f t="shared" si="333"/>
        <v>NO APLICA</v>
      </c>
      <c r="MJ118" s="2"/>
      <c r="MK118" s="2"/>
      <c r="ML118" s="4"/>
      <c r="MM118" s="8"/>
      <c r="MN118" s="5" t="str">
        <f t="shared" si="334"/>
        <v>NO APLICA</v>
      </c>
      <c r="MO118" s="5"/>
      <c r="MP118" s="2"/>
      <c r="MQ118" s="4"/>
      <c r="MR118" s="8"/>
      <c r="MS118" s="5" t="str">
        <f t="shared" si="335"/>
        <v>NO APLICA</v>
      </c>
      <c r="MT118" s="5"/>
      <c r="MU118" s="2"/>
      <c r="MV118" s="4"/>
      <c r="MW118" s="2"/>
      <c r="MX118" s="5" t="str">
        <f t="shared" si="336"/>
        <v>NO APLICA</v>
      </c>
      <c r="MY118" s="2"/>
      <c r="MZ118" s="6"/>
      <c r="NA118" s="4"/>
      <c r="NB118" s="8"/>
      <c r="NC118" s="5" t="str">
        <f t="shared" si="337"/>
        <v>NO APLICA</v>
      </c>
      <c r="ND118" s="2"/>
      <c r="NE118" s="6"/>
      <c r="NF118" s="4"/>
      <c r="NG118" s="8"/>
      <c r="NH118" s="5" t="str">
        <f t="shared" si="338"/>
        <v>NO APLICA</v>
      </c>
      <c r="NI118" s="2"/>
      <c r="NJ118" s="6"/>
      <c r="NK118" s="4"/>
      <c r="NL118" s="8"/>
      <c r="NM118" s="5" t="str">
        <f t="shared" si="339"/>
        <v>NO APLICA</v>
      </c>
      <c r="NN118" s="2"/>
      <c r="NO118" s="2"/>
      <c r="NP118" s="4"/>
      <c r="NQ118" s="2"/>
      <c r="NR118" s="5" t="str">
        <f t="shared" si="340"/>
        <v>NO APLICA</v>
      </c>
      <c r="NS118" s="2"/>
      <c r="NT118" s="2"/>
      <c r="NU118" s="4"/>
      <c r="NV118" s="2"/>
      <c r="NW118" s="5" t="str">
        <f t="shared" si="341"/>
        <v>NO APLICA</v>
      </c>
      <c r="NX118" s="6"/>
      <c r="NY118" s="6"/>
      <c r="NZ118" s="4"/>
      <c r="OA118" s="8"/>
      <c r="OB118" s="5" t="str">
        <f t="shared" si="342"/>
        <v>NO APLICA</v>
      </c>
      <c r="OC118" s="6"/>
      <c r="OD118" s="6"/>
      <c r="OE118" s="6"/>
      <c r="OF118" s="6"/>
      <c r="OG118" s="5" t="str">
        <f t="shared" si="343"/>
        <v>NO APLICA</v>
      </c>
      <c r="OH118" s="6"/>
      <c r="OI118" s="6"/>
      <c r="OJ118" s="4"/>
      <c r="OK118" s="8"/>
      <c r="OL118" s="5" t="str">
        <f t="shared" si="344"/>
        <v>NO APLICA</v>
      </c>
      <c r="OM118" s="6"/>
      <c r="ON118" s="6"/>
      <c r="OO118" s="6"/>
      <c r="OP118" s="6"/>
      <c r="OQ118" s="5" t="str">
        <f t="shared" si="345"/>
        <v>NO APLICA</v>
      </c>
      <c r="OR118" s="6"/>
      <c r="OS118" s="6"/>
      <c r="OT118" s="6"/>
      <c r="OU118" s="6"/>
      <c r="OV118" s="5" t="str">
        <f t="shared" si="346"/>
        <v>NO APLICA</v>
      </c>
      <c r="OW118" s="6"/>
      <c r="OX118" s="6"/>
      <c r="OY118" s="6"/>
      <c r="OZ118" s="6"/>
      <c r="PA118" s="5" t="str">
        <f t="shared" si="347"/>
        <v>NO APLICA</v>
      </c>
      <c r="PB118" s="6"/>
      <c r="PC118" s="6"/>
      <c r="PD118" s="6"/>
      <c r="PE118" s="6"/>
      <c r="PF118" s="5" t="str">
        <f t="shared" si="348"/>
        <v>NO APLICA</v>
      </c>
      <c r="PG118" s="6"/>
      <c r="PH118" s="6"/>
      <c r="PI118" s="6"/>
      <c r="PJ118" s="6"/>
      <c r="PK118" s="5" t="str">
        <f t="shared" si="349"/>
        <v>NO APLICA</v>
      </c>
      <c r="PL118" s="5"/>
      <c r="PM118" s="6"/>
      <c r="PN118" s="4"/>
      <c r="PO118" s="8"/>
      <c r="PP118" s="5" t="str">
        <f t="shared" si="350"/>
        <v>NO APLICA</v>
      </c>
      <c r="PQ118" s="6"/>
      <c r="PR118" s="6"/>
      <c r="PS118" s="6"/>
      <c r="PT118" s="6"/>
      <c r="PU118" s="5" t="str">
        <f t="shared" si="351"/>
        <v>NO APLICA</v>
      </c>
      <c r="PV118" s="5"/>
      <c r="PW118" s="6"/>
      <c r="PX118" s="6"/>
      <c r="PY118" s="6"/>
      <c r="PZ118" s="5" t="str">
        <f t="shared" si="352"/>
        <v>NO APLICA</v>
      </c>
    </row>
    <row r="119" spans="1:442" ht="15.6" hidden="1" thickTop="1" thickBot="1" x14ac:dyDescent="0.35">
      <c r="A119" s="26">
        <v>116</v>
      </c>
      <c r="B119" s="27">
        <v>1046</v>
      </c>
      <c r="C119" s="28" t="s">
        <v>398</v>
      </c>
      <c r="D119" s="29" t="s">
        <v>113</v>
      </c>
      <c r="E119" s="30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2"/>
        <v>VIGENTE</v>
      </c>
      <c r="K119" s="2"/>
      <c r="L119" s="6"/>
      <c r="M119" s="6"/>
      <c r="N119" s="8"/>
      <c r="O119" s="5" t="str">
        <f t="shared" si="243"/>
        <v>NO APLICA</v>
      </c>
      <c r="P119" s="6"/>
      <c r="Q119" s="6"/>
      <c r="R119" s="4"/>
      <c r="S119" s="8"/>
      <c r="T119" s="5" t="str">
        <f t="shared" si="353"/>
        <v>NO APLICA</v>
      </c>
      <c r="U119" s="5"/>
      <c r="V119" s="2" t="s">
        <v>399</v>
      </c>
      <c r="W119" s="4">
        <v>44786</v>
      </c>
      <c r="X119" s="4">
        <f t="shared" si="410"/>
        <v>46612</v>
      </c>
      <c r="Y119" s="8">
        <f t="shared" ca="1" si="411"/>
        <v>467</v>
      </c>
      <c r="Z119" s="5" t="str">
        <f t="shared" ca="1" si="412"/>
        <v>VIGENTE</v>
      </c>
      <c r="AA119" s="5"/>
      <c r="AB119" s="2"/>
      <c r="AC119" s="6"/>
      <c r="AD119" s="4"/>
      <c r="AE119" s="8"/>
      <c r="AF119" s="5" t="str">
        <f t="shared" si="247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8"/>
        <v>477</v>
      </c>
      <c r="AK119" s="5" t="str">
        <f t="shared" ca="1" si="408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9"/>
        <v>647</v>
      </c>
      <c r="AP119" s="5" t="str">
        <f t="shared" ca="1" si="250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1"/>
        <v>633</v>
      </c>
      <c r="AU119" s="5" t="str">
        <f t="shared" ca="1" si="252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3"/>
        <v>512</v>
      </c>
      <c r="AZ119" s="5" t="str">
        <f t="shared" ca="1" si="254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5"/>
        <v>326</v>
      </c>
      <c r="BE119" s="5" t="str">
        <f t="shared" ca="1" si="256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7"/>
        <v>282</v>
      </c>
      <c r="BJ119" s="5" t="str">
        <f t="shared" ca="1" si="258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9"/>
        <v>676</v>
      </c>
      <c r="BO119" s="5" t="str">
        <f t="shared" ca="1" si="260"/>
        <v>VIGENTE</v>
      </c>
      <c r="BP119" s="3"/>
      <c r="BQ119" s="39">
        <v>46050</v>
      </c>
      <c r="BR119" s="4">
        <f>DATE(YEAR(BQ119)+2,MONTH(BQ119),DAY(BQ119))</f>
        <v>46780</v>
      </c>
      <c r="BS119" s="8">
        <f t="shared" ca="1" si="261"/>
        <v>635</v>
      </c>
      <c r="BT119" s="5" t="str">
        <f t="shared" ca="1" si="262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3"/>
        <v>320</v>
      </c>
      <c r="BY119" s="5" t="str">
        <f t="shared" ca="1" si="264"/>
        <v>VIGENTE</v>
      </c>
      <c r="BZ119" s="3"/>
      <c r="CA119" s="4">
        <v>46065</v>
      </c>
      <c r="CB119" s="4">
        <f t="shared" si="423"/>
        <v>46795</v>
      </c>
      <c r="CC119" s="8">
        <f t="shared" ca="1" si="265"/>
        <v>650</v>
      </c>
      <c r="CD119" s="5" t="str">
        <f t="shared" ca="1" si="266"/>
        <v>VIGENTE</v>
      </c>
      <c r="CE119" s="6"/>
      <c r="CF119" s="4">
        <v>45616</v>
      </c>
      <c r="CG119" s="4">
        <f t="shared" si="416"/>
        <v>47077</v>
      </c>
      <c r="CH119" s="8">
        <f t="shared" ca="1" si="417"/>
        <v>932</v>
      </c>
      <c r="CI119" s="5" t="str">
        <f t="shared" ca="1" si="418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0"/>
        <v>272</v>
      </c>
      <c r="CN119" s="5" t="str">
        <f t="shared" ca="1" si="271"/>
        <v>VIGENTE</v>
      </c>
      <c r="CO119" s="3"/>
      <c r="CP119" s="39">
        <v>45769</v>
      </c>
      <c r="CQ119" s="4">
        <f>DATE(YEAR(CP119)+2,MONTH(CP119),DAY(CP119))</f>
        <v>46499</v>
      </c>
      <c r="CR119" s="8">
        <f t="shared" ca="1" si="272"/>
        <v>354</v>
      </c>
      <c r="CS119" s="5" t="str">
        <f t="shared" ca="1" si="273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4"/>
        <v>628</v>
      </c>
      <c r="CX119" s="5" t="str">
        <f t="shared" ca="1" si="275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6"/>
        <v>613</v>
      </c>
      <c r="DC119" s="5" t="str">
        <f t="shared" ca="1" si="277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8"/>
        <v>651</v>
      </c>
      <c r="DH119" s="5" t="str">
        <f t="shared" ca="1" si="279"/>
        <v>VIGENTE</v>
      </c>
      <c r="DI119" s="3"/>
      <c r="DJ119" s="39">
        <v>46029</v>
      </c>
      <c r="DK119" s="4">
        <f>DATE(YEAR(DJ119)+2,MONTH(DJ119),DAY(DJ119))</f>
        <v>46759</v>
      </c>
      <c r="DL119" s="8">
        <f t="shared" ca="1" si="280"/>
        <v>614</v>
      </c>
      <c r="DM119" s="5" t="str">
        <f t="shared" ca="1" si="281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2"/>
        <v>631</v>
      </c>
      <c r="DR119" s="5" t="str">
        <f t="shared" ca="1" si="283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4"/>
        <v>269</v>
      </c>
      <c r="DW119" s="5" t="str">
        <f t="shared" ca="1" si="285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6"/>
        <v>247</v>
      </c>
      <c r="EB119" s="5" t="str">
        <f t="shared" ca="1" si="287"/>
        <v>VIGENTE</v>
      </c>
      <c r="EC119" s="3"/>
      <c r="ED119" s="39">
        <v>45674</v>
      </c>
      <c r="EE119" s="4">
        <f>DATE(YEAR(ED119)+2,MONTH(ED119),DAY(ED119)-1)</f>
        <v>46403</v>
      </c>
      <c r="EF119" s="8">
        <f t="shared" ca="1" si="288"/>
        <v>258</v>
      </c>
      <c r="EG119" s="5" t="str">
        <f t="shared" ca="1" si="289"/>
        <v>VIGENTE</v>
      </c>
      <c r="EH119" s="3"/>
      <c r="EI119" s="3">
        <v>46085</v>
      </c>
      <c r="EJ119" s="4">
        <f t="shared" si="355"/>
        <v>46450</v>
      </c>
      <c r="EK119" s="8">
        <f t="shared" ca="1" si="290"/>
        <v>305</v>
      </c>
      <c r="EL119" s="5" t="str">
        <f t="shared" ca="1" si="291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2"/>
        <v>49</v>
      </c>
      <c r="EQ119" s="5" t="str">
        <f t="shared" ca="1" si="293"/>
        <v>POR VENCER</v>
      </c>
      <c r="ER119" s="2"/>
      <c r="ES119" s="39">
        <v>45735</v>
      </c>
      <c r="ET119" s="4">
        <f>DATE(YEAR(ES119)+2,MONTH(ES119),DAY(ES119)-1)</f>
        <v>46464</v>
      </c>
      <c r="EU119" s="8">
        <f t="shared" ca="1" si="294"/>
        <v>319</v>
      </c>
      <c r="EV119" s="5" t="str">
        <f t="shared" ca="1" si="295"/>
        <v>VIGENTE</v>
      </c>
      <c r="EW119" s="3"/>
      <c r="EX119" s="4">
        <v>45917</v>
      </c>
      <c r="EY119" s="4">
        <f t="shared" si="424"/>
        <v>46647</v>
      </c>
      <c r="EZ119" s="8">
        <f t="shared" ca="1" si="296"/>
        <v>502</v>
      </c>
      <c r="FA119" s="5" t="str">
        <f t="shared" ca="1" si="297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8"/>
        <v>677</v>
      </c>
      <c r="FF119" s="5" t="str">
        <f t="shared" ca="1" si="299"/>
        <v>VIGENTE</v>
      </c>
      <c r="FG119" s="3"/>
      <c r="FH119" s="4">
        <v>46074</v>
      </c>
      <c r="FI119" s="4">
        <f t="shared" si="425"/>
        <v>46804</v>
      </c>
      <c r="FJ119" s="8">
        <f t="shared" ca="1" si="300"/>
        <v>659</v>
      </c>
      <c r="FK119" s="5" t="str">
        <f t="shared" ca="1" si="301"/>
        <v>VIGENTE</v>
      </c>
      <c r="FL119" s="3"/>
      <c r="FM119" s="39">
        <v>45670</v>
      </c>
      <c r="FN119" s="4">
        <f>DATE(YEAR(FM119)+2,MONTH(FM119),DAY(FM119)-1)</f>
        <v>46399</v>
      </c>
      <c r="FO119" s="8">
        <f t="shared" ca="1" si="302"/>
        <v>254</v>
      </c>
      <c r="FP119" s="5" t="str">
        <f t="shared" ca="1" si="303"/>
        <v>VIGENTE</v>
      </c>
      <c r="FQ119" s="3"/>
      <c r="FR119" s="39">
        <v>45466</v>
      </c>
      <c r="FS119" s="4">
        <f>DATE(YEAR(FR119)+2,MONTH(FR119),DAY(FR119)-1)</f>
        <v>46195</v>
      </c>
      <c r="FT119" s="8">
        <f t="shared" ca="1" si="304"/>
        <v>50</v>
      </c>
      <c r="FU119" s="5" t="str">
        <f t="shared" ca="1" si="305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6"/>
        <v>673</v>
      </c>
      <c r="FZ119" s="5" t="str">
        <f t="shared" ca="1" si="307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8"/>
        <v>251</v>
      </c>
      <c r="GE119" s="5" t="str">
        <f t="shared" ca="1" si="309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0"/>
        <v>678</v>
      </c>
      <c r="GJ119" s="5" t="str">
        <f t="shared" ca="1" si="311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2"/>
        <v>192</v>
      </c>
      <c r="GO119" s="5" t="str">
        <f t="shared" ca="1" si="313"/>
        <v>VIGENTE</v>
      </c>
      <c r="GP119" s="4"/>
      <c r="GQ119" s="4">
        <v>45017</v>
      </c>
      <c r="GR119" s="4">
        <f t="shared" si="314"/>
        <v>46844</v>
      </c>
      <c r="GS119" s="8">
        <f t="shared" ca="1" si="405"/>
        <v>699</v>
      </c>
      <c r="GT119" s="5" t="str">
        <f t="shared" ca="1" si="419"/>
        <v>VIGENTE</v>
      </c>
      <c r="GU119" s="3"/>
      <c r="GV119" s="4">
        <v>44961</v>
      </c>
      <c r="GW119" s="4">
        <f t="shared" si="316"/>
        <v>46787</v>
      </c>
      <c r="GX119" s="8">
        <f t="shared" ca="1" si="317"/>
        <v>642</v>
      </c>
      <c r="GY119" s="5" t="str">
        <f t="shared" ca="1" si="426"/>
        <v>VIGENTE</v>
      </c>
      <c r="GZ119" s="2"/>
      <c r="HA119" s="4">
        <v>45073</v>
      </c>
      <c r="HB119" s="4">
        <f t="shared" si="319"/>
        <v>46900</v>
      </c>
      <c r="HC119" s="8">
        <f t="shared" ca="1" si="320"/>
        <v>755</v>
      </c>
      <c r="HD119" s="5" t="str">
        <f t="shared" ca="1" si="421"/>
        <v>VIGENTE</v>
      </c>
      <c r="HE119" s="6"/>
      <c r="HF119" s="6"/>
      <c r="HG119" s="4"/>
      <c r="HH119" s="8"/>
      <c r="HI119" s="5" t="str">
        <f t="shared" si="427"/>
        <v>NO APLICA</v>
      </c>
      <c r="HJ119" s="2"/>
      <c r="HK119" s="6"/>
      <c r="HL119" s="4"/>
      <c r="HM119" s="8"/>
      <c r="HN119" s="5" t="str">
        <f t="shared" si="409"/>
        <v>NO APLICA</v>
      </c>
      <c r="HO119" s="2"/>
      <c r="HP119" s="2"/>
      <c r="HQ119" s="4"/>
      <c r="HR119" s="2"/>
      <c r="HS119" s="5" t="str">
        <f t="shared" si="322"/>
        <v>NO APLICA</v>
      </c>
      <c r="HT119" s="2"/>
      <c r="HU119" s="6"/>
      <c r="HV119" s="4"/>
      <c r="HW119" s="8"/>
      <c r="HX119" s="5" t="str">
        <f t="shared" si="323"/>
        <v>NO APLICA</v>
      </c>
      <c r="HY119" s="2"/>
      <c r="HZ119" s="6"/>
      <c r="IA119" s="4"/>
      <c r="IB119" s="8"/>
      <c r="IC119" s="5" t="str">
        <f t="shared" si="324"/>
        <v>NO APLICA</v>
      </c>
      <c r="ID119" s="2"/>
      <c r="IE119" s="6"/>
      <c r="IF119" s="4"/>
      <c r="IG119" s="8"/>
      <c r="IH119" s="5" t="str">
        <f t="shared" si="325"/>
        <v>NO APLICA</v>
      </c>
      <c r="II119" s="6"/>
      <c r="IJ119" s="6"/>
      <c r="IK119" s="4"/>
      <c r="IL119" s="8"/>
      <c r="IM119" s="5" t="str">
        <f t="shared" si="326"/>
        <v>NO APLICA</v>
      </c>
      <c r="IN119" s="2"/>
      <c r="IO119" s="6"/>
      <c r="IP119" s="4"/>
      <c r="IQ119" s="8"/>
      <c r="IR119" s="5" t="str">
        <f t="shared" si="327"/>
        <v>NO APLICA</v>
      </c>
      <c r="IS119" s="2"/>
      <c r="IT119" s="6"/>
      <c r="IU119" s="4"/>
      <c r="IV119" s="8"/>
      <c r="IW119" s="5" t="str">
        <f t="shared" si="328"/>
        <v>NO APLICA</v>
      </c>
      <c r="IX119" s="2"/>
      <c r="IY119" s="6"/>
      <c r="IZ119" s="4"/>
      <c r="JA119" s="8"/>
      <c r="JB119" s="5" t="str">
        <f t="shared" si="329"/>
        <v>NO APLICA</v>
      </c>
      <c r="JC119" s="3" t="s">
        <v>780</v>
      </c>
      <c r="JD119" s="3"/>
      <c r="JE119" s="4"/>
      <c r="JF119" s="8"/>
      <c r="JG119" s="5"/>
      <c r="JH119" s="3" t="s">
        <v>780</v>
      </c>
      <c r="JI119" s="6"/>
      <c r="JJ119" s="6"/>
      <c r="JK119" s="6"/>
      <c r="JL119" s="5"/>
      <c r="JM119" s="6" t="s">
        <v>780</v>
      </c>
      <c r="JN119" s="6"/>
      <c r="JO119" s="6"/>
      <c r="JP119" s="6"/>
      <c r="JQ119" s="5"/>
      <c r="JR119" s="6" t="s">
        <v>780</v>
      </c>
      <c r="JS119" s="6"/>
      <c r="JT119" s="6"/>
      <c r="JU119" s="6"/>
      <c r="JV119" s="5"/>
      <c r="JW119" s="6" t="s">
        <v>780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30"/>
        <v>NO APLICA</v>
      </c>
      <c r="KG119" s="5"/>
      <c r="KH119" s="2"/>
      <c r="KI119" s="4"/>
      <c r="KJ119" s="8"/>
      <c r="KK119" s="5" t="str">
        <f t="shared" si="356"/>
        <v>NO APLICA</v>
      </c>
      <c r="KL119" s="5"/>
      <c r="KM119" s="2"/>
      <c r="KN119" s="4"/>
      <c r="KO119" s="8"/>
      <c r="KP119" s="5" t="str">
        <f t="shared" si="331"/>
        <v>NO APLICA</v>
      </c>
      <c r="KQ119" s="5"/>
      <c r="KR119" s="2"/>
      <c r="KS119" s="4"/>
      <c r="KT119" s="8"/>
      <c r="KU119" s="5" t="str">
        <f t="shared" si="357"/>
        <v>NO APLICA</v>
      </c>
      <c r="KV119" s="2"/>
      <c r="KW119" s="6"/>
      <c r="KX119" s="4"/>
      <c r="KY119" s="8"/>
      <c r="KZ119" s="5" t="str">
        <f t="shared" si="366"/>
        <v>NO APLICA</v>
      </c>
      <c r="LA119" s="5"/>
      <c r="LB119" s="6"/>
      <c r="LC119" s="4"/>
      <c r="LD119" s="8"/>
      <c r="LE119" s="5" t="str">
        <f t="shared" si="358"/>
        <v>NO APLICA</v>
      </c>
      <c r="LF119" s="6"/>
      <c r="LG119" s="6"/>
      <c r="LH119" s="4"/>
      <c r="LI119" s="8"/>
      <c r="LJ119" s="5" t="str">
        <f t="shared" si="332"/>
        <v>NO APLICA</v>
      </c>
      <c r="LK119" s="5"/>
      <c r="LL119" s="5"/>
      <c r="LM119" s="4"/>
      <c r="LN119" s="8"/>
      <c r="LO119" s="5" t="str">
        <f t="shared" si="367"/>
        <v>NO APLICA</v>
      </c>
      <c r="LP119" s="2"/>
      <c r="LQ119" s="6"/>
      <c r="LR119" s="4"/>
      <c r="LS119" s="8"/>
      <c r="LT119" s="5" t="str">
        <f t="shared" si="359"/>
        <v>NO APLICA</v>
      </c>
      <c r="LU119" s="6"/>
      <c r="LV119" s="6"/>
      <c r="LW119" s="4"/>
      <c r="LX119" s="8"/>
      <c r="LY119" s="5" t="str">
        <f t="shared" si="360"/>
        <v>NO APLICA</v>
      </c>
      <c r="LZ119" s="6"/>
      <c r="MA119" s="6"/>
      <c r="MB119" s="4"/>
      <c r="MC119" s="8"/>
      <c r="MD119" s="5" t="str">
        <f t="shared" si="361"/>
        <v>NO APLICA</v>
      </c>
      <c r="ME119" s="2"/>
      <c r="MF119" s="2"/>
      <c r="MG119" s="4"/>
      <c r="MH119" s="8"/>
      <c r="MI119" s="5" t="str">
        <f t="shared" si="333"/>
        <v>NO APLICA</v>
      </c>
      <c r="MJ119" s="2"/>
      <c r="MK119" s="2"/>
      <c r="ML119" s="4"/>
      <c r="MM119" s="8"/>
      <c r="MN119" s="5" t="str">
        <f t="shared" si="334"/>
        <v>NO APLICA</v>
      </c>
      <c r="MO119" s="5"/>
      <c r="MP119" s="2"/>
      <c r="MQ119" s="4"/>
      <c r="MR119" s="8"/>
      <c r="MS119" s="5" t="str">
        <f t="shared" si="335"/>
        <v>NO APLICA</v>
      </c>
      <c r="MT119" s="5"/>
      <c r="MU119" s="2"/>
      <c r="MV119" s="4"/>
      <c r="MW119" s="2"/>
      <c r="MX119" s="5" t="str">
        <f t="shared" si="336"/>
        <v>NO APLICA</v>
      </c>
      <c r="MY119" s="2"/>
      <c r="MZ119" s="6"/>
      <c r="NA119" s="4"/>
      <c r="NB119" s="8"/>
      <c r="NC119" s="5" t="str">
        <f t="shared" si="337"/>
        <v>NO APLICA</v>
      </c>
      <c r="ND119" s="2"/>
      <c r="NE119" s="6"/>
      <c r="NF119" s="4"/>
      <c r="NG119" s="8"/>
      <c r="NH119" s="5" t="str">
        <f t="shared" si="338"/>
        <v>NO APLICA</v>
      </c>
      <c r="NI119" s="2"/>
      <c r="NJ119" s="6"/>
      <c r="NK119" s="4"/>
      <c r="NL119" s="8"/>
      <c r="NM119" s="5" t="str">
        <f t="shared" si="339"/>
        <v>NO APLICA</v>
      </c>
      <c r="NN119" s="2"/>
      <c r="NO119" s="2"/>
      <c r="NP119" s="4"/>
      <c r="NQ119" s="8"/>
      <c r="NR119" s="5" t="str">
        <f t="shared" si="340"/>
        <v>NO APLICA</v>
      </c>
      <c r="NS119" s="2"/>
      <c r="NT119" s="2"/>
      <c r="NU119" s="2"/>
      <c r="NV119" s="2"/>
      <c r="NW119" s="5" t="str">
        <f t="shared" si="341"/>
        <v>NO APLICA</v>
      </c>
      <c r="NX119" s="6"/>
      <c r="NY119" s="6"/>
      <c r="NZ119" s="4"/>
      <c r="OA119" s="8"/>
      <c r="OB119" s="5" t="str">
        <f t="shared" si="342"/>
        <v>NO APLICA</v>
      </c>
      <c r="OC119" s="6"/>
      <c r="OD119" s="6"/>
      <c r="OE119" s="6"/>
      <c r="OF119" s="6"/>
      <c r="OG119" s="5" t="str">
        <f t="shared" si="343"/>
        <v>NO APLICA</v>
      </c>
      <c r="OH119" s="2"/>
      <c r="OI119" s="2"/>
      <c r="OJ119" s="4"/>
      <c r="OK119" s="8"/>
      <c r="OL119" s="5" t="str">
        <f t="shared" si="344"/>
        <v>NO APLICA</v>
      </c>
      <c r="OM119" s="6"/>
      <c r="ON119" s="6"/>
      <c r="OO119" s="6"/>
      <c r="OP119" s="6"/>
      <c r="OQ119" s="5" t="str">
        <f t="shared" si="345"/>
        <v>NO APLICA</v>
      </c>
      <c r="OR119" s="6"/>
      <c r="OS119" s="6"/>
      <c r="OT119" s="6"/>
      <c r="OU119" s="6"/>
      <c r="OV119" s="5" t="str">
        <f t="shared" si="346"/>
        <v>NO APLICA</v>
      </c>
      <c r="OW119" s="6"/>
      <c r="OX119" s="6"/>
      <c r="OY119" s="6"/>
      <c r="OZ119" s="6"/>
      <c r="PA119" s="5" t="str">
        <f t="shared" si="347"/>
        <v>NO APLICA</v>
      </c>
      <c r="PB119" s="6"/>
      <c r="PC119" s="6"/>
      <c r="PD119" s="6"/>
      <c r="PE119" s="6"/>
      <c r="PF119" s="5" t="str">
        <f t="shared" si="348"/>
        <v>NO APLICA</v>
      </c>
      <c r="PG119" s="6"/>
      <c r="PH119" s="6"/>
      <c r="PI119" s="6"/>
      <c r="PJ119" s="6"/>
      <c r="PK119" s="5" t="str">
        <f t="shared" si="349"/>
        <v>NO APLICA</v>
      </c>
      <c r="PL119" s="5"/>
      <c r="PM119" s="6"/>
      <c r="PN119" s="4"/>
      <c r="PO119" s="8"/>
      <c r="PP119" s="5" t="str">
        <f t="shared" si="350"/>
        <v>NO APLICA</v>
      </c>
      <c r="PQ119" s="6"/>
      <c r="PR119" s="6"/>
      <c r="PS119" s="6"/>
      <c r="PT119" s="6"/>
      <c r="PU119" s="5" t="str">
        <f t="shared" si="351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hidden="1" thickTop="1" thickBot="1" x14ac:dyDescent="0.35">
      <c r="A120" s="26">
        <v>117</v>
      </c>
      <c r="B120" s="31">
        <v>1717</v>
      </c>
      <c r="C120" s="28" t="s">
        <v>400</v>
      </c>
      <c r="D120" s="29" t="s">
        <v>64</v>
      </c>
      <c r="E120" s="30" t="s">
        <v>81</v>
      </c>
      <c r="F120" s="6"/>
      <c r="G120" s="6"/>
      <c r="H120" s="6"/>
      <c r="I120" s="6"/>
      <c r="J120" s="5" t="str">
        <f t="shared" si="242"/>
        <v>NO APLICA</v>
      </c>
      <c r="K120" s="6"/>
      <c r="L120" s="6"/>
      <c r="M120" s="6"/>
      <c r="N120" s="6"/>
      <c r="O120" s="5" t="str">
        <f t="shared" si="243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3"/>
        <v>VIGENTE</v>
      </c>
      <c r="U120" s="5"/>
      <c r="V120" s="6" t="s">
        <v>401</v>
      </c>
      <c r="W120" s="4">
        <v>45309</v>
      </c>
      <c r="X120" s="4">
        <f t="shared" si="410"/>
        <v>47136</v>
      </c>
      <c r="Y120" s="8">
        <f t="shared" ca="1" si="411"/>
        <v>991</v>
      </c>
      <c r="Z120" s="5" t="str">
        <f t="shared" ca="1" si="412"/>
        <v>VIGENTE</v>
      </c>
      <c r="AA120" s="5"/>
      <c r="AB120" s="6"/>
      <c r="AC120" s="6"/>
      <c r="AD120" s="4"/>
      <c r="AE120" s="8"/>
      <c r="AF120" s="5" t="str">
        <f t="shared" si="247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8"/>
        <v>521</v>
      </c>
      <c r="AK120" s="5" t="str">
        <f t="shared" ca="1" si="408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9"/>
        <v>522</v>
      </c>
      <c r="AP120" s="5" t="str">
        <f t="shared" ca="1" si="250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1"/>
        <v>574</v>
      </c>
      <c r="AU120" s="5" t="str">
        <f t="shared" ca="1" si="252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3"/>
        <v>557</v>
      </c>
      <c r="AZ120" s="5" t="str">
        <f t="shared" ca="1" si="254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5"/>
        <v>626</v>
      </c>
      <c r="BE120" s="5" t="str">
        <f t="shared" ca="1" si="256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7"/>
        <v>582</v>
      </c>
      <c r="BJ120" s="5" t="str">
        <f t="shared" ca="1" si="258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9"/>
        <v>602</v>
      </c>
      <c r="BO120" s="5" t="str">
        <f t="shared" ca="1" si="260"/>
        <v>VIGENTE</v>
      </c>
      <c r="BP120" s="4"/>
      <c r="BQ120" s="39">
        <v>46050</v>
      </c>
      <c r="BR120" s="4">
        <f>DATE(YEAR(BQ120)+2,MONTH(BQ120),DAY(BQ120))</f>
        <v>46780</v>
      </c>
      <c r="BS120" s="8">
        <f t="shared" ca="1" si="261"/>
        <v>635</v>
      </c>
      <c r="BT120" s="5" t="str">
        <f t="shared" ca="1" si="262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3"/>
        <v>616</v>
      </c>
      <c r="BY120" s="5" t="str">
        <f t="shared" ca="1" si="264"/>
        <v>VIGENTE</v>
      </c>
      <c r="BZ120" s="6"/>
      <c r="CA120" s="4">
        <v>45986</v>
      </c>
      <c r="CB120" s="4">
        <f t="shared" si="423"/>
        <v>46716</v>
      </c>
      <c r="CC120" s="8">
        <f t="shared" ca="1" si="265"/>
        <v>571</v>
      </c>
      <c r="CD120" s="5" t="str">
        <f t="shared" ca="1" si="266"/>
        <v>VIGENTE</v>
      </c>
      <c r="CE120" s="6"/>
      <c r="CF120" s="4">
        <v>45723</v>
      </c>
      <c r="CG120" s="4">
        <f t="shared" si="416"/>
        <v>47184</v>
      </c>
      <c r="CH120" s="8">
        <f t="shared" ca="1" si="417"/>
        <v>1039</v>
      </c>
      <c r="CI120" s="5" t="str">
        <f t="shared" ca="1" si="418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0"/>
        <v>603</v>
      </c>
      <c r="CN120" s="5" t="str">
        <f t="shared" ca="1" si="271"/>
        <v>VIGENTE</v>
      </c>
      <c r="CO120" s="4"/>
      <c r="CP120" s="39">
        <v>45979</v>
      </c>
      <c r="CQ120" s="4">
        <f>DATE(YEAR(CP120)+2,MONTH(CP120),DAY(CP120))</f>
        <v>46709</v>
      </c>
      <c r="CR120" s="8">
        <f t="shared" ca="1" si="272"/>
        <v>564</v>
      </c>
      <c r="CS120" s="5" t="str">
        <f t="shared" ca="1" si="273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4"/>
        <v>628</v>
      </c>
      <c r="CX120" s="5" t="str">
        <f t="shared" ca="1" si="275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6"/>
        <v>585</v>
      </c>
      <c r="DC120" s="5" t="str">
        <f t="shared" ca="1" si="277"/>
        <v>VIGENTE</v>
      </c>
      <c r="DD120" s="3"/>
      <c r="DE120" s="39">
        <v>45996</v>
      </c>
      <c r="DF120" s="4">
        <f>DATE(YEAR(DE120)+2,MONTH(DE120),DAY(DE120))</f>
        <v>46726</v>
      </c>
      <c r="DG120" s="8">
        <f t="shared" ca="1" si="278"/>
        <v>581</v>
      </c>
      <c r="DH120" s="5" t="str">
        <f t="shared" ca="1" si="279"/>
        <v>VIGENTE</v>
      </c>
      <c r="DI120" s="4"/>
      <c r="DJ120" s="39">
        <v>45975</v>
      </c>
      <c r="DK120" s="4">
        <f>DATE(YEAR(DJ120)+2,MONTH(DJ120),DAY(DJ120))</f>
        <v>46705</v>
      </c>
      <c r="DL120" s="8">
        <f t="shared" ca="1" si="280"/>
        <v>560</v>
      </c>
      <c r="DM120" s="5" t="str">
        <f t="shared" ca="1" si="281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2"/>
        <v>592</v>
      </c>
      <c r="DR120" s="5" t="str">
        <f t="shared" ca="1" si="283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4"/>
        <v>594</v>
      </c>
      <c r="DW120" s="5" t="str">
        <f t="shared" ca="1" si="285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6"/>
        <v>617</v>
      </c>
      <c r="EB120" s="5" t="str">
        <f t="shared" ca="1" si="287"/>
        <v>VIGENTE</v>
      </c>
      <c r="EC120" s="4"/>
      <c r="ED120" s="39">
        <v>45994</v>
      </c>
      <c r="EE120" s="4">
        <f>DATE(YEAR(ED120)+2,MONTH(ED120),DAY(ED120))</f>
        <v>46724</v>
      </c>
      <c r="EF120" s="8">
        <f t="shared" ca="1" si="288"/>
        <v>579</v>
      </c>
      <c r="EG120" s="5" t="str">
        <f t="shared" ca="1" si="289"/>
        <v>VIGENTE</v>
      </c>
      <c r="EH120" s="3"/>
      <c r="EI120" s="3">
        <v>46015</v>
      </c>
      <c r="EJ120" s="4">
        <f t="shared" si="355"/>
        <v>46380</v>
      </c>
      <c r="EK120" s="8">
        <f t="shared" ca="1" si="290"/>
        <v>235</v>
      </c>
      <c r="EL120" s="5" t="str">
        <f t="shared" ca="1" si="291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2"/>
        <v>568</v>
      </c>
      <c r="EQ120" s="5" t="str">
        <f t="shared" ca="1" si="293"/>
        <v>VIGENTE</v>
      </c>
      <c r="ER120" s="6"/>
      <c r="ES120" s="39">
        <v>45999</v>
      </c>
      <c r="ET120" s="4">
        <f>DATE(YEAR(ES120)+2,MONTH(ES120),DAY(ES120))</f>
        <v>46729</v>
      </c>
      <c r="EU120" s="8">
        <f t="shared" ca="1" si="294"/>
        <v>584</v>
      </c>
      <c r="EV120" s="5" t="str">
        <f t="shared" ca="1" si="295"/>
        <v>VIGENTE</v>
      </c>
      <c r="EW120" s="4"/>
      <c r="EX120" s="4">
        <v>45964</v>
      </c>
      <c r="EY120" s="4">
        <f t="shared" si="424"/>
        <v>46694</v>
      </c>
      <c r="EZ120" s="8">
        <f t="shared" ca="1" si="296"/>
        <v>549</v>
      </c>
      <c r="FA120" s="5" t="str">
        <f t="shared" ca="1" si="297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8"/>
        <v>573</v>
      </c>
      <c r="FF120" s="5" t="str">
        <f t="shared" ca="1" si="299"/>
        <v>VIGENTE</v>
      </c>
      <c r="FG120" s="4"/>
      <c r="FH120" s="4">
        <v>45962</v>
      </c>
      <c r="FI120" s="4">
        <f t="shared" si="425"/>
        <v>46692</v>
      </c>
      <c r="FJ120" s="8">
        <f t="shared" ca="1" si="300"/>
        <v>547</v>
      </c>
      <c r="FK120" s="5" t="str">
        <f t="shared" ca="1" si="301"/>
        <v>VIGENTE</v>
      </c>
      <c r="FL120" s="4"/>
      <c r="FM120" s="39">
        <v>46039</v>
      </c>
      <c r="FN120" s="4">
        <f>DATE(YEAR(FM120)+2,MONTH(FM120),DAY(FM120))</f>
        <v>46769</v>
      </c>
      <c r="FO120" s="8">
        <f t="shared" ca="1" si="302"/>
        <v>624</v>
      </c>
      <c r="FP120" s="5" t="str">
        <f t="shared" ca="1" si="303"/>
        <v>VIGENTE</v>
      </c>
      <c r="FQ120" s="4"/>
      <c r="FR120" s="39">
        <v>46034</v>
      </c>
      <c r="FS120" s="4">
        <f>DATE(YEAR(FR120)+2,MONTH(FR120),DAY(FR120))</f>
        <v>46764</v>
      </c>
      <c r="FT120" s="8">
        <f t="shared" ca="1" si="304"/>
        <v>619</v>
      </c>
      <c r="FU120" s="5" t="str">
        <f t="shared" ca="1" si="305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6"/>
        <v>589</v>
      </c>
      <c r="FZ120" s="5" t="str">
        <f t="shared" ca="1" si="307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8"/>
        <v>510</v>
      </c>
      <c r="GE120" s="5" t="str">
        <f t="shared" ca="1" si="309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0"/>
        <v>545</v>
      </c>
      <c r="GJ120" s="5" t="str">
        <f t="shared" ca="1" si="311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2"/>
        <v>83</v>
      </c>
      <c r="GO120" s="5" t="str">
        <f t="shared" ca="1" si="313"/>
        <v>VIGENTE</v>
      </c>
      <c r="GP120" s="4"/>
      <c r="GQ120" s="4">
        <v>45299</v>
      </c>
      <c r="GR120" s="4">
        <f t="shared" si="314"/>
        <v>47126</v>
      </c>
      <c r="GS120" s="8">
        <f t="shared" ca="1" si="405"/>
        <v>981</v>
      </c>
      <c r="GT120" s="5" t="str">
        <f t="shared" ca="1" si="419"/>
        <v>VIGENTE</v>
      </c>
      <c r="GU120" s="4"/>
      <c r="GV120" s="4">
        <v>45329</v>
      </c>
      <c r="GW120" s="4">
        <f t="shared" si="316"/>
        <v>47156</v>
      </c>
      <c r="GX120" s="8">
        <f t="shared" ca="1" si="317"/>
        <v>1011</v>
      </c>
      <c r="GY120" s="5" t="str">
        <f t="shared" ca="1" si="426"/>
        <v>VIGENTE</v>
      </c>
      <c r="GZ120" s="6"/>
      <c r="HA120" s="4">
        <v>45343</v>
      </c>
      <c r="HB120" s="4">
        <f t="shared" si="319"/>
        <v>47170</v>
      </c>
      <c r="HC120" s="8">
        <f t="shared" ca="1" si="320"/>
        <v>1025</v>
      </c>
      <c r="HD120" s="5" t="str">
        <f t="shared" ca="1" si="421"/>
        <v>VIGENTE</v>
      </c>
      <c r="HE120" s="6"/>
      <c r="HF120" s="4">
        <v>45317</v>
      </c>
      <c r="HG120" s="4">
        <f t="shared" ref="HG120:HG130" si="428">DATE(YEAR(HF120)+5,MONTH(HF120),DAY(HF120))</f>
        <v>47144</v>
      </c>
      <c r="HH120" s="8">
        <f t="shared" ref="HH120:HH130" ca="1" si="429">HG120-TODAY()</f>
        <v>999</v>
      </c>
      <c r="HI120" s="5" t="str">
        <f t="shared" ca="1" si="427"/>
        <v>VIGENTE</v>
      </c>
      <c r="HJ120" s="6"/>
      <c r="HK120" s="6"/>
      <c r="HL120" s="4"/>
      <c r="HM120" s="8"/>
      <c r="HN120" s="5" t="str">
        <f t="shared" si="409"/>
        <v>NO APLICA</v>
      </c>
      <c r="HO120" s="2"/>
      <c r="HP120" s="2"/>
      <c r="HQ120" s="4"/>
      <c r="HR120" s="2"/>
      <c r="HS120" s="5" t="str">
        <f t="shared" si="322"/>
        <v>NO APLICA</v>
      </c>
      <c r="HT120" s="6"/>
      <c r="HU120" s="6"/>
      <c r="HV120" s="4"/>
      <c r="HW120" s="8"/>
      <c r="HX120" s="5" t="str">
        <f t="shared" si="323"/>
        <v>NO APLICA</v>
      </c>
      <c r="HY120" s="6"/>
      <c r="HZ120" s="6"/>
      <c r="IA120" s="4"/>
      <c r="IB120" s="8"/>
      <c r="IC120" s="5" t="str">
        <f t="shared" si="324"/>
        <v>NO APLICA</v>
      </c>
      <c r="ID120" s="6"/>
      <c r="IE120" s="6"/>
      <c r="IF120" s="4"/>
      <c r="IG120" s="8"/>
      <c r="IH120" s="5" t="str">
        <f t="shared" si="325"/>
        <v>NO APLICA</v>
      </c>
      <c r="II120" s="6"/>
      <c r="IJ120" s="6"/>
      <c r="IK120" s="4"/>
      <c r="IL120" s="6"/>
      <c r="IM120" s="5" t="str">
        <f t="shared" si="326"/>
        <v>NO APLICA</v>
      </c>
      <c r="IN120" s="6"/>
      <c r="IO120" s="6"/>
      <c r="IP120" s="4"/>
      <c r="IQ120" s="8"/>
      <c r="IR120" s="5" t="str">
        <f t="shared" si="327"/>
        <v>NO APLICA</v>
      </c>
      <c r="IS120" s="6"/>
      <c r="IT120" s="6"/>
      <c r="IU120" s="4"/>
      <c r="IV120" s="8"/>
      <c r="IW120" s="5" t="str">
        <f t="shared" si="328"/>
        <v>NO APLICA</v>
      </c>
      <c r="IX120" s="6"/>
      <c r="IY120" s="6"/>
      <c r="IZ120" s="4"/>
      <c r="JA120" s="8"/>
      <c r="JB120" s="5" t="str">
        <f t="shared" si="329"/>
        <v>NO APLICA</v>
      </c>
      <c r="JC120" s="3" t="s">
        <v>780</v>
      </c>
      <c r="JD120" s="3"/>
      <c r="JE120" s="4"/>
      <c r="JF120" s="8"/>
      <c r="JG120" s="5"/>
      <c r="JH120" s="3" t="s">
        <v>780</v>
      </c>
      <c r="JI120" s="6"/>
      <c r="JJ120" s="6"/>
      <c r="JK120" s="6"/>
      <c r="JL120" s="5"/>
      <c r="JM120" s="6" t="s">
        <v>780</v>
      </c>
      <c r="JN120" s="6"/>
      <c r="JO120" s="6"/>
      <c r="JP120" s="6"/>
      <c r="JQ120" s="5"/>
      <c r="JR120" s="6" t="s">
        <v>780</v>
      </c>
      <c r="JS120" s="6"/>
      <c r="JT120" s="6"/>
      <c r="JU120" s="6"/>
      <c r="JV120" s="5"/>
      <c r="JW120" s="6" t="s">
        <v>780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30"/>
        <v>NO APLICA</v>
      </c>
      <c r="KG120" s="5"/>
      <c r="KH120" s="2"/>
      <c r="KI120" s="4"/>
      <c r="KJ120" s="8"/>
      <c r="KK120" s="5" t="str">
        <f t="shared" si="356"/>
        <v>NO APLICA</v>
      </c>
      <c r="KL120" s="5"/>
      <c r="KM120" s="2"/>
      <c r="KN120" s="4"/>
      <c r="KO120" s="8"/>
      <c r="KP120" s="5" t="str">
        <f t="shared" si="331"/>
        <v>NO APLICA</v>
      </c>
      <c r="KQ120" s="5"/>
      <c r="KR120" s="2"/>
      <c r="KS120" s="4"/>
      <c r="KT120" s="8"/>
      <c r="KU120" s="5" t="str">
        <f t="shared" si="357"/>
        <v>NO APLICA</v>
      </c>
      <c r="KV120" s="6"/>
      <c r="KW120" s="6"/>
      <c r="KX120" s="4"/>
      <c r="KY120" s="6"/>
      <c r="KZ120" s="5" t="str">
        <f t="shared" si="366"/>
        <v>NO APLICA</v>
      </c>
      <c r="LA120" s="5"/>
      <c r="LB120" s="6"/>
      <c r="LC120" s="4"/>
      <c r="LD120" s="6"/>
      <c r="LE120" s="5" t="str">
        <f t="shared" si="358"/>
        <v>NO APLICA</v>
      </c>
      <c r="LF120" s="6"/>
      <c r="LG120" s="6"/>
      <c r="LH120" s="6"/>
      <c r="LI120" s="6"/>
      <c r="LJ120" s="5" t="str">
        <f t="shared" si="332"/>
        <v>NO APLICA</v>
      </c>
      <c r="LK120" s="5"/>
      <c r="LL120" s="5"/>
      <c r="LM120" s="5"/>
      <c r="LN120" s="5"/>
      <c r="LO120" s="5" t="str">
        <f t="shared" si="367"/>
        <v>NO APLICA</v>
      </c>
      <c r="LP120" s="6"/>
      <c r="LQ120" s="6"/>
      <c r="LR120" s="4"/>
      <c r="LS120" s="8"/>
      <c r="LT120" s="5" t="str">
        <f t="shared" si="359"/>
        <v>NO APLICA</v>
      </c>
      <c r="LU120" s="6"/>
      <c r="LV120" s="6"/>
      <c r="LW120" s="4"/>
      <c r="LX120" s="6"/>
      <c r="LY120" s="5" t="str">
        <f t="shared" si="360"/>
        <v>NO APLICA</v>
      </c>
      <c r="LZ120" s="6"/>
      <c r="MA120" s="6"/>
      <c r="MB120" s="4"/>
      <c r="MC120" s="6"/>
      <c r="MD120" s="5" t="str">
        <f t="shared" si="361"/>
        <v>NO APLICA</v>
      </c>
      <c r="ME120" s="6"/>
      <c r="MF120" s="6"/>
      <c r="MG120" s="4"/>
      <c r="MH120" s="6"/>
      <c r="MI120" s="5" t="str">
        <f t="shared" si="333"/>
        <v>NO APLICA</v>
      </c>
      <c r="MJ120" s="6"/>
      <c r="MK120" s="6"/>
      <c r="ML120" s="4"/>
      <c r="MM120" s="6"/>
      <c r="MN120" s="5" t="str">
        <f t="shared" si="334"/>
        <v>NO APLICA</v>
      </c>
      <c r="MO120" s="5"/>
      <c r="MP120" s="6"/>
      <c r="MQ120" s="4"/>
      <c r="MR120" s="6"/>
      <c r="MS120" s="5" t="str">
        <f t="shared" si="335"/>
        <v>NO APLICA</v>
      </c>
      <c r="MT120" s="5"/>
      <c r="MU120" s="6"/>
      <c r="MV120" s="6"/>
      <c r="MW120" s="6"/>
      <c r="MX120" s="5" t="str">
        <f t="shared" si="336"/>
        <v>NO APLICA</v>
      </c>
      <c r="MY120" s="6"/>
      <c r="MZ120" s="6"/>
      <c r="NA120" s="4"/>
      <c r="NB120" s="6"/>
      <c r="NC120" s="5" t="str">
        <f t="shared" si="337"/>
        <v>NO APLICA</v>
      </c>
      <c r="ND120" s="6"/>
      <c r="NE120" s="6"/>
      <c r="NF120" s="4"/>
      <c r="NG120" s="6"/>
      <c r="NH120" s="5" t="str">
        <f t="shared" si="338"/>
        <v>NO APLICA</v>
      </c>
      <c r="NI120" s="6"/>
      <c r="NJ120" s="6"/>
      <c r="NK120" s="4"/>
      <c r="NL120" s="6"/>
      <c r="NM120" s="5" t="str">
        <f t="shared" si="339"/>
        <v>NO APLICA</v>
      </c>
      <c r="NN120" s="6"/>
      <c r="NO120" s="6"/>
      <c r="NP120" s="4"/>
      <c r="NQ120" s="6"/>
      <c r="NR120" s="5" t="str">
        <f t="shared" si="340"/>
        <v>NO APLICA</v>
      </c>
      <c r="NS120" s="6"/>
      <c r="NT120" s="6"/>
      <c r="NU120" s="4"/>
      <c r="NV120" s="6"/>
      <c r="NW120" s="5" t="str">
        <f t="shared" si="341"/>
        <v>NO APLICA</v>
      </c>
      <c r="NX120" s="6"/>
      <c r="NY120" s="6"/>
      <c r="NZ120" s="4"/>
      <c r="OA120" s="8"/>
      <c r="OB120" s="5" t="str">
        <f t="shared" si="342"/>
        <v>NO APLICA</v>
      </c>
      <c r="OC120" s="6"/>
      <c r="OD120" s="6"/>
      <c r="OE120" s="6"/>
      <c r="OF120" s="6"/>
      <c r="OG120" s="5" t="str">
        <f t="shared" si="343"/>
        <v>NO APLICA</v>
      </c>
      <c r="OH120" s="6"/>
      <c r="OI120" s="6"/>
      <c r="OJ120" s="6"/>
      <c r="OK120" s="6"/>
      <c r="OL120" s="5" t="str">
        <f t="shared" si="344"/>
        <v>NO APLICA</v>
      </c>
      <c r="OM120" s="6"/>
      <c r="ON120" s="6"/>
      <c r="OO120" s="6"/>
      <c r="OP120" s="6"/>
      <c r="OQ120" s="5" t="str">
        <f t="shared" si="345"/>
        <v>NO APLICA</v>
      </c>
      <c r="OR120" s="6"/>
      <c r="OS120" s="6"/>
      <c r="OT120" s="6"/>
      <c r="OU120" s="6"/>
      <c r="OV120" s="5" t="str">
        <f t="shared" si="346"/>
        <v>NO APLICA</v>
      </c>
      <c r="OW120" s="6"/>
      <c r="OX120" s="6"/>
      <c r="OY120" s="6"/>
      <c r="OZ120" s="6"/>
      <c r="PA120" s="5" t="str">
        <f t="shared" si="347"/>
        <v>NO APLICA</v>
      </c>
      <c r="PB120" s="6"/>
      <c r="PC120" s="6"/>
      <c r="PD120" s="6"/>
      <c r="PE120" s="6"/>
      <c r="PF120" s="5" t="str">
        <f t="shared" si="348"/>
        <v>NO APLICA</v>
      </c>
      <c r="PG120" s="6"/>
      <c r="PH120" s="6"/>
      <c r="PI120" s="6"/>
      <c r="PJ120" s="6"/>
      <c r="PK120" s="5" t="str">
        <f t="shared" si="349"/>
        <v>NO APLICA</v>
      </c>
      <c r="PL120" s="5"/>
      <c r="PM120" s="6"/>
      <c r="PN120" s="6"/>
      <c r="PO120" s="6"/>
      <c r="PP120" s="5" t="str">
        <f t="shared" si="350"/>
        <v>NO APLICA</v>
      </c>
      <c r="PQ120" s="6"/>
      <c r="PR120" s="6"/>
      <c r="PS120" s="6"/>
      <c r="PT120" s="6"/>
      <c r="PU120" s="5" t="str">
        <f t="shared" si="351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2"/>
        <v>VIGENTE</v>
      </c>
    </row>
    <row r="121" spans="1:442" ht="15.6" hidden="1" thickTop="1" thickBot="1" x14ac:dyDescent="0.35">
      <c r="A121" s="26">
        <v>118</v>
      </c>
      <c r="B121" s="31">
        <v>6</v>
      </c>
      <c r="C121" s="28" t="s">
        <v>402</v>
      </c>
      <c r="D121" s="29" t="s">
        <v>64</v>
      </c>
      <c r="E121" s="30" t="s">
        <v>403</v>
      </c>
      <c r="F121" s="5"/>
      <c r="G121" s="6"/>
      <c r="H121" s="4"/>
      <c r="I121" s="8"/>
      <c r="J121" s="5" t="str">
        <f t="shared" si="242"/>
        <v>NO APLICA</v>
      </c>
      <c r="K121" s="5"/>
      <c r="L121" s="6"/>
      <c r="M121" s="6"/>
      <c r="N121" s="8"/>
      <c r="O121" s="5" t="str">
        <f t="shared" si="243"/>
        <v>NO APLICA</v>
      </c>
      <c r="P121" s="6"/>
      <c r="Q121" s="6"/>
      <c r="R121" s="4"/>
      <c r="S121" s="8"/>
      <c r="T121" s="5" t="str">
        <f t="shared" si="353"/>
        <v>NO APLICA</v>
      </c>
      <c r="U121" s="5"/>
      <c r="V121" s="2" t="s">
        <v>404</v>
      </c>
      <c r="W121" s="4">
        <v>45502</v>
      </c>
      <c r="X121" s="4">
        <f t="shared" si="410"/>
        <v>47328</v>
      </c>
      <c r="Y121" s="8">
        <f t="shared" ca="1" si="411"/>
        <v>1183</v>
      </c>
      <c r="Z121" s="5" t="str">
        <f t="shared" ca="1" si="412"/>
        <v>VIGENTE</v>
      </c>
      <c r="AA121" s="5"/>
      <c r="AB121" s="2" t="s">
        <v>405</v>
      </c>
      <c r="AC121" s="4">
        <v>45499</v>
      </c>
      <c r="AD121" s="4">
        <f t="shared" ref="AD121:AD130" si="430">DATE(YEAR(AC121)+5,MONTH(AC121),DAY(AC121))</f>
        <v>47325</v>
      </c>
      <c r="AE121" s="8">
        <f t="shared" ref="AE121:AE130" ca="1" si="431">AD121-TODAY()</f>
        <v>1180</v>
      </c>
      <c r="AF121" s="5" t="str">
        <f t="shared" ca="1" si="247"/>
        <v>VIGENTE</v>
      </c>
      <c r="AG121" s="3"/>
      <c r="AH121" s="4">
        <v>45512</v>
      </c>
      <c r="AI121" s="4">
        <f t="shared" ref="AI121:AI127" si="432">DATE(YEAR(AH121)+2,MONTH(AH121),DAY(AH121)-1)</f>
        <v>46241</v>
      </c>
      <c r="AJ121" s="8">
        <f t="shared" ca="1" si="248"/>
        <v>96</v>
      </c>
      <c r="AK121" s="5" t="str">
        <f t="shared" ca="1" si="408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9"/>
        <v>102</v>
      </c>
      <c r="AP121" s="5" t="str">
        <f t="shared" ca="1" si="250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1"/>
        <v>89</v>
      </c>
      <c r="AU121" s="5" t="str">
        <f t="shared" ca="1" si="252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3"/>
        <v>98</v>
      </c>
      <c r="AZ121" s="5" t="str">
        <f t="shared" ca="1" si="254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5"/>
        <v>99</v>
      </c>
      <c r="BE121" s="5" t="str">
        <f t="shared" ca="1" si="256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7"/>
        <v>115</v>
      </c>
      <c r="BJ121" s="5" t="str">
        <f t="shared" ca="1" si="258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9"/>
        <v>283</v>
      </c>
      <c r="BO121" s="5" t="str">
        <f t="shared" ca="1" si="260"/>
        <v>VIGENTE</v>
      </c>
      <c r="BP121" s="3"/>
      <c r="BQ121" s="39">
        <v>45532</v>
      </c>
      <c r="BR121" s="4">
        <f>DATE(YEAR(BQ121)+2,MONTH(BQ121),DAY(BQ121)-1)</f>
        <v>46261</v>
      </c>
      <c r="BS121" s="8">
        <f t="shared" ca="1" si="261"/>
        <v>116</v>
      </c>
      <c r="BT121" s="5" t="str">
        <f t="shared" ca="1" si="262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3"/>
        <v>111</v>
      </c>
      <c r="BY121" s="5" t="str">
        <f t="shared" ca="1" si="264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5"/>
        <v>314</v>
      </c>
      <c r="CD121" s="5" t="str">
        <f t="shared" ca="1" si="266"/>
        <v>VIGENTE</v>
      </c>
      <c r="CE121" s="6"/>
      <c r="CF121" s="4">
        <v>45464</v>
      </c>
      <c r="CG121" s="4">
        <f t="shared" si="416"/>
        <v>46925</v>
      </c>
      <c r="CH121" s="8">
        <f t="shared" ca="1" si="417"/>
        <v>780</v>
      </c>
      <c r="CI121" s="5" t="str">
        <f t="shared" ca="1" si="418"/>
        <v>VIGENTE</v>
      </c>
      <c r="CJ121" s="4"/>
      <c r="CK121" s="4">
        <v>45511</v>
      </c>
      <c r="CL121" s="4">
        <f t="shared" ref="CL121:CL127" si="433">DATE(YEAR(CK121)+2,MONTH(CK121),DAY(CK121)-1)</f>
        <v>46240</v>
      </c>
      <c r="CM121" s="8">
        <f t="shared" ca="1" si="270"/>
        <v>95</v>
      </c>
      <c r="CN121" s="5" t="str">
        <f t="shared" ca="1" si="271"/>
        <v>VIGENTE</v>
      </c>
      <c r="CO121" s="3"/>
      <c r="CP121" s="39">
        <v>45684</v>
      </c>
      <c r="CQ121" s="4">
        <f t="shared" ref="CQ121:CQ127" si="434">DATE(YEAR(CP121)+2,MONTH(CP121),DAY(CP121)-1)</f>
        <v>46413</v>
      </c>
      <c r="CR121" s="8">
        <f t="shared" ca="1" si="272"/>
        <v>268</v>
      </c>
      <c r="CS121" s="5" t="str">
        <f t="shared" ca="1" si="273"/>
        <v>VIGENTE</v>
      </c>
      <c r="CT121" s="3"/>
      <c r="CU121" s="4">
        <v>45624</v>
      </c>
      <c r="CV121" s="4">
        <f t="shared" ref="CV121:CV127" si="435">DATE(YEAR(CU121)+2,MONTH(CU121),DAY(CU121)-1)</f>
        <v>46353</v>
      </c>
      <c r="CW121" s="8">
        <f t="shared" ca="1" si="274"/>
        <v>208</v>
      </c>
      <c r="CX121" s="5" t="str">
        <f t="shared" ca="1" si="275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6"/>
        <v>245</v>
      </c>
      <c r="DC121" s="5" t="str">
        <f t="shared" ca="1" si="277"/>
        <v>VIGENTE</v>
      </c>
      <c r="DD121" s="3"/>
      <c r="DE121" s="39">
        <v>45535</v>
      </c>
      <c r="DF121" s="4">
        <f t="shared" ref="DF121:DF127" si="436">DATE(YEAR(DE121)+2,MONTH(DE121),DAY(DE121)-1)</f>
        <v>46264</v>
      </c>
      <c r="DG121" s="8">
        <f t="shared" ca="1" si="278"/>
        <v>119</v>
      </c>
      <c r="DH121" s="5" t="str">
        <f t="shared" ca="1" si="279"/>
        <v>VIGENTE</v>
      </c>
      <c r="DI121" s="3"/>
      <c r="DJ121" s="39">
        <v>45509</v>
      </c>
      <c r="DK121" s="4">
        <f>DATE(YEAR(DJ121)+2,MONTH(DJ121),DAY(DJ121)-1)</f>
        <v>46238</v>
      </c>
      <c r="DL121" s="8">
        <f t="shared" ca="1" si="280"/>
        <v>93</v>
      </c>
      <c r="DM121" s="5" t="str">
        <f t="shared" ca="1" si="281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2"/>
        <v>117</v>
      </c>
      <c r="DR121" s="5" t="str">
        <f t="shared" ca="1" si="283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4"/>
        <v>124</v>
      </c>
      <c r="DW121" s="5" t="str">
        <f t="shared" ca="1" si="285"/>
        <v>VIGENTE</v>
      </c>
      <c r="DX121" s="3"/>
      <c r="DY121" s="4">
        <v>45663</v>
      </c>
      <c r="DZ121" s="4">
        <f t="shared" ref="DZ121:DZ127" si="437">DATE(YEAR(DY121)+2,MONTH(DY121),DAY(DY121)-1)</f>
        <v>46392</v>
      </c>
      <c r="EA121" s="8">
        <f t="shared" ca="1" si="286"/>
        <v>247</v>
      </c>
      <c r="EB121" s="5" t="str">
        <f t="shared" ca="1" si="287"/>
        <v>VIGENTE</v>
      </c>
      <c r="EC121" s="3"/>
      <c r="ED121" s="39">
        <v>45674</v>
      </c>
      <c r="EE121" s="4">
        <f t="shared" ref="EE121:EE127" si="438">DATE(YEAR(ED121)+2,MONTH(ED121),DAY(ED121)-1)</f>
        <v>46403</v>
      </c>
      <c r="EF121" s="8">
        <f t="shared" ca="1" si="288"/>
        <v>258</v>
      </c>
      <c r="EG121" s="5" t="str">
        <f t="shared" ca="1" si="289"/>
        <v>VIGENTE</v>
      </c>
      <c r="EH121" s="3"/>
      <c r="EI121" s="3">
        <v>46085</v>
      </c>
      <c r="EJ121" s="4">
        <f t="shared" si="355"/>
        <v>46450</v>
      </c>
      <c r="EK121" s="8">
        <f t="shared" ca="1" si="290"/>
        <v>305</v>
      </c>
      <c r="EL121" s="5" t="str">
        <f t="shared" ca="1" si="291"/>
        <v>VIGENTE</v>
      </c>
      <c r="EM121" s="3"/>
      <c r="EN121" s="4">
        <v>45612</v>
      </c>
      <c r="EO121" s="4">
        <f t="shared" ref="EO121:EO127" si="439">DATE(YEAR(EN121)+2,MONTH(EN121),DAY(EN121)-1)</f>
        <v>46341</v>
      </c>
      <c r="EP121" s="8">
        <f t="shared" ca="1" si="292"/>
        <v>196</v>
      </c>
      <c r="EQ121" s="5" t="str">
        <f t="shared" ca="1" si="293"/>
        <v>VIGENTE</v>
      </c>
      <c r="ER121" s="3"/>
      <c r="ES121" s="39">
        <v>45539</v>
      </c>
      <c r="ET121" s="4">
        <f>DATE(YEAR(ES121)+2,MONTH(ES121),DAY(ES121)-1)</f>
        <v>46268</v>
      </c>
      <c r="EU121" s="8">
        <f t="shared" ca="1" si="294"/>
        <v>123</v>
      </c>
      <c r="EV121" s="5" t="str">
        <f t="shared" ca="1" si="295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6"/>
        <v>194</v>
      </c>
      <c r="FA121" s="5" t="str">
        <f t="shared" ca="1" si="297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8"/>
        <v>250</v>
      </c>
      <c r="FF121" s="5" t="str">
        <f t="shared" ca="1" si="299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0"/>
        <v>252</v>
      </c>
      <c r="FK121" s="5" t="str">
        <f t="shared" ca="1" si="301"/>
        <v>VIGENTE</v>
      </c>
      <c r="FL121" s="3"/>
      <c r="FM121" s="39">
        <v>45670</v>
      </c>
      <c r="FN121" s="4">
        <f t="shared" ref="FN121:FN127" si="440">DATE(YEAR(FM121)+2,MONTH(FM121),DAY(FM121)-1)</f>
        <v>46399</v>
      </c>
      <c r="FO121" s="8">
        <f t="shared" ca="1" si="302"/>
        <v>254</v>
      </c>
      <c r="FP121" s="5" t="str">
        <f t="shared" ca="1" si="303"/>
        <v>VIGENTE</v>
      </c>
      <c r="FQ121" s="3"/>
      <c r="FR121" s="39">
        <v>45586</v>
      </c>
      <c r="FS121" s="4">
        <f t="shared" ref="FS121:FS127" si="441">DATE(YEAR(FR121)+2,MONTH(FR121),DAY(FR121)-1)</f>
        <v>46315</v>
      </c>
      <c r="FT121" s="8">
        <f t="shared" ca="1" si="304"/>
        <v>170</v>
      </c>
      <c r="FU121" s="5" t="str">
        <f t="shared" ca="1" si="305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6"/>
        <v>171</v>
      </c>
      <c r="FZ121" s="5" t="str">
        <f t="shared" ca="1" si="307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8"/>
        <v>251</v>
      </c>
      <c r="GE121" s="5" t="str">
        <f t="shared" ca="1" si="309"/>
        <v>VIGENTE</v>
      </c>
      <c r="GF121" s="3"/>
      <c r="GG121" s="4">
        <v>45579</v>
      </c>
      <c r="GH121" s="4">
        <f t="shared" ref="GH121:GH127" si="442">DATE(YEAR(GG121)+2,MONTH(GG121),DAY(GG121)-1)</f>
        <v>46308</v>
      </c>
      <c r="GI121" s="8">
        <f t="shared" ca="1" si="310"/>
        <v>163</v>
      </c>
      <c r="GJ121" s="5" t="str">
        <f t="shared" ca="1" si="311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2"/>
        <v>141</v>
      </c>
      <c r="GO121" s="5" t="str">
        <f t="shared" ca="1" si="313"/>
        <v>VIGENTE</v>
      </c>
      <c r="GP121" s="4"/>
      <c r="GQ121" s="4">
        <v>44952</v>
      </c>
      <c r="GR121" s="4">
        <f t="shared" si="314"/>
        <v>46778</v>
      </c>
      <c r="GS121" s="8">
        <f t="shared" ca="1" si="405"/>
        <v>633</v>
      </c>
      <c r="GT121" s="5" t="str">
        <f t="shared" ca="1" si="419"/>
        <v>VIGENTE</v>
      </c>
      <c r="GU121" s="3"/>
      <c r="GV121" s="4">
        <v>45010</v>
      </c>
      <c r="GW121" s="4">
        <f t="shared" si="316"/>
        <v>46837</v>
      </c>
      <c r="GX121" s="8">
        <f t="shared" ca="1" si="317"/>
        <v>692</v>
      </c>
      <c r="GY121" s="5" t="str">
        <f t="shared" ca="1" si="426"/>
        <v>VIGENTE</v>
      </c>
      <c r="GZ121" s="2"/>
      <c r="HA121" s="4">
        <v>44883</v>
      </c>
      <c r="HB121" s="4">
        <f t="shared" si="319"/>
        <v>46709</v>
      </c>
      <c r="HC121" s="8">
        <f t="shared" ca="1" si="320"/>
        <v>564</v>
      </c>
      <c r="HD121" s="5" t="str">
        <f t="shared" ca="1" si="421"/>
        <v>VIGENTE</v>
      </c>
      <c r="HE121" s="6"/>
      <c r="HF121" s="4">
        <v>44862</v>
      </c>
      <c r="HG121" s="4">
        <f t="shared" si="428"/>
        <v>46688</v>
      </c>
      <c r="HH121" s="8">
        <f t="shared" ca="1" si="429"/>
        <v>543</v>
      </c>
      <c r="HI121" s="5" t="str">
        <f t="shared" ca="1" si="427"/>
        <v>VIGENTE</v>
      </c>
      <c r="HJ121" s="2"/>
      <c r="HK121" s="6"/>
      <c r="HL121" s="4"/>
      <c r="HM121" s="8"/>
      <c r="HN121" s="5" t="str">
        <f t="shared" si="409"/>
        <v>NO APLICA</v>
      </c>
      <c r="HO121" s="2"/>
      <c r="HP121" s="5"/>
      <c r="HQ121" s="5"/>
      <c r="HR121" s="5"/>
      <c r="HS121" s="5" t="str">
        <f t="shared" si="322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3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4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5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6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7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8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9"/>
        <v>VIGENTE</v>
      </c>
      <c r="JC121" s="3" t="s">
        <v>780</v>
      </c>
      <c r="JD121" s="3"/>
      <c r="JE121" s="4"/>
      <c r="JF121" s="8"/>
      <c r="JG121" s="5"/>
      <c r="JH121" s="3" t="s">
        <v>780</v>
      </c>
      <c r="JI121" s="6"/>
      <c r="JJ121" s="6"/>
      <c r="JK121" s="6"/>
      <c r="JL121" s="5"/>
      <c r="JM121" s="6" t="s">
        <v>780</v>
      </c>
      <c r="JN121" s="6"/>
      <c r="JO121" s="6"/>
      <c r="JP121" s="6"/>
      <c r="JQ121" s="5"/>
      <c r="JR121" s="6" t="s">
        <v>780</v>
      </c>
      <c r="JS121" s="6"/>
      <c r="JT121" s="6"/>
      <c r="JU121" s="6"/>
      <c r="JV121" s="5"/>
      <c r="JW121" s="6" t="s">
        <v>780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30"/>
        <v>NO APLICA</v>
      </c>
      <c r="KG121" s="5"/>
      <c r="KH121" s="5"/>
      <c r="KI121" s="4"/>
      <c r="KJ121" s="8"/>
      <c r="KK121" s="5" t="str">
        <f t="shared" si="356"/>
        <v>NO APLICA</v>
      </c>
      <c r="KL121" s="5"/>
      <c r="KM121" s="5"/>
      <c r="KN121" s="4"/>
      <c r="KO121" s="8"/>
      <c r="KP121" s="5" t="str">
        <f t="shared" si="331"/>
        <v>NO APLICA</v>
      </c>
      <c r="KQ121" s="5"/>
      <c r="KR121" s="2"/>
      <c r="KS121" s="4"/>
      <c r="KT121" s="8"/>
      <c r="KU121" s="5" t="str">
        <f t="shared" si="357"/>
        <v>NO APLICA</v>
      </c>
      <c r="KV121" s="2"/>
      <c r="KW121" s="6"/>
      <c r="KX121" s="4"/>
      <c r="KY121" s="8"/>
      <c r="KZ121" s="5" t="str">
        <f t="shared" si="366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8"/>
        <v>VIGENTE</v>
      </c>
      <c r="LF121" s="6"/>
      <c r="LG121" s="6"/>
      <c r="LH121" s="4"/>
      <c r="LI121" s="8"/>
      <c r="LJ121" s="5" t="str">
        <f t="shared" si="332"/>
        <v>NO APLICA</v>
      </c>
      <c r="LK121" s="5"/>
      <c r="LL121" s="5"/>
      <c r="LM121" s="4"/>
      <c r="LN121" s="8"/>
      <c r="LO121" s="5" t="str">
        <f t="shared" si="367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9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60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1"/>
        <v>VIGENTE</v>
      </c>
      <c r="ME121" s="5"/>
      <c r="MF121" s="5"/>
      <c r="MG121" s="4"/>
      <c r="MH121" s="8"/>
      <c r="MI121" s="5" t="str">
        <f t="shared" si="333"/>
        <v>NO APLICA</v>
      </c>
      <c r="MJ121" s="5"/>
      <c r="MK121" s="5"/>
      <c r="ML121" s="4"/>
      <c r="MM121" s="8"/>
      <c r="MN121" s="5" t="str">
        <f t="shared" si="334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5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6"/>
        <v>VIGENTE</v>
      </c>
      <c r="MY121" s="5"/>
      <c r="MZ121" s="6"/>
      <c r="NA121" s="4"/>
      <c r="NB121" s="8"/>
      <c r="NC121" s="5" t="str">
        <f t="shared" si="337"/>
        <v>NO APLICA</v>
      </c>
      <c r="ND121" s="5"/>
      <c r="NE121" s="6"/>
      <c r="NF121" s="4"/>
      <c r="NG121" s="8"/>
      <c r="NH121" s="5" t="str">
        <f t="shared" si="338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9"/>
        <v>VIGENTE</v>
      </c>
      <c r="NN121" s="5"/>
      <c r="NO121" s="5"/>
      <c r="NP121" s="4"/>
      <c r="NQ121" s="8"/>
      <c r="NR121" s="5" t="str">
        <f t="shared" si="340"/>
        <v>NO APLICA</v>
      </c>
      <c r="NS121" s="5"/>
      <c r="NT121" s="5"/>
      <c r="NU121" s="5"/>
      <c r="NV121" s="5"/>
      <c r="NW121" s="5" t="str">
        <f t="shared" si="341"/>
        <v>NO APLICA</v>
      </c>
      <c r="NX121" s="6"/>
      <c r="NY121" s="6"/>
      <c r="NZ121" s="4"/>
      <c r="OA121" s="8"/>
      <c r="OB121" s="5" t="str">
        <f t="shared" si="342"/>
        <v>NO APLICA</v>
      </c>
      <c r="OC121" s="6"/>
      <c r="OD121" s="6"/>
      <c r="OE121" s="6"/>
      <c r="OF121" s="6"/>
      <c r="OG121" s="5" t="str">
        <f t="shared" si="343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4"/>
        <v>VENCIDA</v>
      </c>
      <c r="OM121" s="6"/>
      <c r="ON121" s="4"/>
      <c r="OO121" s="6"/>
      <c r="OP121" s="6"/>
      <c r="OQ121" s="5" t="str">
        <f t="shared" si="345"/>
        <v>NO APLICA</v>
      </c>
      <c r="OR121" s="6"/>
      <c r="OS121" s="6"/>
      <c r="OT121" s="6"/>
      <c r="OU121" s="6"/>
      <c r="OV121" s="5" t="str">
        <f t="shared" si="346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7"/>
        <v>VIGENTE</v>
      </c>
      <c r="PB121" s="6"/>
      <c r="PC121" s="6"/>
      <c r="PD121" s="6"/>
      <c r="PE121" s="6"/>
      <c r="PF121" s="5" t="str">
        <f t="shared" si="348"/>
        <v>NO APLICA</v>
      </c>
      <c r="PG121" s="6"/>
      <c r="PH121" s="6"/>
      <c r="PI121" s="6"/>
      <c r="PJ121" s="6"/>
      <c r="PK121" s="5" t="str">
        <f t="shared" si="349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50"/>
        <v>VIGENTE</v>
      </c>
      <c r="PQ121" s="6"/>
      <c r="PR121" s="6"/>
      <c r="PS121" s="6"/>
      <c r="PT121" s="6"/>
      <c r="PU121" s="5" t="str">
        <f t="shared" si="351"/>
        <v>NO APLICA</v>
      </c>
      <c r="PV121" s="5"/>
      <c r="PW121" s="4"/>
      <c r="PX121" s="6"/>
      <c r="PY121" s="6"/>
      <c r="PZ121" s="5" t="str">
        <f t="shared" si="352"/>
        <v>NO APLICA</v>
      </c>
    </row>
    <row r="122" spans="1:442" ht="15.6" hidden="1" thickTop="1" thickBot="1" x14ac:dyDescent="0.35">
      <c r="A122" s="26">
        <v>119</v>
      </c>
      <c r="B122" s="27">
        <v>1331</v>
      </c>
      <c r="C122" s="28" t="s">
        <v>406</v>
      </c>
      <c r="D122" s="29" t="s">
        <v>68</v>
      </c>
      <c r="E122" s="30" t="s">
        <v>153</v>
      </c>
      <c r="F122" s="5"/>
      <c r="G122" s="6"/>
      <c r="H122" s="4"/>
      <c r="I122" s="8"/>
      <c r="J122" s="5" t="str">
        <f t="shared" si="242"/>
        <v>NO APLICA</v>
      </c>
      <c r="K122" s="5"/>
      <c r="L122" s="6"/>
      <c r="M122" s="6"/>
      <c r="N122" s="8"/>
      <c r="O122" s="5" t="str">
        <f t="shared" si="243"/>
        <v>NO APLICA</v>
      </c>
      <c r="P122" s="6"/>
      <c r="Q122" s="6"/>
      <c r="R122" s="4"/>
      <c r="S122" s="8"/>
      <c r="T122" s="5" t="str">
        <f t="shared" si="353"/>
        <v>NO APLICA</v>
      </c>
      <c r="U122" s="5"/>
      <c r="V122" s="2" t="s">
        <v>407</v>
      </c>
      <c r="W122" s="4">
        <v>44829</v>
      </c>
      <c r="X122" s="4">
        <f t="shared" si="410"/>
        <v>46655</v>
      </c>
      <c r="Y122" s="8">
        <f t="shared" ca="1" si="411"/>
        <v>510</v>
      </c>
      <c r="Z122" s="5" t="str">
        <f t="shared" ca="1" si="412"/>
        <v>VIGENTE</v>
      </c>
      <c r="AA122" s="5"/>
      <c r="AB122" s="2" t="s">
        <v>408</v>
      </c>
      <c r="AC122" s="4">
        <v>45499</v>
      </c>
      <c r="AD122" s="4">
        <f t="shared" si="430"/>
        <v>47325</v>
      </c>
      <c r="AE122" s="8">
        <f t="shared" ca="1" si="431"/>
        <v>1180</v>
      </c>
      <c r="AF122" s="5" t="str">
        <f t="shared" ca="1" si="247"/>
        <v>VIGENTE</v>
      </c>
      <c r="AG122" s="3"/>
      <c r="AH122" s="3">
        <v>45609</v>
      </c>
      <c r="AI122" s="4">
        <f t="shared" si="432"/>
        <v>46338</v>
      </c>
      <c r="AJ122" s="8">
        <f t="shared" ca="1" si="248"/>
        <v>193</v>
      </c>
      <c r="AK122" s="5" t="str">
        <f t="shared" ca="1" si="408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9"/>
        <v>511</v>
      </c>
      <c r="AP122" s="5" t="str">
        <f t="shared" ca="1" si="250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1"/>
        <v>574</v>
      </c>
      <c r="AU122" s="5" t="str">
        <f t="shared" ca="1" si="252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3"/>
        <v>575</v>
      </c>
      <c r="AZ122" s="5" t="str">
        <f t="shared" ca="1" si="254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5"/>
        <v>656</v>
      </c>
      <c r="BE122" s="5" t="str">
        <f t="shared" ca="1" si="256"/>
        <v>VIGENTE</v>
      </c>
      <c r="BF122" s="3"/>
      <c r="BG122" s="4">
        <v>45987</v>
      </c>
      <c r="BH122" s="4">
        <f t="shared" ref="BH122:BH128" si="443">DATE(YEAR(BG122)+2,MONTH(BG122),DAY(BG122))</f>
        <v>46717</v>
      </c>
      <c r="BI122" s="8">
        <f t="shared" ca="1" si="257"/>
        <v>572</v>
      </c>
      <c r="BJ122" s="5" t="str">
        <f t="shared" ca="1" si="258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9"/>
        <v>636</v>
      </c>
      <c r="BO122" s="5" t="str">
        <f t="shared" ca="1" si="260"/>
        <v>VIGENTE</v>
      </c>
      <c r="BP122" s="3"/>
      <c r="BQ122" s="39">
        <v>46069</v>
      </c>
      <c r="BR122" s="4">
        <f>DATE(YEAR(BQ122)+2,MONTH(BQ122),DAY(BQ122))</f>
        <v>46799</v>
      </c>
      <c r="BS122" s="8">
        <f t="shared" ca="1" si="261"/>
        <v>654</v>
      </c>
      <c r="BT122" s="5" t="str">
        <f t="shared" ca="1" si="262"/>
        <v>VIGENTE</v>
      </c>
      <c r="BU122" s="3"/>
      <c r="BV122" s="4">
        <v>46116</v>
      </c>
      <c r="BW122" s="4">
        <f>DATE(YEAR(BV122)+2,MONTH(BV122),DAY(BV122)-1)</f>
        <v>46846</v>
      </c>
      <c r="BX122" s="8">
        <f t="shared" ca="1" si="263"/>
        <v>701</v>
      </c>
      <c r="BY122" s="5" t="str">
        <f t="shared" ca="1" si="264"/>
        <v>VIGENTE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5"/>
        <v>314</v>
      </c>
      <c r="CD122" s="5" t="str">
        <f t="shared" ca="1" si="266"/>
        <v>VIGENTE</v>
      </c>
      <c r="CE122" s="6"/>
      <c r="CF122" s="4">
        <v>45262</v>
      </c>
      <c r="CG122" s="4">
        <f t="shared" si="416"/>
        <v>46723</v>
      </c>
      <c r="CH122" s="8">
        <f t="shared" ca="1" si="417"/>
        <v>578</v>
      </c>
      <c r="CI122" s="5" t="str">
        <f t="shared" ca="1" si="418"/>
        <v>VIGENTE</v>
      </c>
      <c r="CJ122" s="4"/>
      <c r="CK122" s="4">
        <v>46134</v>
      </c>
      <c r="CL122" s="4">
        <f t="shared" si="433"/>
        <v>46864</v>
      </c>
      <c r="CM122" s="8">
        <f t="shared" ca="1" si="270"/>
        <v>719</v>
      </c>
      <c r="CN122" s="5" t="str">
        <f t="shared" ca="1" si="271"/>
        <v>VIGENTE</v>
      </c>
      <c r="CO122" s="4"/>
      <c r="CP122" s="39">
        <v>45726</v>
      </c>
      <c r="CQ122" s="4">
        <f t="shared" si="434"/>
        <v>46455</v>
      </c>
      <c r="CR122" s="8">
        <f t="shared" ca="1" si="272"/>
        <v>310</v>
      </c>
      <c r="CS122" s="5" t="str">
        <f t="shared" ca="1" si="273"/>
        <v>VIGENTE</v>
      </c>
      <c r="CT122" s="3"/>
      <c r="CU122" s="4">
        <v>45631</v>
      </c>
      <c r="CV122" s="4">
        <f t="shared" si="435"/>
        <v>46360</v>
      </c>
      <c r="CW122" s="8">
        <f t="shared" ca="1" si="274"/>
        <v>215</v>
      </c>
      <c r="CX122" s="5" t="str">
        <f t="shared" ca="1" si="275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6"/>
        <v>684</v>
      </c>
      <c r="DC122" s="5" t="str">
        <f t="shared" ca="1" si="277"/>
        <v>VIGENTE</v>
      </c>
      <c r="DD122" s="3"/>
      <c r="DE122" s="39">
        <v>45723</v>
      </c>
      <c r="DF122" s="4">
        <f t="shared" si="436"/>
        <v>46452</v>
      </c>
      <c r="DG122" s="8">
        <f t="shared" ca="1" si="278"/>
        <v>307</v>
      </c>
      <c r="DH122" s="5" t="str">
        <f t="shared" ca="1" si="279"/>
        <v>VIGENTE</v>
      </c>
      <c r="DI122" s="3"/>
      <c r="DJ122" s="39">
        <v>45696</v>
      </c>
      <c r="DK122" s="4">
        <f>DATE(YEAR(DJ122)+2,MONTH(DJ122),DAY(DJ122)-1)</f>
        <v>46425</v>
      </c>
      <c r="DL122" s="8">
        <f t="shared" ca="1" si="280"/>
        <v>280</v>
      </c>
      <c r="DM122" s="5" t="str">
        <f t="shared" ca="1" si="281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2"/>
        <v>592</v>
      </c>
      <c r="DR122" s="5" t="str">
        <f t="shared" ca="1" si="283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4"/>
        <v>638</v>
      </c>
      <c r="DW122" s="5" t="str">
        <f t="shared" ca="1" si="285"/>
        <v>VIGENTE</v>
      </c>
      <c r="DX122" s="3"/>
      <c r="DY122" s="4">
        <v>45682</v>
      </c>
      <c r="DZ122" s="4">
        <f t="shared" si="437"/>
        <v>46411</v>
      </c>
      <c r="EA122" s="8">
        <f t="shared" ca="1" si="286"/>
        <v>266</v>
      </c>
      <c r="EB122" s="5" t="str">
        <f t="shared" ca="1" si="287"/>
        <v>VIGENTE</v>
      </c>
      <c r="EC122" s="3"/>
      <c r="ED122" s="39">
        <v>45642</v>
      </c>
      <c r="EE122" s="4">
        <f t="shared" si="438"/>
        <v>46371</v>
      </c>
      <c r="EF122" s="8">
        <f t="shared" ca="1" si="288"/>
        <v>226</v>
      </c>
      <c r="EG122" s="5" t="str">
        <f t="shared" ca="1" si="289"/>
        <v>VIGENTE</v>
      </c>
      <c r="EH122" s="3"/>
      <c r="EI122" s="3">
        <v>46085</v>
      </c>
      <c r="EJ122" s="4">
        <f t="shared" si="355"/>
        <v>46450</v>
      </c>
      <c r="EK122" s="8">
        <f t="shared" ca="1" si="290"/>
        <v>305</v>
      </c>
      <c r="EL122" s="5" t="str">
        <f t="shared" ca="1" si="291"/>
        <v>VIGENTE</v>
      </c>
      <c r="EM122" s="3"/>
      <c r="EN122" s="4">
        <v>45636</v>
      </c>
      <c r="EO122" s="4">
        <f t="shared" si="439"/>
        <v>46365</v>
      </c>
      <c r="EP122" s="8">
        <f t="shared" ca="1" si="292"/>
        <v>220</v>
      </c>
      <c r="EQ122" s="5" t="str">
        <f t="shared" ca="1" si="293"/>
        <v>VIGENTE</v>
      </c>
      <c r="ER122" s="3"/>
      <c r="ES122" s="39">
        <v>46094</v>
      </c>
      <c r="ET122" s="4">
        <f>DATE(YEAR(ES122)+2,MONTH(ES122),DAY(ES122))</f>
        <v>46825</v>
      </c>
      <c r="EU122" s="8">
        <f t="shared" ca="1" si="294"/>
        <v>680</v>
      </c>
      <c r="EV122" s="5" t="str">
        <f t="shared" ca="1" si="295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6"/>
        <v>278</v>
      </c>
      <c r="FA122" s="5" t="str">
        <f t="shared" ca="1" si="297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8"/>
        <v>195</v>
      </c>
      <c r="FF122" s="5" t="str">
        <f t="shared" ca="1" si="299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0"/>
        <v>252</v>
      </c>
      <c r="FK122" s="5" t="str">
        <f t="shared" ca="1" si="301"/>
        <v>VIGENTE</v>
      </c>
      <c r="FL122" s="3"/>
      <c r="FM122" s="39">
        <v>45686</v>
      </c>
      <c r="FN122" s="4">
        <f t="shared" si="440"/>
        <v>46415</v>
      </c>
      <c r="FO122" s="8">
        <f t="shared" ca="1" si="302"/>
        <v>270</v>
      </c>
      <c r="FP122" s="5" t="str">
        <f t="shared" ca="1" si="303"/>
        <v>VIGENTE</v>
      </c>
      <c r="FQ122" s="3"/>
      <c r="FR122" s="39">
        <v>45664</v>
      </c>
      <c r="FS122" s="4">
        <f t="shared" si="441"/>
        <v>46393</v>
      </c>
      <c r="FT122" s="8">
        <f t="shared" ca="1" si="304"/>
        <v>248</v>
      </c>
      <c r="FU122" s="5" t="str">
        <f t="shared" ca="1" si="305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6"/>
        <v>171</v>
      </c>
      <c r="FZ122" s="5" t="str">
        <f t="shared" ca="1" si="307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8"/>
        <v>658</v>
      </c>
      <c r="GE122" s="5" t="str">
        <f t="shared" ca="1" si="309"/>
        <v>VIGENTE</v>
      </c>
      <c r="GF122" s="3"/>
      <c r="GG122" s="4">
        <v>45672</v>
      </c>
      <c r="GH122" s="4">
        <f t="shared" si="442"/>
        <v>46401</v>
      </c>
      <c r="GI122" s="8">
        <f t="shared" ca="1" si="310"/>
        <v>256</v>
      </c>
      <c r="GJ122" s="5" t="str">
        <f t="shared" ca="1" si="311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2"/>
        <v>530</v>
      </c>
      <c r="GO122" s="5" t="str">
        <f t="shared" ca="1" si="313"/>
        <v>VIGENTE</v>
      </c>
      <c r="GP122" s="4"/>
      <c r="GQ122" s="4">
        <v>45283</v>
      </c>
      <c r="GR122" s="4">
        <f t="shared" si="314"/>
        <v>47110</v>
      </c>
      <c r="GS122" s="8">
        <f t="shared" ca="1" si="405"/>
        <v>965</v>
      </c>
      <c r="GT122" s="5" t="str">
        <f t="shared" ca="1" si="419"/>
        <v>VIGENTE</v>
      </c>
      <c r="GU122" s="3"/>
      <c r="GV122" s="4">
        <v>45245</v>
      </c>
      <c r="GW122" s="4">
        <f t="shared" si="316"/>
        <v>47072</v>
      </c>
      <c r="GX122" s="8">
        <f t="shared" ca="1" si="317"/>
        <v>927</v>
      </c>
      <c r="GY122" s="5" t="str">
        <f t="shared" ca="1" si="426"/>
        <v>VIGENTE</v>
      </c>
      <c r="GZ122" s="3"/>
      <c r="HA122" s="4">
        <v>45251</v>
      </c>
      <c r="HB122" s="4">
        <f t="shared" si="319"/>
        <v>47078</v>
      </c>
      <c r="HC122" s="8">
        <f t="shared" ca="1" si="320"/>
        <v>933</v>
      </c>
      <c r="HD122" s="5" t="str">
        <f t="shared" ca="1" si="421"/>
        <v>VIGENTE</v>
      </c>
      <c r="HE122" s="6"/>
      <c r="HF122" s="4">
        <v>44879</v>
      </c>
      <c r="HG122" s="4">
        <f t="shared" si="428"/>
        <v>46705</v>
      </c>
      <c r="HH122" s="8">
        <f t="shared" ca="1" si="429"/>
        <v>560</v>
      </c>
      <c r="HI122" s="5" t="str">
        <f t="shared" ca="1" si="427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9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2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3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4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5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6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7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8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9"/>
        <v>VIGENTE</v>
      </c>
      <c r="JC122" s="3" t="s">
        <v>780</v>
      </c>
      <c r="JD122" s="3"/>
      <c r="JE122" s="4"/>
      <c r="JF122" s="8"/>
      <c r="JG122" s="5"/>
      <c r="JH122" s="3" t="s">
        <v>780</v>
      </c>
      <c r="JI122" s="6"/>
      <c r="JJ122" s="6"/>
      <c r="JK122" s="6"/>
      <c r="JL122" s="5"/>
      <c r="JM122" s="6" t="s">
        <v>780</v>
      </c>
      <c r="JN122" s="6"/>
      <c r="JO122" s="6"/>
      <c r="JP122" s="6"/>
      <c r="JQ122" s="5"/>
      <c r="JR122" s="6" t="s">
        <v>780</v>
      </c>
      <c r="JS122" s="6"/>
      <c r="JT122" s="6"/>
      <c r="JU122" s="6"/>
      <c r="JV122" s="5"/>
      <c r="JW122" s="6" t="s">
        <v>780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30"/>
        <v>NO APLICA</v>
      </c>
      <c r="KG122" s="5"/>
      <c r="KH122" s="2"/>
      <c r="KI122" s="4"/>
      <c r="KJ122" s="8"/>
      <c r="KK122" s="5" t="str">
        <f t="shared" si="356"/>
        <v>NO APLICA</v>
      </c>
      <c r="KL122" s="5"/>
      <c r="KM122" s="2"/>
      <c r="KN122" s="4"/>
      <c r="KO122" s="8"/>
      <c r="KP122" s="5" t="str">
        <f t="shared" si="331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7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6"/>
        <v>VIGENTE</v>
      </c>
      <c r="LA122" s="5"/>
      <c r="LB122" s="6"/>
      <c r="LC122" s="4"/>
      <c r="LD122" s="8"/>
      <c r="LE122" s="5" t="str">
        <f t="shared" si="358"/>
        <v>NO APLICA</v>
      </c>
      <c r="LF122" s="4"/>
      <c r="LG122" s="4"/>
      <c r="LH122" s="4"/>
      <c r="LI122" s="8"/>
      <c r="LJ122" s="5" t="str">
        <f t="shared" si="332"/>
        <v>NO APLICA</v>
      </c>
      <c r="LK122" s="5"/>
      <c r="LL122" s="5"/>
      <c r="LM122" s="4"/>
      <c r="LN122" s="8"/>
      <c r="LO122" s="5" t="str">
        <f t="shared" si="367"/>
        <v>NO APLICA</v>
      </c>
      <c r="LP122" s="2"/>
      <c r="LQ122" s="6"/>
      <c r="LR122" s="4"/>
      <c r="LS122" s="8"/>
      <c r="LT122" s="5" t="str">
        <f t="shared" si="359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60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1"/>
        <v>VIGENTE</v>
      </c>
      <c r="ME122" s="2"/>
      <c r="MF122" s="2"/>
      <c r="MG122" s="4"/>
      <c r="MH122" s="8"/>
      <c r="MI122" s="5" t="str">
        <f t="shared" si="333"/>
        <v>NO APLICA</v>
      </c>
      <c r="MJ122" s="2"/>
      <c r="MK122" s="2"/>
      <c r="ML122" s="4"/>
      <c r="MM122" s="8"/>
      <c r="MN122" s="5" t="str">
        <f t="shared" si="334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5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6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7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8"/>
        <v>VIGENTE</v>
      </c>
      <c r="NI122" s="2"/>
      <c r="NJ122" s="4"/>
      <c r="NK122" s="4"/>
      <c r="NL122" s="8"/>
      <c r="NM122" s="5" t="str">
        <f t="shared" si="339"/>
        <v>NO APLICA</v>
      </c>
      <c r="NN122" s="2"/>
      <c r="NO122" s="2"/>
      <c r="NP122" s="4"/>
      <c r="NQ122" s="8"/>
      <c r="NR122" s="5" t="str">
        <f t="shared" si="340"/>
        <v>NO APLICA</v>
      </c>
      <c r="NS122" s="2"/>
      <c r="NT122" s="2"/>
      <c r="NU122" s="4"/>
      <c r="NV122" s="2"/>
      <c r="NW122" s="5" t="str">
        <f t="shared" si="341"/>
        <v>NO APLICA</v>
      </c>
      <c r="NX122" s="6"/>
      <c r="NY122" s="6"/>
      <c r="NZ122" s="4"/>
      <c r="OA122" s="8"/>
      <c r="OB122" s="5" t="str">
        <f t="shared" si="342"/>
        <v>NO APLICA</v>
      </c>
      <c r="OC122" s="6"/>
      <c r="OD122" s="6"/>
      <c r="OE122" s="6"/>
      <c r="OF122" s="6"/>
      <c r="OG122" s="5" t="str">
        <f t="shared" si="343"/>
        <v>NO APLICA</v>
      </c>
      <c r="OH122" s="2"/>
      <c r="OI122" s="2"/>
      <c r="OJ122" s="4"/>
      <c r="OK122" s="8"/>
      <c r="OL122" s="5" t="str">
        <f t="shared" si="344"/>
        <v>NO APLICA</v>
      </c>
      <c r="OM122" s="6"/>
      <c r="ON122" s="6"/>
      <c r="OO122" s="6"/>
      <c r="OP122" s="6"/>
      <c r="OQ122" s="5" t="str">
        <f t="shared" si="345"/>
        <v>NO APLICA</v>
      </c>
      <c r="OR122" s="6"/>
      <c r="OS122" s="6"/>
      <c r="OT122" s="6"/>
      <c r="OU122" s="6"/>
      <c r="OV122" s="5" t="str">
        <f t="shared" si="346"/>
        <v>NO APLICA</v>
      </c>
      <c r="OW122" s="6"/>
      <c r="OX122" s="6"/>
      <c r="OY122" s="6"/>
      <c r="OZ122" s="6"/>
      <c r="PA122" s="5" t="str">
        <f t="shared" si="347"/>
        <v>NO APLICA</v>
      </c>
      <c r="PB122" s="6"/>
      <c r="PC122" s="6"/>
      <c r="PD122" s="6"/>
      <c r="PE122" s="6"/>
      <c r="PF122" s="5" t="str">
        <f t="shared" si="348"/>
        <v>NO APLICA</v>
      </c>
      <c r="PG122" s="6"/>
      <c r="PH122" s="6"/>
      <c r="PI122" s="6"/>
      <c r="PJ122" s="6"/>
      <c r="PK122" s="5" t="str">
        <f t="shared" si="349"/>
        <v>NO APLICA</v>
      </c>
      <c r="PL122" s="5"/>
      <c r="PM122" s="6"/>
      <c r="PN122" s="4"/>
      <c r="PO122" s="8"/>
      <c r="PP122" s="5" t="str">
        <f t="shared" si="350"/>
        <v>NO APLICA</v>
      </c>
      <c r="PQ122" s="6"/>
      <c r="PR122" s="6"/>
      <c r="PS122" s="6"/>
      <c r="PT122" s="6"/>
      <c r="PU122" s="5" t="str">
        <f t="shared" si="351"/>
        <v>NO APLICA</v>
      </c>
      <c r="PV122" s="5"/>
      <c r="PW122" s="6"/>
      <c r="PX122" s="6"/>
      <c r="PY122" s="6"/>
      <c r="PZ122" s="5" t="str">
        <f t="shared" si="352"/>
        <v>NO APLICA</v>
      </c>
    </row>
    <row r="123" spans="1:442" ht="15.6" hidden="1" thickTop="1" thickBot="1" x14ac:dyDescent="0.35">
      <c r="A123" s="26">
        <v>120</v>
      </c>
      <c r="B123" s="27">
        <v>1421</v>
      </c>
      <c r="C123" s="28" t="s">
        <v>409</v>
      </c>
      <c r="D123" s="29" t="s">
        <v>68</v>
      </c>
      <c r="E123" s="30" t="s">
        <v>153</v>
      </c>
      <c r="F123" s="5"/>
      <c r="G123" s="6"/>
      <c r="H123" s="4"/>
      <c r="I123" s="8"/>
      <c r="J123" s="5" t="str">
        <f t="shared" si="242"/>
        <v>NO APLICA</v>
      </c>
      <c r="K123" s="5"/>
      <c r="L123" s="6"/>
      <c r="M123" s="6"/>
      <c r="N123" s="8"/>
      <c r="O123" s="5" t="str">
        <f t="shared" si="243"/>
        <v>NO APLICA</v>
      </c>
      <c r="P123" s="6"/>
      <c r="Q123" s="6"/>
      <c r="R123" s="4"/>
      <c r="S123" s="8"/>
      <c r="T123" s="5" t="str">
        <f t="shared" si="353"/>
        <v>NO APLICA</v>
      </c>
      <c r="U123" s="5"/>
      <c r="V123" s="2" t="s">
        <v>410</v>
      </c>
      <c r="W123" s="4">
        <v>45500</v>
      </c>
      <c r="X123" s="4">
        <f t="shared" si="410"/>
        <v>47326</v>
      </c>
      <c r="Y123" s="8">
        <f t="shared" ca="1" si="411"/>
        <v>1181</v>
      </c>
      <c r="Z123" s="5" t="str">
        <f t="shared" ca="1" si="412"/>
        <v>VIGENTE</v>
      </c>
      <c r="AA123" s="5"/>
      <c r="AB123" s="2" t="s">
        <v>411</v>
      </c>
      <c r="AC123" s="4">
        <v>44826</v>
      </c>
      <c r="AD123" s="4">
        <f t="shared" si="430"/>
        <v>46652</v>
      </c>
      <c r="AE123" s="8">
        <f t="shared" ca="1" si="431"/>
        <v>507</v>
      </c>
      <c r="AF123" s="5" t="str">
        <f t="shared" ca="1" si="247"/>
        <v>VIGENTE</v>
      </c>
      <c r="AG123" s="3"/>
      <c r="AH123" s="4">
        <v>45589</v>
      </c>
      <c r="AI123" s="4">
        <f t="shared" si="432"/>
        <v>46318</v>
      </c>
      <c r="AJ123" s="8">
        <f t="shared" ca="1" si="248"/>
        <v>173</v>
      </c>
      <c r="AK123" s="5" t="str">
        <f t="shared" ca="1" si="408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9"/>
        <v>511</v>
      </c>
      <c r="AP123" s="5" t="str">
        <f t="shared" ca="1" si="250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1"/>
        <v>556</v>
      </c>
      <c r="AU123" s="5" t="str">
        <f t="shared" ca="1" si="252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3"/>
        <v>557</v>
      </c>
      <c r="AZ123" s="5" t="str">
        <f t="shared" ca="1" si="254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5"/>
        <v>626</v>
      </c>
      <c r="BE123" s="5" t="str">
        <f t="shared" ca="1" si="256"/>
        <v>VIGENTE</v>
      </c>
      <c r="BF123" s="3"/>
      <c r="BG123" s="4">
        <v>46067</v>
      </c>
      <c r="BH123" s="4">
        <f t="shared" si="443"/>
        <v>46797</v>
      </c>
      <c r="BI123" s="8">
        <f t="shared" ca="1" si="257"/>
        <v>652</v>
      </c>
      <c r="BJ123" s="5" t="str">
        <f t="shared" ca="1" si="258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9"/>
        <v>641</v>
      </c>
      <c r="BO123" s="5" t="str">
        <f t="shared" ca="1" si="260"/>
        <v>VIGENTE</v>
      </c>
      <c r="BP123" s="3"/>
      <c r="BQ123" s="39">
        <v>46120</v>
      </c>
      <c r="BR123" s="4">
        <f>DATE(YEAR(BQ123)+2,MONTH(BQ123),DAY(BQ123)-1)</f>
        <v>46850</v>
      </c>
      <c r="BS123" s="8">
        <f t="shared" ca="1" si="261"/>
        <v>705</v>
      </c>
      <c r="BT123" s="5" t="str">
        <f t="shared" ca="1" si="262"/>
        <v>VIGENTE</v>
      </c>
      <c r="BU123" s="3"/>
      <c r="BV123" s="4">
        <v>46063</v>
      </c>
      <c r="BW123" s="4">
        <f>DATE(YEAR(BV123)+2,MONTH(BV123),DAY(BV123))</f>
        <v>46793</v>
      </c>
      <c r="BX123" s="8">
        <f t="shared" ca="1" si="263"/>
        <v>648</v>
      </c>
      <c r="BY123" s="5" t="str">
        <f t="shared" ca="1" si="264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5"/>
        <v>539</v>
      </c>
      <c r="CD123" s="5" t="str">
        <f t="shared" ca="1" si="266"/>
        <v>VIGENTE</v>
      </c>
      <c r="CE123" s="6"/>
      <c r="CF123" s="4">
        <v>45227</v>
      </c>
      <c r="CG123" s="4">
        <f t="shared" si="416"/>
        <v>46688</v>
      </c>
      <c r="CH123" s="8">
        <f t="shared" ca="1" si="417"/>
        <v>543</v>
      </c>
      <c r="CI123" s="5" t="str">
        <f t="shared" ca="1" si="418"/>
        <v>VIGENTE</v>
      </c>
      <c r="CJ123" s="4"/>
      <c r="CK123" s="4">
        <v>45723</v>
      </c>
      <c r="CL123" s="4">
        <f t="shared" si="433"/>
        <v>46452</v>
      </c>
      <c r="CM123" s="8">
        <f t="shared" ca="1" si="270"/>
        <v>307</v>
      </c>
      <c r="CN123" s="5" t="str">
        <f t="shared" ca="1" si="271"/>
        <v>VIGENTE</v>
      </c>
      <c r="CO123" s="3"/>
      <c r="CP123" s="39">
        <v>45684</v>
      </c>
      <c r="CQ123" s="4">
        <f t="shared" si="434"/>
        <v>46413</v>
      </c>
      <c r="CR123" s="8">
        <f t="shared" ca="1" si="272"/>
        <v>268</v>
      </c>
      <c r="CS123" s="5" t="str">
        <f t="shared" ca="1" si="273"/>
        <v>VIGENTE</v>
      </c>
      <c r="CT123" s="3"/>
      <c r="CU123" s="4">
        <v>45631</v>
      </c>
      <c r="CV123" s="4">
        <f t="shared" si="435"/>
        <v>46360</v>
      </c>
      <c r="CW123" s="8">
        <f t="shared" ca="1" si="274"/>
        <v>215</v>
      </c>
      <c r="CX123" s="5" t="str">
        <f t="shared" ca="1" si="275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6"/>
        <v>249</v>
      </c>
      <c r="DC123" s="5" t="str">
        <f t="shared" ca="1" si="277"/>
        <v>VIGENTE</v>
      </c>
      <c r="DD123" s="3"/>
      <c r="DE123" s="39">
        <v>45689</v>
      </c>
      <c r="DF123" s="4">
        <f t="shared" si="436"/>
        <v>46418</v>
      </c>
      <c r="DG123" s="8">
        <f t="shared" ca="1" si="278"/>
        <v>273</v>
      </c>
      <c r="DH123" s="5" t="str">
        <f t="shared" ca="1" si="279"/>
        <v>VIGENTE</v>
      </c>
      <c r="DI123" s="3"/>
      <c r="DJ123" s="39">
        <v>45955</v>
      </c>
      <c r="DK123" s="4">
        <f>DATE(YEAR(DJ123)+2,MONTH(DJ123),DAY(DJ123))</f>
        <v>46685</v>
      </c>
      <c r="DL123" s="8">
        <f t="shared" ca="1" si="280"/>
        <v>540</v>
      </c>
      <c r="DM123" s="5" t="str">
        <f t="shared" ca="1" si="281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2"/>
        <v>592</v>
      </c>
      <c r="DR123" s="5" t="str">
        <f t="shared" ca="1" si="283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4"/>
        <v>638</v>
      </c>
      <c r="DW123" s="5" t="str">
        <f t="shared" ca="1" si="285"/>
        <v>VIGENTE</v>
      </c>
      <c r="DX123" s="3"/>
      <c r="DY123" s="4">
        <v>45682</v>
      </c>
      <c r="DZ123" s="4">
        <f t="shared" si="437"/>
        <v>46411</v>
      </c>
      <c r="EA123" s="8">
        <f t="shared" ca="1" si="286"/>
        <v>266</v>
      </c>
      <c r="EB123" s="5" t="str">
        <f t="shared" ca="1" si="287"/>
        <v>VIGENTE</v>
      </c>
      <c r="EC123" s="3"/>
      <c r="ED123" s="39">
        <v>45674</v>
      </c>
      <c r="EE123" s="4">
        <f t="shared" si="438"/>
        <v>46403</v>
      </c>
      <c r="EF123" s="8">
        <f t="shared" ca="1" si="288"/>
        <v>258</v>
      </c>
      <c r="EG123" s="5" t="str">
        <f t="shared" ca="1" si="289"/>
        <v>VIGENTE</v>
      </c>
      <c r="EH123" s="3"/>
      <c r="EI123" s="4">
        <v>45948</v>
      </c>
      <c r="EJ123" s="4">
        <f t="shared" si="355"/>
        <v>46313</v>
      </c>
      <c r="EK123" s="8">
        <f t="shared" ca="1" si="290"/>
        <v>168</v>
      </c>
      <c r="EL123" s="5" t="str">
        <f t="shared" ca="1" si="291"/>
        <v>VIGENTE</v>
      </c>
      <c r="EM123" s="3"/>
      <c r="EN123" s="4">
        <v>45737</v>
      </c>
      <c r="EO123" s="4">
        <f t="shared" si="439"/>
        <v>46466</v>
      </c>
      <c r="EP123" s="8">
        <f t="shared" ca="1" si="292"/>
        <v>321</v>
      </c>
      <c r="EQ123" s="5" t="str">
        <f t="shared" ca="1" si="293"/>
        <v>VIGENTE</v>
      </c>
      <c r="ER123" s="3"/>
      <c r="ES123" s="39">
        <v>46094</v>
      </c>
      <c r="ET123" s="4">
        <f>DATE(YEAR(ES123)+2,MONTH(ES123),DAY(ES123))</f>
        <v>46825</v>
      </c>
      <c r="EU123" s="8">
        <f t="shared" ca="1" si="294"/>
        <v>680</v>
      </c>
      <c r="EV123" s="5" t="str">
        <f t="shared" ca="1" si="295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6"/>
        <v>538</v>
      </c>
      <c r="FA123" s="5" t="str">
        <f t="shared" ca="1" si="297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8"/>
        <v>536</v>
      </c>
      <c r="FF123" s="5" t="str">
        <f t="shared" ca="1" si="299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0"/>
        <v>577</v>
      </c>
      <c r="FK123" s="5" t="str">
        <f t="shared" ca="1" si="301"/>
        <v>VIGENTE</v>
      </c>
      <c r="FL123" s="3"/>
      <c r="FM123" s="39">
        <v>45738</v>
      </c>
      <c r="FN123" s="4">
        <f t="shared" si="440"/>
        <v>46467</v>
      </c>
      <c r="FO123" s="8">
        <f t="shared" ca="1" si="302"/>
        <v>322</v>
      </c>
      <c r="FP123" s="5" t="str">
        <f t="shared" ca="1" si="303"/>
        <v>VIGENTE</v>
      </c>
      <c r="FQ123" s="3"/>
      <c r="FR123" s="39">
        <v>45724</v>
      </c>
      <c r="FS123" s="4">
        <f t="shared" si="441"/>
        <v>46453</v>
      </c>
      <c r="FT123" s="8">
        <f t="shared" ca="1" si="304"/>
        <v>308</v>
      </c>
      <c r="FU123" s="5" t="str">
        <f t="shared" ca="1" si="305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6"/>
        <v>599</v>
      </c>
      <c r="FZ123" s="5" t="str">
        <f t="shared" ca="1" si="307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8"/>
        <v>615</v>
      </c>
      <c r="GE123" s="5" t="str">
        <f t="shared" ca="1" si="309"/>
        <v>VIGENTE</v>
      </c>
      <c r="GF123" s="3"/>
      <c r="GG123" s="4">
        <v>45579</v>
      </c>
      <c r="GH123" s="4">
        <f t="shared" si="442"/>
        <v>46308</v>
      </c>
      <c r="GI123" s="8">
        <f t="shared" ca="1" si="310"/>
        <v>163</v>
      </c>
      <c r="GJ123" s="5" t="str">
        <f t="shared" ca="1" si="311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2"/>
        <v>508</v>
      </c>
      <c r="GO123" s="5" t="str">
        <f t="shared" ca="1" si="313"/>
        <v>VIGENTE</v>
      </c>
      <c r="GP123" s="4"/>
      <c r="GQ123" s="4">
        <v>45224</v>
      </c>
      <c r="GR123" s="4">
        <f t="shared" si="314"/>
        <v>47051</v>
      </c>
      <c r="GS123" s="8">
        <f t="shared" ca="1" si="405"/>
        <v>906</v>
      </c>
      <c r="GT123" s="5" t="str">
        <f t="shared" ca="1" si="419"/>
        <v>VIGENTE</v>
      </c>
      <c r="GU123" s="3"/>
      <c r="GV123" s="4">
        <v>45195</v>
      </c>
      <c r="GW123" s="4">
        <f t="shared" si="316"/>
        <v>47022</v>
      </c>
      <c r="GX123" s="8">
        <f t="shared" ca="1" si="317"/>
        <v>877</v>
      </c>
      <c r="GY123" s="5" t="str">
        <f t="shared" ca="1" si="426"/>
        <v>VIGENTE</v>
      </c>
      <c r="GZ123" s="3"/>
      <c r="HA123" s="4">
        <v>45268</v>
      </c>
      <c r="HB123" s="4">
        <f t="shared" si="319"/>
        <v>47095</v>
      </c>
      <c r="HC123" s="8">
        <f t="shared" ca="1" si="320"/>
        <v>950</v>
      </c>
      <c r="HD123" s="5" t="str">
        <f t="shared" ca="1" si="421"/>
        <v>VIGENTE</v>
      </c>
      <c r="HE123" s="6"/>
      <c r="HF123" s="4">
        <v>44862</v>
      </c>
      <c r="HG123" s="4">
        <f t="shared" si="428"/>
        <v>46688</v>
      </c>
      <c r="HH123" s="8">
        <f t="shared" ca="1" si="429"/>
        <v>543</v>
      </c>
      <c r="HI123" s="5" t="str">
        <f t="shared" ca="1" si="427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9"/>
        <v>VIGENTE</v>
      </c>
      <c r="HO123" s="2"/>
      <c r="HP123" s="2"/>
      <c r="HQ123" s="4"/>
      <c r="HR123" s="2"/>
      <c r="HS123" s="5" t="str">
        <f t="shared" si="322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3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4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5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6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7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8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9"/>
        <v>VIGENTE</v>
      </c>
      <c r="JC123" s="3" t="s">
        <v>780</v>
      </c>
      <c r="JD123" s="3"/>
      <c r="JE123" s="4"/>
      <c r="JF123" s="8"/>
      <c r="JG123" s="5"/>
      <c r="JH123" s="3" t="s">
        <v>780</v>
      </c>
      <c r="JI123" s="6"/>
      <c r="JJ123" s="6"/>
      <c r="JK123" s="6"/>
      <c r="JL123" s="5"/>
      <c r="JM123" s="6" t="s">
        <v>780</v>
      </c>
      <c r="JN123" s="6"/>
      <c r="JO123" s="6"/>
      <c r="JP123" s="6"/>
      <c r="JQ123" s="5"/>
      <c r="JR123" s="6" t="s">
        <v>780</v>
      </c>
      <c r="JS123" s="6"/>
      <c r="JT123" s="6"/>
      <c r="JU123" s="6"/>
      <c r="JV123" s="5"/>
      <c r="JW123" s="6" t="s">
        <v>780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30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6"/>
        <v>VIGENTE</v>
      </c>
      <c r="KL123" s="5"/>
      <c r="KM123" s="3"/>
      <c r="KN123" s="4"/>
      <c r="KO123" s="8"/>
      <c r="KP123" s="5" t="str">
        <f t="shared" si="331"/>
        <v>NO APLICA</v>
      </c>
      <c r="KQ123" s="5"/>
      <c r="KR123" s="2"/>
      <c r="KS123" s="4"/>
      <c r="KT123" s="8"/>
      <c r="KU123" s="5" t="str">
        <f t="shared" si="357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6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8"/>
        <v>VIGENTE</v>
      </c>
      <c r="LF123" s="6"/>
      <c r="LG123" s="4"/>
      <c r="LH123" s="4"/>
      <c r="LI123" s="8"/>
      <c r="LJ123" s="5" t="str">
        <f t="shared" si="332"/>
        <v>NO APLICA</v>
      </c>
      <c r="LK123" s="5"/>
      <c r="LL123" s="5"/>
      <c r="LM123" s="4"/>
      <c r="LN123" s="8"/>
      <c r="LO123" s="5" t="str">
        <f t="shared" si="367"/>
        <v>NO APLICA</v>
      </c>
      <c r="LP123" s="2"/>
      <c r="LQ123" s="6"/>
      <c r="LR123" s="4"/>
      <c r="LS123" s="8"/>
      <c r="LT123" s="5" t="str">
        <f t="shared" si="359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60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1"/>
        <v>VIGENTE</v>
      </c>
      <c r="ME123" s="2"/>
      <c r="MF123" s="2"/>
      <c r="MG123" s="4"/>
      <c r="MH123" s="8"/>
      <c r="MI123" s="5" t="str">
        <f t="shared" si="333"/>
        <v>NO APLICA</v>
      </c>
      <c r="MJ123" s="2"/>
      <c r="MK123" s="2"/>
      <c r="ML123" s="4"/>
      <c r="MM123" s="8"/>
      <c r="MN123" s="5" t="str">
        <f t="shared" si="334"/>
        <v>NO APLICA</v>
      </c>
      <c r="MO123" s="5"/>
      <c r="MP123" s="2"/>
      <c r="MQ123" s="4"/>
      <c r="MR123" s="8"/>
      <c r="MS123" s="5" t="str">
        <f t="shared" si="335"/>
        <v>NO APLICA</v>
      </c>
      <c r="MT123" s="5"/>
      <c r="MU123" s="2"/>
      <c r="MV123" s="4"/>
      <c r="MW123" s="2"/>
      <c r="MX123" s="5" t="str">
        <f t="shared" si="336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7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8"/>
        <v>VIGENTE</v>
      </c>
      <c r="NI123" s="2"/>
      <c r="NJ123" s="6"/>
      <c r="NK123" s="4"/>
      <c r="NL123" s="8"/>
      <c r="NM123" s="5" t="str">
        <f t="shared" si="339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40"/>
        <v>VIGENTE</v>
      </c>
      <c r="NS123" s="2"/>
      <c r="NT123" s="2"/>
      <c r="NU123" s="4"/>
      <c r="NV123" s="2"/>
      <c r="NW123" s="5" t="str">
        <f t="shared" si="341"/>
        <v>NO APLICA</v>
      </c>
      <c r="NX123" s="6"/>
      <c r="NY123" s="6"/>
      <c r="NZ123" s="4"/>
      <c r="OA123" s="8"/>
      <c r="OB123" s="5" t="str">
        <f t="shared" si="342"/>
        <v>NO APLICA</v>
      </c>
      <c r="OC123" s="6"/>
      <c r="OD123" s="6"/>
      <c r="OE123" s="6"/>
      <c r="OF123" s="6"/>
      <c r="OG123" s="5" t="str">
        <f t="shared" si="343"/>
        <v>NO APLICA</v>
      </c>
      <c r="OH123" s="2"/>
      <c r="OI123" s="2"/>
      <c r="OJ123" s="4"/>
      <c r="OK123" s="8"/>
      <c r="OL123" s="5" t="str">
        <f t="shared" si="344"/>
        <v>NO APLICA</v>
      </c>
      <c r="OM123" s="6"/>
      <c r="ON123" s="6"/>
      <c r="OO123" s="6"/>
      <c r="OP123" s="6"/>
      <c r="OQ123" s="5" t="str">
        <f t="shared" si="345"/>
        <v>NO APLICA</v>
      </c>
      <c r="OR123" s="6"/>
      <c r="OS123" s="6"/>
      <c r="OT123" s="6"/>
      <c r="OU123" s="6"/>
      <c r="OV123" s="5" t="str">
        <f t="shared" si="346"/>
        <v>NO APLICA</v>
      </c>
      <c r="OW123" s="6"/>
      <c r="OX123" s="6"/>
      <c r="OY123" s="6"/>
      <c r="OZ123" s="6"/>
      <c r="PA123" s="5" t="str">
        <f t="shared" si="347"/>
        <v>NO APLICA</v>
      </c>
      <c r="PB123" s="6"/>
      <c r="PC123" s="6"/>
      <c r="PD123" s="6"/>
      <c r="PE123" s="6"/>
      <c r="PF123" s="5" t="str">
        <f t="shared" si="348"/>
        <v>NO APLICA</v>
      </c>
      <c r="PG123" s="6"/>
      <c r="PH123" s="6"/>
      <c r="PI123" s="6"/>
      <c r="PJ123" s="6"/>
      <c r="PK123" s="5" t="str">
        <f t="shared" si="349"/>
        <v>NO APLICA</v>
      </c>
      <c r="PL123" s="5"/>
      <c r="PM123" s="6"/>
      <c r="PN123" s="4"/>
      <c r="PO123" s="8"/>
      <c r="PP123" s="5" t="str">
        <f t="shared" si="350"/>
        <v>NO APLICA</v>
      </c>
      <c r="PQ123" s="6"/>
      <c r="PR123" s="6"/>
      <c r="PS123" s="6"/>
      <c r="PT123" s="6"/>
      <c r="PU123" s="5" t="str">
        <f t="shared" si="351"/>
        <v>NO APLICA</v>
      </c>
      <c r="PV123" s="5"/>
      <c r="PW123" s="6"/>
      <c r="PX123" s="6"/>
      <c r="PY123" s="6"/>
      <c r="PZ123" s="5" t="str">
        <f t="shared" si="352"/>
        <v>NO APLICA</v>
      </c>
    </row>
    <row r="124" spans="1:442" ht="15.6" hidden="1" thickTop="1" thickBot="1" x14ac:dyDescent="0.35">
      <c r="A124" s="26">
        <v>121</v>
      </c>
      <c r="B124" s="27">
        <v>1617</v>
      </c>
      <c r="C124" s="28" t="s">
        <v>412</v>
      </c>
      <c r="D124" s="29" t="s">
        <v>157</v>
      </c>
      <c r="E124" s="30" t="s">
        <v>158</v>
      </c>
      <c r="F124" s="5"/>
      <c r="G124" s="6"/>
      <c r="H124" s="4"/>
      <c r="I124" s="8"/>
      <c r="J124" s="5" t="str">
        <f t="shared" si="242"/>
        <v>NO APLICA</v>
      </c>
      <c r="K124" s="5"/>
      <c r="L124" s="6"/>
      <c r="M124" s="6"/>
      <c r="N124" s="8"/>
      <c r="O124" s="5" t="str">
        <f t="shared" si="243"/>
        <v>NO APLICA</v>
      </c>
      <c r="P124" s="6"/>
      <c r="Q124" s="6"/>
      <c r="R124" s="4"/>
      <c r="S124" s="8"/>
      <c r="T124" s="5" t="str">
        <f t="shared" si="353"/>
        <v>NO APLICA</v>
      </c>
      <c r="U124" s="5"/>
      <c r="V124" s="2" t="s">
        <v>413</v>
      </c>
      <c r="W124" s="4">
        <v>44772</v>
      </c>
      <c r="X124" s="4">
        <f t="shared" si="410"/>
        <v>46598</v>
      </c>
      <c r="Y124" s="8">
        <f t="shared" ca="1" si="411"/>
        <v>453</v>
      </c>
      <c r="Z124" s="5" t="str">
        <f t="shared" ca="1" si="412"/>
        <v>VIGENTE</v>
      </c>
      <c r="AA124" s="5"/>
      <c r="AB124" s="2" t="s">
        <v>414</v>
      </c>
      <c r="AC124" s="4">
        <v>45233</v>
      </c>
      <c r="AD124" s="4">
        <f t="shared" si="430"/>
        <v>47060</v>
      </c>
      <c r="AE124" s="8">
        <f t="shared" ca="1" si="431"/>
        <v>915</v>
      </c>
      <c r="AF124" s="5" t="str">
        <f t="shared" ca="1" si="247"/>
        <v>VIGENTE</v>
      </c>
      <c r="AG124" s="3"/>
      <c r="AH124" s="4">
        <v>45680</v>
      </c>
      <c r="AI124" s="4">
        <f t="shared" si="432"/>
        <v>46409</v>
      </c>
      <c r="AJ124" s="8">
        <f t="shared" ca="1" si="248"/>
        <v>264</v>
      </c>
      <c r="AK124" s="5" t="str">
        <f t="shared" ca="1" si="408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9"/>
        <v>294</v>
      </c>
      <c r="AP124" s="5" t="str">
        <f t="shared" ca="1" si="250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1"/>
        <v>324</v>
      </c>
      <c r="AU124" s="5" t="str">
        <f t="shared" ca="1" si="252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3"/>
        <v>286</v>
      </c>
      <c r="AZ124" s="5" t="str">
        <f t="shared" ca="1" si="254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5"/>
        <v>626</v>
      </c>
      <c r="BE124" s="5" t="str">
        <f t="shared" ca="1" si="256"/>
        <v>VIGENTE</v>
      </c>
      <c r="BF124" s="3"/>
      <c r="BG124" s="4">
        <v>46027</v>
      </c>
      <c r="BH124" s="4">
        <f t="shared" si="443"/>
        <v>46757</v>
      </c>
      <c r="BI124" s="8">
        <f t="shared" ca="1" si="257"/>
        <v>612</v>
      </c>
      <c r="BJ124" s="5" t="str">
        <f t="shared" ca="1" si="258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9"/>
        <v>154</v>
      </c>
      <c r="BO124" s="5" t="str">
        <f t="shared" ca="1" si="260"/>
        <v>VIGENTE</v>
      </c>
      <c r="BP124" s="3"/>
      <c r="BQ124" s="39">
        <v>45701</v>
      </c>
      <c r="BR124" s="4">
        <f>DATE(YEAR(BQ124)+2,MONTH(BQ124),DAY(BQ124)-1)</f>
        <v>46430</v>
      </c>
      <c r="BS124" s="8">
        <f t="shared" ca="1" si="261"/>
        <v>285</v>
      </c>
      <c r="BT124" s="5" t="str">
        <f t="shared" ca="1" si="262"/>
        <v>VIGENTE</v>
      </c>
      <c r="BU124" s="3"/>
      <c r="BV124" s="4">
        <v>46135</v>
      </c>
      <c r="BW124" s="4">
        <f>DATE(YEAR(BV124)+2,MONTH(BV124),DAY(BV124)-1)</f>
        <v>46865</v>
      </c>
      <c r="BX124" s="8">
        <f t="shared" ca="1" si="263"/>
        <v>720</v>
      </c>
      <c r="BY124" s="5" t="str">
        <f t="shared" ca="1" si="264"/>
        <v>VIGENTE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5"/>
        <v>314</v>
      </c>
      <c r="CD124" s="5" t="str">
        <f t="shared" ca="1" si="266"/>
        <v>VIGENTE</v>
      </c>
      <c r="CE124" s="6"/>
      <c r="CF124" s="4">
        <v>45832</v>
      </c>
      <c r="CG124" s="4">
        <f t="shared" si="416"/>
        <v>47293</v>
      </c>
      <c r="CH124" s="8">
        <f t="shared" ca="1" si="417"/>
        <v>1148</v>
      </c>
      <c r="CI124" s="5" t="str">
        <f t="shared" ca="1" si="418"/>
        <v>VIGENTE</v>
      </c>
      <c r="CJ124" s="4"/>
      <c r="CK124" s="4">
        <v>45511</v>
      </c>
      <c r="CL124" s="4">
        <f t="shared" si="433"/>
        <v>46240</v>
      </c>
      <c r="CM124" s="8">
        <f t="shared" ca="1" si="270"/>
        <v>95</v>
      </c>
      <c r="CN124" s="5" t="str">
        <f t="shared" ca="1" si="271"/>
        <v>VIGENTE</v>
      </c>
      <c r="CO124" s="3"/>
      <c r="CP124" s="39">
        <v>45517</v>
      </c>
      <c r="CQ124" s="4">
        <f t="shared" si="434"/>
        <v>46246</v>
      </c>
      <c r="CR124" s="8">
        <f t="shared" ca="1" si="272"/>
        <v>101</v>
      </c>
      <c r="CS124" s="5" t="str">
        <f t="shared" ca="1" si="273"/>
        <v>VIGENTE</v>
      </c>
      <c r="CT124" s="3"/>
      <c r="CU124" s="4">
        <v>45624</v>
      </c>
      <c r="CV124" s="4">
        <f t="shared" si="435"/>
        <v>46353</v>
      </c>
      <c r="CW124" s="8">
        <f t="shared" ca="1" si="274"/>
        <v>208</v>
      </c>
      <c r="CX124" s="5" t="str">
        <f t="shared" ca="1" si="275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6"/>
        <v>249</v>
      </c>
      <c r="DC124" s="5" t="str">
        <f t="shared" ca="1" si="277"/>
        <v>VIGENTE</v>
      </c>
      <c r="DD124" s="3"/>
      <c r="DE124" s="39">
        <v>45549</v>
      </c>
      <c r="DF124" s="4">
        <f t="shared" si="436"/>
        <v>46278</v>
      </c>
      <c r="DG124" s="8">
        <f t="shared" ca="1" si="278"/>
        <v>133</v>
      </c>
      <c r="DH124" s="5" t="str">
        <f t="shared" ca="1" si="279"/>
        <v>VIGENTE</v>
      </c>
      <c r="DI124" s="3"/>
      <c r="DJ124" s="39">
        <v>45580</v>
      </c>
      <c r="DK124" s="4">
        <f>DATE(YEAR(DJ124)+2,MONTH(DJ124),DAY(DJ124)-1)</f>
        <v>46309</v>
      </c>
      <c r="DL124" s="8">
        <f t="shared" ca="1" si="280"/>
        <v>164</v>
      </c>
      <c r="DM124" s="5" t="str">
        <f t="shared" ca="1" si="281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2"/>
        <v>174</v>
      </c>
      <c r="DR124" s="5" t="str">
        <f t="shared" ca="1" si="283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4"/>
        <v>638</v>
      </c>
      <c r="DW124" s="5" t="str">
        <f t="shared" ca="1" si="285"/>
        <v>VIGENTE</v>
      </c>
      <c r="DX124" s="3"/>
      <c r="DY124" s="4">
        <v>45663</v>
      </c>
      <c r="DZ124" s="4">
        <f t="shared" si="437"/>
        <v>46392</v>
      </c>
      <c r="EA124" s="8">
        <f t="shared" ca="1" si="286"/>
        <v>247</v>
      </c>
      <c r="EB124" s="5" t="str">
        <f t="shared" ca="1" si="287"/>
        <v>VIGENTE</v>
      </c>
      <c r="EC124" s="3"/>
      <c r="ED124" s="39">
        <v>45674</v>
      </c>
      <c r="EE124" s="4">
        <f t="shared" si="438"/>
        <v>46403</v>
      </c>
      <c r="EF124" s="8">
        <f t="shared" ca="1" si="288"/>
        <v>258</v>
      </c>
      <c r="EG124" s="5" t="str">
        <f t="shared" ca="1" si="289"/>
        <v>VIGENTE</v>
      </c>
      <c r="EH124" s="3"/>
      <c r="EI124" s="3">
        <v>46107</v>
      </c>
      <c r="EJ124" s="4">
        <f t="shared" si="355"/>
        <v>46472</v>
      </c>
      <c r="EK124" s="8">
        <f t="shared" ca="1" si="290"/>
        <v>327</v>
      </c>
      <c r="EL124" s="5" t="str">
        <f t="shared" ca="1" si="291"/>
        <v>VIGENTE</v>
      </c>
      <c r="EM124" s="3"/>
      <c r="EN124" s="4">
        <v>45660</v>
      </c>
      <c r="EO124" s="4">
        <f t="shared" si="439"/>
        <v>46389</v>
      </c>
      <c r="EP124" s="8">
        <f t="shared" ca="1" si="292"/>
        <v>244</v>
      </c>
      <c r="EQ124" s="5" t="str">
        <f t="shared" ca="1" si="293"/>
        <v>VIGENTE</v>
      </c>
      <c r="ER124" s="3"/>
      <c r="ES124" s="39">
        <v>46094</v>
      </c>
      <c r="ET124" s="4">
        <f>DATE(YEAR(ES124)+2,MONTH(ES124),DAY(ES124))</f>
        <v>46825</v>
      </c>
      <c r="EU124" s="8">
        <f t="shared" ca="1" si="294"/>
        <v>680</v>
      </c>
      <c r="EV124" s="5" t="str">
        <f t="shared" ca="1" si="295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6"/>
        <v>278</v>
      </c>
      <c r="FA124" s="5" t="str">
        <f t="shared" ca="1" si="297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8"/>
        <v>250</v>
      </c>
      <c r="FF124" s="5" t="str">
        <f t="shared" ca="1" si="299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0"/>
        <v>252</v>
      </c>
      <c r="FK124" s="5" t="str">
        <f t="shared" ca="1" si="301"/>
        <v>VIGENTE</v>
      </c>
      <c r="FL124" s="3"/>
      <c r="FM124" s="39">
        <v>45530</v>
      </c>
      <c r="FN124" s="4">
        <f t="shared" si="440"/>
        <v>46259</v>
      </c>
      <c r="FO124" s="8">
        <f t="shared" ca="1" si="302"/>
        <v>114</v>
      </c>
      <c r="FP124" s="5" t="str">
        <f t="shared" ca="1" si="303"/>
        <v>VIGENTE</v>
      </c>
      <c r="FQ124" s="3"/>
      <c r="FR124" s="39">
        <v>45586</v>
      </c>
      <c r="FS124" s="4">
        <f t="shared" si="441"/>
        <v>46315</v>
      </c>
      <c r="FT124" s="8">
        <f t="shared" ca="1" si="304"/>
        <v>170</v>
      </c>
      <c r="FU124" s="5" t="str">
        <f t="shared" ca="1" si="305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6"/>
        <v>171</v>
      </c>
      <c r="FZ124" s="5" t="str">
        <f t="shared" ca="1" si="307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8"/>
        <v>615</v>
      </c>
      <c r="GE124" s="5" t="str">
        <f t="shared" ca="1" si="309"/>
        <v>VIGENTE</v>
      </c>
      <c r="GF124" s="3"/>
      <c r="GG124" s="4">
        <v>45579</v>
      </c>
      <c r="GH124" s="4">
        <f t="shared" si="442"/>
        <v>46308</v>
      </c>
      <c r="GI124" s="8">
        <f t="shared" ca="1" si="310"/>
        <v>163</v>
      </c>
      <c r="GJ124" s="5" t="str">
        <f t="shared" ca="1" si="311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2"/>
        <v>271</v>
      </c>
      <c r="GO124" s="5" t="str">
        <f t="shared" ca="1" si="313"/>
        <v>VIGENTE</v>
      </c>
      <c r="GP124" s="4"/>
      <c r="GQ124" s="4">
        <v>44912</v>
      </c>
      <c r="GR124" s="4">
        <f t="shared" si="314"/>
        <v>46738</v>
      </c>
      <c r="GS124" s="8">
        <f t="shared" ca="1" si="405"/>
        <v>593</v>
      </c>
      <c r="GT124" s="5" t="str">
        <f t="shared" ca="1" si="419"/>
        <v>VIGENTE</v>
      </c>
      <c r="GU124" s="3"/>
      <c r="GV124" s="4">
        <v>44952</v>
      </c>
      <c r="GW124" s="4">
        <f t="shared" si="316"/>
        <v>46778</v>
      </c>
      <c r="GX124" s="8">
        <f t="shared" ca="1" si="317"/>
        <v>633</v>
      </c>
      <c r="GY124" s="5" t="str">
        <f t="shared" ca="1" si="426"/>
        <v>VIGENTE</v>
      </c>
      <c r="GZ124" s="2"/>
      <c r="HA124" s="4">
        <v>44911</v>
      </c>
      <c r="HB124" s="4">
        <f t="shared" si="319"/>
        <v>46737</v>
      </c>
      <c r="HC124" s="8">
        <f t="shared" ca="1" si="320"/>
        <v>592</v>
      </c>
      <c r="HD124" s="5" t="str">
        <f t="shared" ca="1" si="421"/>
        <v>VIGENTE</v>
      </c>
      <c r="HE124" s="6"/>
      <c r="HF124" s="4">
        <v>45094</v>
      </c>
      <c r="HG124" s="4">
        <f t="shared" si="428"/>
        <v>46921</v>
      </c>
      <c r="HH124" s="8">
        <f t="shared" ca="1" si="429"/>
        <v>776</v>
      </c>
      <c r="HI124" s="5" t="str">
        <f t="shared" ca="1" si="427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2"/>
        <v>NO APLICA</v>
      </c>
      <c r="HT124" s="2"/>
      <c r="HU124" s="6"/>
      <c r="HV124" s="4"/>
      <c r="HW124" s="8"/>
      <c r="HX124" s="5" t="str">
        <f t="shared" si="323"/>
        <v>NO APLICA</v>
      </c>
      <c r="HY124" s="2"/>
      <c r="HZ124" s="6"/>
      <c r="IA124" s="4"/>
      <c r="IB124" s="8"/>
      <c r="IC124" s="5" t="str">
        <f t="shared" si="324"/>
        <v>NO APLICA</v>
      </c>
      <c r="ID124" s="2"/>
      <c r="IE124" s="6"/>
      <c r="IF124" s="4"/>
      <c r="IG124" s="8"/>
      <c r="IH124" s="5" t="str">
        <f t="shared" si="325"/>
        <v>NO APLICA</v>
      </c>
      <c r="II124" s="6"/>
      <c r="IJ124" s="6"/>
      <c r="IK124" s="4"/>
      <c r="IL124" s="8"/>
      <c r="IM124" s="5" t="str">
        <f t="shared" si="326"/>
        <v>NO APLICA</v>
      </c>
      <c r="IN124" s="2"/>
      <c r="IO124" s="6"/>
      <c r="IP124" s="4"/>
      <c r="IQ124" s="8"/>
      <c r="IR124" s="5" t="str">
        <f t="shared" si="327"/>
        <v>NO APLICA</v>
      </c>
      <c r="IS124" s="2"/>
      <c r="IT124" s="6"/>
      <c r="IU124" s="4"/>
      <c r="IV124" s="8"/>
      <c r="IW124" s="5" t="str">
        <f t="shared" si="328"/>
        <v>NO APLICA</v>
      </c>
      <c r="IX124" s="2"/>
      <c r="IY124" s="6"/>
      <c r="IZ124" s="4"/>
      <c r="JA124" s="8"/>
      <c r="JB124" s="5" t="str">
        <f t="shared" si="329"/>
        <v>NO APLICA</v>
      </c>
      <c r="JC124" s="3" t="s">
        <v>780</v>
      </c>
      <c r="JD124" s="3"/>
      <c r="JE124" s="4"/>
      <c r="JF124" s="8"/>
      <c r="JG124" s="5"/>
      <c r="JH124" s="3" t="s">
        <v>780</v>
      </c>
      <c r="JI124" s="6"/>
      <c r="JJ124" s="6"/>
      <c r="JK124" s="6"/>
      <c r="JL124" s="5"/>
      <c r="JM124" s="6" t="s">
        <v>780</v>
      </c>
      <c r="JN124" s="6"/>
      <c r="JO124" s="6"/>
      <c r="JP124" s="6"/>
      <c r="JQ124" s="5"/>
      <c r="JR124" s="6" t="s">
        <v>780</v>
      </c>
      <c r="JS124" s="6"/>
      <c r="JT124" s="6"/>
      <c r="JU124" s="6"/>
      <c r="JV124" s="5"/>
      <c r="JW124" s="6" t="s">
        <v>780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30"/>
        <v>NO APLICA</v>
      </c>
      <c r="KG124" s="5"/>
      <c r="KH124" s="2"/>
      <c r="KI124" s="4"/>
      <c r="KJ124" s="8"/>
      <c r="KK124" s="5" t="str">
        <f t="shared" si="356"/>
        <v>NO APLICA</v>
      </c>
      <c r="KL124" s="5"/>
      <c r="KM124" s="2"/>
      <c r="KN124" s="4"/>
      <c r="KO124" s="8"/>
      <c r="KP124" s="5" t="str">
        <f t="shared" si="331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7"/>
        <v>VIGENTE</v>
      </c>
      <c r="KV124" s="2"/>
      <c r="KW124" s="6"/>
      <c r="KX124" s="4"/>
      <c r="KY124" s="8"/>
      <c r="KZ124" s="5" t="str">
        <f t="shared" si="366"/>
        <v>NO APLICA</v>
      </c>
      <c r="LA124" s="5"/>
      <c r="LB124" s="6"/>
      <c r="LC124" s="4"/>
      <c r="LD124" s="8"/>
      <c r="LE124" s="5" t="str">
        <f t="shared" si="358"/>
        <v>NO APLICA</v>
      </c>
      <c r="LF124" s="6"/>
      <c r="LG124" s="6"/>
      <c r="LH124" s="4"/>
      <c r="LI124" s="8"/>
      <c r="LJ124" s="5" t="str">
        <f t="shared" si="332"/>
        <v>NO APLICA</v>
      </c>
      <c r="LK124" s="5"/>
      <c r="LL124" s="5"/>
      <c r="LM124" s="4"/>
      <c r="LN124" s="8"/>
      <c r="LO124" s="5" t="str">
        <f t="shared" si="367"/>
        <v>NO APLICA</v>
      </c>
      <c r="LP124" s="2"/>
      <c r="LQ124" s="6"/>
      <c r="LR124" s="4"/>
      <c r="LS124" s="8"/>
      <c r="LT124" s="5" t="str">
        <f t="shared" si="359"/>
        <v>NO APLICA</v>
      </c>
      <c r="LU124" s="6"/>
      <c r="LV124" s="6"/>
      <c r="LW124" s="4"/>
      <c r="LX124" s="8"/>
      <c r="LY124" s="5" t="str">
        <f t="shared" si="360"/>
        <v>NO APLICA</v>
      </c>
      <c r="LZ124" s="6"/>
      <c r="MA124" s="6"/>
      <c r="MB124" s="4"/>
      <c r="MC124" s="8"/>
      <c r="MD124" s="5" t="str">
        <f t="shared" si="361"/>
        <v>NO APLICA</v>
      </c>
      <c r="ME124" s="2"/>
      <c r="MF124" s="2"/>
      <c r="MG124" s="4"/>
      <c r="MH124" s="8"/>
      <c r="MI124" s="5" t="str">
        <f t="shared" si="333"/>
        <v>NO APLICA</v>
      </c>
      <c r="MJ124" s="2"/>
      <c r="MK124" s="2"/>
      <c r="ML124" s="4"/>
      <c r="MM124" s="8"/>
      <c r="MN124" s="5" t="str">
        <f t="shared" si="334"/>
        <v>NO APLICA</v>
      </c>
      <c r="MO124" s="5"/>
      <c r="MP124" s="2"/>
      <c r="MQ124" s="4"/>
      <c r="MR124" s="8"/>
      <c r="MS124" s="5" t="str">
        <f t="shared" si="335"/>
        <v>NO APLICA</v>
      </c>
      <c r="MT124" s="5"/>
      <c r="MU124" s="2"/>
      <c r="MV124" s="4"/>
      <c r="MW124" s="2"/>
      <c r="MX124" s="5" t="str">
        <f t="shared" si="336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7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8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9"/>
        <v>VIGENTE</v>
      </c>
      <c r="NN124" s="2"/>
      <c r="NO124" s="2"/>
      <c r="NP124" s="4"/>
      <c r="NQ124" s="8"/>
      <c r="NR124" s="5" t="str">
        <f t="shared" si="340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1"/>
        <v>VIGENTE</v>
      </c>
      <c r="NX124" s="6"/>
      <c r="NY124" s="6"/>
      <c r="NZ124" s="4"/>
      <c r="OA124" s="8"/>
      <c r="OB124" s="5" t="str">
        <f t="shared" si="342"/>
        <v>NO APLICA</v>
      </c>
      <c r="OC124" s="6"/>
      <c r="OD124" s="6"/>
      <c r="OE124" s="6"/>
      <c r="OF124" s="6"/>
      <c r="OG124" s="5" t="str">
        <f t="shared" si="343"/>
        <v>NO APLICA</v>
      </c>
      <c r="OH124" s="2"/>
      <c r="OI124" s="2"/>
      <c r="OJ124" s="4"/>
      <c r="OK124" s="8"/>
      <c r="OL124" s="5" t="str">
        <f t="shared" si="344"/>
        <v>NO APLICA</v>
      </c>
      <c r="OM124" s="6"/>
      <c r="ON124" s="6"/>
      <c r="OO124" s="6"/>
      <c r="OP124" s="6"/>
      <c r="OQ124" s="5" t="str">
        <f t="shared" si="345"/>
        <v>NO APLICA</v>
      </c>
      <c r="OR124" s="6"/>
      <c r="OS124" s="6"/>
      <c r="OT124" s="6"/>
      <c r="OU124" s="6"/>
      <c r="OV124" s="5" t="str">
        <f t="shared" si="346"/>
        <v>NO APLICA</v>
      </c>
      <c r="OW124" s="6"/>
      <c r="OX124" s="6"/>
      <c r="OY124" s="6"/>
      <c r="OZ124" s="6"/>
      <c r="PA124" s="5" t="str">
        <f t="shared" si="347"/>
        <v>NO APLICA</v>
      </c>
      <c r="PB124" s="6"/>
      <c r="PC124" s="6"/>
      <c r="PD124" s="6"/>
      <c r="PE124" s="6"/>
      <c r="PF124" s="5" t="str">
        <f t="shared" si="348"/>
        <v>NO APLICA</v>
      </c>
      <c r="PG124" s="6"/>
      <c r="PH124" s="6"/>
      <c r="PI124" s="6"/>
      <c r="PJ124" s="6"/>
      <c r="PK124" s="5" t="str">
        <f t="shared" si="349"/>
        <v>NO APLICA</v>
      </c>
      <c r="PL124" s="5"/>
      <c r="PM124" s="6"/>
      <c r="PN124" s="4"/>
      <c r="PO124" s="8"/>
      <c r="PP124" s="5" t="str">
        <f t="shared" si="350"/>
        <v>NO APLICA</v>
      </c>
      <c r="PQ124" s="6"/>
      <c r="PR124" s="6"/>
      <c r="PS124" s="6"/>
      <c r="PT124" s="6"/>
      <c r="PU124" s="5" t="str">
        <f t="shared" si="351"/>
        <v>NO APLICA</v>
      </c>
      <c r="PV124" s="5"/>
      <c r="PW124" s="6"/>
      <c r="PX124" s="6"/>
      <c r="PY124" s="6"/>
      <c r="PZ124" s="5" t="str">
        <f t="shared" si="352"/>
        <v>NO APLICA</v>
      </c>
    </row>
    <row r="125" spans="1:442" ht="15.6" hidden="1" thickTop="1" thickBot="1" x14ac:dyDescent="0.35">
      <c r="A125" s="26">
        <v>122</v>
      </c>
      <c r="B125" s="27">
        <v>1112</v>
      </c>
      <c r="C125" s="28" t="s">
        <v>415</v>
      </c>
      <c r="D125" s="29" t="s">
        <v>68</v>
      </c>
      <c r="E125" s="30" t="s">
        <v>77</v>
      </c>
      <c r="F125" s="5"/>
      <c r="G125" s="6"/>
      <c r="H125" s="4"/>
      <c r="I125" s="8"/>
      <c r="J125" s="5" t="str">
        <f t="shared" si="242"/>
        <v>NO APLICA</v>
      </c>
      <c r="K125" s="5"/>
      <c r="L125" s="6"/>
      <c r="M125" s="6"/>
      <c r="N125" s="8"/>
      <c r="O125" s="5" t="str">
        <f t="shared" si="243"/>
        <v>NO APLICA</v>
      </c>
      <c r="P125" s="6"/>
      <c r="Q125" s="6"/>
      <c r="R125" s="4"/>
      <c r="S125" s="8"/>
      <c r="T125" s="5" t="str">
        <f t="shared" si="353"/>
        <v>NO APLICA</v>
      </c>
      <c r="U125" s="5"/>
      <c r="V125" s="2" t="s">
        <v>416</v>
      </c>
      <c r="W125" s="4">
        <v>44838</v>
      </c>
      <c r="X125" s="4">
        <f t="shared" si="410"/>
        <v>46664</v>
      </c>
      <c r="Y125" s="8">
        <f t="shared" ca="1" si="411"/>
        <v>519</v>
      </c>
      <c r="Z125" s="5" t="str">
        <f t="shared" ca="1" si="412"/>
        <v>VIGENTE</v>
      </c>
      <c r="AA125" s="5"/>
      <c r="AB125" s="2" t="s">
        <v>417</v>
      </c>
      <c r="AC125" s="4">
        <v>44826</v>
      </c>
      <c r="AD125" s="4">
        <f t="shared" si="430"/>
        <v>46652</v>
      </c>
      <c r="AE125" s="8">
        <f t="shared" ca="1" si="431"/>
        <v>507</v>
      </c>
      <c r="AF125" s="5" t="str">
        <f t="shared" ca="1" si="247"/>
        <v>VIGENTE</v>
      </c>
      <c r="AG125" s="3"/>
      <c r="AH125" s="3">
        <v>45594</v>
      </c>
      <c r="AI125" s="4">
        <f t="shared" si="432"/>
        <v>46323</v>
      </c>
      <c r="AJ125" s="8">
        <f t="shared" ca="1" si="248"/>
        <v>178</v>
      </c>
      <c r="AK125" s="5" t="str">
        <f t="shared" ca="1" si="408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9"/>
        <v>544</v>
      </c>
      <c r="AP125" s="5" t="str">
        <f t="shared" ca="1" si="250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1"/>
        <v>556</v>
      </c>
      <c r="AU125" s="5" t="str">
        <f t="shared" ca="1" si="252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3"/>
        <v>557</v>
      </c>
      <c r="AZ125" s="5" t="str">
        <f t="shared" ca="1" si="254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5"/>
        <v>626</v>
      </c>
      <c r="BE125" s="5" t="str">
        <f t="shared" ca="1" si="256"/>
        <v>VIGENTE</v>
      </c>
      <c r="BF125" s="3"/>
      <c r="BG125" s="4">
        <v>46067</v>
      </c>
      <c r="BH125" s="4">
        <f t="shared" si="443"/>
        <v>46797</v>
      </c>
      <c r="BI125" s="8">
        <f t="shared" ca="1" si="257"/>
        <v>652</v>
      </c>
      <c r="BJ125" s="5" t="str">
        <f t="shared" ca="1" si="258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9"/>
        <v>636</v>
      </c>
      <c r="BO125" s="5" t="str">
        <f t="shared" ca="1" si="260"/>
        <v>VIGENTE</v>
      </c>
      <c r="BP125" s="3"/>
      <c r="BQ125" s="39">
        <v>46069</v>
      </c>
      <c r="BR125" s="4">
        <f>DATE(YEAR(BQ125)+2,MONTH(BQ125),DAY(BQ125))</f>
        <v>46799</v>
      </c>
      <c r="BS125" s="8">
        <f t="shared" ca="1" si="261"/>
        <v>654</v>
      </c>
      <c r="BT125" s="5" t="str">
        <f t="shared" ca="1" si="262"/>
        <v>VIGENTE</v>
      </c>
      <c r="BU125" s="3"/>
      <c r="BV125" s="4">
        <v>46116</v>
      </c>
      <c r="BW125" s="4">
        <f>DATE(YEAR(BV125)+2,MONTH(BV125),DAY(BV125)-1)</f>
        <v>46846</v>
      </c>
      <c r="BX125" s="8">
        <f t="shared" ca="1" si="263"/>
        <v>701</v>
      </c>
      <c r="BY125" s="5" t="str">
        <f t="shared" ca="1" si="264"/>
        <v>VIGENTE</v>
      </c>
      <c r="BZ125" s="3"/>
      <c r="CA125" s="4">
        <v>45974</v>
      </c>
      <c r="CB125" s="4">
        <f>DATE(YEAR(CA125)+2,MONTH(CA125),DAY(CA125))</f>
        <v>46704</v>
      </c>
      <c r="CC125" s="8">
        <f t="shared" ca="1" si="265"/>
        <v>559</v>
      </c>
      <c r="CD125" s="5" t="str">
        <f t="shared" ca="1" si="266"/>
        <v>VIGENTE</v>
      </c>
      <c r="CE125" s="6"/>
      <c r="CF125" s="4">
        <v>45241</v>
      </c>
      <c r="CG125" s="4">
        <f t="shared" si="416"/>
        <v>46702</v>
      </c>
      <c r="CH125" s="8">
        <f t="shared" ca="1" si="417"/>
        <v>557</v>
      </c>
      <c r="CI125" s="5" t="str">
        <f t="shared" ca="1" si="418"/>
        <v>VIGENTE</v>
      </c>
      <c r="CJ125" s="4"/>
      <c r="CK125" s="4">
        <v>45504</v>
      </c>
      <c r="CL125" s="4">
        <f t="shared" si="433"/>
        <v>46233</v>
      </c>
      <c r="CM125" s="8">
        <f t="shared" ca="1" si="270"/>
        <v>88</v>
      </c>
      <c r="CN125" s="5" t="str">
        <f t="shared" ca="1" si="271"/>
        <v>POR VENCER</v>
      </c>
      <c r="CO125" s="3"/>
      <c r="CP125" s="39">
        <v>45517</v>
      </c>
      <c r="CQ125" s="4">
        <f t="shared" si="434"/>
        <v>46246</v>
      </c>
      <c r="CR125" s="8">
        <f t="shared" ca="1" si="272"/>
        <v>101</v>
      </c>
      <c r="CS125" s="5" t="str">
        <f t="shared" ca="1" si="273"/>
        <v>VIGENTE</v>
      </c>
      <c r="CT125" s="3"/>
      <c r="CU125" s="4">
        <v>45631</v>
      </c>
      <c r="CV125" s="4">
        <f t="shared" si="435"/>
        <v>46360</v>
      </c>
      <c r="CW125" s="8">
        <f t="shared" ca="1" si="274"/>
        <v>215</v>
      </c>
      <c r="CX125" s="5" t="str">
        <f t="shared" ca="1" si="275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6"/>
        <v>249</v>
      </c>
      <c r="DC125" s="5" t="str">
        <f t="shared" ca="1" si="277"/>
        <v>VIGENTE</v>
      </c>
      <c r="DD125" s="3"/>
      <c r="DE125" s="39">
        <v>45689</v>
      </c>
      <c r="DF125" s="4">
        <f t="shared" si="436"/>
        <v>46418</v>
      </c>
      <c r="DG125" s="8">
        <f t="shared" ca="1" si="278"/>
        <v>273</v>
      </c>
      <c r="DH125" s="5" t="str">
        <f t="shared" ca="1" si="279"/>
        <v>VIGENTE</v>
      </c>
      <c r="DI125" s="3"/>
      <c r="DJ125" s="39">
        <v>45734</v>
      </c>
      <c r="DK125" s="4">
        <f>DATE(YEAR(DJ125)+2,MONTH(DJ125),DAY(DJ125)-1)</f>
        <v>46463</v>
      </c>
      <c r="DL125" s="8">
        <f t="shared" ca="1" si="280"/>
        <v>318</v>
      </c>
      <c r="DM125" s="5" t="str">
        <f t="shared" ca="1" si="281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2"/>
        <v>592</v>
      </c>
      <c r="DR125" s="5" t="str">
        <f t="shared" ca="1" si="283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4"/>
        <v>638</v>
      </c>
      <c r="DW125" s="5" t="str">
        <f t="shared" ca="1" si="285"/>
        <v>VIGENTE</v>
      </c>
      <c r="DX125" s="3"/>
      <c r="DY125" s="4">
        <v>45709</v>
      </c>
      <c r="DZ125" s="4">
        <f t="shared" si="437"/>
        <v>46438</v>
      </c>
      <c r="EA125" s="8">
        <f t="shared" ca="1" si="286"/>
        <v>293</v>
      </c>
      <c r="EB125" s="5" t="str">
        <f t="shared" ca="1" si="287"/>
        <v>VIGENTE</v>
      </c>
      <c r="EC125" s="3"/>
      <c r="ED125" s="39">
        <v>45642</v>
      </c>
      <c r="EE125" s="4">
        <f t="shared" si="438"/>
        <v>46371</v>
      </c>
      <c r="EF125" s="8">
        <f t="shared" ca="1" si="288"/>
        <v>226</v>
      </c>
      <c r="EG125" s="5" t="str">
        <f t="shared" ca="1" si="289"/>
        <v>VIGENTE</v>
      </c>
      <c r="EH125" s="3"/>
      <c r="EI125" s="4">
        <v>46115</v>
      </c>
      <c r="EJ125" s="4">
        <f t="shared" si="355"/>
        <v>46480</v>
      </c>
      <c r="EK125" s="8">
        <f t="shared" ca="1" si="290"/>
        <v>335</v>
      </c>
      <c r="EL125" s="5" t="str">
        <f t="shared" ca="1" si="291"/>
        <v>VIGENTE</v>
      </c>
      <c r="EM125" s="3"/>
      <c r="EN125" s="4">
        <v>45636</v>
      </c>
      <c r="EO125" s="4">
        <f t="shared" si="439"/>
        <v>46365</v>
      </c>
      <c r="EP125" s="8">
        <f t="shared" ca="1" si="292"/>
        <v>220</v>
      </c>
      <c r="EQ125" s="5" t="str">
        <f t="shared" ca="1" si="293"/>
        <v>VIGENTE</v>
      </c>
      <c r="ER125" s="3"/>
      <c r="ES125" s="39">
        <v>46042</v>
      </c>
      <c r="ET125" s="4">
        <f>DATE(YEAR(ES125)+2,MONTH(ES125),DAY(ES125))</f>
        <v>46772</v>
      </c>
      <c r="EU125" s="8">
        <f t="shared" ca="1" si="294"/>
        <v>627</v>
      </c>
      <c r="EV125" s="5" t="str">
        <f t="shared" ca="1" si="295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6"/>
        <v>558</v>
      </c>
      <c r="FA125" s="5" t="str">
        <f t="shared" ca="1" si="297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8"/>
        <v>516</v>
      </c>
      <c r="FF125" s="5" t="str">
        <f t="shared" ca="1" si="299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0"/>
        <v>554</v>
      </c>
      <c r="FK125" s="5" t="str">
        <f t="shared" ca="1" si="301"/>
        <v>VIGENTE</v>
      </c>
      <c r="FL125" s="3"/>
      <c r="FM125" s="39">
        <v>45686</v>
      </c>
      <c r="FN125" s="4">
        <f t="shared" si="440"/>
        <v>46415</v>
      </c>
      <c r="FO125" s="8">
        <f t="shared" ca="1" si="302"/>
        <v>270</v>
      </c>
      <c r="FP125" s="5" t="str">
        <f t="shared" ca="1" si="303"/>
        <v>VIGENTE</v>
      </c>
      <c r="FQ125" s="3"/>
      <c r="FR125" s="39">
        <v>46132</v>
      </c>
      <c r="FS125" s="4">
        <f t="shared" si="441"/>
        <v>46862</v>
      </c>
      <c r="FT125" s="8">
        <f t="shared" ca="1" si="304"/>
        <v>717</v>
      </c>
      <c r="FU125" s="5" t="str">
        <f t="shared" ca="1" si="305"/>
        <v>VIGENTE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6"/>
        <v>158</v>
      </c>
      <c r="FZ125" s="5" t="str">
        <f t="shared" ca="1" si="307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8"/>
        <v>615</v>
      </c>
      <c r="GE125" s="5" t="str">
        <f t="shared" ca="1" si="309"/>
        <v>VIGENTE</v>
      </c>
      <c r="GF125" s="3"/>
      <c r="GG125" s="4">
        <v>45672</v>
      </c>
      <c r="GH125" s="4">
        <f t="shared" si="442"/>
        <v>46401</v>
      </c>
      <c r="GI125" s="8">
        <f t="shared" ca="1" si="310"/>
        <v>256</v>
      </c>
      <c r="GJ125" s="5" t="str">
        <f t="shared" ca="1" si="311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2"/>
        <v>530</v>
      </c>
      <c r="GO125" s="5" t="str">
        <f t="shared" ca="1" si="313"/>
        <v>VIGENTE</v>
      </c>
      <c r="GP125" s="4"/>
      <c r="GQ125" s="4">
        <v>45265</v>
      </c>
      <c r="GR125" s="4">
        <f t="shared" si="314"/>
        <v>47092</v>
      </c>
      <c r="GS125" s="8">
        <f t="shared" ca="1" si="405"/>
        <v>947</v>
      </c>
      <c r="GT125" s="5" t="str">
        <f t="shared" ca="1" si="419"/>
        <v>VIGENTE</v>
      </c>
      <c r="GU125" s="3"/>
      <c r="GV125" s="4">
        <v>45245</v>
      </c>
      <c r="GW125" s="4">
        <f t="shared" si="316"/>
        <v>47072</v>
      </c>
      <c r="GX125" s="8">
        <f t="shared" ca="1" si="317"/>
        <v>927</v>
      </c>
      <c r="GY125" s="5" t="str">
        <f t="shared" ca="1" si="426"/>
        <v>VIGENTE</v>
      </c>
      <c r="GZ125" s="3"/>
      <c r="HA125" s="4">
        <v>45251</v>
      </c>
      <c r="HB125" s="4">
        <f t="shared" si="319"/>
        <v>47078</v>
      </c>
      <c r="HC125" s="8">
        <f t="shared" ca="1" si="320"/>
        <v>933</v>
      </c>
      <c r="HD125" s="5" t="str">
        <f t="shared" ca="1" si="421"/>
        <v>VIGENTE</v>
      </c>
      <c r="HE125" s="6"/>
      <c r="HF125" s="4">
        <v>44865</v>
      </c>
      <c r="HG125" s="4">
        <f t="shared" si="428"/>
        <v>46691</v>
      </c>
      <c r="HH125" s="8">
        <f t="shared" ca="1" si="429"/>
        <v>546</v>
      </c>
      <c r="HI125" s="5" t="str">
        <f t="shared" ca="1" si="427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4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2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3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4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5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6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7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8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9"/>
        <v>VIGENTE</v>
      </c>
      <c r="JC125" s="3" t="s">
        <v>780</v>
      </c>
      <c r="JD125" s="3"/>
      <c r="JE125" s="4"/>
      <c r="JF125" s="8"/>
      <c r="JG125" s="5"/>
      <c r="JH125" s="3" t="s">
        <v>780</v>
      </c>
      <c r="JI125" s="6"/>
      <c r="JJ125" s="6"/>
      <c r="JK125" s="6"/>
      <c r="JL125" s="5"/>
      <c r="JM125" s="6" t="s">
        <v>780</v>
      </c>
      <c r="JN125" s="6"/>
      <c r="JO125" s="6"/>
      <c r="JP125" s="6"/>
      <c r="JQ125" s="5"/>
      <c r="JR125" s="6" t="s">
        <v>780</v>
      </c>
      <c r="JS125" s="6"/>
      <c r="JT125" s="6"/>
      <c r="JU125" s="6"/>
      <c r="JV125" s="5"/>
      <c r="JW125" s="6" t="s">
        <v>780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30"/>
        <v>NO APLICA</v>
      </c>
      <c r="KG125" s="5"/>
      <c r="KH125" s="2"/>
      <c r="KI125" s="4"/>
      <c r="KJ125" s="8"/>
      <c r="KK125" s="5" t="str">
        <f t="shared" si="356"/>
        <v>NO APLICA</v>
      </c>
      <c r="KL125" s="5"/>
      <c r="KM125" s="2"/>
      <c r="KN125" s="4"/>
      <c r="KO125" s="8"/>
      <c r="KP125" s="5" t="str">
        <f t="shared" si="331"/>
        <v>NO APLICA</v>
      </c>
      <c r="KQ125" s="5"/>
      <c r="KR125" s="2"/>
      <c r="KS125" s="4"/>
      <c r="KT125" s="8"/>
      <c r="KU125" s="5" t="str">
        <f t="shared" si="357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6"/>
        <v>VIGENTE</v>
      </c>
      <c r="LA125" s="5"/>
      <c r="LB125" s="6"/>
      <c r="LC125" s="4"/>
      <c r="LD125" s="8"/>
      <c r="LE125" s="5" t="str">
        <f t="shared" si="358"/>
        <v>NO APLICA</v>
      </c>
      <c r="LF125" s="4"/>
      <c r="LG125" s="4"/>
      <c r="LH125" s="4"/>
      <c r="LI125" s="8"/>
      <c r="LJ125" s="5" t="str">
        <f t="shared" si="332"/>
        <v>NO APLICA</v>
      </c>
      <c r="LK125" s="5"/>
      <c r="LL125" s="5"/>
      <c r="LM125" s="4"/>
      <c r="LN125" s="8"/>
      <c r="LO125" s="5" t="str">
        <f t="shared" si="367"/>
        <v>NO APLICA</v>
      </c>
      <c r="LP125" s="2"/>
      <c r="LQ125" s="6"/>
      <c r="LR125" s="4"/>
      <c r="LS125" s="8"/>
      <c r="LT125" s="5" t="str">
        <f t="shared" si="359"/>
        <v>NO APLICA</v>
      </c>
      <c r="LU125" s="6"/>
      <c r="LV125" s="6"/>
      <c r="LW125" s="4"/>
      <c r="LX125" s="8"/>
      <c r="LY125" s="5" t="str">
        <f t="shared" si="360"/>
        <v>NO APLICA</v>
      </c>
      <c r="LZ125" s="6"/>
      <c r="MA125" s="6"/>
      <c r="MB125" s="4"/>
      <c r="MC125" s="8"/>
      <c r="MD125" s="5" t="str">
        <f t="shared" si="361"/>
        <v>NO APLICA</v>
      </c>
      <c r="ME125" s="2"/>
      <c r="MF125" s="2"/>
      <c r="MG125" s="4"/>
      <c r="MH125" s="8"/>
      <c r="MI125" s="5" t="str">
        <f t="shared" si="333"/>
        <v>NO APLICA</v>
      </c>
      <c r="MJ125" s="2"/>
      <c r="MK125" s="2"/>
      <c r="ML125" s="4"/>
      <c r="MM125" s="8"/>
      <c r="MN125" s="5" t="str">
        <f t="shared" si="334"/>
        <v>NO APLICA</v>
      </c>
      <c r="MO125" s="5"/>
      <c r="MP125" s="2"/>
      <c r="MQ125" s="4"/>
      <c r="MR125" s="8"/>
      <c r="MS125" s="5" t="str">
        <f t="shared" si="335"/>
        <v>NO APLICA</v>
      </c>
      <c r="MT125" s="5"/>
      <c r="MU125" s="2"/>
      <c r="MV125" s="4"/>
      <c r="MW125" s="2"/>
      <c r="MX125" s="5" t="str">
        <f t="shared" si="336"/>
        <v>NO APLICA</v>
      </c>
      <c r="MY125" s="2"/>
      <c r="MZ125" s="6"/>
      <c r="NA125" s="4"/>
      <c r="NB125" s="8"/>
      <c r="NC125" s="5" t="str">
        <f t="shared" si="337"/>
        <v>NO APLICA</v>
      </c>
      <c r="ND125" s="2"/>
      <c r="NE125" s="6"/>
      <c r="NF125" s="4"/>
      <c r="NG125" s="8"/>
      <c r="NH125" s="5" t="str">
        <f t="shared" si="338"/>
        <v>NO APLICA</v>
      </c>
      <c r="NI125" s="2"/>
      <c r="NJ125" s="6"/>
      <c r="NK125" s="4"/>
      <c r="NL125" s="8"/>
      <c r="NM125" s="5" t="str">
        <f t="shared" si="339"/>
        <v>NO APLICA</v>
      </c>
      <c r="NN125" s="2"/>
      <c r="NO125" s="2"/>
      <c r="NP125" s="4"/>
      <c r="NQ125" s="2"/>
      <c r="NR125" s="5" t="str">
        <f t="shared" si="340"/>
        <v>NO APLICA</v>
      </c>
      <c r="NS125" s="2"/>
      <c r="NT125" s="2"/>
      <c r="NU125" s="4"/>
      <c r="NV125" s="2"/>
      <c r="NW125" s="5" t="str">
        <f t="shared" si="341"/>
        <v>NO APLICA</v>
      </c>
      <c r="NX125" s="6"/>
      <c r="NY125" s="6"/>
      <c r="NZ125" s="4"/>
      <c r="OA125" s="8"/>
      <c r="OB125" s="5" t="str">
        <f t="shared" si="342"/>
        <v>NO APLICA</v>
      </c>
      <c r="OC125" s="6"/>
      <c r="OD125" s="6"/>
      <c r="OE125" s="6"/>
      <c r="OF125" s="6"/>
      <c r="OG125" s="5" t="str">
        <f t="shared" si="343"/>
        <v>NO APLICA</v>
      </c>
      <c r="OH125" s="2"/>
      <c r="OI125" s="2"/>
      <c r="OJ125" s="4"/>
      <c r="OK125" s="8"/>
      <c r="OL125" s="5" t="str">
        <f t="shared" si="344"/>
        <v>NO APLICA</v>
      </c>
      <c r="OM125" s="6"/>
      <c r="ON125" s="6"/>
      <c r="OO125" s="6"/>
      <c r="OP125" s="6"/>
      <c r="OQ125" s="5" t="str">
        <f t="shared" si="345"/>
        <v>NO APLICA</v>
      </c>
      <c r="OR125" s="6"/>
      <c r="OS125" s="6"/>
      <c r="OT125" s="6"/>
      <c r="OU125" s="6"/>
      <c r="OV125" s="5" t="str">
        <f t="shared" si="346"/>
        <v>NO APLICA</v>
      </c>
      <c r="OW125" s="6"/>
      <c r="OX125" s="6"/>
      <c r="OY125" s="6"/>
      <c r="OZ125" s="6"/>
      <c r="PA125" s="5" t="str">
        <f t="shared" si="347"/>
        <v>NO APLICA</v>
      </c>
      <c r="PB125" s="6"/>
      <c r="PC125" s="6"/>
      <c r="PD125" s="6"/>
      <c r="PE125" s="6"/>
      <c r="PF125" s="5" t="str">
        <f t="shared" si="348"/>
        <v>NO APLICA</v>
      </c>
      <c r="PG125" s="6"/>
      <c r="PH125" s="6"/>
      <c r="PI125" s="6"/>
      <c r="PJ125" s="6"/>
      <c r="PK125" s="5" t="str">
        <f t="shared" si="349"/>
        <v>NO APLICA</v>
      </c>
      <c r="PL125" s="5"/>
      <c r="PM125" s="6"/>
      <c r="PN125" s="4"/>
      <c r="PO125" s="8"/>
      <c r="PP125" s="5" t="str">
        <f t="shared" si="350"/>
        <v>NO APLICA</v>
      </c>
      <c r="PQ125" s="6"/>
      <c r="PR125" s="6"/>
      <c r="PS125" s="6"/>
      <c r="PT125" s="6"/>
      <c r="PU125" s="5" t="str">
        <f t="shared" si="351"/>
        <v>NO APLICA</v>
      </c>
      <c r="PV125" s="5"/>
      <c r="PW125" s="6"/>
      <c r="PX125" s="6"/>
      <c r="PY125" s="6"/>
      <c r="PZ125" s="5" t="str">
        <f t="shared" si="352"/>
        <v>NO APLICA</v>
      </c>
    </row>
    <row r="126" spans="1:442" ht="15.6" hidden="1" thickTop="1" thickBot="1" x14ac:dyDescent="0.35">
      <c r="A126" s="26">
        <v>123</v>
      </c>
      <c r="B126" s="27">
        <v>781</v>
      </c>
      <c r="C126" s="28" t="s">
        <v>418</v>
      </c>
      <c r="D126" s="29" t="s">
        <v>68</v>
      </c>
      <c r="E126" s="30" t="s">
        <v>129</v>
      </c>
      <c r="F126" s="2"/>
      <c r="G126" s="6"/>
      <c r="H126" s="4"/>
      <c r="I126" s="8"/>
      <c r="J126" s="5" t="str">
        <f t="shared" si="242"/>
        <v>NO APLICA</v>
      </c>
      <c r="K126" s="5"/>
      <c r="L126" s="6"/>
      <c r="M126" s="6"/>
      <c r="N126" s="8"/>
      <c r="O126" s="5" t="str">
        <f t="shared" si="243"/>
        <v>NO APLICA</v>
      </c>
      <c r="P126" s="6"/>
      <c r="Q126" s="6"/>
      <c r="R126" s="4"/>
      <c r="S126" s="8"/>
      <c r="T126" s="5" t="str">
        <f t="shared" si="353"/>
        <v>NO APLICA</v>
      </c>
      <c r="U126" s="5"/>
      <c r="V126" s="2" t="s">
        <v>419</v>
      </c>
      <c r="W126" s="4">
        <v>44790</v>
      </c>
      <c r="X126" s="4">
        <f t="shared" si="410"/>
        <v>46616</v>
      </c>
      <c r="Y126" s="8">
        <f t="shared" ca="1" si="411"/>
        <v>471</v>
      </c>
      <c r="Z126" s="5" t="str">
        <f t="shared" ca="1" si="412"/>
        <v>VIGENTE</v>
      </c>
      <c r="AA126" s="5"/>
      <c r="AB126" s="2" t="s">
        <v>420</v>
      </c>
      <c r="AC126" s="4">
        <v>44826</v>
      </c>
      <c r="AD126" s="4">
        <f t="shared" si="430"/>
        <v>46652</v>
      </c>
      <c r="AE126" s="8">
        <f t="shared" ca="1" si="431"/>
        <v>507</v>
      </c>
      <c r="AF126" s="5" t="str">
        <f t="shared" ca="1" si="247"/>
        <v>VIGENTE</v>
      </c>
      <c r="AG126" s="3"/>
      <c r="AH126" s="3">
        <v>45594</v>
      </c>
      <c r="AI126" s="4">
        <f t="shared" si="432"/>
        <v>46323</v>
      </c>
      <c r="AJ126" s="8">
        <f t="shared" ca="1" si="248"/>
        <v>178</v>
      </c>
      <c r="AK126" s="5" t="str">
        <f t="shared" ca="1" si="408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9"/>
        <v>511</v>
      </c>
      <c r="AP126" s="5" t="str">
        <f t="shared" ca="1" si="250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1"/>
        <v>552</v>
      </c>
      <c r="AU126" s="5" t="str">
        <f t="shared" ca="1" si="252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3"/>
        <v>537</v>
      </c>
      <c r="AZ126" s="5" t="str">
        <f t="shared" ca="1" si="254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5"/>
        <v>187</v>
      </c>
      <c r="BE126" s="5" t="str">
        <f t="shared" ca="1" si="256"/>
        <v>VIGENTE</v>
      </c>
      <c r="BF126" s="3"/>
      <c r="BG126" s="4">
        <v>45968</v>
      </c>
      <c r="BH126" s="4">
        <f t="shared" si="443"/>
        <v>46698</v>
      </c>
      <c r="BI126" s="8">
        <f t="shared" ca="1" si="257"/>
        <v>553</v>
      </c>
      <c r="BJ126" s="5" t="str">
        <f t="shared" ca="1" si="258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9"/>
        <v>641</v>
      </c>
      <c r="BO126" s="5" t="str">
        <f t="shared" ca="1" si="260"/>
        <v>VIGENTE</v>
      </c>
      <c r="BP126" s="3"/>
      <c r="BQ126" s="39">
        <v>46120</v>
      </c>
      <c r="BR126" s="4">
        <f>DATE(YEAR(BQ126)+2,MONTH(BQ126),DAY(BQ126)-1)</f>
        <v>46850</v>
      </c>
      <c r="BS126" s="8">
        <f t="shared" ca="1" si="261"/>
        <v>705</v>
      </c>
      <c r="BT126" s="5" t="str">
        <f t="shared" ca="1" si="262"/>
        <v>VIGENTE</v>
      </c>
      <c r="BU126" s="3"/>
      <c r="BV126" s="4">
        <v>46116</v>
      </c>
      <c r="BW126" s="4">
        <f>DATE(YEAR(BV126)+2,MONTH(BV126),DAY(BV126)-1)</f>
        <v>46846</v>
      </c>
      <c r="BX126" s="8">
        <f t="shared" ca="1" si="263"/>
        <v>701</v>
      </c>
      <c r="BY126" s="5" t="str">
        <f t="shared" ca="1" si="264"/>
        <v>VIGENTE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5"/>
        <v>64</v>
      </c>
      <c r="CD126" s="5" t="str">
        <f t="shared" ca="1" si="266"/>
        <v>POR VENCER</v>
      </c>
      <c r="CE126" s="6"/>
      <c r="CF126" s="4">
        <v>45211</v>
      </c>
      <c r="CG126" s="4">
        <f t="shared" si="416"/>
        <v>46672</v>
      </c>
      <c r="CH126" s="8">
        <f t="shared" ca="1" si="417"/>
        <v>527</v>
      </c>
      <c r="CI126" s="5" t="str">
        <f t="shared" ca="1" si="418"/>
        <v>VIGENTE</v>
      </c>
      <c r="CJ126" s="4"/>
      <c r="CK126" s="4">
        <v>45504</v>
      </c>
      <c r="CL126" s="4">
        <f t="shared" si="433"/>
        <v>46233</v>
      </c>
      <c r="CM126" s="8">
        <f t="shared" ca="1" si="270"/>
        <v>88</v>
      </c>
      <c r="CN126" s="5" t="str">
        <f t="shared" ca="1" si="271"/>
        <v>POR VENCER</v>
      </c>
      <c r="CO126" s="3"/>
      <c r="CP126" s="39">
        <v>45513</v>
      </c>
      <c r="CQ126" s="4">
        <f t="shared" si="434"/>
        <v>46242</v>
      </c>
      <c r="CR126" s="8">
        <f t="shared" ca="1" si="272"/>
        <v>97</v>
      </c>
      <c r="CS126" s="5" t="str">
        <f t="shared" ca="1" si="273"/>
        <v>VIGENTE</v>
      </c>
      <c r="CT126" s="3"/>
      <c r="CU126" s="4">
        <v>45645</v>
      </c>
      <c r="CV126" s="4">
        <f t="shared" si="435"/>
        <v>46374</v>
      </c>
      <c r="CW126" s="8">
        <f t="shared" ca="1" si="274"/>
        <v>229</v>
      </c>
      <c r="CX126" s="5" t="str">
        <f t="shared" ca="1" si="275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6"/>
        <v>245</v>
      </c>
      <c r="DC126" s="5" t="str">
        <f t="shared" ca="1" si="277"/>
        <v>VIGENTE</v>
      </c>
      <c r="DD126" s="3"/>
      <c r="DE126" s="39">
        <v>45689</v>
      </c>
      <c r="DF126" s="4">
        <f t="shared" si="436"/>
        <v>46418</v>
      </c>
      <c r="DG126" s="8">
        <f t="shared" ca="1" si="278"/>
        <v>273</v>
      </c>
      <c r="DH126" s="5" t="str">
        <f t="shared" ca="1" si="279"/>
        <v>VIGENTE</v>
      </c>
      <c r="DI126" s="3"/>
      <c r="DJ126" s="39">
        <v>45696</v>
      </c>
      <c r="DK126" s="4">
        <f>DATE(YEAR(DJ126)+2,MONTH(DJ126),DAY(DJ126)-1)</f>
        <v>46425</v>
      </c>
      <c r="DL126" s="8">
        <f t="shared" ca="1" si="280"/>
        <v>280</v>
      </c>
      <c r="DM126" s="5" t="str">
        <f t="shared" ca="1" si="281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2"/>
        <v>104</v>
      </c>
      <c r="DR126" s="5" t="str">
        <f t="shared" ca="1" si="283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4"/>
        <v>269</v>
      </c>
      <c r="DW126" s="5" t="str">
        <f t="shared" ca="1" si="285"/>
        <v>VIGENTE</v>
      </c>
      <c r="DX126" s="3"/>
      <c r="DY126" s="4">
        <v>45663</v>
      </c>
      <c r="DZ126" s="4">
        <f t="shared" si="437"/>
        <v>46392</v>
      </c>
      <c r="EA126" s="8">
        <f t="shared" ca="1" si="286"/>
        <v>247</v>
      </c>
      <c r="EB126" s="5" t="str">
        <f t="shared" ca="1" si="287"/>
        <v>VIGENTE</v>
      </c>
      <c r="EC126" s="3"/>
      <c r="ED126" s="39">
        <v>45674</v>
      </c>
      <c r="EE126" s="4">
        <f t="shared" si="438"/>
        <v>46403</v>
      </c>
      <c r="EF126" s="8">
        <f t="shared" ca="1" si="288"/>
        <v>258</v>
      </c>
      <c r="EG126" s="5" t="str">
        <f t="shared" ca="1" si="289"/>
        <v>VIGENTE</v>
      </c>
      <c r="EH126" s="3"/>
      <c r="EI126" s="4">
        <v>46115</v>
      </c>
      <c r="EJ126" s="4">
        <f t="shared" si="355"/>
        <v>46480</v>
      </c>
      <c r="EK126" s="8">
        <f t="shared" ca="1" si="290"/>
        <v>335</v>
      </c>
      <c r="EL126" s="5" t="str">
        <f t="shared" ca="1" si="291"/>
        <v>VIGENTE</v>
      </c>
      <c r="EM126" s="3"/>
      <c r="EN126" s="4">
        <v>45660</v>
      </c>
      <c r="EO126" s="4">
        <f t="shared" si="439"/>
        <v>46389</v>
      </c>
      <c r="EP126" s="8">
        <f t="shared" ca="1" si="292"/>
        <v>244</v>
      </c>
      <c r="EQ126" s="5" t="str">
        <f t="shared" ca="1" si="293"/>
        <v>VIGENTE</v>
      </c>
      <c r="ER126" s="2"/>
      <c r="ES126" s="39">
        <v>45755</v>
      </c>
      <c r="ET126" s="4">
        <f>DATE(YEAR(ES126)+2,MONTH(ES126),DAY(ES126)-1)</f>
        <v>46484</v>
      </c>
      <c r="EU126" s="8">
        <f t="shared" ca="1" si="294"/>
        <v>339</v>
      </c>
      <c r="EV126" s="5" t="str">
        <f t="shared" ca="1" si="295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6"/>
        <v>278</v>
      </c>
      <c r="FA126" s="5" t="str">
        <f t="shared" ca="1" si="297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8"/>
        <v>216</v>
      </c>
      <c r="FF126" s="5" t="str">
        <f t="shared" ca="1" si="299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0"/>
        <v>252</v>
      </c>
      <c r="FK126" s="5" t="str">
        <f t="shared" ca="1" si="301"/>
        <v>VIGENTE</v>
      </c>
      <c r="FL126" s="3"/>
      <c r="FM126" s="39">
        <v>45576</v>
      </c>
      <c r="FN126" s="4">
        <f t="shared" si="440"/>
        <v>46305</v>
      </c>
      <c r="FO126" s="8">
        <f t="shared" ca="1" si="302"/>
        <v>160</v>
      </c>
      <c r="FP126" s="5" t="str">
        <f t="shared" ca="1" si="303"/>
        <v>VIGENTE</v>
      </c>
      <c r="FQ126" s="3"/>
      <c r="FR126" s="39">
        <v>45664</v>
      </c>
      <c r="FS126" s="4">
        <f t="shared" si="441"/>
        <v>46393</v>
      </c>
      <c r="FT126" s="8">
        <f t="shared" ca="1" si="304"/>
        <v>248</v>
      </c>
      <c r="FU126" s="5" t="str">
        <f t="shared" ca="1" si="305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6"/>
        <v>200</v>
      </c>
      <c r="FZ126" s="5" t="str">
        <f t="shared" ca="1" si="307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8"/>
        <v>251</v>
      </c>
      <c r="GE126" s="5" t="str">
        <f t="shared" ca="1" si="309"/>
        <v>VIGENTE</v>
      </c>
      <c r="GF126" s="3"/>
      <c r="GG126" s="4">
        <v>45672</v>
      </c>
      <c r="GH126" s="4">
        <f t="shared" si="442"/>
        <v>46401</v>
      </c>
      <c r="GI126" s="8">
        <f t="shared" ca="1" si="310"/>
        <v>256</v>
      </c>
      <c r="GJ126" s="5" t="str">
        <f t="shared" ca="1" si="311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2"/>
        <v>530</v>
      </c>
      <c r="GO126" s="5" t="str">
        <f t="shared" ca="1" si="313"/>
        <v>VIGENTE</v>
      </c>
      <c r="GP126" s="4"/>
      <c r="GQ126" s="4">
        <v>45013</v>
      </c>
      <c r="GR126" s="4">
        <f t="shared" si="314"/>
        <v>46840</v>
      </c>
      <c r="GS126" s="8">
        <f t="shared" ca="1" si="405"/>
        <v>695</v>
      </c>
      <c r="GT126" s="5" t="str">
        <f t="shared" ca="1" si="419"/>
        <v>VIGENTE</v>
      </c>
      <c r="GU126" s="3"/>
      <c r="GV126" s="4">
        <v>45478</v>
      </c>
      <c r="GW126" s="4">
        <f t="shared" si="316"/>
        <v>47304</v>
      </c>
      <c r="GX126" s="8">
        <f t="shared" ca="1" si="317"/>
        <v>1159</v>
      </c>
      <c r="GY126" s="5" t="str">
        <f t="shared" ca="1" si="426"/>
        <v>VIGENTE</v>
      </c>
      <c r="GZ126" s="2"/>
      <c r="HA126" s="4">
        <v>45016</v>
      </c>
      <c r="HB126" s="4">
        <f t="shared" si="319"/>
        <v>46843</v>
      </c>
      <c r="HC126" s="8">
        <f t="shared" ca="1" si="320"/>
        <v>698</v>
      </c>
      <c r="HD126" s="5" t="str">
        <f t="shared" ca="1" si="421"/>
        <v>VIGENTE</v>
      </c>
      <c r="HE126" s="6"/>
      <c r="HF126" s="4">
        <v>45094</v>
      </c>
      <c r="HG126" s="4">
        <f t="shared" si="428"/>
        <v>46921</v>
      </c>
      <c r="HH126" s="8">
        <f t="shared" ca="1" si="429"/>
        <v>776</v>
      </c>
      <c r="HI126" s="5" t="str">
        <f t="shared" ca="1" si="427"/>
        <v>VIGENTE</v>
      </c>
      <c r="HJ126" s="2"/>
      <c r="HK126" s="6"/>
      <c r="HL126" s="4"/>
      <c r="HM126" s="8"/>
      <c r="HN126" s="5" t="str">
        <f t="shared" si="444"/>
        <v>NO APLICA</v>
      </c>
      <c r="HO126" s="2"/>
      <c r="HP126" s="2"/>
      <c r="HQ126" s="4"/>
      <c r="HR126" s="2"/>
      <c r="HS126" s="5" t="str">
        <f t="shared" si="322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3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4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5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6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7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8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9"/>
        <v>VIGENTE</v>
      </c>
      <c r="JC126" s="3" t="s">
        <v>780</v>
      </c>
      <c r="JD126" s="3"/>
      <c r="JE126" s="4"/>
      <c r="JF126" s="8"/>
      <c r="JG126" s="5"/>
      <c r="JH126" s="3" t="s">
        <v>780</v>
      </c>
      <c r="JI126" s="6"/>
      <c r="JJ126" s="6"/>
      <c r="JK126" s="6"/>
      <c r="JL126" s="5"/>
      <c r="JM126" s="6" t="s">
        <v>780</v>
      </c>
      <c r="JN126" s="6"/>
      <c r="JO126" s="6"/>
      <c r="JP126" s="6"/>
      <c r="JQ126" s="5"/>
      <c r="JR126" s="6" t="s">
        <v>780</v>
      </c>
      <c r="JS126" s="6"/>
      <c r="JT126" s="6"/>
      <c r="JU126" s="6"/>
      <c r="JV126" s="5"/>
      <c r="JW126" s="6" t="s">
        <v>780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30"/>
        <v>NO APLICA</v>
      </c>
      <c r="KG126" s="5"/>
      <c r="KH126" s="2"/>
      <c r="KI126" s="4"/>
      <c r="KJ126" s="8"/>
      <c r="KK126" s="5" t="str">
        <f t="shared" si="356"/>
        <v>NO APLICA</v>
      </c>
      <c r="KL126" s="5"/>
      <c r="KM126" s="2"/>
      <c r="KN126" s="4"/>
      <c r="KO126" s="8"/>
      <c r="KP126" s="5" t="str">
        <f t="shared" si="331"/>
        <v>NO APLICA</v>
      </c>
      <c r="KQ126" s="5"/>
      <c r="KR126" s="2"/>
      <c r="KS126" s="4"/>
      <c r="KT126" s="8"/>
      <c r="KU126" s="5" t="str">
        <f t="shared" si="357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6"/>
        <v>VIGENTE</v>
      </c>
      <c r="LA126" s="5"/>
      <c r="LB126" s="6"/>
      <c r="LC126" s="4"/>
      <c r="LD126" s="8"/>
      <c r="LE126" s="5" t="str">
        <f t="shared" si="358"/>
        <v>NO APLICA</v>
      </c>
      <c r="LF126" s="4"/>
      <c r="LG126" s="4"/>
      <c r="LH126" s="4"/>
      <c r="LI126" s="8"/>
      <c r="LJ126" s="5" t="str">
        <f t="shared" si="332"/>
        <v>NO APLICA</v>
      </c>
      <c r="LK126" s="5"/>
      <c r="LL126" s="5"/>
      <c r="LM126" s="4"/>
      <c r="LN126" s="8"/>
      <c r="LO126" s="5" t="str">
        <f t="shared" si="367"/>
        <v>NO APLICA</v>
      </c>
      <c r="LP126" s="2"/>
      <c r="LQ126" s="6"/>
      <c r="LR126" s="4"/>
      <c r="LS126" s="8"/>
      <c r="LT126" s="5" t="str">
        <f t="shared" si="359"/>
        <v>NO APLICA</v>
      </c>
      <c r="LU126" s="6"/>
      <c r="LV126" s="6"/>
      <c r="LW126" s="4"/>
      <c r="LX126" s="8"/>
      <c r="LY126" s="5" t="str">
        <f t="shared" si="360"/>
        <v>NO APLICA</v>
      </c>
      <c r="LZ126" s="6"/>
      <c r="MA126" s="6"/>
      <c r="MB126" s="4"/>
      <c r="MC126" s="8"/>
      <c r="MD126" s="5" t="str">
        <f t="shared" si="361"/>
        <v>NO APLICA</v>
      </c>
      <c r="ME126" s="2"/>
      <c r="MF126" s="2"/>
      <c r="MG126" s="4"/>
      <c r="MH126" s="8"/>
      <c r="MI126" s="5" t="str">
        <f t="shared" si="333"/>
        <v>NO APLICA</v>
      </c>
      <c r="MJ126" s="2"/>
      <c r="MK126" s="2"/>
      <c r="ML126" s="4"/>
      <c r="MM126" s="8"/>
      <c r="MN126" s="5" t="str">
        <f t="shared" si="334"/>
        <v>NO APLICA</v>
      </c>
      <c r="MO126" s="5"/>
      <c r="MP126" s="2"/>
      <c r="MQ126" s="4"/>
      <c r="MR126" s="8"/>
      <c r="MS126" s="5" t="str">
        <f t="shared" si="335"/>
        <v>NO APLICA</v>
      </c>
      <c r="MT126" s="5"/>
      <c r="MU126" s="2"/>
      <c r="MV126" s="4"/>
      <c r="MW126" s="2"/>
      <c r="MX126" s="5" t="str">
        <f t="shared" si="336"/>
        <v>NO APLICA</v>
      </c>
      <c r="MY126" s="2"/>
      <c r="MZ126" s="6"/>
      <c r="NA126" s="4"/>
      <c r="NB126" s="8"/>
      <c r="NC126" s="5" t="str">
        <f t="shared" si="337"/>
        <v>NO APLICA</v>
      </c>
      <c r="ND126" s="2"/>
      <c r="NE126" s="6"/>
      <c r="NF126" s="4"/>
      <c r="NG126" s="8"/>
      <c r="NH126" s="5" t="str">
        <f t="shared" si="338"/>
        <v>NO APLICA</v>
      </c>
      <c r="NI126" s="2"/>
      <c r="NJ126" s="6"/>
      <c r="NK126" s="4"/>
      <c r="NL126" s="8"/>
      <c r="NM126" s="5" t="str">
        <f t="shared" si="339"/>
        <v>NO APLICA</v>
      </c>
      <c r="NN126" s="2"/>
      <c r="NO126" s="2"/>
      <c r="NP126" s="4"/>
      <c r="NQ126" s="8"/>
      <c r="NR126" s="5" t="str">
        <f t="shared" si="340"/>
        <v>NO APLICA</v>
      </c>
      <c r="NS126" s="2"/>
      <c r="NT126" s="2"/>
      <c r="NU126" s="2"/>
      <c r="NV126" s="2"/>
      <c r="NW126" s="5" t="str">
        <f t="shared" si="341"/>
        <v>NO APLICA</v>
      </c>
      <c r="NX126" s="6"/>
      <c r="NY126" s="6"/>
      <c r="NZ126" s="4"/>
      <c r="OA126" s="8"/>
      <c r="OB126" s="5" t="str">
        <f t="shared" si="342"/>
        <v>NO APLICA</v>
      </c>
      <c r="OC126" s="6"/>
      <c r="OD126" s="6"/>
      <c r="OE126" s="6"/>
      <c r="OF126" s="6"/>
      <c r="OG126" s="5" t="str">
        <f t="shared" si="343"/>
        <v>NO APLICA</v>
      </c>
      <c r="OH126" s="2"/>
      <c r="OI126" s="2"/>
      <c r="OJ126" s="4"/>
      <c r="OK126" s="8"/>
      <c r="OL126" s="5" t="str">
        <f t="shared" si="344"/>
        <v>NO APLICA</v>
      </c>
      <c r="OM126" s="6"/>
      <c r="ON126" s="6"/>
      <c r="OO126" s="6"/>
      <c r="OP126" s="6"/>
      <c r="OQ126" s="5" t="str">
        <f t="shared" si="345"/>
        <v>NO APLICA</v>
      </c>
      <c r="OR126" s="6"/>
      <c r="OS126" s="6"/>
      <c r="OT126" s="6"/>
      <c r="OU126" s="6"/>
      <c r="OV126" s="5" t="str">
        <f t="shared" si="346"/>
        <v>NO APLICA</v>
      </c>
      <c r="OW126" s="6"/>
      <c r="OX126" s="6"/>
      <c r="OY126" s="6"/>
      <c r="OZ126" s="6"/>
      <c r="PA126" s="5" t="str">
        <f t="shared" si="347"/>
        <v>NO APLICA</v>
      </c>
      <c r="PB126" s="6"/>
      <c r="PC126" s="6"/>
      <c r="PD126" s="6"/>
      <c r="PE126" s="6"/>
      <c r="PF126" s="5" t="str">
        <f t="shared" si="348"/>
        <v>NO APLICA</v>
      </c>
      <c r="PG126" s="6"/>
      <c r="PH126" s="6"/>
      <c r="PI126" s="6"/>
      <c r="PJ126" s="6"/>
      <c r="PK126" s="5" t="str">
        <f t="shared" si="349"/>
        <v>NO APLICA</v>
      </c>
      <c r="PL126" s="5"/>
      <c r="PM126" s="6"/>
      <c r="PN126" s="4"/>
      <c r="PO126" s="8"/>
      <c r="PP126" s="5" t="str">
        <f t="shared" si="350"/>
        <v>NO APLICA</v>
      </c>
      <c r="PQ126" s="6"/>
      <c r="PR126" s="6"/>
      <c r="PS126" s="6"/>
      <c r="PT126" s="6"/>
      <c r="PU126" s="5" t="str">
        <f t="shared" si="351"/>
        <v>NO APLICA</v>
      </c>
      <c r="PV126" s="5"/>
      <c r="PW126" s="6"/>
      <c r="PX126" s="6"/>
      <c r="PY126" s="6"/>
      <c r="PZ126" s="5" t="str">
        <f t="shared" si="352"/>
        <v>NO APLICA</v>
      </c>
    </row>
    <row r="127" spans="1:442" ht="15.6" hidden="1" thickTop="1" thickBot="1" x14ac:dyDescent="0.35">
      <c r="A127" s="26">
        <v>124</v>
      </c>
      <c r="B127" s="27">
        <v>1339</v>
      </c>
      <c r="C127" s="28" t="s">
        <v>421</v>
      </c>
      <c r="D127" s="29" t="s">
        <v>64</v>
      </c>
      <c r="E127" s="30" t="s">
        <v>81</v>
      </c>
      <c r="F127" s="5"/>
      <c r="G127" s="6"/>
      <c r="H127" s="4"/>
      <c r="I127" s="8"/>
      <c r="J127" s="5" t="str">
        <f t="shared" si="242"/>
        <v>NO APLICA</v>
      </c>
      <c r="K127" s="2"/>
      <c r="L127" s="6"/>
      <c r="M127" s="6"/>
      <c r="N127" s="8"/>
      <c r="O127" s="5" t="str">
        <f t="shared" si="243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3"/>
        <v>VIGENTE</v>
      </c>
      <c r="U127" s="5"/>
      <c r="V127" s="2" t="s">
        <v>422</v>
      </c>
      <c r="W127" s="4">
        <v>44772</v>
      </c>
      <c r="X127" s="4">
        <f t="shared" si="410"/>
        <v>46598</v>
      </c>
      <c r="Y127" s="8">
        <f t="shared" ca="1" si="411"/>
        <v>453</v>
      </c>
      <c r="Z127" s="5" t="str">
        <f t="shared" ca="1" si="412"/>
        <v>VIGENTE</v>
      </c>
      <c r="AA127" s="5"/>
      <c r="AB127" s="2" t="s">
        <v>423</v>
      </c>
      <c r="AC127" s="4">
        <v>45192</v>
      </c>
      <c r="AD127" s="4">
        <f t="shared" si="430"/>
        <v>47019</v>
      </c>
      <c r="AE127" s="8">
        <f t="shared" ca="1" si="431"/>
        <v>874</v>
      </c>
      <c r="AF127" s="5" t="str">
        <f t="shared" ca="1" si="247"/>
        <v>VIGENTE</v>
      </c>
      <c r="AG127" s="3"/>
      <c r="AH127" s="4">
        <v>45609</v>
      </c>
      <c r="AI127" s="4">
        <f t="shared" si="432"/>
        <v>46338</v>
      </c>
      <c r="AJ127" s="8">
        <f t="shared" ca="1" si="248"/>
        <v>193</v>
      </c>
      <c r="AK127" s="5" t="str">
        <f t="shared" ca="1" si="408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9"/>
        <v>74</v>
      </c>
      <c r="AP127" s="5" t="str">
        <f t="shared" ca="1" si="250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1"/>
        <v>89</v>
      </c>
      <c r="AU127" s="5" t="str">
        <f t="shared" ca="1" si="252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3"/>
        <v>286</v>
      </c>
      <c r="AZ127" s="5" t="str">
        <f t="shared" ca="1" si="254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5"/>
        <v>626</v>
      </c>
      <c r="BE127" s="5" t="str">
        <f t="shared" ca="1" si="256"/>
        <v>VIGENTE</v>
      </c>
      <c r="BF127" s="3"/>
      <c r="BG127" s="4">
        <v>46027</v>
      </c>
      <c r="BH127" s="4">
        <f t="shared" si="443"/>
        <v>46757</v>
      </c>
      <c r="BI127" s="8">
        <f t="shared" ca="1" si="257"/>
        <v>612</v>
      </c>
      <c r="BJ127" s="5" t="str">
        <f t="shared" ca="1" si="258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9"/>
        <v>103</v>
      </c>
      <c r="BO127" s="5" t="str">
        <f t="shared" ca="1" si="260"/>
        <v>VIGENTE</v>
      </c>
      <c r="BP127" s="3"/>
      <c r="BQ127" s="39">
        <v>45604</v>
      </c>
      <c r="BR127" s="4">
        <f>DATE(YEAR(BQ127)+2,MONTH(BQ127),DAY(BQ127)-1)</f>
        <v>46333</v>
      </c>
      <c r="BS127" s="8">
        <f t="shared" ca="1" si="261"/>
        <v>188</v>
      </c>
      <c r="BT127" s="5" t="str">
        <f t="shared" ca="1" si="262"/>
        <v>VIGENTE</v>
      </c>
      <c r="BU127" s="3"/>
      <c r="BV127" s="4">
        <v>46135</v>
      </c>
      <c r="BW127" s="4">
        <f>DATE(YEAR(BV127)+2,MONTH(BV127),DAY(BV127)-1)</f>
        <v>46865</v>
      </c>
      <c r="BX127" s="8">
        <f t="shared" ca="1" si="263"/>
        <v>720</v>
      </c>
      <c r="BY127" s="5" t="str">
        <f t="shared" ca="1" si="264"/>
        <v>VIGENTE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5"/>
        <v>213</v>
      </c>
      <c r="CD127" s="5" t="str">
        <f t="shared" ca="1" si="266"/>
        <v>VIGENTE</v>
      </c>
      <c r="CE127" s="6"/>
      <c r="CF127" s="4">
        <v>45828</v>
      </c>
      <c r="CG127" s="4">
        <f t="shared" si="416"/>
        <v>47289</v>
      </c>
      <c r="CH127" s="8">
        <f t="shared" ca="1" si="417"/>
        <v>1144</v>
      </c>
      <c r="CI127" s="5" t="str">
        <f t="shared" ca="1" si="418"/>
        <v>VIGENTE</v>
      </c>
      <c r="CJ127" s="4"/>
      <c r="CK127" s="4">
        <v>45601</v>
      </c>
      <c r="CL127" s="4">
        <f t="shared" si="433"/>
        <v>46330</v>
      </c>
      <c r="CM127" s="8">
        <f t="shared" ca="1" si="270"/>
        <v>185</v>
      </c>
      <c r="CN127" s="5" t="str">
        <f t="shared" ca="1" si="271"/>
        <v>VIGENTE</v>
      </c>
      <c r="CO127" s="3"/>
      <c r="CP127" s="39">
        <v>45597</v>
      </c>
      <c r="CQ127" s="4">
        <f t="shared" si="434"/>
        <v>46326</v>
      </c>
      <c r="CR127" s="8">
        <f t="shared" ca="1" si="272"/>
        <v>181</v>
      </c>
      <c r="CS127" s="5" t="str">
        <f t="shared" ca="1" si="273"/>
        <v>VIGENTE</v>
      </c>
      <c r="CT127" s="3"/>
      <c r="CU127" s="4">
        <v>45624</v>
      </c>
      <c r="CV127" s="4">
        <f t="shared" si="435"/>
        <v>46353</v>
      </c>
      <c r="CW127" s="8">
        <f t="shared" ca="1" si="274"/>
        <v>208</v>
      </c>
      <c r="CX127" s="5" t="str">
        <f t="shared" ca="1" si="275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6"/>
        <v>249</v>
      </c>
      <c r="DC127" s="5" t="str">
        <f t="shared" ca="1" si="277"/>
        <v>VIGENTE</v>
      </c>
      <c r="DD127" s="3"/>
      <c r="DE127" s="39">
        <v>45596</v>
      </c>
      <c r="DF127" s="4">
        <f t="shared" si="436"/>
        <v>46325</v>
      </c>
      <c r="DG127" s="8">
        <f t="shared" ca="1" si="278"/>
        <v>180</v>
      </c>
      <c r="DH127" s="5" t="str">
        <f t="shared" ca="1" si="279"/>
        <v>VIGENTE</v>
      </c>
      <c r="DI127" s="3"/>
      <c r="DJ127" s="39">
        <v>45580</v>
      </c>
      <c r="DK127" s="4">
        <f>DATE(YEAR(DJ127)+2,MONTH(DJ127),DAY(DJ127)-1)</f>
        <v>46309</v>
      </c>
      <c r="DL127" s="8">
        <f t="shared" ca="1" si="280"/>
        <v>164</v>
      </c>
      <c r="DM127" s="5" t="str">
        <f t="shared" ca="1" si="281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2"/>
        <v>104</v>
      </c>
      <c r="DR127" s="5" t="str">
        <f t="shared" ca="1" si="283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4"/>
        <v>192</v>
      </c>
      <c r="DW127" s="5" t="str">
        <f t="shared" ca="1" si="285"/>
        <v>VIGENTE</v>
      </c>
      <c r="DX127" s="3"/>
      <c r="DY127" s="4">
        <v>45663</v>
      </c>
      <c r="DZ127" s="4">
        <f t="shared" si="437"/>
        <v>46392</v>
      </c>
      <c r="EA127" s="8">
        <f t="shared" ca="1" si="286"/>
        <v>247</v>
      </c>
      <c r="EB127" s="5" t="str">
        <f t="shared" ca="1" si="287"/>
        <v>VIGENTE</v>
      </c>
      <c r="EC127" s="3"/>
      <c r="ED127" s="39">
        <v>45602</v>
      </c>
      <c r="EE127" s="4">
        <f t="shared" si="438"/>
        <v>46331</v>
      </c>
      <c r="EF127" s="8">
        <f t="shared" ca="1" si="288"/>
        <v>186</v>
      </c>
      <c r="EG127" s="5" t="str">
        <f t="shared" ca="1" si="289"/>
        <v>VIGENTE</v>
      </c>
      <c r="EH127" s="3"/>
      <c r="EI127" s="3">
        <v>46107</v>
      </c>
      <c r="EJ127" s="4">
        <f t="shared" si="355"/>
        <v>46472</v>
      </c>
      <c r="EK127" s="8">
        <f t="shared" ca="1" si="290"/>
        <v>327</v>
      </c>
      <c r="EL127" s="5" t="str">
        <f t="shared" ca="1" si="291"/>
        <v>VIGENTE</v>
      </c>
      <c r="EM127" s="3"/>
      <c r="EN127" s="4">
        <v>45671</v>
      </c>
      <c r="EO127" s="4">
        <f t="shared" si="439"/>
        <v>46400</v>
      </c>
      <c r="EP127" s="8">
        <f t="shared" ca="1" si="292"/>
        <v>255</v>
      </c>
      <c r="EQ127" s="5" t="str">
        <f t="shared" ca="1" si="293"/>
        <v>VIGENTE</v>
      </c>
      <c r="ER127" s="3"/>
      <c r="ES127" s="39">
        <v>45677</v>
      </c>
      <c r="ET127" s="4">
        <f>DATE(YEAR(ES127)+2,MONTH(ES127),DAY(ES127)-1)</f>
        <v>46406</v>
      </c>
      <c r="EU127" s="8">
        <f t="shared" ca="1" si="294"/>
        <v>261</v>
      </c>
      <c r="EV127" s="5" t="str">
        <f t="shared" ca="1" si="295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6"/>
        <v>194</v>
      </c>
      <c r="FA127" s="5" t="str">
        <f t="shared" ca="1" si="297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8"/>
        <v>195</v>
      </c>
      <c r="FF127" s="5" t="str">
        <f t="shared" ca="1" si="299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0"/>
        <v>252</v>
      </c>
      <c r="FK127" s="5" t="str">
        <f t="shared" ca="1" si="301"/>
        <v>VIGENTE</v>
      </c>
      <c r="FL127" s="3"/>
      <c r="FM127" s="39">
        <v>45588</v>
      </c>
      <c r="FN127" s="4">
        <f t="shared" si="440"/>
        <v>46317</v>
      </c>
      <c r="FO127" s="8">
        <f t="shared" ca="1" si="302"/>
        <v>172</v>
      </c>
      <c r="FP127" s="5" t="str">
        <f t="shared" ca="1" si="303"/>
        <v>VIGENTE</v>
      </c>
      <c r="FQ127" s="3"/>
      <c r="FR127" s="39">
        <v>45586</v>
      </c>
      <c r="FS127" s="4">
        <f t="shared" si="441"/>
        <v>46315</v>
      </c>
      <c r="FT127" s="8">
        <f t="shared" ca="1" si="304"/>
        <v>170</v>
      </c>
      <c r="FU127" s="5" t="str">
        <f t="shared" ca="1" si="305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6"/>
        <v>171</v>
      </c>
      <c r="FZ127" s="5" t="str">
        <f t="shared" ca="1" si="307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8"/>
        <v>615</v>
      </c>
      <c r="GE127" s="5" t="str">
        <f t="shared" ca="1" si="309"/>
        <v>VIGENTE</v>
      </c>
      <c r="GF127" s="3"/>
      <c r="GG127" s="4">
        <v>45579</v>
      </c>
      <c r="GH127" s="4">
        <f t="shared" si="442"/>
        <v>46308</v>
      </c>
      <c r="GI127" s="8">
        <f t="shared" ca="1" si="310"/>
        <v>163</v>
      </c>
      <c r="GJ127" s="5" t="str">
        <f t="shared" ca="1" si="311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2"/>
        <v>151</v>
      </c>
      <c r="GO127" s="5" t="str">
        <f t="shared" ca="1" si="313"/>
        <v>VIGENTE</v>
      </c>
      <c r="GP127" s="4"/>
      <c r="GQ127" s="4">
        <v>44912</v>
      </c>
      <c r="GR127" s="4">
        <f t="shared" si="314"/>
        <v>46738</v>
      </c>
      <c r="GS127" s="8">
        <f t="shared" ca="1" si="405"/>
        <v>593</v>
      </c>
      <c r="GT127" s="5" t="str">
        <f t="shared" ca="1" si="419"/>
        <v>VIGENTE</v>
      </c>
      <c r="GU127" s="3"/>
      <c r="GV127" s="4">
        <v>44910</v>
      </c>
      <c r="GW127" s="4">
        <f t="shared" si="316"/>
        <v>46736</v>
      </c>
      <c r="GX127" s="8">
        <f t="shared" ca="1" si="317"/>
        <v>591</v>
      </c>
      <c r="GY127" s="5" t="str">
        <f t="shared" ca="1" si="426"/>
        <v>VIGENTE</v>
      </c>
      <c r="GZ127" s="2"/>
      <c r="HA127" s="4">
        <v>44911</v>
      </c>
      <c r="HB127" s="4">
        <f t="shared" si="319"/>
        <v>46737</v>
      </c>
      <c r="HC127" s="8">
        <f t="shared" ca="1" si="320"/>
        <v>592</v>
      </c>
      <c r="HD127" s="5" t="str">
        <f t="shared" ca="1" si="421"/>
        <v>VIGENTE</v>
      </c>
      <c r="HE127" s="6"/>
      <c r="HF127" s="4">
        <v>44956</v>
      </c>
      <c r="HG127" s="4">
        <f t="shared" si="428"/>
        <v>46782</v>
      </c>
      <c r="HH127" s="8">
        <f t="shared" ca="1" si="429"/>
        <v>637</v>
      </c>
      <c r="HI127" s="5" t="str">
        <f t="shared" ca="1" si="427"/>
        <v>VIGENTE</v>
      </c>
      <c r="HJ127" s="2"/>
      <c r="HK127" s="6"/>
      <c r="HL127" s="4"/>
      <c r="HM127" s="8"/>
      <c r="HN127" s="5" t="str">
        <f t="shared" si="444"/>
        <v>NO APLICA</v>
      </c>
      <c r="HO127" s="2"/>
      <c r="HP127" s="2"/>
      <c r="HQ127" s="4"/>
      <c r="HR127" s="2"/>
      <c r="HS127" s="5" t="str">
        <f t="shared" si="322"/>
        <v>NO APLICA</v>
      </c>
      <c r="HT127" s="2"/>
      <c r="HU127" s="6"/>
      <c r="HV127" s="4"/>
      <c r="HW127" s="8"/>
      <c r="HX127" s="5" t="str">
        <f t="shared" si="323"/>
        <v>NO APLICA</v>
      </c>
      <c r="HY127" s="2"/>
      <c r="HZ127" s="6"/>
      <c r="IA127" s="4"/>
      <c r="IB127" s="8"/>
      <c r="IC127" s="5" t="str">
        <f t="shared" si="324"/>
        <v>NO APLICA</v>
      </c>
      <c r="ID127" s="2"/>
      <c r="IE127" s="6"/>
      <c r="IF127" s="4"/>
      <c r="IG127" s="8"/>
      <c r="IH127" s="5" t="str">
        <f t="shared" si="325"/>
        <v>NO APLICA</v>
      </c>
      <c r="II127" s="6"/>
      <c r="IJ127" s="6"/>
      <c r="IK127" s="4"/>
      <c r="IL127" s="8"/>
      <c r="IM127" s="5" t="str">
        <f t="shared" si="326"/>
        <v>NO APLICA</v>
      </c>
      <c r="IN127" s="2"/>
      <c r="IO127" s="6"/>
      <c r="IP127" s="4"/>
      <c r="IQ127" s="8"/>
      <c r="IR127" s="5" t="str">
        <f t="shared" si="327"/>
        <v>NO APLICA</v>
      </c>
      <c r="IS127" s="2"/>
      <c r="IT127" s="6"/>
      <c r="IU127" s="4"/>
      <c r="IV127" s="8"/>
      <c r="IW127" s="5" t="str">
        <f t="shared" si="328"/>
        <v>NO APLICA</v>
      </c>
      <c r="IX127" s="2"/>
      <c r="IY127" s="6"/>
      <c r="IZ127" s="4"/>
      <c r="JA127" s="8"/>
      <c r="JB127" s="5" t="str">
        <f t="shared" si="329"/>
        <v>NO APLICA</v>
      </c>
      <c r="JC127" s="3" t="s">
        <v>780</v>
      </c>
      <c r="JD127" s="3"/>
      <c r="JE127" s="4"/>
      <c r="JF127" s="8"/>
      <c r="JG127" s="5"/>
      <c r="JH127" s="3" t="s">
        <v>780</v>
      </c>
      <c r="JI127" s="6"/>
      <c r="JJ127" s="6"/>
      <c r="JK127" s="6"/>
      <c r="JL127" s="5"/>
      <c r="JM127" s="6" t="s">
        <v>780</v>
      </c>
      <c r="JN127" s="6"/>
      <c r="JO127" s="6"/>
      <c r="JP127" s="6"/>
      <c r="JQ127" s="5"/>
      <c r="JR127" s="6" t="s">
        <v>780</v>
      </c>
      <c r="JS127" s="6"/>
      <c r="JT127" s="6"/>
      <c r="JU127" s="6"/>
      <c r="JV127" s="5"/>
      <c r="JW127" s="6" t="s">
        <v>780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30"/>
        <v>NO APLICA</v>
      </c>
      <c r="KG127" s="5"/>
      <c r="KH127" s="2"/>
      <c r="KI127" s="4"/>
      <c r="KJ127" s="8"/>
      <c r="KK127" s="5" t="str">
        <f t="shared" si="356"/>
        <v>NO APLICA</v>
      </c>
      <c r="KL127" s="5"/>
      <c r="KM127" s="2"/>
      <c r="KN127" s="4"/>
      <c r="KO127" s="8"/>
      <c r="KP127" s="5" t="str">
        <f t="shared" si="331"/>
        <v>NO APLICA</v>
      </c>
      <c r="KQ127" s="5"/>
      <c r="KR127" s="2"/>
      <c r="KS127" s="4"/>
      <c r="KT127" s="8"/>
      <c r="KU127" s="5" t="str">
        <f t="shared" si="357"/>
        <v>NO APLICA</v>
      </c>
      <c r="KV127" s="2"/>
      <c r="KW127" s="6"/>
      <c r="KX127" s="4"/>
      <c r="KY127" s="8"/>
      <c r="KZ127" s="5" t="str">
        <f t="shared" si="366"/>
        <v>NO APLICA</v>
      </c>
      <c r="LA127" s="5"/>
      <c r="LB127" s="6"/>
      <c r="LC127" s="4"/>
      <c r="LD127" s="8"/>
      <c r="LE127" s="5" t="str">
        <f t="shared" si="358"/>
        <v>NO APLICA</v>
      </c>
      <c r="LF127" s="6"/>
      <c r="LG127" s="6"/>
      <c r="LH127" s="4"/>
      <c r="LI127" s="8"/>
      <c r="LJ127" s="5" t="str">
        <f t="shared" si="332"/>
        <v>NO APLICA</v>
      </c>
      <c r="LK127" s="5"/>
      <c r="LL127" s="5"/>
      <c r="LM127" s="4"/>
      <c r="LN127" s="8"/>
      <c r="LO127" s="5" t="str">
        <f t="shared" si="367"/>
        <v>NO APLICA</v>
      </c>
      <c r="LP127" s="2"/>
      <c r="LQ127" s="6"/>
      <c r="LR127" s="4"/>
      <c r="LS127" s="8"/>
      <c r="LT127" s="5" t="str">
        <f t="shared" si="359"/>
        <v>NO APLICA</v>
      </c>
      <c r="LU127" s="6"/>
      <c r="LV127" s="6"/>
      <c r="LW127" s="4"/>
      <c r="LX127" s="8"/>
      <c r="LY127" s="5" t="str">
        <f t="shared" si="360"/>
        <v>NO APLICA</v>
      </c>
      <c r="LZ127" s="6"/>
      <c r="MA127" s="6"/>
      <c r="MB127" s="4"/>
      <c r="MC127" s="8"/>
      <c r="MD127" s="5" t="str">
        <f t="shared" si="361"/>
        <v>NO APLICA</v>
      </c>
      <c r="ME127" s="2"/>
      <c r="MF127" s="2"/>
      <c r="MG127" s="4"/>
      <c r="MH127" s="8"/>
      <c r="MI127" s="5" t="str">
        <f t="shared" si="333"/>
        <v>NO APLICA</v>
      </c>
      <c r="MJ127" s="2"/>
      <c r="MK127" s="2"/>
      <c r="ML127" s="4"/>
      <c r="MM127" s="8"/>
      <c r="MN127" s="5" t="str">
        <f t="shared" si="334"/>
        <v>NO APLICA</v>
      </c>
      <c r="MO127" s="5"/>
      <c r="MP127" s="2"/>
      <c r="MQ127" s="4"/>
      <c r="MR127" s="8"/>
      <c r="MS127" s="5" t="str">
        <f t="shared" si="335"/>
        <v>NO APLICA</v>
      </c>
      <c r="MT127" s="5"/>
      <c r="MU127" s="2"/>
      <c r="MV127" s="4"/>
      <c r="MW127" s="2"/>
      <c r="MX127" s="5" t="str">
        <f t="shared" si="336"/>
        <v>NO APLICA</v>
      </c>
      <c r="MY127" s="2"/>
      <c r="MZ127" s="6"/>
      <c r="NA127" s="4"/>
      <c r="NB127" s="8"/>
      <c r="NC127" s="5" t="str">
        <f t="shared" si="337"/>
        <v>NO APLICA</v>
      </c>
      <c r="ND127" s="2"/>
      <c r="NE127" s="6"/>
      <c r="NF127" s="4"/>
      <c r="NG127" s="8"/>
      <c r="NH127" s="5" t="str">
        <f t="shared" si="338"/>
        <v>NO APLICA</v>
      </c>
      <c r="NI127" s="2"/>
      <c r="NJ127" s="6"/>
      <c r="NK127" s="4"/>
      <c r="NL127" s="8"/>
      <c r="NM127" s="5" t="str">
        <f t="shared" si="339"/>
        <v>NO APLICA</v>
      </c>
      <c r="NN127" s="2"/>
      <c r="NO127" s="2"/>
      <c r="NP127" s="4"/>
      <c r="NQ127" s="8"/>
      <c r="NR127" s="5" t="str">
        <f t="shared" si="340"/>
        <v>NO APLICA</v>
      </c>
      <c r="NS127" s="2"/>
      <c r="NT127" s="2"/>
      <c r="NU127" s="4"/>
      <c r="NV127" s="2"/>
      <c r="NW127" s="5" t="str">
        <f t="shared" si="341"/>
        <v>NO APLICA</v>
      </c>
      <c r="NX127" s="6"/>
      <c r="NY127" s="6"/>
      <c r="NZ127" s="4"/>
      <c r="OA127" s="8"/>
      <c r="OB127" s="5" t="str">
        <f t="shared" si="342"/>
        <v>NO APLICA</v>
      </c>
      <c r="OC127" s="6"/>
      <c r="OD127" s="6"/>
      <c r="OE127" s="6"/>
      <c r="OF127" s="6"/>
      <c r="OG127" s="5" t="str">
        <f t="shared" si="343"/>
        <v>NO APLICA</v>
      </c>
      <c r="OH127" s="2"/>
      <c r="OI127" s="2"/>
      <c r="OJ127" s="4"/>
      <c r="OK127" s="8"/>
      <c r="OL127" s="5" t="str">
        <f t="shared" si="344"/>
        <v>NO APLICA</v>
      </c>
      <c r="OM127" s="6"/>
      <c r="ON127" s="6"/>
      <c r="OO127" s="6"/>
      <c r="OP127" s="6"/>
      <c r="OQ127" s="5" t="str">
        <f t="shared" si="345"/>
        <v>NO APLICA</v>
      </c>
      <c r="OR127" s="6"/>
      <c r="OS127" s="6"/>
      <c r="OT127" s="6"/>
      <c r="OU127" s="6"/>
      <c r="OV127" s="5" t="str">
        <f t="shared" si="346"/>
        <v>NO APLICA</v>
      </c>
      <c r="OW127" s="6"/>
      <c r="OX127" s="6"/>
      <c r="OY127" s="6"/>
      <c r="OZ127" s="6"/>
      <c r="PA127" s="5" t="str">
        <f t="shared" si="347"/>
        <v>NO APLICA</v>
      </c>
      <c r="PB127" s="6"/>
      <c r="PC127" s="6"/>
      <c r="PD127" s="6"/>
      <c r="PE127" s="6"/>
      <c r="PF127" s="5" t="str">
        <f t="shared" si="348"/>
        <v>NO APLICA</v>
      </c>
      <c r="PG127" s="6"/>
      <c r="PH127" s="6"/>
      <c r="PI127" s="6"/>
      <c r="PJ127" s="6"/>
      <c r="PK127" s="5" t="str">
        <f t="shared" si="349"/>
        <v>NO APLICA</v>
      </c>
      <c r="PL127" s="5"/>
      <c r="PM127" s="6"/>
      <c r="PN127" s="4"/>
      <c r="PO127" s="8"/>
      <c r="PP127" s="5" t="str">
        <f t="shared" si="350"/>
        <v>NO APLICA</v>
      </c>
      <c r="PQ127" s="6"/>
      <c r="PR127" s="6"/>
      <c r="PS127" s="6"/>
      <c r="PT127" s="6"/>
      <c r="PU127" s="5" t="str">
        <f t="shared" si="351"/>
        <v>NO APLICA</v>
      </c>
      <c r="PV127" s="5"/>
      <c r="PW127" s="6"/>
      <c r="PX127" s="6"/>
      <c r="PY127" s="6"/>
      <c r="PZ127" s="5" t="str">
        <f t="shared" si="352"/>
        <v>NO APLICA</v>
      </c>
    </row>
    <row r="128" spans="1:442" ht="15.6" hidden="1" thickTop="1" thickBot="1" x14ac:dyDescent="0.35">
      <c r="A128" s="26">
        <v>125</v>
      </c>
      <c r="B128" s="31">
        <v>1730</v>
      </c>
      <c r="C128" s="28" t="s">
        <v>424</v>
      </c>
      <c r="D128" s="29" t="s">
        <v>68</v>
      </c>
      <c r="E128" s="30" t="s">
        <v>73</v>
      </c>
      <c r="F128" s="6"/>
      <c r="G128" s="6"/>
      <c r="H128" s="6"/>
      <c r="I128" s="6"/>
      <c r="J128" s="5" t="str">
        <f t="shared" si="242"/>
        <v>NO APLICA</v>
      </c>
      <c r="K128" s="6"/>
      <c r="L128" s="6"/>
      <c r="M128" s="6"/>
      <c r="N128" s="6"/>
      <c r="O128" s="5" t="str">
        <f t="shared" si="243"/>
        <v>NO APLICA</v>
      </c>
      <c r="P128" s="9"/>
      <c r="Q128" s="9"/>
      <c r="R128" s="9"/>
      <c r="S128" s="9"/>
      <c r="T128" s="5" t="str">
        <f t="shared" si="353"/>
        <v>NO APLICA</v>
      </c>
      <c r="U128" s="5"/>
      <c r="V128" s="6" t="s">
        <v>425</v>
      </c>
      <c r="W128" s="4">
        <v>45854</v>
      </c>
      <c r="X128" s="4">
        <f t="shared" si="410"/>
        <v>47680</v>
      </c>
      <c r="Y128" s="8">
        <f t="shared" ca="1" si="411"/>
        <v>1535</v>
      </c>
      <c r="Z128" s="5" t="str">
        <f t="shared" ca="1" si="412"/>
        <v>VIGENTE</v>
      </c>
      <c r="AA128" s="5"/>
      <c r="AB128" s="6" t="s">
        <v>426</v>
      </c>
      <c r="AC128" s="4">
        <v>45464</v>
      </c>
      <c r="AD128" s="4">
        <f t="shared" si="430"/>
        <v>47290</v>
      </c>
      <c r="AE128" s="8">
        <f t="shared" ca="1" si="431"/>
        <v>1145</v>
      </c>
      <c r="AF128" s="5" t="str">
        <f t="shared" ca="1" si="247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8"/>
        <v>591</v>
      </c>
      <c r="AK128" s="5" t="str">
        <f t="shared" ca="1" si="408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9"/>
        <v>647</v>
      </c>
      <c r="AP128" s="5" t="str">
        <f t="shared" ca="1" si="250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1"/>
        <v>633</v>
      </c>
      <c r="AU128" s="5" t="str">
        <f t="shared" ca="1" si="252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3"/>
        <v>655</v>
      </c>
      <c r="AZ128" s="5" t="str">
        <f t="shared" ca="1" si="254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5"/>
        <v>626</v>
      </c>
      <c r="BE128" s="5" t="str">
        <f t="shared" ca="1" si="256"/>
        <v>VIGENTE</v>
      </c>
      <c r="BF128" s="4"/>
      <c r="BG128" s="4">
        <v>45987</v>
      </c>
      <c r="BH128" s="4">
        <f t="shared" si="443"/>
        <v>46717</v>
      </c>
      <c r="BI128" s="8">
        <f t="shared" ca="1" si="257"/>
        <v>572</v>
      </c>
      <c r="BJ128" s="5" t="str">
        <f t="shared" ca="1" si="258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9"/>
        <v>620</v>
      </c>
      <c r="BO128" s="5" t="str">
        <f t="shared" ca="1" si="260"/>
        <v>VIGENTE</v>
      </c>
      <c r="BP128" s="4"/>
      <c r="BQ128" s="39">
        <v>45988</v>
      </c>
      <c r="BR128" s="4">
        <f>DATE(YEAR(BQ128)+2,MONTH(BQ128),DAY(BQ128))</f>
        <v>46718</v>
      </c>
      <c r="BS128" s="8">
        <f t="shared" ca="1" si="261"/>
        <v>573</v>
      </c>
      <c r="BT128" s="5" t="str">
        <f t="shared" ca="1" si="262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3"/>
        <v>648</v>
      </c>
      <c r="BY128" s="5" t="str">
        <f t="shared" ca="1" si="264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5"/>
        <v>571</v>
      </c>
      <c r="CD128" s="5" t="str">
        <f t="shared" ca="1" si="266"/>
        <v>VIGENTE</v>
      </c>
      <c r="CE128" s="6"/>
      <c r="CF128" s="4">
        <v>45346</v>
      </c>
      <c r="CG128" s="4">
        <f t="shared" si="416"/>
        <v>46807</v>
      </c>
      <c r="CH128" s="8">
        <f t="shared" ca="1" si="417"/>
        <v>662</v>
      </c>
      <c r="CI128" s="5" t="str">
        <f t="shared" ca="1" si="418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0"/>
        <v>603</v>
      </c>
      <c r="CN128" s="5" t="str">
        <f t="shared" ca="1" si="271"/>
        <v>VIGENTE</v>
      </c>
      <c r="CO128" s="4"/>
      <c r="CP128" s="39">
        <v>46038</v>
      </c>
      <c r="CQ128" s="4">
        <f>DATE(YEAR(CP128)+2,MONTH(CP128),DAY(CP128))</f>
        <v>46768</v>
      </c>
      <c r="CR128" s="8">
        <f t="shared" ca="1" si="272"/>
        <v>623</v>
      </c>
      <c r="CS128" s="5" t="str">
        <f t="shared" ca="1" si="273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4"/>
        <v>628</v>
      </c>
      <c r="CX128" s="5" t="str">
        <f t="shared" ca="1" si="275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6"/>
        <v>585</v>
      </c>
      <c r="DC128" s="5" t="str">
        <f t="shared" ca="1" si="277"/>
        <v>VIGENTE</v>
      </c>
      <c r="DD128" s="4"/>
      <c r="DE128" s="39">
        <v>46045</v>
      </c>
      <c r="DF128" s="4">
        <f>DATE(YEAR(DE128)+2,MONTH(DE128),DAY(DE128))</f>
        <v>46775</v>
      </c>
      <c r="DG128" s="8">
        <f t="shared" ca="1" si="278"/>
        <v>630</v>
      </c>
      <c r="DH128" s="5" t="str">
        <f t="shared" ca="1" si="279"/>
        <v>VIGENTE</v>
      </c>
      <c r="DI128" s="4"/>
      <c r="DJ128" s="39">
        <v>46029</v>
      </c>
      <c r="DK128" s="4">
        <f>DATE(YEAR(DJ128)+2,MONTH(DJ128),DAY(DJ128))</f>
        <v>46759</v>
      </c>
      <c r="DL128" s="8">
        <f t="shared" ca="1" si="280"/>
        <v>614</v>
      </c>
      <c r="DM128" s="5" t="str">
        <f t="shared" ca="1" si="281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2"/>
        <v>631</v>
      </c>
      <c r="DR128" s="5" t="str">
        <f t="shared" ca="1" si="283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4"/>
        <v>638</v>
      </c>
      <c r="DW128" s="5" t="str">
        <f t="shared" ca="1" si="285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6"/>
        <v>617</v>
      </c>
      <c r="EB128" s="5" t="str">
        <f t="shared" ca="1" si="287"/>
        <v>VIGENTE</v>
      </c>
      <c r="EC128" s="4"/>
      <c r="ED128" s="39">
        <v>46104</v>
      </c>
      <c r="EE128" s="4">
        <f>DATE(YEAR(ED128)+2,MONTH(ED128),DAY(ED128))</f>
        <v>46835</v>
      </c>
      <c r="EF128" s="8">
        <f t="shared" ca="1" si="288"/>
        <v>690</v>
      </c>
      <c r="EG128" s="5" t="str">
        <f t="shared" ca="1" si="289"/>
        <v>VIGENTE</v>
      </c>
      <c r="EH128" s="4"/>
      <c r="EI128" s="4">
        <v>46123</v>
      </c>
      <c r="EJ128" s="4">
        <f t="shared" si="355"/>
        <v>46488</v>
      </c>
      <c r="EK128" s="8">
        <f t="shared" ca="1" si="290"/>
        <v>343</v>
      </c>
      <c r="EL128" s="5" t="str">
        <f t="shared" ca="1" si="291"/>
        <v>VIGENTE</v>
      </c>
      <c r="EM128" s="4"/>
      <c r="EN128" s="4">
        <v>45983</v>
      </c>
      <c r="EO128" s="4">
        <f>DATE(YEAR(EN128)+2,MONTH(EN128),DAY(EN128))</f>
        <v>46713</v>
      </c>
      <c r="EP128" s="8">
        <f t="shared" ca="1" si="292"/>
        <v>568</v>
      </c>
      <c r="EQ128" s="5" t="str">
        <f t="shared" ca="1" si="293"/>
        <v>VIGENTE</v>
      </c>
      <c r="ER128" s="4"/>
      <c r="ES128" s="39">
        <v>45999</v>
      </c>
      <c r="ET128" s="4">
        <f>DATE(YEAR(ES128)+2,MONTH(ES128),DAY(ES128))</f>
        <v>46729</v>
      </c>
      <c r="EU128" s="8">
        <f t="shared" ca="1" si="294"/>
        <v>584</v>
      </c>
      <c r="EV128" s="5" t="str">
        <f t="shared" ca="1" si="295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6"/>
        <v>622</v>
      </c>
      <c r="FA128" s="5" t="str">
        <f t="shared" ca="1" si="297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8"/>
        <v>677</v>
      </c>
      <c r="FF128" s="5" t="str">
        <f t="shared" ca="1" si="299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0"/>
        <v>577</v>
      </c>
      <c r="FK128" s="5" t="str">
        <f t="shared" ca="1" si="301"/>
        <v>VIGENTE</v>
      </c>
      <c r="FL128" s="4"/>
      <c r="FM128" s="39">
        <v>46039</v>
      </c>
      <c r="FN128" s="4">
        <f>DATE(YEAR(FM128)+2,MONTH(FM128),DAY(FM128))</f>
        <v>46769</v>
      </c>
      <c r="FO128" s="8">
        <f t="shared" ca="1" si="302"/>
        <v>624</v>
      </c>
      <c r="FP128" s="5" t="str">
        <f t="shared" ca="1" si="303"/>
        <v>VIGENTE</v>
      </c>
      <c r="FQ128" s="4"/>
      <c r="FR128" s="39">
        <v>46034</v>
      </c>
      <c r="FS128" s="4">
        <f>DATE(YEAR(FR128)+2,MONTH(FR128),DAY(FR128))</f>
        <v>46764</v>
      </c>
      <c r="FT128" s="8">
        <f t="shared" ca="1" si="304"/>
        <v>619</v>
      </c>
      <c r="FU128" s="5" t="str">
        <f t="shared" ca="1" si="305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6"/>
        <v>599</v>
      </c>
      <c r="FZ128" s="5" t="str">
        <f t="shared" ca="1" si="307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8"/>
        <v>588</v>
      </c>
      <c r="GE128" s="5" t="str">
        <f t="shared" ca="1" si="309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0"/>
        <v>621</v>
      </c>
      <c r="GJ128" s="5" t="str">
        <f t="shared" ca="1" si="311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2"/>
        <v>629</v>
      </c>
      <c r="GO128" s="5" t="str">
        <f t="shared" ca="1" si="313"/>
        <v>VIGENTE</v>
      </c>
      <c r="GP128" s="4"/>
      <c r="GQ128" s="4">
        <v>45367</v>
      </c>
      <c r="GR128" s="4">
        <f t="shared" si="314"/>
        <v>47193</v>
      </c>
      <c r="GS128" s="8">
        <f t="shared" ca="1" si="405"/>
        <v>1048</v>
      </c>
      <c r="GT128" s="5" t="str">
        <f t="shared" ca="1" si="419"/>
        <v>VIGENTE</v>
      </c>
      <c r="GU128" s="4"/>
      <c r="GV128" s="4">
        <v>45342</v>
      </c>
      <c r="GW128" s="4">
        <f t="shared" si="316"/>
        <v>47169</v>
      </c>
      <c r="GX128" s="8">
        <f t="shared" ca="1" si="317"/>
        <v>1024</v>
      </c>
      <c r="GY128" s="5" t="str">
        <f t="shared" ca="1" si="426"/>
        <v>VIGENTE</v>
      </c>
      <c r="GZ128" s="6"/>
      <c r="HA128" s="4">
        <v>45348</v>
      </c>
      <c r="HB128" s="4">
        <f t="shared" si="319"/>
        <v>47175</v>
      </c>
      <c r="HC128" s="8">
        <f t="shared" ca="1" si="320"/>
        <v>1030</v>
      </c>
      <c r="HD128" s="5" t="str">
        <f t="shared" ca="1" si="421"/>
        <v>VIGENTE</v>
      </c>
      <c r="HE128" s="6"/>
      <c r="HF128" s="4">
        <v>45401</v>
      </c>
      <c r="HG128" s="4">
        <f t="shared" si="428"/>
        <v>47227</v>
      </c>
      <c r="HH128" s="8">
        <f t="shared" ca="1" si="429"/>
        <v>1082</v>
      </c>
      <c r="HI128" s="5" t="str">
        <f t="shared" ca="1" si="427"/>
        <v>VIGENTE</v>
      </c>
      <c r="HJ128" s="6"/>
      <c r="HK128" s="6"/>
      <c r="HL128" s="4"/>
      <c r="HM128" s="8"/>
      <c r="HN128" s="5" t="str">
        <f t="shared" si="444"/>
        <v>NO APLICA</v>
      </c>
      <c r="HO128" s="2"/>
      <c r="HP128" s="2"/>
      <c r="HQ128" s="4"/>
      <c r="HR128" s="2"/>
      <c r="HS128" s="5" t="str">
        <f t="shared" si="322"/>
        <v>NO APLICA</v>
      </c>
      <c r="HT128" s="6"/>
      <c r="HU128" s="6"/>
      <c r="HV128" s="4"/>
      <c r="HW128" s="8"/>
      <c r="HX128" s="5" t="str">
        <f t="shared" si="323"/>
        <v>NO APLICA</v>
      </c>
      <c r="HY128" s="6"/>
      <c r="HZ128" s="6"/>
      <c r="IA128" s="4"/>
      <c r="IB128" s="8"/>
      <c r="IC128" s="5" t="str">
        <f t="shared" si="324"/>
        <v>NO APLICA</v>
      </c>
      <c r="ID128" s="6"/>
      <c r="IE128" s="6"/>
      <c r="IF128" s="4"/>
      <c r="IG128" s="8"/>
      <c r="IH128" s="5" t="str">
        <f t="shared" si="325"/>
        <v>NO APLICA</v>
      </c>
      <c r="II128" s="6"/>
      <c r="IJ128" s="6"/>
      <c r="IK128" s="4"/>
      <c r="IL128" s="6"/>
      <c r="IM128" s="5" t="str">
        <f t="shared" si="326"/>
        <v>NO APLICA</v>
      </c>
      <c r="IN128" s="6"/>
      <c r="IO128" s="6"/>
      <c r="IP128" s="4"/>
      <c r="IQ128" s="8"/>
      <c r="IR128" s="5" t="str">
        <f t="shared" si="327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8"/>
        <v>VIGENTE</v>
      </c>
      <c r="IX128" s="6"/>
      <c r="IY128" s="6"/>
      <c r="IZ128" s="4"/>
      <c r="JA128" s="8"/>
      <c r="JB128" s="5" t="str">
        <f t="shared" si="329"/>
        <v>NO APLICA</v>
      </c>
      <c r="JC128" s="3" t="s">
        <v>780</v>
      </c>
      <c r="JD128" s="3"/>
      <c r="JE128" s="4"/>
      <c r="JF128" s="8"/>
      <c r="JG128" s="5"/>
      <c r="JH128" s="3" t="s">
        <v>780</v>
      </c>
      <c r="JI128" s="6"/>
      <c r="JJ128" s="6"/>
      <c r="JK128" s="6"/>
      <c r="JL128" s="5"/>
      <c r="JM128" s="6" t="s">
        <v>780</v>
      </c>
      <c r="JN128" s="6"/>
      <c r="JO128" s="6"/>
      <c r="JP128" s="6"/>
      <c r="JQ128" s="5"/>
      <c r="JR128" s="6" t="s">
        <v>780</v>
      </c>
      <c r="JS128" s="6"/>
      <c r="JT128" s="6"/>
      <c r="JU128" s="6"/>
      <c r="JV128" s="5"/>
      <c r="JW128" s="6" t="s">
        <v>780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30"/>
        <v>VIGENTE</v>
      </c>
      <c r="KG128" s="5"/>
      <c r="KH128" s="2"/>
      <c r="KI128" s="4"/>
      <c r="KJ128" s="8"/>
      <c r="KK128" s="5" t="str">
        <f t="shared" si="356"/>
        <v>NO APLICA</v>
      </c>
      <c r="KL128" s="5"/>
      <c r="KM128" s="3"/>
      <c r="KN128" s="4"/>
      <c r="KO128" s="8"/>
      <c r="KP128" s="5" t="str">
        <f t="shared" si="331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7"/>
        <v>VIGENTE</v>
      </c>
      <c r="KV128" s="6"/>
      <c r="KW128" s="6"/>
      <c r="KX128" s="4"/>
      <c r="KY128" s="6"/>
      <c r="KZ128" s="5" t="str">
        <f t="shared" si="366"/>
        <v>NO APLICA</v>
      </c>
      <c r="LA128" s="5"/>
      <c r="LB128" s="6"/>
      <c r="LC128" s="4"/>
      <c r="LD128" s="6"/>
      <c r="LE128" s="5" t="str">
        <f t="shared" si="358"/>
        <v>NO APLICA</v>
      </c>
      <c r="LF128" s="6"/>
      <c r="LG128" s="6"/>
      <c r="LH128" s="6"/>
      <c r="LI128" s="6"/>
      <c r="LJ128" s="5" t="str">
        <f t="shared" si="332"/>
        <v>NO APLICA</v>
      </c>
      <c r="LK128" s="5"/>
      <c r="LL128" s="5"/>
      <c r="LM128" s="4"/>
      <c r="LN128" s="8"/>
      <c r="LO128" s="5" t="str">
        <f t="shared" si="367"/>
        <v>NO APLICA</v>
      </c>
      <c r="LP128" s="6"/>
      <c r="LQ128" s="6"/>
      <c r="LR128" s="4"/>
      <c r="LS128" s="8"/>
      <c r="LT128" s="5" t="str">
        <f t="shared" si="359"/>
        <v>NO APLICA</v>
      </c>
      <c r="LU128" s="6"/>
      <c r="LV128" s="6"/>
      <c r="LW128" s="4"/>
      <c r="LX128" s="6"/>
      <c r="LY128" s="5" t="str">
        <f t="shared" si="360"/>
        <v>NO APLICA</v>
      </c>
      <c r="LZ128" s="6"/>
      <c r="MA128" s="6"/>
      <c r="MB128" s="4"/>
      <c r="MC128" s="6"/>
      <c r="MD128" s="5" t="str">
        <f t="shared" si="361"/>
        <v>NO APLICA</v>
      </c>
      <c r="ME128" s="6"/>
      <c r="MF128" s="6"/>
      <c r="MG128" s="4"/>
      <c r="MH128" s="6"/>
      <c r="MI128" s="5" t="str">
        <f t="shared" si="333"/>
        <v>NO APLICA</v>
      </c>
      <c r="MJ128" s="6"/>
      <c r="MK128" s="6"/>
      <c r="ML128" s="4"/>
      <c r="MM128" s="6"/>
      <c r="MN128" s="5" t="str">
        <f t="shared" si="334"/>
        <v>NO APLICA</v>
      </c>
      <c r="MO128" s="5"/>
      <c r="MP128" s="6"/>
      <c r="MQ128" s="4"/>
      <c r="MR128" s="6"/>
      <c r="MS128" s="5" t="str">
        <f t="shared" si="335"/>
        <v>NO APLICA</v>
      </c>
      <c r="MT128" s="5"/>
      <c r="MU128" s="6"/>
      <c r="MV128" s="6"/>
      <c r="MW128" s="6"/>
      <c r="MX128" s="5" t="str">
        <f t="shared" si="336"/>
        <v>NO APLICA</v>
      </c>
      <c r="MY128" s="6"/>
      <c r="MZ128" s="6"/>
      <c r="NA128" s="4"/>
      <c r="NB128" s="6"/>
      <c r="NC128" s="5" t="str">
        <f t="shared" si="337"/>
        <v>NO APLICA</v>
      </c>
      <c r="ND128" s="6"/>
      <c r="NE128" s="6"/>
      <c r="NF128" s="4"/>
      <c r="NG128" s="6"/>
      <c r="NH128" s="5" t="str">
        <f t="shared" si="338"/>
        <v>NO APLICA</v>
      </c>
      <c r="NI128" s="6"/>
      <c r="NJ128" s="6"/>
      <c r="NK128" s="4"/>
      <c r="NL128" s="6"/>
      <c r="NM128" s="5" t="str">
        <f t="shared" si="339"/>
        <v>NO APLICA</v>
      </c>
      <c r="NN128" s="6"/>
      <c r="NO128" s="6"/>
      <c r="NP128" s="4"/>
      <c r="NQ128" s="6"/>
      <c r="NR128" s="5" t="str">
        <f t="shared" si="340"/>
        <v>NO APLICA</v>
      </c>
      <c r="NS128" s="6"/>
      <c r="NT128" s="6"/>
      <c r="NU128" s="4"/>
      <c r="NV128" s="6"/>
      <c r="NW128" s="5" t="str">
        <f t="shared" si="341"/>
        <v>NO APLICA</v>
      </c>
      <c r="NX128" s="6"/>
      <c r="NY128" s="6"/>
      <c r="NZ128" s="4"/>
      <c r="OA128" s="8"/>
      <c r="OB128" s="5" t="str">
        <f t="shared" si="342"/>
        <v>NO APLICA</v>
      </c>
      <c r="OC128" s="6"/>
      <c r="OD128" s="6"/>
      <c r="OE128" s="6"/>
      <c r="OF128" s="6"/>
      <c r="OG128" s="5" t="str">
        <f t="shared" si="343"/>
        <v>NO APLICA</v>
      </c>
      <c r="OH128" s="6"/>
      <c r="OI128" s="6"/>
      <c r="OJ128" s="6"/>
      <c r="OK128" s="6"/>
      <c r="OL128" s="5" t="str">
        <f t="shared" si="344"/>
        <v>NO APLICA</v>
      </c>
      <c r="OM128" s="6"/>
      <c r="ON128" s="6"/>
      <c r="OO128" s="6"/>
      <c r="OP128" s="6"/>
      <c r="OQ128" s="5" t="str">
        <f t="shared" si="345"/>
        <v>NO APLICA</v>
      </c>
      <c r="OR128" s="6"/>
      <c r="OS128" s="6"/>
      <c r="OT128" s="6"/>
      <c r="OU128" s="6"/>
      <c r="OV128" s="5" t="str">
        <f t="shared" si="346"/>
        <v>NO APLICA</v>
      </c>
      <c r="OW128" s="6"/>
      <c r="OX128" s="6"/>
      <c r="OY128" s="6"/>
      <c r="OZ128" s="6"/>
      <c r="PA128" s="5" t="str">
        <f t="shared" si="347"/>
        <v>NO APLICA</v>
      </c>
      <c r="PB128" s="6"/>
      <c r="PC128" s="6"/>
      <c r="PD128" s="6"/>
      <c r="PE128" s="6"/>
      <c r="PF128" s="5" t="str">
        <f t="shared" si="348"/>
        <v>NO APLICA</v>
      </c>
      <c r="PG128" s="6"/>
      <c r="PH128" s="6"/>
      <c r="PI128" s="6"/>
      <c r="PJ128" s="6"/>
      <c r="PK128" s="5" t="str">
        <f t="shared" si="349"/>
        <v>NO APLICA</v>
      </c>
      <c r="PL128" s="5"/>
      <c r="PM128" s="6"/>
      <c r="PN128" s="6"/>
      <c r="PO128" s="6"/>
      <c r="PP128" s="5" t="str">
        <f t="shared" si="350"/>
        <v>NO APLICA</v>
      </c>
      <c r="PQ128" s="6"/>
      <c r="PR128" s="6"/>
      <c r="PS128" s="6"/>
      <c r="PT128" s="6"/>
      <c r="PU128" s="5" t="str">
        <f t="shared" si="351"/>
        <v>NO APLICA</v>
      </c>
      <c r="PV128" s="5"/>
      <c r="PW128" s="6"/>
      <c r="PX128" s="6"/>
      <c r="PY128" s="6"/>
      <c r="PZ128" s="5" t="str">
        <f t="shared" si="352"/>
        <v>NO APLICA</v>
      </c>
    </row>
    <row r="129" spans="1:442" ht="15.6" hidden="1" thickTop="1" thickBot="1" x14ac:dyDescent="0.35">
      <c r="A129" s="26">
        <v>126</v>
      </c>
      <c r="B129" s="31">
        <v>1639</v>
      </c>
      <c r="C129" s="28" t="s">
        <v>427</v>
      </c>
      <c r="D129" s="29" t="s">
        <v>68</v>
      </c>
      <c r="E129" s="30" t="s">
        <v>73</v>
      </c>
      <c r="F129" s="5"/>
      <c r="G129" s="6"/>
      <c r="H129" s="4"/>
      <c r="I129" s="8"/>
      <c r="J129" s="5" t="str">
        <f t="shared" si="242"/>
        <v>NO APLICA</v>
      </c>
      <c r="K129" s="5"/>
      <c r="L129" s="6"/>
      <c r="M129" s="6"/>
      <c r="N129" s="8"/>
      <c r="O129" s="5" t="str">
        <f t="shared" si="243"/>
        <v>NO APLICA</v>
      </c>
      <c r="P129" s="6"/>
      <c r="Q129" s="6"/>
      <c r="R129" s="4"/>
      <c r="S129" s="8"/>
      <c r="T129" s="5" t="str">
        <f t="shared" si="353"/>
        <v>NO APLICA</v>
      </c>
      <c r="U129" s="5"/>
      <c r="V129" s="2" t="s">
        <v>428</v>
      </c>
      <c r="W129" s="4">
        <v>44918</v>
      </c>
      <c r="X129" s="4">
        <f t="shared" si="410"/>
        <v>46744</v>
      </c>
      <c r="Y129" s="8">
        <f t="shared" ca="1" si="411"/>
        <v>599</v>
      </c>
      <c r="Z129" s="5" t="str">
        <f t="shared" ca="1" si="412"/>
        <v>VIGENTE</v>
      </c>
      <c r="AA129" s="5"/>
      <c r="AB129" s="2" t="s">
        <v>429</v>
      </c>
      <c r="AC129" s="4">
        <v>44988</v>
      </c>
      <c r="AD129" s="4">
        <f t="shared" si="430"/>
        <v>46815</v>
      </c>
      <c r="AE129" s="8">
        <f t="shared" ca="1" si="431"/>
        <v>670</v>
      </c>
      <c r="AF129" s="5" t="str">
        <f t="shared" ca="1" si="247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8"/>
        <v>193</v>
      </c>
      <c r="AK129" s="5" t="str">
        <f t="shared" ca="1" si="408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9"/>
        <v>100</v>
      </c>
      <c r="AP129" s="5" t="str">
        <f t="shared" ca="1" si="250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1"/>
        <v>89</v>
      </c>
      <c r="AU129" s="5" t="str">
        <f t="shared" ca="1" si="252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3"/>
        <v>98</v>
      </c>
      <c r="AZ129" s="5" t="str">
        <f t="shared" ca="1" si="254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5"/>
        <v>99</v>
      </c>
      <c r="BE129" s="5" t="str">
        <f t="shared" ca="1" si="256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7"/>
        <v>115</v>
      </c>
      <c r="BJ129" s="5" t="str">
        <f t="shared" ca="1" si="258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9"/>
        <v>103</v>
      </c>
      <c r="BO129" s="5" t="str">
        <f t="shared" ca="1" si="260"/>
        <v>VIGENTE</v>
      </c>
      <c r="BP129" s="3"/>
      <c r="BQ129" s="39">
        <v>45532</v>
      </c>
      <c r="BR129" s="4">
        <f>DATE(YEAR(BQ129)+2,MONTH(BQ129),DAY(BQ129)-1)</f>
        <v>46261</v>
      </c>
      <c r="BS129" s="8">
        <f t="shared" ca="1" si="261"/>
        <v>116</v>
      </c>
      <c r="BT129" s="5" t="str">
        <f t="shared" ca="1" si="262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3"/>
        <v>195</v>
      </c>
      <c r="BY129" s="5" t="str">
        <f t="shared" ca="1" si="264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5"/>
        <v>130</v>
      </c>
      <c r="CD129" s="5" t="str">
        <f t="shared" ca="1" si="266"/>
        <v>VIGENTE</v>
      </c>
      <c r="CE129" s="6"/>
      <c r="CF129" s="4">
        <v>45282</v>
      </c>
      <c r="CG129" s="4">
        <f t="shared" si="416"/>
        <v>46743</v>
      </c>
      <c r="CH129" s="8">
        <f t="shared" ca="1" si="417"/>
        <v>598</v>
      </c>
      <c r="CI129" s="5" t="str">
        <f t="shared" ca="1" si="418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0"/>
        <v>88</v>
      </c>
      <c r="CN129" s="5" t="str">
        <f t="shared" ca="1" si="271"/>
        <v>POR VENCER</v>
      </c>
      <c r="CO129" s="3"/>
      <c r="CP129" s="39">
        <v>45544</v>
      </c>
      <c r="CQ129" s="4">
        <f>DATE(YEAR(CP129)+2,MONTH(CP129),DAY(CP129)-1)</f>
        <v>46273</v>
      </c>
      <c r="CR129" s="8">
        <f t="shared" ca="1" si="272"/>
        <v>128</v>
      </c>
      <c r="CS129" s="5" t="str">
        <f t="shared" ca="1" si="273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4"/>
        <v>229</v>
      </c>
      <c r="CX129" s="5" t="str">
        <f t="shared" ca="1" si="275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6"/>
        <v>245</v>
      </c>
      <c r="DC129" s="5" t="str">
        <f t="shared" ca="1" si="277"/>
        <v>VIGENTE</v>
      </c>
      <c r="DD129" s="3"/>
      <c r="DE129" s="39">
        <v>45689</v>
      </c>
      <c r="DF129" s="4">
        <f>DATE(YEAR(DE129)+2,MONTH(DE129),DAY(DE129)-1)</f>
        <v>46418</v>
      </c>
      <c r="DG129" s="8">
        <f t="shared" ca="1" si="278"/>
        <v>273</v>
      </c>
      <c r="DH129" s="5" t="str">
        <f t="shared" ca="1" si="279"/>
        <v>VIGENTE</v>
      </c>
      <c r="DI129" s="3"/>
      <c r="DJ129" s="39">
        <v>45562</v>
      </c>
      <c r="DK129" s="4">
        <f>DATE(YEAR(DJ129)+2,MONTH(DJ129),DAY(DJ129)-1)</f>
        <v>46291</v>
      </c>
      <c r="DL129" s="8">
        <f t="shared" ca="1" si="280"/>
        <v>146</v>
      </c>
      <c r="DM129" s="5" t="str">
        <f t="shared" ca="1" si="281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2"/>
        <v>117</v>
      </c>
      <c r="DR129" s="5" t="str">
        <f t="shared" ca="1" si="283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4"/>
        <v>203</v>
      </c>
      <c r="DW129" s="5" t="str">
        <f t="shared" ca="1" si="285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6"/>
        <v>293</v>
      </c>
      <c r="EB129" s="5" t="str">
        <f t="shared" ca="1" si="287"/>
        <v>VIGENTE</v>
      </c>
      <c r="EC129" s="3"/>
      <c r="ED129" s="39">
        <v>45674</v>
      </c>
      <c r="EE129" s="4">
        <f>DATE(YEAR(ED129)+2,MONTH(ED129),DAY(ED129)-1)</f>
        <v>46403</v>
      </c>
      <c r="EF129" s="8">
        <f t="shared" ca="1" si="288"/>
        <v>258</v>
      </c>
      <c r="EG129" s="5" t="str">
        <f t="shared" ca="1" si="289"/>
        <v>VIGENTE</v>
      </c>
      <c r="EH129" s="3"/>
      <c r="EI129" s="3">
        <v>46002</v>
      </c>
      <c r="EJ129" s="4">
        <f t="shared" si="355"/>
        <v>46367</v>
      </c>
      <c r="EK129" s="8">
        <f t="shared" ca="1" si="290"/>
        <v>222</v>
      </c>
      <c r="EL129" s="5" t="str">
        <f t="shared" ca="1" si="291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2"/>
        <v>244</v>
      </c>
      <c r="EQ129" s="5" t="str">
        <f t="shared" ca="1" si="293"/>
        <v>VIGENTE</v>
      </c>
      <c r="ER129" s="3"/>
      <c r="ES129" s="39">
        <v>45677</v>
      </c>
      <c r="ET129" s="4">
        <f>DATE(YEAR(ES129)+2,MONTH(ES129),DAY(ES129)-1)</f>
        <v>46406</v>
      </c>
      <c r="EU129" s="8">
        <f t="shared" ca="1" si="294"/>
        <v>261</v>
      </c>
      <c r="EV129" s="5" t="str">
        <f t="shared" ca="1" si="295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6"/>
        <v>194</v>
      </c>
      <c r="FA129" s="5" t="str">
        <f t="shared" ca="1" si="297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8"/>
        <v>250</v>
      </c>
      <c r="FF129" s="5" t="str">
        <f t="shared" ca="1" si="299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0"/>
        <v>252</v>
      </c>
      <c r="FK129" s="5" t="str">
        <f t="shared" ca="1" si="301"/>
        <v>VIGENTE</v>
      </c>
      <c r="FL129" s="3"/>
      <c r="FM129" s="39">
        <v>45545</v>
      </c>
      <c r="FN129" s="4">
        <f>DATE(YEAR(FM129)+2,MONTH(FM129),DAY(FM129)-1)</f>
        <v>46274</v>
      </c>
      <c r="FO129" s="8">
        <f t="shared" ca="1" si="302"/>
        <v>129</v>
      </c>
      <c r="FP129" s="5" t="str">
        <f t="shared" ca="1" si="303"/>
        <v>VIGENTE</v>
      </c>
      <c r="FQ129" s="3"/>
      <c r="FR129" s="39">
        <v>45543</v>
      </c>
      <c r="FS129" s="4">
        <f>DATE(YEAR(FR129)+2,MONTH(FR129),DAY(FR129)-1)</f>
        <v>46272</v>
      </c>
      <c r="FT129" s="8">
        <f t="shared" ca="1" si="304"/>
        <v>127</v>
      </c>
      <c r="FU129" s="5" t="str">
        <f t="shared" ca="1" si="305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6"/>
        <v>131</v>
      </c>
      <c r="FZ129" s="5" t="str">
        <f t="shared" ca="1" si="307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8"/>
        <v>144</v>
      </c>
      <c r="GE129" s="5" t="str">
        <f t="shared" ca="1" si="309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0"/>
        <v>154</v>
      </c>
      <c r="GJ129" s="5" t="str">
        <f t="shared" ca="1" si="311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2"/>
        <v>141</v>
      </c>
      <c r="GO129" s="5" t="str">
        <f t="shared" ca="1" si="313"/>
        <v>VIGENTE</v>
      </c>
      <c r="GP129" s="4"/>
      <c r="GQ129" s="4">
        <v>44912</v>
      </c>
      <c r="GR129" s="4">
        <f t="shared" si="314"/>
        <v>46738</v>
      </c>
      <c r="GS129" s="8">
        <f t="shared" ca="1" si="405"/>
        <v>593</v>
      </c>
      <c r="GT129" s="5" t="str">
        <f t="shared" ca="1" si="419"/>
        <v>VIGENTE</v>
      </c>
      <c r="GU129" s="3"/>
      <c r="GV129" s="4">
        <v>45099</v>
      </c>
      <c r="GW129" s="4">
        <f t="shared" si="316"/>
        <v>46926</v>
      </c>
      <c r="GX129" s="8">
        <f t="shared" ca="1" si="317"/>
        <v>781</v>
      </c>
      <c r="GY129" s="5" t="str">
        <f t="shared" ca="1" si="426"/>
        <v>VIGENTE</v>
      </c>
      <c r="GZ129" s="2"/>
      <c r="HA129" s="4">
        <v>44911</v>
      </c>
      <c r="HB129" s="4">
        <f t="shared" si="319"/>
        <v>46737</v>
      </c>
      <c r="HC129" s="8">
        <f t="shared" ca="1" si="320"/>
        <v>592</v>
      </c>
      <c r="HD129" s="5" t="str">
        <f t="shared" ca="1" si="421"/>
        <v>VIGENTE</v>
      </c>
      <c r="HE129" s="6"/>
      <c r="HF129" s="4">
        <v>45094</v>
      </c>
      <c r="HG129" s="4">
        <f t="shared" si="428"/>
        <v>46921</v>
      </c>
      <c r="HH129" s="8">
        <f t="shared" ca="1" si="429"/>
        <v>776</v>
      </c>
      <c r="HI129" s="5" t="str">
        <f t="shared" ca="1" si="427"/>
        <v>VIGENTE</v>
      </c>
      <c r="HJ129" s="2"/>
      <c r="HK129" s="6"/>
      <c r="HL129" s="4"/>
      <c r="HM129" s="8"/>
      <c r="HN129" s="5" t="str">
        <f t="shared" si="444"/>
        <v>NO APLICA</v>
      </c>
      <c r="HO129" s="2"/>
      <c r="HP129" s="2"/>
      <c r="HQ129" s="4"/>
      <c r="HR129" s="2"/>
      <c r="HS129" s="5" t="str">
        <f t="shared" si="322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3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4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5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6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7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8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9"/>
        <v>VIGENTE</v>
      </c>
      <c r="JC129" s="3" t="s">
        <v>780</v>
      </c>
      <c r="JD129" s="3"/>
      <c r="JE129" s="4"/>
      <c r="JF129" s="8"/>
      <c r="JG129" s="5"/>
      <c r="JH129" s="3" t="s">
        <v>780</v>
      </c>
      <c r="JI129" s="6"/>
      <c r="JJ129" s="6"/>
      <c r="JK129" s="6"/>
      <c r="JL129" s="5"/>
      <c r="JM129" s="6" t="s">
        <v>780</v>
      </c>
      <c r="JN129" s="6"/>
      <c r="JO129" s="6"/>
      <c r="JP129" s="6"/>
      <c r="JQ129" s="5"/>
      <c r="JR129" s="6" t="s">
        <v>780</v>
      </c>
      <c r="JS129" s="6"/>
      <c r="JT129" s="6"/>
      <c r="JU129" s="6"/>
      <c r="JV129" s="5"/>
      <c r="JW129" s="6" t="s">
        <v>780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30"/>
        <v>NO APLICA</v>
      </c>
      <c r="KG129" s="5"/>
      <c r="KH129" s="2"/>
      <c r="KI129" s="4"/>
      <c r="KJ129" s="8"/>
      <c r="KK129" s="5" t="str">
        <f t="shared" si="356"/>
        <v>NO APLICA</v>
      </c>
      <c r="KL129" s="5"/>
      <c r="KM129" s="2"/>
      <c r="KN129" s="4"/>
      <c r="KO129" s="8"/>
      <c r="KP129" s="5" t="str">
        <f t="shared" si="331"/>
        <v>NO APLICA</v>
      </c>
      <c r="KQ129" s="5"/>
      <c r="KR129" s="2"/>
      <c r="KS129" s="4"/>
      <c r="KT129" s="8"/>
      <c r="KU129" s="5" t="str">
        <f t="shared" si="357"/>
        <v>NO APLICA</v>
      </c>
      <c r="KV129" s="2"/>
      <c r="KW129" s="6"/>
      <c r="KX129" s="4"/>
      <c r="KY129" s="8"/>
      <c r="KZ129" s="5" t="str">
        <f t="shared" si="366"/>
        <v>NO APLICA</v>
      </c>
      <c r="LA129" s="5"/>
      <c r="LB129" s="6"/>
      <c r="LC129" s="4"/>
      <c r="LD129" s="8"/>
      <c r="LE129" s="5" t="str">
        <f t="shared" si="358"/>
        <v>NO APLICA</v>
      </c>
      <c r="LF129" s="6"/>
      <c r="LG129" s="6"/>
      <c r="LH129" s="4"/>
      <c r="LI129" s="8"/>
      <c r="LJ129" s="5" t="str">
        <f t="shared" si="332"/>
        <v>NO APLICA</v>
      </c>
      <c r="LK129" s="5"/>
      <c r="LL129" s="5"/>
      <c r="LM129" s="4"/>
      <c r="LN129" s="8"/>
      <c r="LO129" s="5" t="str">
        <f t="shared" si="367"/>
        <v>NO APLICA</v>
      </c>
      <c r="LP129" s="2"/>
      <c r="LQ129" s="6"/>
      <c r="LR129" s="4"/>
      <c r="LS129" s="8"/>
      <c r="LT129" s="5" t="str">
        <f t="shared" si="359"/>
        <v>NO APLICA</v>
      </c>
      <c r="LU129" s="6"/>
      <c r="LV129" s="6"/>
      <c r="LW129" s="4"/>
      <c r="LX129" s="8"/>
      <c r="LY129" s="5" t="str">
        <f t="shared" si="360"/>
        <v>NO APLICA</v>
      </c>
      <c r="LZ129" s="6"/>
      <c r="MA129" s="6"/>
      <c r="MB129" s="4"/>
      <c r="MC129" s="8"/>
      <c r="MD129" s="5" t="str">
        <f t="shared" si="361"/>
        <v>NO APLICA</v>
      </c>
      <c r="ME129" s="2"/>
      <c r="MF129" s="2"/>
      <c r="MG129" s="4"/>
      <c r="MH129" s="8"/>
      <c r="MI129" s="5" t="str">
        <f t="shared" si="333"/>
        <v>NO APLICA</v>
      </c>
      <c r="MJ129" s="2"/>
      <c r="MK129" s="2"/>
      <c r="ML129" s="4"/>
      <c r="MM129" s="8"/>
      <c r="MN129" s="5" t="str">
        <f t="shared" si="334"/>
        <v>NO APLICA</v>
      </c>
      <c r="MO129" s="5"/>
      <c r="MP129" s="2"/>
      <c r="MQ129" s="4"/>
      <c r="MR129" s="8"/>
      <c r="MS129" s="5" t="str">
        <f t="shared" si="335"/>
        <v>NO APLICA</v>
      </c>
      <c r="MT129" s="5"/>
      <c r="MU129" s="2"/>
      <c r="MV129" s="4"/>
      <c r="MW129" s="2"/>
      <c r="MX129" s="5" t="str">
        <f t="shared" si="336"/>
        <v>NO APLICA</v>
      </c>
      <c r="MY129" s="2"/>
      <c r="MZ129" s="6"/>
      <c r="NA129" s="4"/>
      <c r="NB129" s="8"/>
      <c r="NC129" s="5" t="str">
        <f t="shared" si="337"/>
        <v>NO APLICA</v>
      </c>
      <c r="ND129" s="2"/>
      <c r="NE129" s="6"/>
      <c r="NF129" s="4"/>
      <c r="NG129" s="8"/>
      <c r="NH129" s="5" t="str">
        <f t="shared" si="338"/>
        <v>NO APLICA</v>
      </c>
      <c r="NI129" s="2"/>
      <c r="NJ129" s="6"/>
      <c r="NK129" s="4"/>
      <c r="NL129" s="8"/>
      <c r="NM129" s="5" t="str">
        <f t="shared" si="339"/>
        <v>NO APLICA</v>
      </c>
      <c r="NN129" s="2"/>
      <c r="NO129" s="2"/>
      <c r="NP129" s="4"/>
      <c r="NQ129" s="8"/>
      <c r="NR129" s="5" t="str">
        <f t="shared" si="340"/>
        <v>NO APLICA</v>
      </c>
      <c r="NS129" s="2"/>
      <c r="NT129" s="2"/>
      <c r="NU129" s="4"/>
      <c r="NV129" s="2"/>
      <c r="NW129" s="5" t="str">
        <f t="shared" si="341"/>
        <v>NO APLICA</v>
      </c>
      <c r="NX129" s="6"/>
      <c r="NY129" s="6"/>
      <c r="NZ129" s="4"/>
      <c r="OA129" s="8"/>
      <c r="OB129" s="5" t="str">
        <f t="shared" si="342"/>
        <v>NO APLICA</v>
      </c>
      <c r="OC129" s="6"/>
      <c r="OD129" s="6"/>
      <c r="OE129" s="6"/>
      <c r="OF129" s="6"/>
      <c r="OG129" s="5" t="str">
        <f t="shared" si="343"/>
        <v>NO APLICA</v>
      </c>
      <c r="OH129" s="2"/>
      <c r="OI129" s="2"/>
      <c r="OJ129" s="4"/>
      <c r="OK129" s="8"/>
      <c r="OL129" s="5" t="str">
        <f t="shared" si="344"/>
        <v>NO APLICA</v>
      </c>
      <c r="OM129" s="6"/>
      <c r="ON129" s="6"/>
      <c r="OO129" s="6"/>
      <c r="OP129" s="6"/>
      <c r="OQ129" s="5" t="str">
        <f t="shared" si="345"/>
        <v>NO APLICA</v>
      </c>
      <c r="OR129" s="6"/>
      <c r="OS129" s="6"/>
      <c r="OT129" s="6"/>
      <c r="OU129" s="6"/>
      <c r="OV129" s="5" t="str">
        <f t="shared" si="346"/>
        <v>NO APLICA</v>
      </c>
      <c r="OW129" s="6"/>
      <c r="OX129" s="6"/>
      <c r="OY129" s="6"/>
      <c r="OZ129" s="6"/>
      <c r="PA129" s="5" t="str">
        <f t="shared" si="347"/>
        <v>NO APLICA</v>
      </c>
      <c r="PB129" s="6"/>
      <c r="PC129" s="6"/>
      <c r="PD129" s="6"/>
      <c r="PE129" s="6"/>
      <c r="PF129" s="5" t="str">
        <f t="shared" si="348"/>
        <v>NO APLICA</v>
      </c>
      <c r="PG129" s="6"/>
      <c r="PH129" s="6"/>
      <c r="PI129" s="6"/>
      <c r="PJ129" s="6"/>
      <c r="PK129" s="5" t="str">
        <f t="shared" si="349"/>
        <v>NO APLICA</v>
      </c>
      <c r="PL129" s="5"/>
      <c r="PM129" s="6"/>
      <c r="PN129" s="4"/>
      <c r="PO129" s="8"/>
      <c r="PP129" s="5" t="str">
        <f t="shared" si="350"/>
        <v>NO APLICA</v>
      </c>
      <c r="PQ129" s="6"/>
      <c r="PR129" s="6"/>
      <c r="PS129" s="6"/>
      <c r="PT129" s="6"/>
      <c r="PU129" s="5" t="str">
        <f t="shared" si="351"/>
        <v>NO APLICA</v>
      </c>
      <c r="PV129" s="5"/>
      <c r="PW129" s="6"/>
      <c r="PX129" s="6"/>
      <c r="PY129" s="6"/>
      <c r="PZ129" s="5" t="str">
        <f t="shared" si="352"/>
        <v>NO APLICA</v>
      </c>
    </row>
    <row r="130" spans="1:442" ht="15.6" hidden="1" thickTop="1" thickBot="1" x14ac:dyDescent="0.35">
      <c r="A130" s="26">
        <v>127</v>
      </c>
      <c r="B130" s="31">
        <v>1218</v>
      </c>
      <c r="C130" s="28" t="s">
        <v>430</v>
      </c>
      <c r="D130" s="29" t="s">
        <v>68</v>
      </c>
      <c r="E130" s="30" t="s">
        <v>73</v>
      </c>
      <c r="F130" s="5"/>
      <c r="G130" s="6"/>
      <c r="H130" s="4"/>
      <c r="I130" s="8"/>
      <c r="J130" s="5" t="str">
        <f t="shared" si="242"/>
        <v>NO APLICA</v>
      </c>
      <c r="K130" s="5"/>
      <c r="L130" s="6"/>
      <c r="M130" s="6"/>
      <c r="N130" s="8"/>
      <c r="O130" s="5" t="str">
        <f t="shared" si="243"/>
        <v>NO APLICA</v>
      </c>
      <c r="P130" s="6"/>
      <c r="Q130" s="6"/>
      <c r="R130" s="4"/>
      <c r="S130" s="8"/>
      <c r="T130" s="5" t="str">
        <f t="shared" si="353"/>
        <v>NO APLICA</v>
      </c>
      <c r="U130" s="5"/>
      <c r="V130" s="2" t="s">
        <v>431</v>
      </c>
      <c r="W130" s="4">
        <v>45041</v>
      </c>
      <c r="X130" s="4">
        <f t="shared" si="410"/>
        <v>46868</v>
      </c>
      <c r="Y130" s="8">
        <f t="shared" ca="1" si="411"/>
        <v>723</v>
      </c>
      <c r="Z130" s="5" t="str">
        <f t="shared" ca="1" si="412"/>
        <v>VIGENTE</v>
      </c>
      <c r="AA130" s="5"/>
      <c r="AB130" s="2" t="s">
        <v>432</v>
      </c>
      <c r="AC130" s="4">
        <v>45152</v>
      </c>
      <c r="AD130" s="4">
        <f t="shared" si="430"/>
        <v>46979</v>
      </c>
      <c r="AE130" s="8">
        <f t="shared" ca="1" si="431"/>
        <v>834</v>
      </c>
      <c r="AF130" s="5" t="str">
        <f t="shared" ca="1" si="247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8"/>
        <v>264</v>
      </c>
      <c r="AK130" s="5" t="str">
        <f t="shared" ca="1" si="408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9"/>
        <v>294</v>
      </c>
      <c r="AP130" s="5" t="str">
        <f t="shared" ca="1" si="250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1"/>
        <v>287</v>
      </c>
      <c r="AU130" s="5" t="str">
        <f t="shared" ca="1" si="252"/>
        <v>VIGENTE</v>
      </c>
      <c r="AV130" s="3"/>
      <c r="AW130" s="4">
        <v>45765</v>
      </c>
      <c r="AX130" s="4">
        <f t="shared" ref="AX130:AX137" si="445">DATE(YEAR(AW130)+2,MONTH(AW130),DAY(AW130))</f>
        <v>46495</v>
      </c>
      <c r="AY130" s="8">
        <f t="shared" ca="1" si="253"/>
        <v>350</v>
      </c>
      <c r="AZ130" s="5" t="str">
        <f t="shared" ca="1" si="254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5"/>
        <v>292</v>
      </c>
      <c r="BE130" s="5" t="str">
        <f t="shared" ca="1" si="256"/>
        <v>VIGENTE</v>
      </c>
      <c r="BF130" s="3"/>
      <c r="BG130" s="4">
        <v>45762</v>
      </c>
      <c r="BH130" s="4">
        <f t="shared" ref="BH130:BH135" si="446">DATE(YEAR(BG130)+2,MONTH(BG130),DAY(BG130))</f>
        <v>46492</v>
      </c>
      <c r="BI130" s="8">
        <f t="shared" ca="1" si="257"/>
        <v>347</v>
      </c>
      <c r="BJ130" s="5" t="str">
        <f t="shared" ca="1" si="258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9"/>
        <v>283</v>
      </c>
      <c r="BO130" s="5" t="str">
        <f t="shared" ca="1" si="260"/>
        <v>VIGENTE</v>
      </c>
      <c r="BP130" s="3"/>
      <c r="BQ130" s="39">
        <v>45701</v>
      </c>
      <c r="BR130" s="4">
        <f>DATE(YEAR(BQ130)+2,MONTH(BQ130),DAY(BQ130)-1)</f>
        <v>46430</v>
      </c>
      <c r="BS130" s="8">
        <f t="shared" ca="1" si="261"/>
        <v>285</v>
      </c>
      <c r="BT130" s="5" t="str">
        <f t="shared" ca="1" si="262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3"/>
        <v>279</v>
      </c>
      <c r="BY130" s="5" t="str">
        <f t="shared" ca="1" si="264"/>
        <v>VIGENTE</v>
      </c>
      <c r="BZ130" s="2"/>
      <c r="CA130" s="4">
        <v>45770</v>
      </c>
      <c r="CB130" s="4">
        <f t="shared" ref="CB130:CB137" si="447">DATE(YEAR(CA130)+2,MONTH(CA130),DAY(CA130))</f>
        <v>46500</v>
      </c>
      <c r="CC130" s="8">
        <f t="shared" ca="1" si="265"/>
        <v>355</v>
      </c>
      <c r="CD130" s="5" t="str">
        <f t="shared" ca="1" si="266"/>
        <v>VIGENTE</v>
      </c>
      <c r="CE130" s="6"/>
      <c r="CF130" s="4">
        <v>45247</v>
      </c>
      <c r="CG130" s="4">
        <f t="shared" si="416"/>
        <v>46708</v>
      </c>
      <c r="CH130" s="8">
        <f t="shared" ca="1" si="417"/>
        <v>563</v>
      </c>
      <c r="CI130" s="5" t="str">
        <f t="shared" ca="1" si="418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0"/>
        <v>348</v>
      </c>
      <c r="CN130" s="5" t="str">
        <f t="shared" ca="1" si="271"/>
        <v>VIGENTE</v>
      </c>
      <c r="CO130" s="3"/>
      <c r="CP130" s="39">
        <v>45684</v>
      </c>
      <c r="CQ130" s="4">
        <f>DATE(YEAR(CP130)+2,MONTH(CP130),DAY(CP130)-1)</f>
        <v>46413</v>
      </c>
      <c r="CR130" s="8">
        <f t="shared" ca="1" si="272"/>
        <v>268</v>
      </c>
      <c r="CS130" s="5" t="str">
        <f t="shared" ca="1" si="273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4"/>
        <v>390</v>
      </c>
      <c r="CX130" s="5" t="str">
        <f t="shared" ca="1" si="275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6"/>
        <v>265</v>
      </c>
      <c r="DC130" s="5" t="str">
        <f t="shared" ca="1" si="277"/>
        <v>VIGENTE</v>
      </c>
      <c r="DD130" s="3"/>
      <c r="DE130" s="39">
        <v>45761</v>
      </c>
      <c r="DF130" s="4">
        <f>DATE(YEAR(DE130)+2,MONTH(DE130),DAY(DE130))</f>
        <v>46491</v>
      </c>
      <c r="DG130" s="8">
        <f t="shared" ca="1" si="278"/>
        <v>346</v>
      </c>
      <c r="DH130" s="5" t="str">
        <f t="shared" ca="1" si="279"/>
        <v>VIGENTE</v>
      </c>
      <c r="DI130" s="3"/>
      <c r="DJ130" s="39">
        <v>45696</v>
      </c>
      <c r="DK130" s="4">
        <f>DATE(YEAR(DJ130)+2,MONTH(DJ130),DAY(DJ130)-1)</f>
        <v>46425</v>
      </c>
      <c r="DL130" s="8">
        <f t="shared" ca="1" si="280"/>
        <v>280</v>
      </c>
      <c r="DM130" s="5" t="str">
        <f t="shared" ca="1" si="281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2"/>
        <v>315</v>
      </c>
      <c r="DR130" s="5" t="str">
        <f t="shared" ca="1" si="283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4"/>
        <v>269</v>
      </c>
      <c r="DW130" s="5" t="str">
        <f t="shared" ca="1" si="285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6"/>
        <v>389</v>
      </c>
      <c r="EB130" s="5" t="str">
        <f t="shared" ca="1" si="287"/>
        <v>VIGENTE</v>
      </c>
      <c r="EC130" s="3"/>
      <c r="ED130" s="39">
        <v>45674</v>
      </c>
      <c r="EE130" s="4">
        <f>DATE(YEAR(ED130)+2,MONTH(ED130),DAY(ED130)-1)</f>
        <v>46403</v>
      </c>
      <c r="EF130" s="8">
        <f t="shared" ca="1" si="288"/>
        <v>258</v>
      </c>
      <c r="EG130" s="5" t="str">
        <f t="shared" ca="1" si="289"/>
        <v>VIGENTE</v>
      </c>
      <c r="EH130" s="3"/>
      <c r="EI130" s="4">
        <v>46115</v>
      </c>
      <c r="EJ130" s="4">
        <f t="shared" si="355"/>
        <v>46480</v>
      </c>
      <c r="EK130" s="8">
        <f t="shared" ca="1" si="290"/>
        <v>335</v>
      </c>
      <c r="EL130" s="5" t="str">
        <f t="shared" ca="1" si="291"/>
        <v>VIGENTE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2"/>
        <v>244</v>
      </c>
      <c r="EQ130" s="5" t="str">
        <f t="shared" ca="1" si="293"/>
        <v>VIGENTE</v>
      </c>
      <c r="ER130" s="3"/>
      <c r="ES130" s="39">
        <v>45677</v>
      </c>
      <c r="ET130" s="4">
        <f>DATE(YEAR(ES130)+2,MONTH(ES130),DAY(ES130)-1)</f>
        <v>46406</v>
      </c>
      <c r="EU130" s="8">
        <f t="shared" ca="1" si="294"/>
        <v>261</v>
      </c>
      <c r="EV130" s="5" t="str">
        <f t="shared" ca="1" si="295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6"/>
        <v>303</v>
      </c>
      <c r="FA130" s="5" t="str">
        <f t="shared" ca="1" si="297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8"/>
        <v>313</v>
      </c>
      <c r="FF130" s="5" t="str">
        <f t="shared" ca="1" si="299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0"/>
        <v>252</v>
      </c>
      <c r="FK130" s="5" t="str">
        <f t="shared" ca="1" si="301"/>
        <v>VIGENTE</v>
      </c>
      <c r="FL130" s="3"/>
      <c r="FM130" s="39">
        <v>45686</v>
      </c>
      <c r="FN130" s="4">
        <f>DATE(YEAR(FM130)+2,MONTH(FM130),DAY(FM130)-1)</f>
        <v>46415</v>
      </c>
      <c r="FO130" s="8">
        <f t="shared" ca="1" si="302"/>
        <v>270</v>
      </c>
      <c r="FP130" s="5" t="str">
        <f t="shared" ca="1" si="303"/>
        <v>VIGENTE</v>
      </c>
      <c r="FQ130" s="3"/>
      <c r="FR130" s="39">
        <v>45678</v>
      </c>
      <c r="FS130" s="4">
        <f>DATE(YEAR(FR130)+2,MONTH(FR130),DAY(FR130)-1)</f>
        <v>46407</v>
      </c>
      <c r="FT130" s="8">
        <f t="shared" ca="1" si="304"/>
        <v>262</v>
      </c>
      <c r="FU130" s="5" t="str">
        <f t="shared" ca="1" si="305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6"/>
        <v>284</v>
      </c>
      <c r="FZ130" s="5" t="str">
        <f t="shared" ca="1" si="307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8"/>
        <v>251</v>
      </c>
      <c r="GE130" s="5" t="str">
        <f t="shared" ca="1" si="309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0"/>
        <v>336</v>
      </c>
      <c r="GJ130" s="5" t="str">
        <f t="shared" ca="1" si="311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2"/>
        <v>271</v>
      </c>
      <c r="GO130" s="5" t="str">
        <f t="shared" ca="1" si="313"/>
        <v>VIGENTE</v>
      </c>
      <c r="GP130" s="4"/>
      <c r="GQ130" s="4">
        <v>45048</v>
      </c>
      <c r="GR130" s="4">
        <f t="shared" si="314"/>
        <v>46875</v>
      </c>
      <c r="GS130" s="8">
        <f t="shared" ca="1" si="405"/>
        <v>730</v>
      </c>
      <c r="GT130" s="5" t="str">
        <f t="shared" ca="1" si="419"/>
        <v>VIGENTE</v>
      </c>
      <c r="GU130" s="3"/>
      <c r="GV130" s="4">
        <v>45029</v>
      </c>
      <c r="GW130" s="4">
        <f t="shared" si="316"/>
        <v>46856</v>
      </c>
      <c r="GX130" s="8">
        <f t="shared" ca="1" si="317"/>
        <v>711</v>
      </c>
      <c r="GY130" s="5" t="str">
        <f t="shared" ca="1" si="426"/>
        <v>VIGENTE</v>
      </c>
      <c r="GZ130" s="2"/>
      <c r="HA130" s="4">
        <v>45127</v>
      </c>
      <c r="HB130" s="4">
        <f t="shared" si="319"/>
        <v>46954</v>
      </c>
      <c r="HC130" s="8">
        <f t="shared" ca="1" si="320"/>
        <v>809</v>
      </c>
      <c r="HD130" s="5" t="str">
        <f t="shared" ca="1" si="421"/>
        <v>VIGENTE</v>
      </c>
      <c r="HE130" s="6"/>
      <c r="HF130" s="4">
        <v>45150</v>
      </c>
      <c r="HG130" s="4">
        <f t="shared" si="428"/>
        <v>46977</v>
      </c>
      <c r="HH130" s="8">
        <f t="shared" ca="1" si="429"/>
        <v>832</v>
      </c>
      <c r="HI130" s="5" t="str">
        <f t="shared" ca="1" si="427"/>
        <v>VIGENTE</v>
      </c>
      <c r="HJ130" s="2"/>
      <c r="HK130" s="6"/>
      <c r="HL130" s="4"/>
      <c r="HM130" s="8"/>
      <c r="HN130" s="5" t="str">
        <f t="shared" si="444"/>
        <v>NO APLICA</v>
      </c>
      <c r="HO130" s="2"/>
      <c r="HP130" s="2"/>
      <c r="HQ130" s="4"/>
      <c r="HR130" s="2"/>
      <c r="HS130" s="5" t="str">
        <f t="shared" si="322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3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4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5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6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7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8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9"/>
        <v>VIGENTE</v>
      </c>
      <c r="JC130" s="3" t="s">
        <v>780</v>
      </c>
      <c r="JD130" s="3"/>
      <c r="JE130" s="4"/>
      <c r="JF130" s="8"/>
      <c r="JG130" s="5"/>
      <c r="JH130" s="3" t="s">
        <v>780</v>
      </c>
      <c r="JI130" s="6"/>
      <c r="JJ130" s="6"/>
      <c r="JK130" s="6"/>
      <c r="JL130" s="5"/>
      <c r="JM130" s="6" t="s">
        <v>780</v>
      </c>
      <c r="JN130" s="6"/>
      <c r="JO130" s="6"/>
      <c r="JP130" s="6"/>
      <c r="JQ130" s="5"/>
      <c r="JR130" s="6" t="s">
        <v>780</v>
      </c>
      <c r="JS130" s="6"/>
      <c r="JT130" s="6"/>
      <c r="JU130" s="6"/>
      <c r="JV130" s="5"/>
      <c r="JW130" s="6" t="s">
        <v>780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30"/>
        <v>NO APLICA</v>
      </c>
      <c r="KG130" s="5"/>
      <c r="KH130" s="2"/>
      <c r="KI130" s="4"/>
      <c r="KJ130" s="8"/>
      <c r="KK130" s="5" t="str">
        <f t="shared" si="356"/>
        <v>NO APLICA</v>
      </c>
      <c r="KL130" s="5"/>
      <c r="KM130" s="2"/>
      <c r="KN130" s="4"/>
      <c r="KO130" s="8"/>
      <c r="KP130" s="5" t="str">
        <f t="shared" si="331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7"/>
        <v>VIGENTE</v>
      </c>
      <c r="KV130" s="2"/>
      <c r="KW130" s="6"/>
      <c r="KX130" s="4"/>
      <c r="KY130" s="8"/>
      <c r="KZ130" s="5" t="str">
        <f t="shared" si="366"/>
        <v>NO APLICA</v>
      </c>
      <c r="LA130" s="5"/>
      <c r="LB130" s="6"/>
      <c r="LC130" s="4"/>
      <c r="LD130" s="8"/>
      <c r="LE130" s="5" t="str">
        <f t="shared" si="358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2"/>
        <v>VIGENTE</v>
      </c>
      <c r="LK130" s="5"/>
      <c r="LL130" s="5"/>
      <c r="LM130" s="5"/>
      <c r="LN130" s="5"/>
      <c r="LO130" s="5" t="str">
        <f t="shared" si="367"/>
        <v>NO APLICA</v>
      </c>
      <c r="LP130" s="2"/>
      <c r="LQ130" s="6"/>
      <c r="LR130" s="4"/>
      <c r="LS130" s="8"/>
      <c r="LT130" s="5" t="str">
        <f t="shared" si="359"/>
        <v>NO APLICA</v>
      </c>
      <c r="LU130" s="6"/>
      <c r="LV130" s="6"/>
      <c r="LW130" s="4"/>
      <c r="LX130" s="8"/>
      <c r="LY130" s="5" t="str">
        <f t="shared" si="360"/>
        <v>NO APLICA</v>
      </c>
      <c r="LZ130" s="6"/>
      <c r="MA130" s="6"/>
      <c r="MB130" s="4"/>
      <c r="MC130" s="8"/>
      <c r="MD130" s="5" t="str">
        <f t="shared" si="361"/>
        <v>NO APLICA</v>
      </c>
      <c r="ME130" s="2"/>
      <c r="MF130" s="2"/>
      <c r="MG130" s="4"/>
      <c r="MH130" s="8"/>
      <c r="MI130" s="5" t="str">
        <f t="shared" si="333"/>
        <v>NO APLICA</v>
      </c>
      <c r="MJ130" s="2"/>
      <c r="MK130" s="2"/>
      <c r="ML130" s="4"/>
      <c r="MM130" s="8"/>
      <c r="MN130" s="5" t="str">
        <f t="shared" si="334"/>
        <v>NO APLICA</v>
      </c>
      <c r="MO130" s="5"/>
      <c r="MP130" s="2"/>
      <c r="MQ130" s="4"/>
      <c r="MR130" s="8"/>
      <c r="MS130" s="5" t="str">
        <f t="shared" si="335"/>
        <v>NO APLICA</v>
      </c>
      <c r="MT130" s="5"/>
      <c r="MU130" s="2"/>
      <c r="MV130" s="4"/>
      <c r="MW130" s="2"/>
      <c r="MX130" s="5" t="str">
        <f t="shared" si="336"/>
        <v>NO APLICA</v>
      </c>
      <c r="MY130" s="2"/>
      <c r="MZ130" s="6"/>
      <c r="NA130" s="4"/>
      <c r="NB130" s="8"/>
      <c r="NC130" s="5" t="str">
        <f t="shared" si="337"/>
        <v>NO APLICA</v>
      </c>
      <c r="ND130" s="2"/>
      <c r="NE130" s="6"/>
      <c r="NF130" s="4"/>
      <c r="NG130" s="8"/>
      <c r="NH130" s="5" t="str">
        <f t="shared" si="338"/>
        <v>NO APLICA</v>
      </c>
      <c r="NI130" s="2"/>
      <c r="NJ130" s="6"/>
      <c r="NK130" s="4"/>
      <c r="NL130" s="8"/>
      <c r="NM130" s="5" t="str">
        <f t="shared" si="339"/>
        <v>NO APLICA</v>
      </c>
      <c r="NN130" s="2"/>
      <c r="NO130" s="2"/>
      <c r="NP130" s="4"/>
      <c r="NQ130" s="2"/>
      <c r="NR130" s="5" t="str">
        <f t="shared" si="340"/>
        <v>NO APLICA</v>
      </c>
      <c r="NS130" s="2"/>
      <c r="NT130" s="2"/>
      <c r="NU130" s="4"/>
      <c r="NV130" s="2"/>
      <c r="NW130" s="5" t="str">
        <f t="shared" si="341"/>
        <v>NO APLICA</v>
      </c>
      <c r="NX130" s="6"/>
      <c r="NY130" s="6"/>
      <c r="NZ130" s="4"/>
      <c r="OA130" s="8"/>
      <c r="OB130" s="5" t="str">
        <f t="shared" si="342"/>
        <v>NO APLICA</v>
      </c>
      <c r="OC130" s="6"/>
      <c r="OD130" s="6"/>
      <c r="OE130" s="6"/>
      <c r="OF130" s="6"/>
      <c r="OG130" s="5" t="str">
        <f t="shared" si="343"/>
        <v>NO APLICA</v>
      </c>
      <c r="OH130" s="6"/>
      <c r="OI130" s="6"/>
      <c r="OJ130" s="4"/>
      <c r="OK130" s="8"/>
      <c r="OL130" s="5" t="str">
        <f t="shared" si="344"/>
        <v>NO APLICA</v>
      </c>
      <c r="OM130" s="6"/>
      <c r="ON130" s="6"/>
      <c r="OO130" s="6"/>
      <c r="OP130" s="6"/>
      <c r="OQ130" s="5" t="str">
        <f t="shared" si="345"/>
        <v>NO APLICA</v>
      </c>
      <c r="OR130" s="6"/>
      <c r="OS130" s="6"/>
      <c r="OT130" s="6"/>
      <c r="OU130" s="6"/>
      <c r="OV130" s="5" t="str">
        <f t="shared" si="346"/>
        <v>NO APLICA</v>
      </c>
      <c r="OW130" s="6"/>
      <c r="OX130" s="6"/>
      <c r="OY130" s="6"/>
      <c r="OZ130" s="6"/>
      <c r="PA130" s="5" t="str">
        <f t="shared" si="347"/>
        <v>NO APLICA</v>
      </c>
      <c r="PB130" s="6"/>
      <c r="PC130" s="6"/>
      <c r="PD130" s="6"/>
      <c r="PE130" s="6"/>
      <c r="PF130" s="5" t="str">
        <f t="shared" si="348"/>
        <v>NO APLICA</v>
      </c>
      <c r="PG130" s="6"/>
      <c r="PH130" s="6"/>
      <c r="PI130" s="6"/>
      <c r="PJ130" s="6"/>
      <c r="PK130" s="5" t="str">
        <f t="shared" si="349"/>
        <v>NO APLICA</v>
      </c>
      <c r="PL130" s="5"/>
      <c r="PM130" s="6"/>
      <c r="PN130" s="4"/>
      <c r="PO130" s="8"/>
      <c r="PP130" s="5" t="str">
        <f t="shared" si="350"/>
        <v>NO APLICA</v>
      </c>
      <c r="PQ130" s="6"/>
      <c r="PR130" s="6"/>
      <c r="PS130" s="6"/>
      <c r="PT130" s="6"/>
      <c r="PU130" s="5" t="str">
        <f t="shared" si="351"/>
        <v>NO APLICA</v>
      </c>
      <c r="PV130" s="5"/>
      <c r="PW130" s="6"/>
      <c r="PX130" s="6"/>
      <c r="PY130" s="6"/>
      <c r="PZ130" s="5" t="str">
        <f t="shared" si="352"/>
        <v>NO APLICA</v>
      </c>
    </row>
    <row r="131" spans="1:442" ht="15.6" hidden="1" thickTop="1" thickBot="1" x14ac:dyDescent="0.35">
      <c r="A131" s="26">
        <v>128</v>
      </c>
      <c r="B131" s="31">
        <v>1640</v>
      </c>
      <c r="C131" s="28" t="s">
        <v>433</v>
      </c>
      <c r="D131" s="29" t="s">
        <v>113</v>
      </c>
      <c r="E131" s="30" t="s">
        <v>174</v>
      </c>
      <c r="F131" s="2"/>
      <c r="G131" s="6"/>
      <c r="H131" s="4"/>
      <c r="I131" s="8"/>
      <c r="J131" s="5" t="str">
        <f t="shared" si="242"/>
        <v>NO APLICA</v>
      </c>
      <c r="K131" s="2"/>
      <c r="L131" s="6"/>
      <c r="M131" s="6"/>
      <c r="N131" s="8"/>
      <c r="O131" s="5" t="str">
        <f t="shared" si="243"/>
        <v>NO APLICA</v>
      </c>
      <c r="P131" s="6"/>
      <c r="Q131" s="6"/>
      <c r="R131" s="4"/>
      <c r="S131" s="8"/>
      <c r="T131" s="5" t="str">
        <f t="shared" si="353"/>
        <v>NO APLICA</v>
      </c>
      <c r="U131" s="5"/>
      <c r="V131" s="2" t="s">
        <v>434</v>
      </c>
      <c r="W131" s="4">
        <v>44944</v>
      </c>
      <c r="X131" s="4">
        <f t="shared" si="410"/>
        <v>46770</v>
      </c>
      <c r="Y131" s="8">
        <f t="shared" ca="1" si="411"/>
        <v>625</v>
      </c>
      <c r="Z131" s="5" t="str">
        <f t="shared" ca="1" si="412"/>
        <v>VIGENTE</v>
      </c>
      <c r="AA131" s="5"/>
      <c r="AB131" s="2"/>
      <c r="AC131" s="6"/>
      <c r="AD131" s="4"/>
      <c r="AE131" s="8"/>
      <c r="AF131" s="5" t="str">
        <f t="shared" si="247"/>
        <v>NO APLICA</v>
      </c>
      <c r="AG131" s="3"/>
      <c r="AH131" s="4">
        <v>45902</v>
      </c>
      <c r="AI131" s="4">
        <f t="shared" ref="AI131:AI137" si="448">DATE(YEAR(AH131)+2,MONTH(AH131),DAY(AH131))</f>
        <v>46632</v>
      </c>
      <c r="AJ131" s="8">
        <f t="shared" ca="1" si="248"/>
        <v>487</v>
      </c>
      <c r="AK131" s="5" t="str">
        <f t="shared" ca="1" si="408"/>
        <v>VIGENTE</v>
      </c>
      <c r="AL131" s="2"/>
      <c r="AM131" s="4">
        <v>45937</v>
      </c>
      <c r="AN131" s="4">
        <f t="shared" ref="AN131:AN137" si="449">DATE(YEAR(AM131)+2,MONTH(AM131),DAY(AM131))</f>
        <v>46667</v>
      </c>
      <c r="AO131" s="8">
        <f t="shared" ca="1" si="249"/>
        <v>522</v>
      </c>
      <c r="AP131" s="5" t="str">
        <f t="shared" ca="1" si="250"/>
        <v>VIGENTE</v>
      </c>
      <c r="AQ131" s="2"/>
      <c r="AR131" s="4">
        <v>45904</v>
      </c>
      <c r="AS131" s="4">
        <f t="shared" ref="AS131:AS137" si="450">DATE(YEAR(AR131)+2,MONTH(AR131),DAY(AR131))</f>
        <v>46634</v>
      </c>
      <c r="AT131" s="8">
        <f t="shared" ca="1" si="251"/>
        <v>489</v>
      </c>
      <c r="AU131" s="5" t="str">
        <f t="shared" ca="1" si="252"/>
        <v>VIGENTE</v>
      </c>
      <c r="AV131" s="2"/>
      <c r="AW131" s="4">
        <v>45927</v>
      </c>
      <c r="AX131" s="4">
        <f t="shared" si="445"/>
        <v>46657</v>
      </c>
      <c r="AY131" s="8">
        <f t="shared" ca="1" si="253"/>
        <v>512</v>
      </c>
      <c r="AZ131" s="5" t="str">
        <f t="shared" ca="1" si="254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5"/>
        <v>528</v>
      </c>
      <c r="BE131" s="5" t="str">
        <f t="shared" ca="1" si="256"/>
        <v>VIGENTE</v>
      </c>
      <c r="BF131" s="3"/>
      <c r="BG131" s="4">
        <v>45968</v>
      </c>
      <c r="BH131" s="4">
        <f t="shared" si="446"/>
        <v>46698</v>
      </c>
      <c r="BI131" s="8">
        <f t="shared" ca="1" si="257"/>
        <v>553</v>
      </c>
      <c r="BJ131" s="5" t="str">
        <f t="shared" ca="1" si="258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9"/>
        <v>561</v>
      </c>
      <c r="BO131" s="5" t="str">
        <f t="shared" ca="1" si="260"/>
        <v>VIGENTE</v>
      </c>
      <c r="BP131" s="3"/>
      <c r="BQ131" s="39">
        <v>45981</v>
      </c>
      <c r="BR131" s="4">
        <f>DATE(YEAR(BQ131)+2,MONTH(BQ131),DAY(BQ131))</f>
        <v>46711</v>
      </c>
      <c r="BS131" s="8">
        <f t="shared" ca="1" si="261"/>
        <v>566</v>
      </c>
      <c r="BT131" s="5" t="str">
        <f t="shared" ca="1" si="262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3"/>
        <v>535</v>
      </c>
      <c r="BY131" s="5" t="str">
        <f t="shared" ca="1" si="264"/>
        <v>VIGENTE</v>
      </c>
      <c r="BZ131" s="2"/>
      <c r="CA131" s="4">
        <v>45944</v>
      </c>
      <c r="CB131" s="4">
        <f t="shared" si="447"/>
        <v>46674</v>
      </c>
      <c r="CC131" s="8">
        <f t="shared" ca="1" si="265"/>
        <v>529</v>
      </c>
      <c r="CD131" s="5" t="str">
        <f t="shared" ca="1" si="266"/>
        <v>VIGENTE</v>
      </c>
      <c r="CE131" s="6"/>
      <c r="CF131" s="4">
        <v>45828</v>
      </c>
      <c r="CG131" s="4">
        <f t="shared" si="416"/>
        <v>47289</v>
      </c>
      <c r="CH131" s="8">
        <f t="shared" ca="1" si="417"/>
        <v>1144</v>
      </c>
      <c r="CI131" s="5" t="str">
        <f t="shared" ca="1" si="418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0"/>
        <v>514</v>
      </c>
      <c r="CN131" s="5" t="str">
        <f t="shared" ca="1" si="271"/>
        <v>VIGENTE</v>
      </c>
      <c r="CO131" s="3"/>
      <c r="CP131" s="39">
        <v>45882</v>
      </c>
      <c r="CQ131" s="4">
        <f>DATE(YEAR(CP131)+2,MONTH(CP131),DAY(CP131))</f>
        <v>46612</v>
      </c>
      <c r="CR131" s="8">
        <f t="shared" ca="1" si="272"/>
        <v>467</v>
      </c>
      <c r="CS131" s="5" t="str">
        <f t="shared" ca="1" si="273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4"/>
        <v>490</v>
      </c>
      <c r="CX131" s="5" t="str">
        <f t="shared" ca="1" si="275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6"/>
        <v>509</v>
      </c>
      <c r="DC131" s="5" t="str">
        <f t="shared" ca="1" si="277"/>
        <v>VIGENTE</v>
      </c>
      <c r="DD131" s="3"/>
      <c r="DE131" s="39">
        <v>45986</v>
      </c>
      <c r="DF131" s="4">
        <f>DATE(YEAR(DE131)+2,MONTH(DE131),DAY(DE131))</f>
        <v>46716</v>
      </c>
      <c r="DG131" s="8">
        <f t="shared" ca="1" si="278"/>
        <v>571</v>
      </c>
      <c r="DH131" s="5" t="str">
        <f t="shared" ca="1" si="279"/>
        <v>VIGENTE</v>
      </c>
      <c r="DI131" s="2"/>
      <c r="DJ131" s="39">
        <v>45975</v>
      </c>
      <c r="DK131" s="4">
        <f>DATE(YEAR(DJ131)+2,MONTH(DJ131),DAY(DJ131))</f>
        <v>46705</v>
      </c>
      <c r="DL131" s="8">
        <f t="shared" ca="1" si="280"/>
        <v>560</v>
      </c>
      <c r="DM131" s="5" t="str">
        <f t="shared" ca="1" si="281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2"/>
        <v>567</v>
      </c>
      <c r="DR131" s="5" t="str">
        <f t="shared" ca="1" si="283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4"/>
        <v>470</v>
      </c>
      <c r="DW131" s="5" t="str">
        <f t="shared" ca="1" si="285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6"/>
        <v>605</v>
      </c>
      <c r="EB131" s="5" t="str">
        <f t="shared" ca="1" si="287"/>
        <v>VIGENTE</v>
      </c>
      <c r="EC131" s="3"/>
      <c r="ED131" s="39">
        <v>45913</v>
      </c>
      <c r="EE131" s="4">
        <f>DATE(YEAR(ED131)+2,MONTH(ED131),DAY(ED131))</f>
        <v>46643</v>
      </c>
      <c r="EF131" s="8">
        <f t="shared" ca="1" si="288"/>
        <v>498</v>
      </c>
      <c r="EG131" s="5" t="str">
        <f t="shared" ca="1" si="289"/>
        <v>VIGENTE</v>
      </c>
      <c r="EH131" s="3"/>
      <c r="EI131" s="3">
        <v>46002</v>
      </c>
      <c r="EJ131" s="4">
        <f t="shared" si="355"/>
        <v>46367</v>
      </c>
      <c r="EK131" s="8">
        <f t="shared" ca="1" si="290"/>
        <v>222</v>
      </c>
      <c r="EL131" s="5" t="str">
        <f t="shared" ca="1" si="291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2"/>
        <v>525</v>
      </c>
      <c r="EQ131" s="5" t="str">
        <f t="shared" ca="1" si="293"/>
        <v>VIGENTE</v>
      </c>
      <c r="ER131" s="2"/>
      <c r="ES131" s="39">
        <v>45922</v>
      </c>
      <c r="ET131" s="4">
        <f>DATE(YEAR(ES131)+2,MONTH(ES131),DAY(ES131))</f>
        <v>46652</v>
      </c>
      <c r="EU131" s="8">
        <f t="shared" ca="1" si="294"/>
        <v>507</v>
      </c>
      <c r="EV131" s="5" t="str">
        <f t="shared" ca="1" si="295"/>
        <v>VIGENTE</v>
      </c>
      <c r="EW131" s="2"/>
      <c r="EX131" s="4">
        <v>45917</v>
      </c>
      <c r="EY131" s="4">
        <f t="shared" ref="EY131:EY137" si="451">DATE(YEAR(EX131)+2,MONTH(EX131),DAY(EX131))</f>
        <v>46647</v>
      </c>
      <c r="EZ131" s="8">
        <f t="shared" ca="1" si="296"/>
        <v>502</v>
      </c>
      <c r="FA131" s="5" t="str">
        <f t="shared" ca="1" si="297"/>
        <v>VIGENTE</v>
      </c>
      <c r="FB131" s="2"/>
      <c r="FC131" s="4">
        <v>45931</v>
      </c>
      <c r="FD131" s="4">
        <f t="shared" ref="FD131:FD137" si="452">DATE(YEAR(FC131)+2,MONTH(FC131),DAY(FC131))</f>
        <v>46661</v>
      </c>
      <c r="FE131" s="8">
        <f t="shared" ca="1" si="298"/>
        <v>516</v>
      </c>
      <c r="FF131" s="5" t="str">
        <f t="shared" ca="1" si="299"/>
        <v>VIGENTE</v>
      </c>
      <c r="FG131" s="2"/>
      <c r="FH131" s="4">
        <v>45932</v>
      </c>
      <c r="FI131" s="4">
        <f t="shared" ref="FI131:FI137" si="453">DATE(YEAR(FH131)+2,MONTH(FH131),DAY(FH131))</f>
        <v>46662</v>
      </c>
      <c r="FJ131" s="8">
        <f t="shared" ca="1" si="300"/>
        <v>517</v>
      </c>
      <c r="FK131" s="5" t="str">
        <f t="shared" ca="1" si="301"/>
        <v>VIGENTE</v>
      </c>
      <c r="FL131" s="3"/>
      <c r="FM131" s="39">
        <v>45933</v>
      </c>
      <c r="FN131" s="4">
        <f>DATE(YEAR(FM131)+2,MONTH(FM131),DAY(FM131))</f>
        <v>46663</v>
      </c>
      <c r="FO131" s="8">
        <f t="shared" ca="1" si="302"/>
        <v>518</v>
      </c>
      <c r="FP131" s="5" t="str">
        <f t="shared" ca="1" si="303"/>
        <v>VIGENTE</v>
      </c>
      <c r="FQ131" s="3"/>
      <c r="FR131" s="39">
        <v>45957</v>
      </c>
      <c r="FS131" s="4">
        <f>DATE(YEAR(FR131)+2,MONTH(FR131),DAY(FR131))</f>
        <v>46687</v>
      </c>
      <c r="FT131" s="8">
        <f t="shared" ca="1" si="304"/>
        <v>542</v>
      </c>
      <c r="FU131" s="5" t="str">
        <f t="shared" ca="1" si="305"/>
        <v>VIGENTE</v>
      </c>
      <c r="FV131" s="3"/>
      <c r="FW131" s="4">
        <v>45993</v>
      </c>
      <c r="FX131" s="4">
        <f t="shared" ref="FX131:FX137" si="454">DATE(YEAR(FW131)+2,MONTH(FW131),DAY(FW131))</f>
        <v>46723</v>
      </c>
      <c r="FY131" s="8">
        <f t="shared" ca="1" si="306"/>
        <v>578</v>
      </c>
      <c r="FZ131" s="5" t="str">
        <f t="shared" ca="1" si="307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8"/>
        <v>418</v>
      </c>
      <c r="GE131" s="5" t="str">
        <f t="shared" ca="1" si="309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0"/>
        <v>497</v>
      </c>
      <c r="GJ131" s="5" t="str">
        <f t="shared" ca="1" si="311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2"/>
        <v>530</v>
      </c>
      <c r="GO131" s="5" t="str">
        <f t="shared" ca="1" si="313"/>
        <v>VIGENTE</v>
      </c>
      <c r="GP131" s="4"/>
      <c r="GQ131" s="4">
        <v>45219</v>
      </c>
      <c r="GR131" s="4">
        <f t="shared" si="314"/>
        <v>47046</v>
      </c>
      <c r="GS131" s="8">
        <f t="shared" ca="1" si="405"/>
        <v>901</v>
      </c>
      <c r="GT131" s="5" t="str">
        <f t="shared" ca="1" si="419"/>
        <v>VIGENTE</v>
      </c>
      <c r="GU131" s="3"/>
      <c r="GV131" s="4">
        <v>45267</v>
      </c>
      <c r="GW131" s="4">
        <f t="shared" si="316"/>
        <v>47094</v>
      </c>
      <c r="GX131" s="8">
        <f t="shared" ca="1" si="317"/>
        <v>949</v>
      </c>
      <c r="GY131" s="5" t="str">
        <f t="shared" ca="1" si="426"/>
        <v>VIGENTE</v>
      </c>
      <c r="GZ131" s="2"/>
      <c r="HA131" s="4">
        <v>45268</v>
      </c>
      <c r="HB131" s="4">
        <f t="shared" si="319"/>
        <v>47095</v>
      </c>
      <c r="HC131" s="8">
        <f t="shared" ca="1" si="320"/>
        <v>950</v>
      </c>
      <c r="HD131" s="5" t="str">
        <f t="shared" ca="1" si="421"/>
        <v>VIGENTE</v>
      </c>
      <c r="HE131" s="6"/>
      <c r="HF131" s="6"/>
      <c r="HG131" s="4"/>
      <c r="HH131" s="8"/>
      <c r="HI131" s="5" t="str">
        <f t="shared" si="427"/>
        <v>NO APLICA</v>
      </c>
      <c r="HJ131" s="2"/>
      <c r="HK131" s="6"/>
      <c r="HL131" s="4"/>
      <c r="HM131" s="8"/>
      <c r="HN131" s="5" t="str">
        <f t="shared" si="444"/>
        <v>NO APLICA</v>
      </c>
      <c r="HO131" s="2"/>
      <c r="HP131" s="2"/>
      <c r="HQ131" s="4"/>
      <c r="HR131" s="2"/>
      <c r="HS131" s="5" t="str">
        <f t="shared" si="322"/>
        <v>NO APLICA</v>
      </c>
      <c r="HT131" s="2"/>
      <c r="HU131" s="6"/>
      <c r="HV131" s="4"/>
      <c r="HW131" s="8"/>
      <c r="HX131" s="5" t="str">
        <f t="shared" si="323"/>
        <v>NO APLICA</v>
      </c>
      <c r="HY131" s="2"/>
      <c r="HZ131" s="6"/>
      <c r="IA131" s="4"/>
      <c r="IB131" s="8"/>
      <c r="IC131" s="5" t="str">
        <f t="shared" si="324"/>
        <v>NO APLICA</v>
      </c>
      <c r="ID131" s="2"/>
      <c r="IE131" s="6"/>
      <c r="IF131" s="4"/>
      <c r="IG131" s="8"/>
      <c r="IH131" s="5" t="str">
        <f t="shared" si="325"/>
        <v>NO APLICA</v>
      </c>
      <c r="II131" s="6"/>
      <c r="IJ131" s="6"/>
      <c r="IK131" s="4"/>
      <c r="IL131" s="8"/>
      <c r="IM131" s="5" t="str">
        <f t="shared" si="326"/>
        <v>NO APLICA</v>
      </c>
      <c r="IN131" s="2"/>
      <c r="IO131" s="6"/>
      <c r="IP131" s="4"/>
      <c r="IQ131" s="8"/>
      <c r="IR131" s="5" t="str">
        <f t="shared" si="327"/>
        <v>NO APLICA</v>
      </c>
      <c r="IS131" s="2"/>
      <c r="IT131" s="6"/>
      <c r="IU131" s="4"/>
      <c r="IV131" s="8"/>
      <c r="IW131" s="5" t="str">
        <f t="shared" si="328"/>
        <v>NO APLICA</v>
      </c>
      <c r="IX131" s="2"/>
      <c r="IY131" s="6"/>
      <c r="IZ131" s="4"/>
      <c r="JA131" s="8"/>
      <c r="JB131" s="5" t="str">
        <f t="shared" si="329"/>
        <v>NO APLICA</v>
      </c>
      <c r="JC131" s="3" t="s">
        <v>780</v>
      </c>
      <c r="JD131" s="3"/>
      <c r="JE131" s="4"/>
      <c r="JF131" s="8"/>
      <c r="JG131" s="5"/>
      <c r="JH131" s="3" t="s">
        <v>780</v>
      </c>
      <c r="JI131" s="6"/>
      <c r="JJ131" s="6"/>
      <c r="JK131" s="6"/>
      <c r="JL131" s="5"/>
      <c r="JM131" s="6" t="s">
        <v>780</v>
      </c>
      <c r="JN131" s="6"/>
      <c r="JO131" s="6"/>
      <c r="JP131" s="6"/>
      <c r="JQ131" s="5"/>
      <c r="JR131" s="6" t="s">
        <v>780</v>
      </c>
      <c r="JS131" s="6"/>
      <c r="JT131" s="6"/>
      <c r="JU131" s="6"/>
      <c r="JV131" s="5"/>
      <c r="JW131" s="6" t="s">
        <v>780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30"/>
        <v>NO APLICA</v>
      </c>
      <c r="KG131" s="5"/>
      <c r="KH131" s="2"/>
      <c r="KI131" s="4"/>
      <c r="KJ131" s="8"/>
      <c r="KK131" s="5" t="str">
        <f t="shared" si="356"/>
        <v>NO APLICA</v>
      </c>
      <c r="KL131" s="5"/>
      <c r="KM131" s="2"/>
      <c r="KN131" s="4"/>
      <c r="KO131" s="8"/>
      <c r="KP131" s="5" t="str">
        <f t="shared" si="331"/>
        <v>NO APLICA</v>
      </c>
      <c r="KQ131" s="5"/>
      <c r="KR131" s="2"/>
      <c r="KS131" s="4"/>
      <c r="KT131" s="8"/>
      <c r="KU131" s="5" t="str">
        <f t="shared" si="357"/>
        <v>NO APLICA</v>
      </c>
      <c r="KV131" s="2"/>
      <c r="KW131" s="6"/>
      <c r="KX131" s="4"/>
      <c r="KY131" s="8"/>
      <c r="KZ131" s="5" t="str">
        <f t="shared" si="366"/>
        <v>NO APLICA</v>
      </c>
      <c r="LA131" s="5"/>
      <c r="LB131" s="6"/>
      <c r="LC131" s="4"/>
      <c r="LD131" s="8"/>
      <c r="LE131" s="5" t="str">
        <f t="shared" si="358"/>
        <v>NO APLICA</v>
      </c>
      <c r="LF131" s="6"/>
      <c r="LG131" s="6"/>
      <c r="LH131" s="4"/>
      <c r="LI131" s="8"/>
      <c r="LJ131" s="5" t="str">
        <f t="shared" si="332"/>
        <v>NO APLICA</v>
      </c>
      <c r="LK131" s="5"/>
      <c r="LL131" s="5"/>
      <c r="LM131" s="4"/>
      <c r="LN131" s="8"/>
      <c r="LO131" s="5" t="str">
        <f t="shared" si="367"/>
        <v>NO APLICA</v>
      </c>
      <c r="LP131" s="2"/>
      <c r="LQ131" s="6"/>
      <c r="LR131" s="4"/>
      <c r="LS131" s="8"/>
      <c r="LT131" s="5" t="str">
        <f t="shared" si="359"/>
        <v>NO APLICA</v>
      </c>
      <c r="LU131" s="6"/>
      <c r="LV131" s="6"/>
      <c r="LW131" s="4"/>
      <c r="LX131" s="8"/>
      <c r="LY131" s="5" t="str">
        <f t="shared" si="360"/>
        <v>NO APLICA</v>
      </c>
      <c r="LZ131" s="6"/>
      <c r="MA131" s="6"/>
      <c r="MB131" s="4"/>
      <c r="MC131" s="8"/>
      <c r="MD131" s="5" t="str">
        <f t="shared" si="361"/>
        <v>NO APLICA</v>
      </c>
      <c r="ME131" s="2"/>
      <c r="MF131" s="2"/>
      <c r="MG131" s="4"/>
      <c r="MH131" s="8"/>
      <c r="MI131" s="5" t="str">
        <f t="shared" si="333"/>
        <v>NO APLICA</v>
      </c>
      <c r="MJ131" s="2"/>
      <c r="MK131" s="2"/>
      <c r="ML131" s="4"/>
      <c r="MM131" s="8"/>
      <c r="MN131" s="5" t="str">
        <f t="shared" si="334"/>
        <v>NO APLICA</v>
      </c>
      <c r="MO131" s="5"/>
      <c r="MP131" s="2"/>
      <c r="MQ131" s="4"/>
      <c r="MR131" s="8"/>
      <c r="MS131" s="5" t="str">
        <f t="shared" si="335"/>
        <v>NO APLICA</v>
      </c>
      <c r="MT131" s="5"/>
      <c r="MU131" s="2"/>
      <c r="MV131" s="4"/>
      <c r="MW131" s="2"/>
      <c r="MX131" s="5" t="str">
        <f t="shared" si="336"/>
        <v>NO APLICA</v>
      </c>
      <c r="MY131" s="2"/>
      <c r="MZ131" s="6"/>
      <c r="NA131" s="4"/>
      <c r="NB131" s="8"/>
      <c r="NC131" s="5" t="str">
        <f t="shared" si="337"/>
        <v>NO APLICA</v>
      </c>
      <c r="ND131" s="2"/>
      <c r="NE131" s="6"/>
      <c r="NF131" s="4"/>
      <c r="NG131" s="8"/>
      <c r="NH131" s="5" t="str">
        <f t="shared" si="338"/>
        <v>NO APLICA</v>
      </c>
      <c r="NI131" s="2"/>
      <c r="NJ131" s="6"/>
      <c r="NK131" s="4"/>
      <c r="NL131" s="8"/>
      <c r="NM131" s="5" t="str">
        <f t="shared" si="339"/>
        <v>NO APLICA</v>
      </c>
      <c r="NN131" s="2"/>
      <c r="NO131" s="2"/>
      <c r="NP131" s="4"/>
      <c r="NQ131" s="8"/>
      <c r="NR131" s="5" t="str">
        <f t="shared" si="340"/>
        <v>NO APLICA</v>
      </c>
      <c r="NS131" s="2"/>
      <c r="NT131" s="2"/>
      <c r="NU131" s="4"/>
      <c r="NV131" s="2"/>
      <c r="NW131" s="5" t="str">
        <f t="shared" si="341"/>
        <v>NO APLICA</v>
      </c>
      <c r="NX131" s="6"/>
      <c r="NY131" s="6"/>
      <c r="NZ131" s="4"/>
      <c r="OA131" s="8"/>
      <c r="OB131" s="5" t="str">
        <f t="shared" si="342"/>
        <v>NO APLICA</v>
      </c>
      <c r="OC131" s="6"/>
      <c r="OD131" s="6"/>
      <c r="OE131" s="6"/>
      <c r="OF131" s="6"/>
      <c r="OG131" s="5" t="str">
        <f t="shared" si="343"/>
        <v>NO APLICA</v>
      </c>
      <c r="OH131" s="2"/>
      <c r="OI131" s="2"/>
      <c r="OJ131" s="4"/>
      <c r="OK131" s="8"/>
      <c r="OL131" s="5" t="str">
        <f t="shared" si="344"/>
        <v>NO APLICA</v>
      </c>
      <c r="OM131" s="6"/>
      <c r="ON131" s="6"/>
      <c r="OO131" s="6"/>
      <c r="OP131" s="6"/>
      <c r="OQ131" s="5" t="str">
        <f t="shared" si="345"/>
        <v>NO APLICA</v>
      </c>
      <c r="OR131" s="6"/>
      <c r="OS131" s="6"/>
      <c r="OT131" s="6"/>
      <c r="OU131" s="6"/>
      <c r="OV131" s="5" t="str">
        <f t="shared" si="346"/>
        <v>NO APLICA</v>
      </c>
      <c r="OW131" s="6"/>
      <c r="OX131" s="6"/>
      <c r="OY131" s="6"/>
      <c r="OZ131" s="6"/>
      <c r="PA131" s="5" t="str">
        <f t="shared" si="347"/>
        <v>NO APLICA</v>
      </c>
      <c r="PB131" s="6"/>
      <c r="PC131" s="6"/>
      <c r="PD131" s="6"/>
      <c r="PE131" s="6"/>
      <c r="PF131" s="5" t="str">
        <f t="shared" si="348"/>
        <v>NO APLICA</v>
      </c>
      <c r="PG131" s="6"/>
      <c r="PH131" s="6"/>
      <c r="PI131" s="6"/>
      <c r="PJ131" s="6"/>
      <c r="PK131" s="5" t="str">
        <f t="shared" si="349"/>
        <v>NO APLICA</v>
      </c>
      <c r="PL131" s="5"/>
      <c r="PM131" s="6"/>
      <c r="PN131" s="4"/>
      <c r="PO131" s="8"/>
      <c r="PP131" s="5" t="str">
        <f t="shared" si="350"/>
        <v>NO APLICA</v>
      </c>
      <c r="PQ131" s="6"/>
      <c r="PR131" s="6"/>
      <c r="PS131" s="6"/>
      <c r="PT131" s="6"/>
      <c r="PU131" s="5" t="str">
        <f t="shared" si="351"/>
        <v>NO APLICA</v>
      </c>
      <c r="PV131" s="5"/>
      <c r="PW131" s="6"/>
      <c r="PX131" s="6"/>
      <c r="PY131" s="6"/>
      <c r="PZ131" s="5" t="str">
        <f t="shared" si="352"/>
        <v>NO APLICA</v>
      </c>
    </row>
    <row r="132" spans="1:442" ht="15.6" hidden="1" thickTop="1" thickBot="1" x14ac:dyDescent="0.35">
      <c r="A132" s="26">
        <v>129</v>
      </c>
      <c r="B132" s="31">
        <v>1087</v>
      </c>
      <c r="C132" s="28" t="s">
        <v>435</v>
      </c>
      <c r="D132" s="29" t="s">
        <v>68</v>
      </c>
      <c r="E132" s="30" t="s">
        <v>73</v>
      </c>
      <c r="F132" s="6"/>
      <c r="G132" s="6"/>
      <c r="H132" s="6"/>
      <c r="I132" s="6"/>
      <c r="J132" s="5" t="str">
        <f t="shared" ref="J132:J189" si="455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6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3"/>
        <v>NO APLICA</v>
      </c>
      <c r="U132" s="5"/>
      <c r="V132" s="6" t="s">
        <v>436</v>
      </c>
      <c r="W132" s="4">
        <v>45107</v>
      </c>
      <c r="X132" s="4">
        <f t="shared" si="410"/>
        <v>46934</v>
      </c>
      <c r="Y132" s="8">
        <f t="shared" ca="1" si="411"/>
        <v>789</v>
      </c>
      <c r="Z132" s="5" t="str">
        <f t="shared" ca="1" si="412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7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8"/>
        <v>46632</v>
      </c>
      <c r="AJ132" s="8">
        <f t="shared" ref="AJ132:AJ191" ca="1" si="458">AI132-TODAY()</f>
        <v>487</v>
      </c>
      <c r="AK132" s="5" t="str">
        <f t="shared" ca="1" si="408"/>
        <v>VIGENTE</v>
      </c>
      <c r="AL132" s="6"/>
      <c r="AM132" s="4">
        <v>45937</v>
      </c>
      <c r="AN132" s="4">
        <f t="shared" si="449"/>
        <v>46667</v>
      </c>
      <c r="AO132" s="8">
        <f t="shared" ref="AO132:AO191" ca="1" si="459">AN132-TODAY()</f>
        <v>522</v>
      </c>
      <c r="AP132" s="5" t="str">
        <f t="shared" ref="AP132:AP195" ca="1" si="460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0"/>
        <v>46697</v>
      </c>
      <c r="AT132" s="8">
        <f t="shared" ref="AT132:AT191" ca="1" si="461">AS132-TODAY()</f>
        <v>552</v>
      </c>
      <c r="AU132" s="5" t="str">
        <f t="shared" ref="AU132:AU195" ca="1" si="462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5"/>
        <v>46495</v>
      </c>
      <c r="AY132" s="8">
        <f t="shared" ref="AY132:AY191" ca="1" si="463">AX132-TODAY()</f>
        <v>350</v>
      </c>
      <c r="AZ132" s="5" t="str">
        <f t="shared" ref="AZ132:AZ195" ca="1" si="464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5">BC132-TODAY()</f>
        <v>440</v>
      </c>
      <c r="BE132" s="5" t="str">
        <f t="shared" ref="BE132:BE195" ca="1" si="466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6"/>
        <v>46572</v>
      </c>
      <c r="BI132" s="8">
        <f t="shared" ref="BI132:BI191" ca="1" si="467">BH132-TODAY()</f>
        <v>427</v>
      </c>
      <c r="BJ132" s="5" t="str">
        <f t="shared" ref="BJ132:BJ195" ca="1" si="468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9">BM132-TODAY()</f>
        <v>561</v>
      </c>
      <c r="BO132" s="5" t="str">
        <f t="shared" ref="BO132:BO195" ca="1" si="470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1">BR132-TODAY()</f>
        <v>334</v>
      </c>
      <c r="BT132" s="5" t="str">
        <f t="shared" ref="BT132:BT195" ca="1" si="472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3">BW132-TODAY()</f>
        <v>535</v>
      </c>
      <c r="BY132" s="5" t="str">
        <f t="shared" ref="BY132:BY195" ca="1" si="474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7"/>
        <v>46674</v>
      </c>
      <c r="CC132" s="8">
        <f t="shared" ref="CC132:CC191" ca="1" si="475">CB132-TODAY()</f>
        <v>529</v>
      </c>
      <c r="CD132" s="5" t="str">
        <f t="shared" ref="CD132:CD195" ca="1" si="476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6"/>
        <v>46762</v>
      </c>
      <c r="CH132" s="8">
        <f t="shared" ca="1" si="417"/>
        <v>617</v>
      </c>
      <c r="CI132" s="5" t="str">
        <f t="shared" ca="1" si="418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7">CL132-TODAY()</f>
        <v>385</v>
      </c>
      <c r="CN132" s="5" t="str">
        <f t="shared" ref="CN132:CN195" ca="1" si="478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9">CQ132-TODAY()</f>
        <v>354</v>
      </c>
      <c r="CS132" s="5" t="str">
        <f t="shared" ref="CS132:CS195" ca="1" si="480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1">CV132-TODAY()</f>
        <v>524</v>
      </c>
      <c r="CX132" s="5" t="str">
        <f t="shared" ref="CX132:CX195" ca="1" si="482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3">DA132-TODAY()</f>
        <v>428</v>
      </c>
      <c r="DC132" s="5" t="str">
        <f t="shared" ref="DC132:DC195" ca="1" si="484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5">DF132-TODAY()</f>
        <v>439</v>
      </c>
      <c r="DH132" s="5" t="str">
        <f t="shared" ref="DH132:DH195" ca="1" si="486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7">DK132-TODAY()</f>
        <v>364</v>
      </c>
      <c r="DM132" s="5" t="str">
        <f t="shared" ref="DM132:DM195" ca="1" si="488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9">DP132-TODAY()</f>
        <v>442</v>
      </c>
      <c r="DR132" s="5" t="str">
        <f t="shared" ref="DR132:DR195" ca="1" si="490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1">DU132-TODAY()</f>
        <v>437</v>
      </c>
      <c r="DW132" s="5" t="str">
        <f t="shared" ref="DW132:DW195" ca="1" si="492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3">DZ132-TODAY()</f>
        <v>500</v>
      </c>
      <c r="EB132" s="5" t="str">
        <f t="shared" ref="EB132:EB195" ca="1" si="494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5">EE132-TODAY()</f>
        <v>498</v>
      </c>
      <c r="EG132" s="5" t="str">
        <f t="shared" ref="EG132:EG195" ca="1" si="496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5"/>
        <v>46313</v>
      </c>
      <c r="EK132" s="8">
        <f t="shared" ref="EK132:EK191" ca="1" si="497">EJ132-TODAY()</f>
        <v>168</v>
      </c>
      <c r="EL132" s="5" t="str">
        <f t="shared" ref="EL132:EL195" ca="1" si="498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9">EO132-TODAY()</f>
        <v>525</v>
      </c>
      <c r="EQ132" s="5" t="str">
        <f t="shared" ref="EQ132:EQ195" ca="1" si="500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1">ET132-TODAY()</f>
        <v>409</v>
      </c>
      <c r="EV132" s="5" t="str">
        <f t="shared" ref="EV132:EV195" ca="1" si="502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1"/>
        <v>46694</v>
      </c>
      <c r="EZ132" s="8">
        <f t="shared" ref="EZ132:EZ191" ca="1" si="503">EY132-TODAY()</f>
        <v>549</v>
      </c>
      <c r="FA132" s="5" t="str">
        <f t="shared" ref="FA132:FA195" ca="1" si="504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2"/>
        <v>46513</v>
      </c>
      <c r="FE132" s="8">
        <f t="shared" ref="FE132:FE191" ca="1" si="505">FD132-TODAY()</f>
        <v>368</v>
      </c>
      <c r="FF132" s="5" t="str">
        <f t="shared" ref="FF132:FF195" ca="1" si="506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3"/>
        <v>46520</v>
      </c>
      <c r="FJ132" s="8">
        <f t="shared" ref="FJ132:FJ191" ca="1" si="507">FI132-TODAY()</f>
        <v>375</v>
      </c>
      <c r="FK132" s="5" t="str">
        <f t="shared" ref="FK132:FK195" ca="1" si="508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9">FN132-TODAY()</f>
        <v>369</v>
      </c>
      <c r="FP132" s="5" t="str">
        <f t="shared" ref="FP132:FP195" ca="1" si="510">IF(FO132&gt;=91,"VIGENTE",IF(FO132&gt;=1,"POR VENCER",IF(FO132&lt;=-1,"VENCIDA",IF(FM132=0,"NO APLICA"))))</f>
        <v>VIGENTE</v>
      </c>
      <c r="FQ132" s="4"/>
      <c r="FR132" s="39">
        <v>45957</v>
      </c>
      <c r="FS132" s="4">
        <f>DATE(YEAR(FR132)+2,MONTH(FR132),DAY(FR132))</f>
        <v>46687</v>
      </c>
      <c r="FT132" s="8">
        <f t="shared" ref="FT132:FT191" ca="1" si="511">FS132-TODAY()</f>
        <v>542</v>
      </c>
      <c r="FU132" s="5" t="str">
        <f t="shared" ref="FU132:FU195" ca="1" si="512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4"/>
        <v>46552</v>
      </c>
      <c r="FY132" s="8">
        <f t="shared" ref="FY132:FY191" ca="1" si="513">FX132-TODAY()</f>
        <v>407</v>
      </c>
      <c r="FZ132" s="5" t="str">
        <f t="shared" ref="FZ132:FZ195" ca="1" si="514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5">GC132-TODAY()</f>
        <v>510</v>
      </c>
      <c r="GE132" s="5" t="str">
        <f t="shared" ref="GE132:GE195" ca="1" si="516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7">GH132-TODAY()</f>
        <v>434</v>
      </c>
      <c r="GJ132" s="5" t="str">
        <f t="shared" ref="GJ132:GJ195" ca="1" si="518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9">GM132-TODAY()</f>
        <v>530</v>
      </c>
      <c r="GO132" s="5" t="str">
        <f t="shared" ref="GO132:GO195" ca="1" si="520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1">DATE(YEAR(GQ132)+5,MONTH(GQ132),DAY(GQ132))</f>
        <v>46991</v>
      </c>
      <c r="GS132" s="8">
        <f t="shared" ca="1" si="405"/>
        <v>846</v>
      </c>
      <c r="GT132" s="5" t="str">
        <f t="shared" ca="1" si="419"/>
        <v>VIGENTE</v>
      </c>
      <c r="GU132" s="4"/>
      <c r="GV132" s="4">
        <v>45200</v>
      </c>
      <c r="GW132" s="4">
        <f t="shared" ref="GW132:GW191" si="522">DATE(YEAR(GV132)+5,MONTH(GV132),DAY(GV132))</f>
        <v>47027</v>
      </c>
      <c r="GX132" s="8">
        <f t="shared" ref="GX132:GX191" ca="1" si="523">GW132-TODAY()</f>
        <v>882</v>
      </c>
      <c r="GY132" s="5" t="str">
        <f t="shared" ca="1" si="426"/>
        <v>VIGENTE</v>
      </c>
      <c r="GZ132" s="6"/>
      <c r="HA132" s="4">
        <v>45163</v>
      </c>
      <c r="HB132" s="4">
        <f t="shared" ref="HB132:HB191" si="524">DATE(YEAR(HA132)+5,MONTH(HA132),DAY(HA132))</f>
        <v>46990</v>
      </c>
      <c r="HC132" s="8">
        <f t="shared" ref="HC132:HC191" ca="1" si="525">HB132-TODAY()</f>
        <v>845</v>
      </c>
      <c r="HD132" s="5" t="str">
        <f t="shared" ca="1" si="421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7"/>
        <v>VIGENTE</v>
      </c>
      <c r="HJ132" s="6"/>
      <c r="HK132" s="6"/>
      <c r="HL132" s="4"/>
      <c r="HM132" s="8"/>
      <c r="HN132" s="5" t="str">
        <f t="shared" si="444"/>
        <v>NO APLICA</v>
      </c>
      <c r="HO132" s="2"/>
      <c r="HP132" s="2"/>
      <c r="HQ132" s="4"/>
      <c r="HR132" s="2"/>
      <c r="HS132" s="5" t="str">
        <f t="shared" ref="HS132:HS195" si="526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7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8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9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0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1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2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3">IF(JA132&gt;=61,"VIGENTE",IF(JA132&gt;=1,"POR VENCER",IF(JA132&lt;=-1,"VENCIDA",IF(IY132=0,"NO APLICA"))))</f>
        <v>NO APLICA</v>
      </c>
      <c r="JC132" s="3" t="s">
        <v>780</v>
      </c>
      <c r="JD132" s="3"/>
      <c r="JE132" s="4"/>
      <c r="JF132" s="8"/>
      <c r="JG132" s="5"/>
      <c r="JH132" s="3" t="s">
        <v>780</v>
      </c>
      <c r="JI132" s="6"/>
      <c r="JJ132" s="6"/>
      <c r="JK132" s="6"/>
      <c r="JL132" s="5"/>
      <c r="JM132" s="6" t="s">
        <v>780</v>
      </c>
      <c r="JN132" s="6"/>
      <c r="JO132" s="6"/>
      <c r="JP132" s="6"/>
      <c r="JQ132" s="5"/>
      <c r="JR132" s="6" t="s">
        <v>780</v>
      </c>
      <c r="JS132" s="6"/>
      <c r="JT132" s="6"/>
      <c r="JU132" s="6"/>
      <c r="JV132" s="5"/>
      <c r="JW132" s="6" t="s">
        <v>780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4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6"/>
        <v>NO APLICA</v>
      </c>
      <c r="KL132" s="5"/>
      <c r="KM132" s="2"/>
      <c r="KN132" s="4"/>
      <c r="KO132" s="8"/>
      <c r="KP132" s="5" t="str">
        <f t="shared" ref="KP132:KP195" si="535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7"/>
        <v>NO APLICA</v>
      </c>
      <c r="KV132" s="6"/>
      <c r="KW132" s="6"/>
      <c r="KX132" s="4"/>
      <c r="KY132" s="6"/>
      <c r="KZ132" s="5" t="str">
        <f t="shared" si="366"/>
        <v>NO APLICA</v>
      </c>
      <c r="LA132" s="5"/>
      <c r="LB132" s="6"/>
      <c r="LC132" s="4"/>
      <c r="LD132" s="6"/>
      <c r="LE132" s="5" t="str">
        <f t="shared" si="358"/>
        <v>NO APLICA</v>
      </c>
      <c r="LF132" s="6"/>
      <c r="LG132" s="6"/>
      <c r="LH132" s="6"/>
      <c r="LI132" s="6"/>
      <c r="LJ132" s="5" t="str">
        <f t="shared" ref="LJ132:LJ133" si="536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7"/>
        <v>NO APLICA</v>
      </c>
      <c r="LP132" s="6"/>
      <c r="LQ132" s="6"/>
      <c r="LR132" s="4"/>
      <c r="LS132" s="8"/>
      <c r="LT132" s="5" t="str">
        <f t="shared" si="359"/>
        <v>NO APLICA</v>
      </c>
      <c r="LU132" s="6"/>
      <c r="LV132" s="6"/>
      <c r="LW132" s="4"/>
      <c r="LX132" s="6"/>
      <c r="LY132" s="5" t="str">
        <f t="shared" si="360"/>
        <v>NO APLICA</v>
      </c>
      <c r="LZ132" s="6"/>
      <c r="MA132" s="6"/>
      <c r="MB132" s="4"/>
      <c r="MC132" s="6"/>
      <c r="MD132" s="5" t="str">
        <f t="shared" si="361"/>
        <v>NO APLICA</v>
      </c>
      <c r="ME132" s="6"/>
      <c r="MF132" s="6"/>
      <c r="MG132" s="4"/>
      <c r="MH132" s="6"/>
      <c r="MI132" s="5" t="str">
        <f t="shared" ref="MI132:MI195" si="537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8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9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40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1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2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3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4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5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6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7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8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9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50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1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2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3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4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5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6">IF(PY132&gt;=61,"VIGENTE",IF(PY132&gt;=1,"POR VENCER",IF(PY132&lt;=-1,"VENCIDA",IF(PW132=0,"NO APLICA"))))</f>
        <v>NO APLICA</v>
      </c>
    </row>
    <row r="133" spans="1:442" ht="15.6" hidden="1" thickTop="1" thickBot="1" x14ac:dyDescent="0.35">
      <c r="A133" s="26">
        <v>130</v>
      </c>
      <c r="B133" s="31">
        <v>1715</v>
      </c>
      <c r="C133" s="28" t="s">
        <v>438</v>
      </c>
      <c r="D133" s="29" t="s">
        <v>64</v>
      </c>
      <c r="E133" s="30" t="s">
        <v>81</v>
      </c>
      <c r="F133" s="6"/>
      <c r="G133" s="6"/>
      <c r="H133" s="6"/>
      <c r="I133" s="6"/>
      <c r="J133" s="5" t="str">
        <f t="shared" si="455"/>
        <v>NO APLICA</v>
      </c>
      <c r="K133" s="6"/>
      <c r="L133" s="6"/>
      <c r="M133" s="6"/>
      <c r="N133" s="6"/>
      <c r="O133" s="5" t="str">
        <f t="shared" si="456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7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10"/>
        <v>47136</v>
      </c>
      <c r="Y133" s="8">
        <f t="shared" ca="1" si="411"/>
        <v>991</v>
      </c>
      <c r="Z133" s="5" t="str">
        <f t="shared" ca="1" si="412"/>
        <v>VIGENTE</v>
      </c>
      <c r="AA133" s="5"/>
      <c r="AB133" s="6"/>
      <c r="AC133" s="6"/>
      <c r="AD133" s="4"/>
      <c r="AE133" s="8"/>
      <c r="AF133" s="5" t="str">
        <f t="shared" si="457"/>
        <v>NO APLICA</v>
      </c>
      <c r="AG133" s="6"/>
      <c r="AH133" s="4">
        <v>45936</v>
      </c>
      <c r="AI133" s="4">
        <f t="shared" si="448"/>
        <v>46666</v>
      </c>
      <c r="AJ133" s="8">
        <f t="shared" ca="1" si="458"/>
        <v>521</v>
      </c>
      <c r="AK133" s="5" t="str">
        <f t="shared" ca="1" si="408"/>
        <v>VIGENTE</v>
      </c>
      <c r="AL133" s="4"/>
      <c r="AM133" s="4">
        <v>45959</v>
      </c>
      <c r="AN133" s="4">
        <f t="shared" si="449"/>
        <v>46689</v>
      </c>
      <c r="AO133" s="8">
        <f t="shared" ca="1" si="459"/>
        <v>544</v>
      </c>
      <c r="AP133" s="5" t="str">
        <f t="shared" ca="1" si="460"/>
        <v>VIGENTE</v>
      </c>
      <c r="AQ133" s="4"/>
      <c r="AR133" s="4">
        <v>45989</v>
      </c>
      <c r="AS133" s="4">
        <f t="shared" si="450"/>
        <v>46719</v>
      </c>
      <c r="AT133" s="8">
        <f t="shared" ca="1" si="461"/>
        <v>574</v>
      </c>
      <c r="AU133" s="5" t="str">
        <f t="shared" ca="1" si="462"/>
        <v>VIGENTE</v>
      </c>
      <c r="AV133" s="4"/>
      <c r="AW133" s="4">
        <v>45972</v>
      </c>
      <c r="AX133" s="4">
        <f t="shared" si="445"/>
        <v>46702</v>
      </c>
      <c r="AY133" s="8">
        <f t="shared" ca="1" si="463"/>
        <v>557</v>
      </c>
      <c r="AZ133" s="5" t="str">
        <f t="shared" ca="1" si="464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5"/>
        <v>626</v>
      </c>
      <c r="BE133" s="5" t="str">
        <f t="shared" ca="1" si="466"/>
        <v>VIGENTE</v>
      </c>
      <c r="BF133" s="6"/>
      <c r="BG133" s="4">
        <v>45997</v>
      </c>
      <c r="BH133" s="4">
        <f t="shared" si="446"/>
        <v>46727</v>
      </c>
      <c r="BI133" s="8">
        <f t="shared" ca="1" si="467"/>
        <v>582</v>
      </c>
      <c r="BJ133" s="5" t="str">
        <f t="shared" ca="1" si="468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9"/>
        <v>602</v>
      </c>
      <c r="BO133" s="5" t="str">
        <f t="shared" ca="1" si="470"/>
        <v>VIGENTE</v>
      </c>
      <c r="BP133" s="4"/>
      <c r="BQ133" s="39">
        <v>46050</v>
      </c>
      <c r="BR133" s="4">
        <f>DATE(YEAR(BQ133)+2,MONTH(BQ133),DAY(BQ133))</f>
        <v>46780</v>
      </c>
      <c r="BS133" s="8">
        <f t="shared" ca="1" si="471"/>
        <v>635</v>
      </c>
      <c r="BT133" s="5" t="str">
        <f t="shared" ca="1" si="472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3"/>
        <v>616</v>
      </c>
      <c r="BY133" s="5" t="str">
        <f t="shared" ca="1" si="474"/>
        <v>VIGENTE</v>
      </c>
      <c r="BZ133" s="6"/>
      <c r="CA133" s="4">
        <v>45986</v>
      </c>
      <c r="CB133" s="4">
        <f t="shared" si="447"/>
        <v>46716</v>
      </c>
      <c r="CC133" s="8">
        <f t="shared" ca="1" si="475"/>
        <v>571</v>
      </c>
      <c r="CD133" s="5" t="str">
        <f t="shared" ca="1" si="476"/>
        <v>VIGENTE</v>
      </c>
      <c r="CE133" s="6"/>
      <c r="CF133" s="4">
        <v>45723</v>
      </c>
      <c r="CG133" s="4">
        <f t="shared" si="416"/>
        <v>47184</v>
      </c>
      <c r="CH133" s="8">
        <f t="shared" ca="1" si="417"/>
        <v>1039</v>
      </c>
      <c r="CI133" s="5" t="str">
        <f t="shared" ca="1" si="418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7"/>
        <v>603</v>
      </c>
      <c r="CN133" s="5" t="str">
        <f t="shared" ca="1" si="478"/>
        <v>VIGENTE</v>
      </c>
      <c r="CO133" s="4"/>
      <c r="CP133" s="39">
        <v>45979</v>
      </c>
      <c r="CQ133" s="4">
        <f>DATE(YEAR(CP133)+2,MONTH(CP133),DAY(CP133))</f>
        <v>46709</v>
      </c>
      <c r="CR133" s="8">
        <f t="shared" ca="1" si="479"/>
        <v>564</v>
      </c>
      <c r="CS133" s="5" t="str">
        <f t="shared" ca="1" si="480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1"/>
        <v>628</v>
      </c>
      <c r="CX133" s="5" t="str">
        <f t="shared" ca="1" si="482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3"/>
        <v>585</v>
      </c>
      <c r="DC133" s="5" t="str">
        <f t="shared" ca="1" si="484"/>
        <v>VIGENTE</v>
      </c>
      <c r="DD133" s="3"/>
      <c r="DE133" s="39">
        <v>45996</v>
      </c>
      <c r="DF133" s="4">
        <f>DATE(YEAR(DE133)+2,MONTH(DE133),DAY(DE133))</f>
        <v>46726</v>
      </c>
      <c r="DG133" s="8">
        <f t="shared" ca="1" si="485"/>
        <v>581</v>
      </c>
      <c r="DH133" s="5" t="str">
        <f t="shared" ca="1" si="486"/>
        <v>VIGENTE</v>
      </c>
      <c r="DI133" s="4"/>
      <c r="DJ133" s="39">
        <v>45975</v>
      </c>
      <c r="DK133" s="4">
        <f>DATE(YEAR(DJ133)+2,MONTH(DJ133),DAY(DJ133))</f>
        <v>46705</v>
      </c>
      <c r="DL133" s="8">
        <f t="shared" ca="1" si="487"/>
        <v>560</v>
      </c>
      <c r="DM133" s="5" t="str">
        <f t="shared" ca="1" si="488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9"/>
        <v>592</v>
      </c>
      <c r="DR133" s="5" t="str">
        <f t="shared" ca="1" si="490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1"/>
        <v>594</v>
      </c>
      <c r="DW133" s="5" t="str">
        <f t="shared" ca="1" si="492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3"/>
        <v>617</v>
      </c>
      <c r="EB133" s="5" t="str">
        <f t="shared" ca="1" si="494"/>
        <v>VIGENTE</v>
      </c>
      <c r="EC133" s="4"/>
      <c r="ED133" s="39">
        <v>45994</v>
      </c>
      <c r="EE133" s="4">
        <f>DATE(YEAR(ED133)+2,MONTH(ED133),DAY(ED133))</f>
        <v>46724</v>
      </c>
      <c r="EF133" s="8">
        <f t="shared" ca="1" si="495"/>
        <v>579</v>
      </c>
      <c r="EG133" s="5" t="str">
        <f t="shared" ca="1" si="496"/>
        <v>VIGENTE</v>
      </c>
      <c r="EH133" s="3"/>
      <c r="EI133" s="3">
        <v>46015</v>
      </c>
      <c r="EJ133" s="4">
        <f t="shared" ref="EJ133:EJ191" si="558">DATE(YEAR(EI133)+1,MONTH(EI133),DAY(EI133))</f>
        <v>46380</v>
      </c>
      <c r="EK133" s="8">
        <f t="shared" ca="1" si="497"/>
        <v>235</v>
      </c>
      <c r="EL133" s="5" t="str">
        <f t="shared" ca="1" si="498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9"/>
        <v>568</v>
      </c>
      <c r="EQ133" s="5" t="str">
        <f t="shared" ca="1" si="500"/>
        <v>VIGENTE</v>
      </c>
      <c r="ER133" s="6"/>
      <c r="ES133" s="39">
        <v>45999</v>
      </c>
      <c r="ET133" s="4">
        <f>DATE(YEAR(ES133)+2,MONTH(ES133),DAY(ES133))</f>
        <v>46729</v>
      </c>
      <c r="EU133" s="8">
        <f t="shared" ca="1" si="501"/>
        <v>584</v>
      </c>
      <c r="EV133" s="5" t="str">
        <f t="shared" ca="1" si="502"/>
        <v>VIGENTE</v>
      </c>
      <c r="EW133" s="4"/>
      <c r="EX133" s="4">
        <v>45964</v>
      </c>
      <c r="EY133" s="4">
        <f t="shared" si="451"/>
        <v>46694</v>
      </c>
      <c r="EZ133" s="8">
        <f t="shared" ca="1" si="503"/>
        <v>549</v>
      </c>
      <c r="FA133" s="5" t="str">
        <f t="shared" ca="1" si="504"/>
        <v>VIGENTE</v>
      </c>
      <c r="FB133" s="6"/>
      <c r="FC133" s="4">
        <v>45988</v>
      </c>
      <c r="FD133" s="4">
        <f t="shared" si="452"/>
        <v>46718</v>
      </c>
      <c r="FE133" s="8">
        <f t="shared" ca="1" si="505"/>
        <v>573</v>
      </c>
      <c r="FF133" s="5" t="str">
        <f t="shared" ca="1" si="506"/>
        <v>VIGENTE</v>
      </c>
      <c r="FG133" s="4"/>
      <c r="FH133" s="4">
        <v>45962</v>
      </c>
      <c r="FI133" s="4">
        <f t="shared" si="453"/>
        <v>46692</v>
      </c>
      <c r="FJ133" s="8">
        <f t="shared" ca="1" si="507"/>
        <v>547</v>
      </c>
      <c r="FK133" s="5" t="str">
        <f t="shared" ca="1" si="508"/>
        <v>VIGENTE</v>
      </c>
      <c r="FL133" s="4"/>
      <c r="FM133" s="39">
        <v>46039</v>
      </c>
      <c r="FN133" s="4">
        <f>DATE(YEAR(FM133)+2,MONTH(FM133),DAY(FM133))</f>
        <v>46769</v>
      </c>
      <c r="FO133" s="8">
        <f t="shared" ca="1" si="509"/>
        <v>624</v>
      </c>
      <c r="FP133" s="5" t="str">
        <f t="shared" ca="1" si="510"/>
        <v>VIGENTE</v>
      </c>
      <c r="FQ133" s="4"/>
      <c r="FR133" s="39">
        <v>46034</v>
      </c>
      <c r="FS133" s="4">
        <f>DATE(YEAR(FR133)+2,MONTH(FR133),DAY(FR133))</f>
        <v>46764</v>
      </c>
      <c r="FT133" s="8">
        <f t="shared" ca="1" si="511"/>
        <v>619</v>
      </c>
      <c r="FU133" s="5" t="str">
        <f t="shared" ca="1" si="512"/>
        <v>VIGENTE</v>
      </c>
      <c r="FV133" s="4"/>
      <c r="FW133" s="4">
        <v>46004</v>
      </c>
      <c r="FX133" s="4">
        <f t="shared" si="454"/>
        <v>46734</v>
      </c>
      <c r="FY133" s="8">
        <f t="shared" ca="1" si="513"/>
        <v>589</v>
      </c>
      <c r="FZ133" s="5" t="str">
        <f t="shared" ca="1" si="514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5"/>
        <v>510</v>
      </c>
      <c r="GE133" s="5" t="str">
        <f t="shared" ca="1" si="516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7"/>
        <v>545</v>
      </c>
      <c r="GJ133" s="5" t="str">
        <f t="shared" ca="1" si="518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9"/>
        <v>83</v>
      </c>
      <c r="GO133" s="5" t="str">
        <f t="shared" ca="1" si="520"/>
        <v>VIGENTE</v>
      </c>
      <c r="GP133" s="4"/>
      <c r="GQ133" s="4">
        <v>45299</v>
      </c>
      <c r="GR133" s="4">
        <f t="shared" si="521"/>
        <v>47126</v>
      </c>
      <c r="GS133" s="8">
        <f t="shared" ca="1" si="405"/>
        <v>981</v>
      </c>
      <c r="GT133" s="5" t="str">
        <f t="shared" ca="1" si="419"/>
        <v>VIGENTE</v>
      </c>
      <c r="GU133" s="4"/>
      <c r="GV133" s="4">
        <v>45329</v>
      </c>
      <c r="GW133" s="4">
        <f t="shared" si="522"/>
        <v>47156</v>
      </c>
      <c r="GX133" s="8">
        <f t="shared" ca="1" si="523"/>
        <v>1011</v>
      </c>
      <c r="GY133" s="5" t="str">
        <f t="shared" ca="1" si="426"/>
        <v>VIGENTE</v>
      </c>
      <c r="GZ133" s="6"/>
      <c r="HA133" s="4">
        <v>45343</v>
      </c>
      <c r="HB133" s="4">
        <f t="shared" si="524"/>
        <v>47170</v>
      </c>
      <c r="HC133" s="8">
        <f t="shared" ca="1" si="525"/>
        <v>1025</v>
      </c>
      <c r="HD133" s="5" t="str">
        <f t="shared" ca="1" si="421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7"/>
        <v>VIGENTE</v>
      </c>
      <c r="HJ133" s="6"/>
      <c r="HK133" s="6"/>
      <c r="HL133" s="4"/>
      <c r="HM133" s="8"/>
      <c r="HN133" s="5" t="str">
        <f t="shared" si="444"/>
        <v>NO APLICA</v>
      </c>
      <c r="HO133" s="2"/>
      <c r="HP133" s="2"/>
      <c r="HQ133" s="4"/>
      <c r="HR133" s="2"/>
      <c r="HS133" s="5" t="str">
        <f t="shared" si="526"/>
        <v>NO APLICA</v>
      </c>
      <c r="HT133" s="6"/>
      <c r="HU133" s="6"/>
      <c r="HV133" s="4"/>
      <c r="HW133" s="8"/>
      <c r="HX133" s="5" t="str">
        <f t="shared" si="527"/>
        <v>NO APLICA</v>
      </c>
      <c r="HY133" s="6"/>
      <c r="HZ133" s="6"/>
      <c r="IA133" s="4"/>
      <c r="IB133" s="8"/>
      <c r="IC133" s="5" t="str">
        <f t="shared" si="528"/>
        <v>NO APLICA</v>
      </c>
      <c r="ID133" s="6"/>
      <c r="IE133" s="6"/>
      <c r="IF133" s="4"/>
      <c r="IG133" s="8"/>
      <c r="IH133" s="5" t="str">
        <f t="shared" si="529"/>
        <v>NO APLICA</v>
      </c>
      <c r="II133" s="6"/>
      <c r="IJ133" s="6"/>
      <c r="IK133" s="4"/>
      <c r="IL133" s="6"/>
      <c r="IM133" s="5" t="str">
        <f t="shared" si="530"/>
        <v>NO APLICA</v>
      </c>
      <c r="IN133" s="6"/>
      <c r="IO133" s="6"/>
      <c r="IP133" s="4"/>
      <c r="IQ133" s="8"/>
      <c r="IR133" s="5" t="str">
        <f t="shared" si="531"/>
        <v>NO APLICA</v>
      </c>
      <c r="IS133" s="6"/>
      <c r="IT133" s="6"/>
      <c r="IU133" s="4"/>
      <c r="IV133" s="8"/>
      <c r="IW133" s="5" t="str">
        <f t="shared" si="532"/>
        <v>NO APLICA</v>
      </c>
      <c r="IX133" s="6"/>
      <c r="IY133" s="6"/>
      <c r="IZ133" s="4"/>
      <c r="JA133" s="8"/>
      <c r="JB133" s="5" t="str">
        <f t="shared" si="533"/>
        <v>NO APLICA</v>
      </c>
      <c r="JC133" s="3" t="s">
        <v>780</v>
      </c>
      <c r="JD133" s="3"/>
      <c r="JE133" s="4"/>
      <c r="JF133" s="8"/>
      <c r="JG133" s="5"/>
      <c r="JH133" s="3" t="s">
        <v>780</v>
      </c>
      <c r="JI133" s="6"/>
      <c r="JJ133" s="6"/>
      <c r="JK133" s="6"/>
      <c r="JL133" s="5"/>
      <c r="JM133" s="6" t="s">
        <v>780</v>
      </c>
      <c r="JN133" s="6"/>
      <c r="JO133" s="6"/>
      <c r="JP133" s="6"/>
      <c r="JQ133" s="5"/>
      <c r="JR133" s="6" t="s">
        <v>780</v>
      </c>
      <c r="JS133" s="6"/>
      <c r="JT133" s="6"/>
      <c r="JU133" s="6"/>
      <c r="JV133" s="5"/>
      <c r="JW133" s="6" t="s">
        <v>780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4"/>
        <v>NO APLICA</v>
      </c>
      <c r="KG133" s="5"/>
      <c r="KH133" s="2"/>
      <c r="KI133" s="4"/>
      <c r="KJ133" s="8"/>
      <c r="KK133" s="5" t="str">
        <f t="shared" ref="KK133:KK196" si="559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5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60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6"/>
        <v>NO APLICA</v>
      </c>
      <c r="LA133" s="5"/>
      <c r="LB133" s="6"/>
      <c r="LC133" s="4"/>
      <c r="LD133" s="6"/>
      <c r="LE133" s="5" t="str">
        <f t="shared" ref="LE133:LE196" si="561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6"/>
        <v>NO APLICA</v>
      </c>
      <c r="LK133" s="5"/>
      <c r="LL133" s="5"/>
      <c r="LM133" s="4"/>
      <c r="LN133" s="8"/>
      <c r="LO133" s="5" t="str">
        <f t="shared" si="367"/>
        <v>NO APLICA</v>
      </c>
      <c r="LP133" s="6"/>
      <c r="LQ133" s="6"/>
      <c r="LR133" s="4"/>
      <c r="LS133" s="8"/>
      <c r="LT133" s="5" t="str">
        <f t="shared" ref="LT133:LT196" si="562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3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4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7"/>
        <v>NO APLICA</v>
      </c>
      <c r="MJ133" s="6"/>
      <c r="MK133" s="6"/>
      <c r="ML133" s="4"/>
      <c r="MM133" s="6"/>
      <c r="MN133" s="5" t="str">
        <f t="shared" si="538"/>
        <v>NO APLICA</v>
      </c>
      <c r="MO133" s="5"/>
      <c r="MP133" s="6"/>
      <c r="MQ133" s="4"/>
      <c r="MR133" s="6"/>
      <c r="MS133" s="5" t="str">
        <f t="shared" si="539"/>
        <v>NO APLICA</v>
      </c>
      <c r="MT133" s="5"/>
      <c r="MU133" s="6"/>
      <c r="MV133" s="6"/>
      <c r="MW133" s="6"/>
      <c r="MX133" s="5" t="str">
        <f t="shared" si="540"/>
        <v>NO APLICA</v>
      </c>
      <c r="MY133" s="6"/>
      <c r="MZ133" s="6"/>
      <c r="NA133" s="4"/>
      <c r="NB133" s="6"/>
      <c r="NC133" s="5" t="str">
        <f t="shared" si="541"/>
        <v>NO APLICA</v>
      </c>
      <c r="ND133" s="6"/>
      <c r="NE133" s="6"/>
      <c r="NF133" s="4"/>
      <c r="NG133" s="6"/>
      <c r="NH133" s="5" t="str">
        <f t="shared" si="542"/>
        <v>NO APLICA</v>
      </c>
      <c r="NI133" s="6"/>
      <c r="NJ133" s="6"/>
      <c r="NK133" s="4"/>
      <c r="NL133" s="6"/>
      <c r="NM133" s="5" t="str">
        <f t="shared" si="543"/>
        <v>NO APLICA</v>
      </c>
      <c r="NN133" s="6"/>
      <c r="NO133" s="6"/>
      <c r="NP133" s="4"/>
      <c r="NQ133" s="6"/>
      <c r="NR133" s="5" t="str">
        <f t="shared" si="544"/>
        <v>NO APLICA</v>
      </c>
      <c r="NS133" s="6"/>
      <c r="NT133" s="6"/>
      <c r="NU133" s="4"/>
      <c r="NV133" s="6"/>
      <c r="NW133" s="5" t="str">
        <f t="shared" si="545"/>
        <v>NO APLICA</v>
      </c>
      <c r="NX133" s="6"/>
      <c r="NY133" s="6"/>
      <c r="NZ133" s="4"/>
      <c r="OA133" s="8"/>
      <c r="OB133" s="5" t="str">
        <f t="shared" si="546"/>
        <v>NO APLICA</v>
      </c>
      <c r="OC133" s="6"/>
      <c r="OD133" s="6"/>
      <c r="OE133" s="6"/>
      <c r="OF133" s="6"/>
      <c r="OG133" s="5" t="str">
        <f t="shared" si="547"/>
        <v>NO APLICA</v>
      </c>
      <c r="OH133" s="6"/>
      <c r="OI133" s="6"/>
      <c r="OJ133" s="6"/>
      <c r="OK133" s="6"/>
      <c r="OL133" s="5" t="str">
        <f t="shared" si="548"/>
        <v>NO APLICA</v>
      </c>
      <c r="OM133" s="6"/>
      <c r="ON133" s="6"/>
      <c r="OO133" s="6"/>
      <c r="OP133" s="6"/>
      <c r="OQ133" s="5" t="str">
        <f t="shared" si="549"/>
        <v>NO APLICA</v>
      </c>
      <c r="OR133" s="6"/>
      <c r="OS133" s="6"/>
      <c r="OT133" s="6"/>
      <c r="OU133" s="6"/>
      <c r="OV133" s="5" t="str">
        <f t="shared" si="550"/>
        <v>NO APLICA</v>
      </c>
      <c r="OW133" s="6"/>
      <c r="OX133" s="6"/>
      <c r="OY133" s="6"/>
      <c r="OZ133" s="6"/>
      <c r="PA133" s="5" t="str">
        <f t="shared" si="551"/>
        <v>NO APLICA</v>
      </c>
      <c r="PB133" s="6"/>
      <c r="PC133" s="6"/>
      <c r="PD133" s="6"/>
      <c r="PE133" s="6"/>
      <c r="PF133" s="5" t="str">
        <f t="shared" si="552"/>
        <v>NO APLICA</v>
      </c>
      <c r="PG133" s="6"/>
      <c r="PH133" s="6"/>
      <c r="PI133" s="6"/>
      <c r="PJ133" s="6"/>
      <c r="PK133" s="5" t="str">
        <f t="shared" si="553"/>
        <v>NO APLICA</v>
      </c>
      <c r="PL133" s="5"/>
      <c r="PM133" s="6"/>
      <c r="PN133" s="6"/>
      <c r="PO133" s="6"/>
      <c r="PP133" s="5" t="str">
        <f t="shared" si="554"/>
        <v>NO APLICA</v>
      </c>
      <c r="PQ133" s="6"/>
      <c r="PR133" s="6"/>
      <c r="PS133" s="6"/>
      <c r="PT133" s="6"/>
      <c r="PU133" s="5" t="str">
        <f t="shared" si="555"/>
        <v>NO APLICA</v>
      </c>
      <c r="PV133" s="5"/>
      <c r="PW133" s="6"/>
      <c r="PX133" s="6"/>
      <c r="PY133" s="6"/>
      <c r="PZ133" s="5" t="str">
        <f t="shared" si="556"/>
        <v>NO APLICA</v>
      </c>
    </row>
    <row r="134" spans="1:442" ht="15.6" hidden="1" thickTop="1" thickBot="1" x14ac:dyDescent="0.35">
      <c r="A134" s="26">
        <v>131</v>
      </c>
      <c r="B134" s="27">
        <v>858</v>
      </c>
      <c r="C134" s="28" t="s">
        <v>440</v>
      </c>
      <c r="D134" s="29" t="s">
        <v>68</v>
      </c>
      <c r="E134" s="30" t="s">
        <v>77</v>
      </c>
      <c r="F134" s="5"/>
      <c r="G134" s="6"/>
      <c r="H134" s="4"/>
      <c r="I134" s="8"/>
      <c r="J134" s="5" t="str">
        <f t="shared" si="455"/>
        <v>NO APLICA</v>
      </c>
      <c r="K134" s="5"/>
      <c r="L134" s="6"/>
      <c r="M134" s="6"/>
      <c r="N134" s="8"/>
      <c r="O134" s="5" t="str">
        <f t="shared" si="456"/>
        <v>NO APLICA</v>
      </c>
      <c r="P134" s="6"/>
      <c r="Q134" s="6"/>
      <c r="R134" s="4"/>
      <c r="S134" s="8"/>
      <c r="T134" s="5" t="str">
        <f t="shared" si="557"/>
        <v>NO APLICA</v>
      </c>
      <c r="U134" s="5"/>
      <c r="V134" s="2" t="s">
        <v>441</v>
      </c>
      <c r="W134" s="4">
        <v>44786</v>
      </c>
      <c r="X134" s="4">
        <f t="shared" si="410"/>
        <v>46612</v>
      </c>
      <c r="Y134" s="8">
        <f t="shared" ca="1" si="411"/>
        <v>467</v>
      </c>
      <c r="Z134" s="5" t="str">
        <f t="shared" ca="1" si="412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7"/>
        <v>VIGENTE</v>
      </c>
      <c r="AG134" s="3"/>
      <c r="AH134" s="4">
        <v>46006</v>
      </c>
      <c r="AI134" s="4">
        <f t="shared" si="448"/>
        <v>46736</v>
      </c>
      <c r="AJ134" s="8">
        <f t="shared" ca="1" si="458"/>
        <v>591</v>
      </c>
      <c r="AK134" s="5" t="str">
        <f t="shared" ca="1" si="408"/>
        <v>VIGENTE</v>
      </c>
      <c r="AL134" s="3"/>
      <c r="AM134" s="4">
        <v>45926</v>
      </c>
      <c r="AN134" s="4">
        <f t="shared" si="449"/>
        <v>46656</v>
      </c>
      <c r="AO134" s="8">
        <f t="shared" ca="1" si="459"/>
        <v>511</v>
      </c>
      <c r="AP134" s="5" t="str">
        <f t="shared" ca="1" si="460"/>
        <v>VIGENTE</v>
      </c>
      <c r="AQ134" s="3"/>
      <c r="AR134" s="4">
        <v>45971</v>
      </c>
      <c r="AS134" s="4">
        <f t="shared" si="450"/>
        <v>46701</v>
      </c>
      <c r="AT134" s="8">
        <f t="shared" ca="1" si="461"/>
        <v>556</v>
      </c>
      <c r="AU134" s="5" t="str">
        <f t="shared" ca="1" si="462"/>
        <v>VIGENTE</v>
      </c>
      <c r="AV134" s="3"/>
      <c r="AW134" s="4">
        <v>45972</v>
      </c>
      <c r="AX134" s="4">
        <f t="shared" si="445"/>
        <v>46702</v>
      </c>
      <c r="AY134" s="8">
        <f t="shared" ca="1" si="463"/>
        <v>557</v>
      </c>
      <c r="AZ134" s="5" t="str">
        <f t="shared" ca="1" si="464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5"/>
        <v>626</v>
      </c>
      <c r="BE134" s="5" t="str">
        <f t="shared" ca="1" si="466"/>
        <v>VIGENTE</v>
      </c>
      <c r="BF134" s="3"/>
      <c r="BG134" s="4">
        <v>46027</v>
      </c>
      <c r="BH134" s="4">
        <f t="shared" si="446"/>
        <v>46757</v>
      </c>
      <c r="BI134" s="8">
        <f t="shared" ca="1" si="467"/>
        <v>612</v>
      </c>
      <c r="BJ134" s="5" t="str">
        <f t="shared" ca="1" si="468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9"/>
        <v>620</v>
      </c>
      <c r="BO134" s="5" t="str">
        <f t="shared" ca="1" si="470"/>
        <v>VIGENTE</v>
      </c>
      <c r="BP134" s="3"/>
      <c r="BQ134" s="39">
        <v>46069</v>
      </c>
      <c r="BR134" s="4">
        <f>DATE(YEAR(BQ134)+2,MONTH(BQ134),DAY(BQ134))</f>
        <v>46799</v>
      </c>
      <c r="BS134" s="8">
        <f t="shared" ca="1" si="471"/>
        <v>654</v>
      </c>
      <c r="BT134" s="5" t="str">
        <f t="shared" ca="1" si="472"/>
        <v>VIGENTE</v>
      </c>
      <c r="BU134" s="3"/>
      <c r="BV134" s="4">
        <v>46116</v>
      </c>
      <c r="BW134" s="4">
        <f>DATE(YEAR(BV134)+2,MONTH(BV134),DAY(BV134)-1)</f>
        <v>46846</v>
      </c>
      <c r="BX134" s="8">
        <f t="shared" ca="1" si="473"/>
        <v>701</v>
      </c>
      <c r="BY134" s="5" t="str">
        <f t="shared" ca="1" si="474"/>
        <v>VIGENTE</v>
      </c>
      <c r="BZ134" s="3"/>
      <c r="CA134" s="4">
        <v>45944</v>
      </c>
      <c r="CB134" s="4">
        <f t="shared" si="447"/>
        <v>46674</v>
      </c>
      <c r="CC134" s="8">
        <f t="shared" ca="1" si="475"/>
        <v>529</v>
      </c>
      <c r="CD134" s="5" t="str">
        <f t="shared" ca="1" si="476"/>
        <v>VIGENTE</v>
      </c>
      <c r="CE134" s="6"/>
      <c r="CF134" s="4">
        <v>45211</v>
      </c>
      <c r="CG134" s="4">
        <f t="shared" si="416"/>
        <v>46672</v>
      </c>
      <c r="CH134" s="8">
        <f t="shared" ca="1" si="417"/>
        <v>527</v>
      </c>
      <c r="CI134" s="5" t="str">
        <f t="shared" ca="1" si="418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7"/>
        <v>307</v>
      </c>
      <c r="CN134" s="5" t="str">
        <f t="shared" ca="1" si="478"/>
        <v>VIGENTE</v>
      </c>
      <c r="CO134" s="3"/>
      <c r="CP134" s="39">
        <v>45684</v>
      </c>
      <c r="CQ134" s="4">
        <f>DATE(YEAR(CP134)+2,MONTH(CP134),DAY(CP134)-1)</f>
        <v>46413</v>
      </c>
      <c r="CR134" s="8">
        <f t="shared" ca="1" si="479"/>
        <v>268</v>
      </c>
      <c r="CS134" s="5" t="str">
        <f t="shared" ca="1" si="480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1"/>
        <v>215</v>
      </c>
      <c r="CX134" s="5" t="str">
        <f t="shared" ca="1" si="482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3"/>
        <v>249</v>
      </c>
      <c r="DC134" s="5" t="str">
        <f t="shared" ca="1" si="484"/>
        <v>VIGENTE</v>
      </c>
      <c r="DD134" s="3"/>
      <c r="DE134" s="39">
        <v>45689</v>
      </c>
      <c r="DF134" s="4">
        <f>DATE(YEAR(DE134)+2,MONTH(DE134),DAY(DE134)-1)</f>
        <v>46418</v>
      </c>
      <c r="DG134" s="8">
        <f t="shared" ca="1" si="485"/>
        <v>273</v>
      </c>
      <c r="DH134" s="5" t="str">
        <f t="shared" ca="1" si="486"/>
        <v>VIGENTE</v>
      </c>
      <c r="DI134" s="3"/>
      <c r="DJ134" s="39">
        <v>45734</v>
      </c>
      <c r="DK134" s="4">
        <f>DATE(YEAR(DJ134)+2,MONTH(DJ134),DAY(DJ134)-1)</f>
        <v>46463</v>
      </c>
      <c r="DL134" s="8">
        <f t="shared" ca="1" si="487"/>
        <v>318</v>
      </c>
      <c r="DM134" s="5" t="str">
        <f t="shared" ca="1" si="488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9"/>
        <v>567</v>
      </c>
      <c r="DR134" s="5" t="str">
        <f t="shared" ca="1" si="490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1"/>
        <v>638</v>
      </c>
      <c r="DW134" s="5" t="str">
        <f t="shared" ca="1" si="492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3"/>
        <v>266</v>
      </c>
      <c r="EB134" s="5" t="str">
        <f t="shared" ca="1" si="494"/>
        <v>VIGENTE</v>
      </c>
      <c r="EC134" s="3"/>
      <c r="ED134" s="39">
        <v>45768</v>
      </c>
      <c r="EE134" s="4">
        <f>DATE(YEAR(ED134)+2,MONTH(ED134),DAY(ED134))</f>
        <v>46498</v>
      </c>
      <c r="EF134" s="8">
        <f t="shared" ca="1" si="495"/>
        <v>353</v>
      </c>
      <c r="EG134" s="5" t="str">
        <f t="shared" ca="1" si="496"/>
        <v>VIGENTE</v>
      </c>
      <c r="EH134" s="3"/>
      <c r="EI134" s="3">
        <v>46085</v>
      </c>
      <c r="EJ134" s="4">
        <f t="shared" si="558"/>
        <v>46450</v>
      </c>
      <c r="EK134" s="8">
        <f t="shared" ca="1" si="497"/>
        <v>305</v>
      </c>
      <c r="EL134" s="5" t="str">
        <f t="shared" ca="1" si="498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9"/>
        <v>321</v>
      </c>
      <c r="EQ134" s="5" t="str">
        <f t="shared" ca="1" si="500"/>
        <v>VIGENTE</v>
      </c>
      <c r="ER134" s="3"/>
      <c r="ES134" s="39">
        <v>45999</v>
      </c>
      <c r="ET134" s="4">
        <f>DATE(YEAR(ES134)+2,MONTH(ES134),DAY(ES134))</f>
        <v>46729</v>
      </c>
      <c r="EU134" s="8">
        <f t="shared" ca="1" si="501"/>
        <v>584</v>
      </c>
      <c r="EV134" s="5" t="str">
        <f t="shared" ca="1" si="502"/>
        <v>VIGENTE</v>
      </c>
      <c r="EW134" s="3"/>
      <c r="EX134" s="4">
        <v>45953</v>
      </c>
      <c r="EY134" s="4">
        <f t="shared" si="451"/>
        <v>46683</v>
      </c>
      <c r="EZ134" s="8">
        <f t="shared" ca="1" si="503"/>
        <v>538</v>
      </c>
      <c r="FA134" s="5" t="str">
        <f t="shared" ca="1" si="504"/>
        <v>VIGENTE</v>
      </c>
      <c r="FB134" s="3"/>
      <c r="FC134" s="4">
        <v>45988</v>
      </c>
      <c r="FD134" s="4">
        <f t="shared" si="452"/>
        <v>46718</v>
      </c>
      <c r="FE134" s="8">
        <f t="shared" ca="1" si="505"/>
        <v>573</v>
      </c>
      <c r="FF134" s="5" t="str">
        <f t="shared" ca="1" si="506"/>
        <v>VIGENTE</v>
      </c>
      <c r="FG134" s="3"/>
      <c r="FH134" s="4">
        <v>45992</v>
      </c>
      <c r="FI134" s="4">
        <f t="shared" si="453"/>
        <v>46722</v>
      </c>
      <c r="FJ134" s="8">
        <f t="shared" ca="1" si="507"/>
        <v>577</v>
      </c>
      <c r="FK134" s="5" t="str">
        <f t="shared" ca="1" si="508"/>
        <v>VIGENTE</v>
      </c>
      <c r="FL134" s="3"/>
      <c r="FM134" s="39">
        <v>45738</v>
      </c>
      <c r="FN134" s="4">
        <f>DATE(YEAR(FM134)+2,MONTH(FM134),DAY(FM134)-1)</f>
        <v>46467</v>
      </c>
      <c r="FO134" s="8">
        <f t="shared" ca="1" si="509"/>
        <v>322</v>
      </c>
      <c r="FP134" s="5" t="str">
        <f t="shared" ca="1" si="510"/>
        <v>VIGENTE</v>
      </c>
      <c r="FQ134" s="3"/>
      <c r="FR134" s="39">
        <v>45678</v>
      </c>
      <c r="FS134" s="4">
        <f>DATE(YEAR(FR134)+2,MONTH(FR134),DAY(FR134)-1)</f>
        <v>46407</v>
      </c>
      <c r="FT134" s="8">
        <f t="shared" ca="1" si="511"/>
        <v>262</v>
      </c>
      <c r="FU134" s="5" t="str">
        <f t="shared" ca="1" si="512"/>
        <v>VIGENTE</v>
      </c>
      <c r="FV134" s="3"/>
      <c r="FW134" s="4">
        <v>46014</v>
      </c>
      <c r="FX134" s="4">
        <f t="shared" si="454"/>
        <v>46744</v>
      </c>
      <c r="FY134" s="8">
        <f t="shared" ca="1" si="513"/>
        <v>599</v>
      </c>
      <c r="FZ134" s="5" t="str">
        <f t="shared" ca="1" si="514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5"/>
        <v>615</v>
      </c>
      <c r="GE134" s="5" t="str">
        <f t="shared" ca="1" si="516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7"/>
        <v>296</v>
      </c>
      <c r="GJ134" s="5" t="str">
        <f t="shared" ca="1" si="518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9"/>
        <v>508</v>
      </c>
      <c r="GO134" s="5" t="str">
        <f t="shared" ca="1" si="520"/>
        <v>VIGENTE</v>
      </c>
      <c r="GP134" s="4"/>
      <c r="GQ134" s="4">
        <v>45283</v>
      </c>
      <c r="GR134" s="4">
        <f t="shared" si="521"/>
        <v>47110</v>
      </c>
      <c r="GS134" s="8">
        <f t="shared" ca="1" si="405"/>
        <v>965</v>
      </c>
      <c r="GT134" s="5" t="str">
        <f t="shared" ca="1" si="419"/>
        <v>VIGENTE</v>
      </c>
      <c r="GU134" s="3"/>
      <c r="GV134" s="4">
        <v>45245</v>
      </c>
      <c r="GW134" s="4">
        <f t="shared" si="522"/>
        <v>47072</v>
      </c>
      <c r="GX134" s="8">
        <f t="shared" ca="1" si="523"/>
        <v>927</v>
      </c>
      <c r="GY134" s="5" t="str">
        <f t="shared" ca="1" si="426"/>
        <v>VIGENTE</v>
      </c>
      <c r="GZ134" s="3"/>
      <c r="HA134" s="4">
        <v>45182</v>
      </c>
      <c r="HB134" s="4">
        <f t="shared" si="524"/>
        <v>47009</v>
      </c>
      <c r="HC134" s="8">
        <f t="shared" ca="1" si="525"/>
        <v>864</v>
      </c>
      <c r="HD134" s="5" t="str">
        <f t="shared" ca="1" si="421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7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4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6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7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8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9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30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1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2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3"/>
        <v>VIGENTE</v>
      </c>
      <c r="JC134" s="3" t="s">
        <v>780</v>
      </c>
      <c r="JD134" s="3"/>
      <c r="JE134" s="4"/>
      <c r="JF134" s="8"/>
      <c r="JG134" s="5"/>
      <c r="JH134" s="3" t="s">
        <v>780</v>
      </c>
      <c r="JI134" s="6"/>
      <c r="JJ134" s="6"/>
      <c r="JK134" s="6"/>
      <c r="JL134" s="5"/>
      <c r="JM134" s="6" t="s">
        <v>780</v>
      </c>
      <c r="JN134" s="6"/>
      <c r="JO134" s="6"/>
      <c r="JP134" s="6"/>
      <c r="JQ134" s="5"/>
      <c r="JR134" s="6" t="s">
        <v>780</v>
      </c>
      <c r="JS134" s="6"/>
      <c r="JT134" s="6"/>
      <c r="JU134" s="6"/>
      <c r="JV134" s="5"/>
      <c r="JW134" s="6" t="s">
        <v>780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4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9"/>
        <v>VIGENTE</v>
      </c>
      <c r="KL134" s="5"/>
      <c r="KM134" s="2"/>
      <c r="KN134" s="4"/>
      <c r="KO134" s="8"/>
      <c r="KP134" s="5" t="str">
        <f t="shared" si="535"/>
        <v>NO APLICA</v>
      </c>
      <c r="KQ134" s="5"/>
      <c r="KR134" s="2"/>
      <c r="KS134" s="4"/>
      <c r="KT134" s="8"/>
      <c r="KU134" s="5" t="str">
        <f t="shared" si="560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5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1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6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2"/>
        <v>NO APLICA</v>
      </c>
      <c r="LU134" s="6"/>
      <c r="LV134" s="6"/>
      <c r="LW134" s="4"/>
      <c r="LX134" s="8"/>
      <c r="LY134" s="5" t="str">
        <f t="shared" si="563"/>
        <v>NO APLICA</v>
      </c>
      <c r="LZ134" s="6"/>
      <c r="MA134" s="6"/>
      <c r="MB134" s="4"/>
      <c r="MC134" s="8"/>
      <c r="MD134" s="5" t="str">
        <f t="shared" si="564"/>
        <v>NO APLICA</v>
      </c>
      <c r="ME134" s="2"/>
      <c r="MF134" s="2"/>
      <c r="MG134" s="4"/>
      <c r="MH134" s="8"/>
      <c r="MI134" s="5" t="str">
        <f t="shared" si="537"/>
        <v>NO APLICA</v>
      </c>
      <c r="MJ134" s="2"/>
      <c r="MK134" s="2"/>
      <c r="ML134" s="4"/>
      <c r="MM134" s="8"/>
      <c r="MN134" s="5" t="str">
        <f t="shared" si="538"/>
        <v>NO APLICA</v>
      </c>
      <c r="MO134" s="5"/>
      <c r="MP134" s="2"/>
      <c r="MQ134" s="4"/>
      <c r="MR134" s="8"/>
      <c r="MS134" s="5" t="str">
        <f t="shared" si="539"/>
        <v>NO APLICA</v>
      </c>
      <c r="MT134" s="5"/>
      <c r="MU134" s="2"/>
      <c r="MV134" s="4"/>
      <c r="MW134" s="2"/>
      <c r="MX134" s="5" t="str">
        <f t="shared" si="540"/>
        <v>NO APLICA</v>
      </c>
      <c r="MY134" s="2"/>
      <c r="MZ134" s="6"/>
      <c r="NA134" s="4"/>
      <c r="NB134" s="8"/>
      <c r="NC134" s="5" t="str">
        <f t="shared" si="541"/>
        <v>NO APLICA</v>
      </c>
      <c r="ND134" s="2"/>
      <c r="NE134" s="6"/>
      <c r="NF134" s="4"/>
      <c r="NG134" s="8"/>
      <c r="NH134" s="5" t="str">
        <f t="shared" si="542"/>
        <v>NO APLICA</v>
      </c>
      <c r="NI134" s="2"/>
      <c r="NJ134" s="6"/>
      <c r="NK134" s="4"/>
      <c r="NL134" s="8"/>
      <c r="NM134" s="5" t="str">
        <f t="shared" si="543"/>
        <v>NO APLICA</v>
      </c>
      <c r="NN134" s="2"/>
      <c r="NO134" s="2"/>
      <c r="NP134" s="4"/>
      <c r="NQ134" s="2"/>
      <c r="NR134" s="5" t="str">
        <f t="shared" si="544"/>
        <v>NO APLICA</v>
      </c>
      <c r="NS134" s="2"/>
      <c r="NT134" s="2"/>
      <c r="NU134" s="2"/>
      <c r="NV134" s="2"/>
      <c r="NW134" s="5" t="str">
        <f t="shared" si="545"/>
        <v>NO APLICA</v>
      </c>
      <c r="NX134" s="6"/>
      <c r="NY134" s="6"/>
      <c r="NZ134" s="4"/>
      <c r="OA134" s="8"/>
      <c r="OB134" s="5" t="str">
        <f t="shared" si="546"/>
        <v>NO APLICA</v>
      </c>
      <c r="OC134" s="6"/>
      <c r="OD134" s="6"/>
      <c r="OE134" s="6"/>
      <c r="OF134" s="6"/>
      <c r="OG134" s="5" t="str">
        <f t="shared" si="547"/>
        <v>NO APLICA</v>
      </c>
      <c r="OH134" s="6"/>
      <c r="OI134" s="6"/>
      <c r="OJ134" s="4"/>
      <c r="OK134" s="8"/>
      <c r="OL134" s="5" t="str">
        <f t="shared" si="548"/>
        <v>NO APLICA</v>
      </c>
      <c r="OM134" s="6"/>
      <c r="ON134" s="6"/>
      <c r="OO134" s="6"/>
      <c r="OP134" s="6"/>
      <c r="OQ134" s="5" t="str">
        <f t="shared" si="549"/>
        <v>NO APLICA</v>
      </c>
      <c r="OR134" s="6"/>
      <c r="OS134" s="6"/>
      <c r="OT134" s="6"/>
      <c r="OU134" s="6"/>
      <c r="OV134" s="5" t="str">
        <f t="shared" si="550"/>
        <v>NO APLICA</v>
      </c>
      <c r="OW134" s="6"/>
      <c r="OX134" s="6"/>
      <c r="OY134" s="6"/>
      <c r="OZ134" s="6"/>
      <c r="PA134" s="5" t="str">
        <f t="shared" si="551"/>
        <v>NO APLICA</v>
      </c>
      <c r="PB134" s="6"/>
      <c r="PC134" s="6"/>
      <c r="PD134" s="6"/>
      <c r="PE134" s="6"/>
      <c r="PF134" s="5" t="str">
        <f t="shared" si="552"/>
        <v>NO APLICA</v>
      </c>
      <c r="PG134" s="6"/>
      <c r="PH134" s="6"/>
      <c r="PI134" s="6"/>
      <c r="PJ134" s="6"/>
      <c r="PK134" s="5" t="str">
        <f t="shared" si="553"/>
        <v>NO APLICA</v>
      </c>
      <c r="PL134" s="5"/>
      <c r="PM134" s="6"/>
      <c r="PN134" s="4"/>
      <c r="PO134" s="8"/>
      <c r="PP134" s="5" t="str">
        <f t="shared" si="554"/>
        <v>NO APLICA</v>
      </c>
      <c r="PQ134" s="6"/>
      <c r="PR134" s="6"/>
      <c r="PS134" s="6"/>
      <c r="PT134" s="6"/>
      <c r="PU134" s="5" t="str">
        <f t="shared" si="555"/>
        <v>NO APLICA</v>
      </c>
      <c r="PV134" s="5"/>
      <c r="PW134" s="6"/>
      <c r="PX134" s="6"/>
      <c r="PY134" s="6"/>
      <c r="PZ134" s="5" t="str">
        <f t="shared" si="556"/>
        <v>NO APLICA</v>
      </c>
    </row>
    <row r="135" spans="1:442" ht="15.6" hidden="1" thickTop="1" thickBot="1" x14ac:dyDescent="0.35">
      <c r="A135" s="26">
        <v>132</v>
      </c>
      <c r="B135" s="31">
        <v>1661</v>
      </c>
      <c r="C135" s="28" t="s">
        <v>443</v>
      </c>
      <c r="D135" s="29" t="s">
        <v>113</v>
      </c>
      <c r="E135" s="30" t="s">
        <v>174</v>
      </c>
      <c r="F135" s="5"/>
      <c r="G135" s="6"/>
      <c r="H135" s="4"/>
      <c r="I135" s="8"/>
      <c r="J135" s="5" t="str">
        <f t="shared" si="455"/>
        <v>NO APLICA</v>
      </c>
      <c r="K135" s="5"/>
      <c r="L135" s="6"/>
      <c r="M135" s="6"/>
      <c r="N135" s="8"/>
      <c r="O135" s="5" t="str">
        <f t="shared" si="456"/>
        <v>NO APLICA</v>
      </c>
      <c r="P135" s="6"/>
      <c r="Q135" s="6"/>
      <c r="R135" s="4"/>
      <c r="S135" s="8"/>
      <c r="T135" s="5" t="str">
        <f t="shared" si="557"/>
        <v>NO APLICA</v>
      </c>
      <c r="U135" s="5"/>
      <c r="V135" s="2" t="s">
        <v>444</v>
      </c>
      <c r="W135" s="4">
        <v>44944</v>
      </c>
      <c r="X135" s="4">
        <f t="shared" si="410"/>
        <v>46770</v>
      </c>
      <c r="Y135" s="8">
        <f t="shared" ca="1" si="411"/>
        <v>625</v>
      </c>
      <c r="Z135" s="5" t="str">
        <f t="shared" ca="1" si="412"/>
        <v>VIGENTE</v>
      </c>
      <c r="AA135" s="5"/>
      <c r="AB135" s="2"/>
      <c r="AC135" s="6"/>
      <c r="AD135" s="4"/>
      <c r="AE135" s="8"/>
      <c r="AF135" s="5" t="str">
        <f t="shared" si="457"/>
        <v>NO APLICA</v>
      </c>
      <c r="AG135" s="2"/>
      <c r="AH135" s="4">
        <v>45936</v>
      </c>
      <c r="AI135" s="4">
        <f t="shared" si="448"/>
        <v>46666</v>
      </c>
      <c r="AJ135" s="8">
        <f t="shared" ca="1" si="458"/>
        <v>521</v>
      </c>
      <c r="AK135" s="5" t="str">
        <f t="shared" ca="1" si="408"/>
        <v>VIGENTE</v>
      </c>
      <c r="AL135" s="2"/>
      <c r="AM135" s="4">
        <v>45926</v>
      </c>
      <c r="AN135" s="4">
        <f t="shared" si="449"/>
        <v>46656</v>
      </c>
      <c r="AO135" s="8">
        <f t="shared" ca="1" si="459"/>
        <v>511</v>
      </c>
      <c r="AP135" s="5" t="str">
        <f t="shared" ca="1" si="460"/>
        <v>VIGENTE</v>
      </c>
      <c r="AQ135" s="3"/>
      <c r="AR135" s="4">
        <v>45904</v>
      </c>
      <c r="AS135" s="4">
        <f t="shared" si="450"/>
        <v>46634</v>
      </c>
      <c r="AT135" s="8">
        <f t="shared" ca="1" si="461"/>
        <v>489</v>
      </c>
      <c r="AU135" s="5" t="str">
        <f t="shared" ca="1" si="462"/>
        <v>VIGENTE</v>
      </c>
      <c r="AV135" s="2"/>
      <c r="AW135" s="4">
        <v>45927</v>
      </c>
      <c r="AX135" s="4">
        <f t="shared" si="445"/>
        <v>46657</v>
      </c>
      <c r="AY135" s="8">
        <f t="shared" ca="1" si="463"/>
        <v>512</v>
      </c>
      <c r="AZ135" s="5" t="str">
        <f t="shared" ca="1" si="464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5"/>
        <v>528</v>
      </c>
      <c r="BE135" s="5" t="str">
        <f t="shared" ca="1" si="466"/>
        <v>VIGENTE</v>
      </c>
      <c r="BF135" s="3"/>
      <c r="BG135" s="4">
        <v>45880</v>
      </c>
      <c r="BH135" s="4">
        <f t="shared" si="446"/>
        <v>46610</v>
      </c>
      <c r="BI135" s="8">
        <f t="shared" ca="1" si="467"/>
        <v>465</v>
      </c>
      <c r="BJ135" s="5" t="str">
        <f t="shared" ca="1" si="468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9"/>
        <v>561</v>
      </c>
      <c r="BO135" s="5" t="str">
        <f t="shared" ca="1" si="470"/>
        <v>VIGENTE</v>
      </c>
      <c r="BP135" s="3"/>
      <c r="BQ135" s="39">
        <v>45981</v>
      </c>
      <c r="BR135" s="4">
        <f>DATE(YEAR(BQ135)+2,MONTH(BQ135),DAY(BQ135))</f>
        <v>46711</v>
      </c>
      <c r="BS135" s="8">
        <f t="shared" ca="1" si="471"/>
        <v>566</v>
      </c>
      <c r="BT135" s="5" t="str">
        <f t="shared" ca="1" si="472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3"/>
        <v>456</v>
      </c>
      <c r="BY135" s="5" t="str">
        <f t="shared" ca="1" si="474"/>
        <v>VIGENTE</v>
      </c>
      <c r="BZ135" s="2"/>
      <c r="CA135" s="4">
        <v>45911</v>
      </c>
      <c r="CB135" s="4">
        <f t="shared" si="447"/>
        <v>46641</v>
      </c>
      <c r="CC135" s="8">
        <f t="shared" ca="1" si="475"/>
        <v>496</v>
      </c>
      <c r="CD135" s="5" t="str">
        <f t="shared" ca="1" si="476"/>
        <v>VIGENTE</v>
      </c>
      <c r="CE135" s="6"/>
      <c r="CF135" s="4">
        <v>45832</v>
      </c>
      <c r="CG135" s="4">
        <f t="shared" si="416"/>
        <v>47293</v>
      </c>
      <c r="CH135" s="8">
        <f t="shared" ca="1" si="417"/>
        <v>1148</v>
      </c>
      <c r="CI135" s="5" t="str">
        <f t="shared" ca="1" si="418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7"/>
        <v>514</v>
      </c>
      <c r="CN135" s="5" t="str">
        <f t="shared" ca="1" si="478"/>
        <v>VIGENTE</v>
      </c>
      <c r="CO135" s="3"/>
      <c r="CP135" s="39">
        <v>45882</v>
      </c>
      <c r="CQ135" s="4">
        <f>DATE(YEAR(CP135)+2,MONTH(CP135),DAY(CP135))</f>
        <v>46612</v>
      </c>
      <c r="CR135" s="8">
        <f t="shared" ca="1" si="479"/>
        <v>467</v>
      </c>
      <c r="CS135" s="5" t="str">
        <f t="shared" ca="1" si="480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1"/>
        <v>398</v>
      </c>
      <c r="CX135" s="5" t="str">
        <f t="shared" ca="1" si="482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3"/>
        <v>574</v>
      </c>
      <c r="DC135" s="5" t="str">
        <f t="shared" ca="1" si="484"/>
        <v>VIGENTE</v>
      </c>
      <c r="DD135" s="3"/>
      <c r="DE135" s="39">
        <v>45996</v>
      </c>
      <c r="DF135" s="4">
        <f>DATE(YEAR(DE135)+2,MONTH(DE135),DAY(DE135))</f>
        <v>46726</v>
      </c>
      <c r="DG135" s="8">
        <f t="shared" ca="1" si="485"/>
        <v>581</v>
      </c>
      <c r="DH135" s="5" t="str">
        <f t="shared" ca="1" si="486"/>
        <v>VIGENTE</v>
      </c>
      <c r="DI135" s="3"/>
      <c r="DJ135" s="39">
        <v>45899</v>
      </c>
      <c r="DK135" s="4">
        <f>DATE(YEAR(DJ135)+2,MONTH(DJ135),DAY(DJ135))</f>
        <v>46629</v>
      </c>
      <c r="DL135" s="8">
        <f t="shared" ca="1" si="487"/>
        <v>484</v>
      </c>
      <c r="DM135" s="5" t="str">
        <f t="shared" ca="1" si="488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9"/>
        <v>315</v>
      </c>
      <c r="DR135" s="5" t="str">
        <f t="shared" ca="1" si="490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1"/>
        <v>603</v>
      </c>
      <c r="DW135" s="5" t="str">
        <f t="shared" ca="1" si="492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3"/>
        <v>605</v>
      </c>
      <c r="EB135" s="5" t="str">
        <f t="shared" ca="1" si="494"/>
        <v>VIGENTE</v>
      </c>
      <c r="EC135" s="3"/>
      <c r="ED135" s="39">
        <v>45913</v>
      </c>
      <c r="EE135" s="4">
        <f>DATE(YEAR(ED135)+2,MONTH(ED135),DAY(ED135))</f>
        <v>46643</v>
      </c>
      <c r="EF135" s="8">
        <f t="shared" ca="1" si="495"/>
        <v>498</v>
      </c>
      <c r="EG135" s="5" t="str">
        <f t="shared" ca="1" si="496"/>
        <v>VIGENTE</v>
      </c>
      <c r="EH135" s="3"/>
      <c r="EI135" s="3">
        <v>46002</v>
      </c>
      <c r="EJ135" s="4">
        <f t="shared" si="558"/>
        <v>46367</v>
      </c>
      <c r="EK135" s="8">
        <f t="shared" ca="1" si="497"/>
        <v>222</v>
      </c>
      <c r="EL135" s="5" t="str">
        <f t="shared" ca="1" si="498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9"/>
        <v>525</v>
      </c>
      <c r="EQ135" s="5" t="str">
        <f t="shared" ca="1" si="500"/>
        <v>VIGENTE</v>
      </c>
      <c r="ER135" s="2"/>
      <c r="ES135" s="39">
        <v>45999</v>
      </c>
      <c r="ET135" s="4">
        <f>DATE(YEAR(ES135)+2,MONTH(ES135),DAY(ES135))</f>
        <v>46729</v>
      </c>
      <c r="EU135" s="8">
        <f t="shared" ca="1" si="501"/>
        <v>584</v>
      </c>
      <c r="EV135" s="5" t="str">
        <f t="shared" ca="1" si="502"/>
        <v>VIGENTE</v>
      </c>
      <c r="EW135" s="2"/>
      <c r="EX135" s="4">
        <v>45917</v>
      </c>
      <c r="EY135" s="4">
        <f t="shared" si="451"/>
        <v>46647</v>
      </c>
      <c r="EZ135" s="8">
        <f t="shared" ca="1" si="503"/>
        <v>502</v>
      </c>
      <c r="FA135" s="5" t="str">
        <f t="shared" ca="1" si="504"/>
        <v>VIGENTE</v>
      </c>
      <c r="FB135" s="2"/>
      <c r="FC135" s="4">
        <v>45931</v>
      </c>
      <c r="FD135" s="4">
        <f t="shared" si="452"/>
        <v>46661</v>
      </c>
      <c r="FE135" s="8">
        <f t="shared" ca="1" si="505"/>
        <v>516</v>
      </c>
      <c r="FF135" s="5" t="str">
        <f t="shared" ca="1" si="506"/>
        <v>VIGENTE</v>
      </c>
      <c r="FG135" s="2"/>
      <c r="FH135" s="4">
        <v>45932</v>
      </c>
      <c r="FI135" s="4">
        <f t="shared" si="453"/>
        <v>46662</v>
      </c>
      <c r="FJ135" s="8">
        <f t="shared" ca="1" si="507"/>
        <v>517</v>
      </c>
      <c r="FK135" s="5" t="str">
        <f t="shared" ca="1" si="508"/>
        <v>VIGENTE</v>
      </c>
      <c r="FL135" s="3"/>
      <c r="FM135" s="39">
        <v>45933</v>
      </c>
      <c r="FN135" s="4">
        <f>DATE(YEAR(FM135)+2,MONTH(FM135),DAY(FM135))</f>
        <v>46663</v>
      </c>
      <c r="FO135" s="8">
        <f t="shared" ca="1" si="509"/>
        <v>518</v>
      </c>
      <c r="FP135" s="5" t="str">
        <f t="shared" ca="1" si="510"/>
        <v>VIGENTE</v>
      </c>
      <c r="FQ135" s="3"/>
      <c r="FR135" s="39">
        <v>45957</v>
      </c>
      <c r="FS135" s="4">
        <f>DATE(YEAR(FR135)+2,MONTH(FR135),DAY(FR135))</f>
        <v>46687</v>
      </c>
      <c r="FT135" s="8">
        <f t="shared" ca="1" si="511"/>
        <v>542</v>
      </c>
      <c r="FU135" s="5" t="str">
        <f t="shared" ca="1" si="512"/>
        <v>VIGENTE</v>
      </c>
      <c r="FV135" s="3"/>
      <c r="FW135" s="4">
        <v>45941</v>
      </c>
      <c r="FX135" s="4">
        <f t="shared" si="454"/>
        <v>46671</v>
      </c>
      <c r="FY135" s="8">
        <f t="shared" ca="1" si="513"/>
        <v>526</v>
      </c>
      <c r="FZ135" s="5" t="str">
        <f t="shared" ca="1" si="514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5"/>
        <v>418</v>
      </c>
      <c r="GE135" s="5" t="str">
        <f t="shared" ca="1" si="516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7"/>
        <v>545</v>
      </c>
      <c r="GJ135" s="5" t="str">
        <f t="shared" ca="1" si="518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9"/>
        <v>530</v>
      </c>
      <c r="GO135" s="5" t="str">
        <f t="shared" ca="1" si="520"/>
        <v>VIGENTE</v>
      </c>
      <c r="GP135" s="4"/>
      <c r="GQ135" s="4">
        <v>45244</v>
      </c>
      <c r="GR135" s="4">
        <f t="shared" si="521"/>
        <v>47071</v>
      </c>
      <c r="GS135" s="8">
        <f t="shared" ca="1" si="405"/>
        <v>926</v>
      </c>
      <c r="GT135" s="5" t="str">
        <f t="shared" ca="1" si="419"/>
        <v>VIGENTE</v>
      </c>
      <c r="GU135" s="3"/>
      <c r="GV135" s="4">
        <v>45267</v>
      </c>
      <c r="GW135" s="4">
        <f t="shared" si="522"/>
        <v>47094</v>
      </c>
      <c r="GX135" s="8">
        <f t="shared" ca="1" si="523"/>
        <v>949</v>
      </c>
      <c r="GY135" s="5" t="str">
        <f t="shared" ca="1" si="426"/>
        <v>VIGENTE</v>
      </c>
      <c r="GZ135" s="2"/>
      <c r="HA135" s="4">
        <v>45268</v>
      </c>
      <c r="HB135" s="4">
        <f t="shared" si="524"/>
        <v>47095</v>
      </c>
      <c r="HC135" s="8">
        <f t="shared" ca="1" si="525"/>
        <v>950</v>
      </c>
      <c r="HD135" s="5" t="str">
        <f t="shared" ca="1" si="421"/>
        <v>VIGENTE</v>
      </c>
      <c r="HE135" s="6"/>
      <c r="HF135" s="6"/>
      <c r="HG135" s="4"/>
      <c r="HH135" s="8"/>
      <c r="HI135" s="5" t="str">
        <f t="shared" si="427"/>
        <v>NO APLICA</v>
      </c>
      <c r="HJ135" s="2"/>
      <c r="HK135" s="6"/>
      <c r="HL135" s="4"/>
      <c r="HM135" s="8"/>
      <c r="HN135" s="5" t="str">
        <f t="shared" si="444"/>
        <v>NO APLICA</v>
      </c>
      <c r="HO135" s="2"/>
      <c r="HP135" s="2"/>
      <c r="HQ135" s="4"/>
      <c r="HR135" s="2"/>
      <c r="HS135" s="5" t="str">
        <f t="shared" si="526"/>
        <v>NO APLICA</v>
      </c>
      <c r="HT135" s="2"/>
      <c r="HU135" s="6"/>
      <c r="HV135" s="4"/>
      <c r="HW135" s="8"/>
      <c r="HX135" s="5" t="str">
        <f t="shared" si="527"/>
        <v>NO APLICA</v>
      </c>
      <c r="HY135" s="2"/>
      <c r="HZ135" s="6"/>
      <c r="IA135" s="4"/>
      <c r="IB135" s="8"/>
      <c r="IC135" s="5" t="str">
        <f t="shared" si="528"/>
        <v>NO APLICA</v>
      </c>
      <c r="ID135" s="2"/>
      <c r="IE135" s="6"/>
      <c r="IF135" s="4"/>
      <c r="IG135" s="8"/>
      <c r="IH135" s="5" t="str">
        <f t="shared" si="529"/>
        <v>NO APLICA</v>
      </c>
      <c r="II135" s="6"/>
      <c r="IJ135" s="6"/>
      <c r="IK135" s="4"/>
      <c r="IL135" s="8"/>
      <c r="IM135" s="5" t="str">
        <f t="shared" si="530"/>
        <v>NO APLICA</v>
      </c>
      <c r="IN135" s="2"/>
      <c r="IO135" s="6"/>
      <c r="IP135" s="4"/>
      <c r="IQ135" s="8"/>
      <c r="IR135" s="5" t="str">
        <f t="shared" si="531"/>
        <v>NO APLICA</v>
      </c>
      <c r="IS135" s="2"/>
      <c r="IT135" s="6"/>
      <c r="IU135" s="4"/>
      <c r="IV135" s="8"/>
      <c r="IW135" s="5" t="str">
        <f t="shared" si="532"/>
        <v>NO APLICA</v>
      </c>
      <c r="IX135" s="2"/>
      <c r="IY135" s="6"/>
      <c r="IZ135" s="4"/>
      <c r="JA135" s="8"/>
      <c r="JB135" s="5" t="str">
        <f t="shared" si="533"/>
        <v>NO APLICA</v>
      </c>
      <c r="JC135" s="3" t="s">
        <v>780</v>
      </c>
      <c r="JD135" s="3"/>
      <c r="JE135" s="4"/>
      <c r="JF135" s="8"/>
      <c r="JG135" s="5"/>
      <c r="JH135" s="3" t="s">
        <v>780</v>
      </c>
      <c r="JI135" s="6"/>
      <c r="JJ135" s="6"/>
      <c r="JK135" s="6"/>
      <c r="JL135" s="5"/>
      <c r="JM135" s="6" t="s">
        <v>780</v>
      </c>
      <c r="JN135" s="6"/>
      <c r="JO135" s="6"/>
      <c r="JP135" s="6"/>
      <c r="JQ135" s="5"/>
      <c r="JR135" s="6" t="s">
        <v>780</v>
      </c>
      <c r="JS135" s="6"/>
      <c r="JT135" s="6"/>
      <c r="JU135" s="6"/>
      <c r="JV135" s="5"/>
      <c r="JW135" s="6" t="s">
        <v>780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4"/>
        <v>NO APLICA</v>
      </c>
      <c r="KG135" s="5"/>
      <c r="KH135" s="2"/>
      <c r="KI135" s="4"/>
      <c r="KJ135" s="8"/>
      <c r="KK135" s="5" t="str">
        <f t="shared" si="559"/>
        <v>NO APLICA</v>
      </c>
      <c r="KL135" s="5"/>
      <c r="KM135" s="2"/>
      <c r="KN135" s="4"/>
      <c r="KO135" s="8"/>
      <c r="KP135" s="5" t="str">
        <f t="shared" si="535"/>
        <v>NO APLICA</v>
      </c>
      <c r="KQ135" s="5"/>
      <c r="KR135" s="2"/>
      <c r="KS135" s="4"/>
      <c r="KT135" s="8"/>
      <c r="KU135" s="5" t="str">
        <f t="shared" si="560"/>
        <v>NO APLICA</v>
      </c>
      <c r="KV135" s="2"/>
      <c r="KW135" s="6"/>
      <c r="KX135" s="4"/>
      <c r="KY135" s="8"/>
      <c r="KZ135" s="5" t="str">
        <f t="shared" si="565"/>
        <v>NO APLICA</v>
      </c>
      <c r="LA135" s="5"/>
      <c r="LB135" s="6"/>
      <c r="LC135" s="4"/>
      <c r="LD135" s="8"/>
      <c r="LE135" s="5" t="str">
        <f t="shared" si="561"/>
        <v>NO APLICA</v>
      </c>
      <c r="LF135" s="6"/>
      <c r="LG135" s="6"/>
      <c r="LH135" s="4"/>
      <c r="LI135" s="8"/>
      <c r="LJ135" s="5" t="str">
        <f t="shared" ref="LJ135:LJ166" si="567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6"/>
        <v>NO APLICA</v>
      </c>
      <c r="LP135" s="2"/>
      <c r="LQ135" s="6"/>
      <c r="LR135" s="4"/>
      <c r="LS135" s="8"/>
      <c r="LT135" s="5" t="str">
        <f t="shared" si="562"/>
        <v>NO APLICA</v>
      </c>
      <c r="LU135" s="6"/>
      <c r="LV135" s="6"/>
      <c r="LW135" s="4"/>
      <c r="LX135" s="8"/>
      <c r="LY135" s="5" t="str">
        <f t="shared" si="563"/>
        <v>NO APLICA</v>
      </c>
      <c r="LZ135" s="6"/>
      <c r="MA135" s="6"/>
      <c r="MB135" s="4"/>
      <c r="MC135" s="8"/>
      <c r="MD135" s="5" t="str">
        <f t="shared" si="564"/>
        <v>NO APLICA</v>
      </c>
      <c r="ME135" s="2"/>
      <c r="MF135" s="2"/>
      <c r="MG135" s="4"/>
      <c r="MH135" s="8"/>
      <c r="MI135" s="5" t="str">
        <f t="shared" si="537"/>
        <v>NO APLICA</v>
      </c>
      <c r="MJ135" s="2"/>
      <c r="MK135" s="2"/>
      <c r="ML135" s="4"/>
      <c r="MM135" s="8"/>
      <c r="MN135" s="5" t="str">
        <f t="shared" si="538"/>
        <v>NO APLICA</v>
      </c>
      <c r="MO135" s="5"/>
      <c r="MP135" s="2"/>
      <c r="MQ135" s="4"/>
      <c r="MR135" s="8"/>
      <c r="MS135" s="5" t="str">
        <f t="shared" si="539"/>
        <v>NO APLICA</v>
      </c>
      <c r="MT135" s="5"/>
      <c r="MU135" s="2"/>
      <c r="MV135" s="4"/>
      <c r="MW135" s="2"/>
      <c r="MX135" s="5" t="str">
        <f t="shared" si="540"/>
        <v>NO APLICA</v>
      </c>
      <c r="MY135" s="2"/>
      <c r="MZ135" s="6"/>
      <c r="NA135" s="4"/>
      <c r="NB135" s="8"/>
      <c r="NC135" s="5" t="str">
        <f t="shared" si="541"/>
        <v>NO APLICA</v>
      </c>
      <c r="ND135" s="2"/>
      <c r="NE135" s="6"/>
      <c r="NF135" s="4"/>
      <c r="NG135" s="8"/>
      <c r="NH135" s="5" t="str">
        <f t="shared" si="542"/>
        <v>NO APLICA</v>
      </c>
      <c r="NI135" s="2"/>
      <c r="NJ135" s="6"/>
      <c r="NK135" s="4"/>
      <c r="NL135" s="8"/>
      <c r="NM135" s="5" t="str">
        <f t="shared" si="543"/>
        <v>NO APLICA</v>
      </c>
      <c r="NN135" s="2"/>
      <c r="NO135" s="2"/>
      <c r="NP135" s="4"/>
      <c r="NQ135" s="8"/>
      <c r="NR135" s="5" t="str">
        <f t="shared" si="544"/>
        <v>NO APLICA</v>
      </c>
      <c r="NS135" s="2"/>
      <c r="NT135" s="2"/>
      <c r="NU135" s="4"/>
      <c r="NV135" s="2"/>
      <c r="NW135" s="5" t="str">
        <f t="shared" si="545"/>
        <v>NO APLICA</v>
      </c>
      <c r="NX135" s="6"/>
      <c r="NY135" s="6"/>
      <c r="NZ135" s="4"/>
      <c r="OA135" s="8"/>
      <c r="OB135" s="5" t="str">
        <f t="shared" si="546"/>
        <v>NO APLICA</v>
      </c>
      <c r="OC135" s="6"/>
      <c r="OD135" s="6"/>
      <c r="OE135" s="6"/>
      <c r="OF135" s="6"/>
      <c r="OG135" s="5" t="str">
        <f t="shared" si="547"/>
        <v>NO APLICA</v>
      </c>
      <c r="OH135" s="2"/>
      <c r="OI135" s="2"/>
      <c r="OJ135" s="4"/>
      <c r="OK135" s="8"/>
      <c r="OL135" s="5" t="str">
        <f t="shared" si="548"/>
        <v>NO APLICA</v>
      </c>
      <c r="OM135" s="6"/>
      <c r="ON135" s="6"/>
      <c r="OO135" s="6"/>
      <c r="OP135" s="6"/>
      <c r="OQ135" s="5" t="str">
        <f t="shared" si="549"/>
        <v>NO APLICA</v>
      </c>
      <c r="OR135" s="6"/>
      <c r="OS135" s="6"/>
      <c r="OT135" s="6"/>
      <c r="OU135" s="6"/>
      <c r="OV135" s="5" t="str">
        <f t="shared" si="550"/>
        <v>NO APLICA</v>
      </c>
      <c r="OW135" s="6"/>
      <c r="OX135" s="6"/>
      <c r="OY135" s="6"/>
      <c r="OZ135" s="6"/>
      <c r="PA135" s="5" t="str">
        <f t="shared" si="551"/>
        <v>NO APLICA</v>
      </c>
      <c r="PB135" s="6"/>
      <c r="PC135" s="6"/>
      <c r="PD135" s="6"/>
      <c r="PE135" s="6"/>
      <c r="PF135" s="5" t="str">
        <f t="shared" si="552"/>
        <v>NO APLICA</v>
      </c>
      <c r="PG135" s="6"/>
      <c r="PH135" s="6"/>
      <c r="PI135" s="6"/>
      <c r="PJ135" s="6"/>
      <c r="PK135" s="5" t="str">
        <f t="shared" si="553"/>
        <v>NO APLICA</v>
      </c>
      <c r="PL135" s="5"/>
      <c r="PM135" s="6"/>
      <c r="PN135" s="4"/>
      <c r="PO135" s="8"/>
      <c r="PP135" s="5" t="str">
        <f t="shared" si="554"/>
        <v>NO APLICA</v>
      </c>
      <c r="PQ135" s="6"/>
      <c r="PR135" s="6"/>
      <c r="PS135" s="6"/>
      <c r="PT135" s="6"/>
      <c r="PU135" s="5" t="str">
        <f t="shared" si="555"/>
        <v>NO APLICA</v>
      </c>
      <c r="PV135" s="5"/>
      <c r="PW135" s="6"/>
      <c r="PX135" s="6"/>
      <c r="PY135" s="6"/>
      <c r="PZ135" s="5" t="str">
        <f t="shared" si="556"/>
        <v>NO APLICA</v>
      </c>
    </row>
    <row r="136" spans="1:442" ht="15.6" hidden="1" thickTop="1" thickBot="1" x14ac:dyDescent="0.35">
      <c r="A136" s="26">
        <v>133</v>
      </c>
      <c r="B136" s="27">
        <v>1310</v>
      </c>
      <c r="C136" s="28" t="s">
        <v>445</v>
      </c>
      <c r="D136" s="29" t="s">
        <v>113</v>
      </c>
      <c r="E136" s="30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5"/>
        <v>VIGENTE</v>
      </c>
      <c r="K136" s="2"/>
      <c r="L136" s="6"/>
      <c r="M136" s="6"/>
      <c r="N136" s="8"/>
      <c r="O136" s="5" t="str">
        <f t="shared" si="456"/>
        <v>NO APLICA</v>
      </c>
      <c r="P136" s="6"/>
      <c r="Q136" s="6"/>
      <c r="R136" s="4"/>
      <c r="S136" s="8"/>
      <c r="T136" s="5" t="str">
        <f t="shared" si="557"/>
        <v>NO APLICA</v>
      </c>
      <c r="U136" s="5"/>
      <c r="V136" s="2" t="s">
        <v>446</v>
      </c>
      <c r="W136" s="4">
        <v>45735</v>
      </c>
      <c r="X136" s="4">
        <f t="shared" si="410"/>
        <v>47561</v>
      </c>
      <c r="Y136" s="8">
        <f t="shared" ca="1" si="411"/>
        <v>1416</v>
      </c>
      <c r="Z136" s="5" t="str">
        <f t="shared" ca="1" si="412"/>
        <v>VIGENTE</v>
      </c>
      <c r="AA136" s="5"/>
      <c r="AB136" s="2"/>
      <c r="AC136" s="6"/>
      <c r="AD136" s="4"/>
      <c r="AE136" s="8"/>
      <c r="AF136" s="5" t="str">
        <f t="shared" si="457"/>
        <v>NO APLICA</v>
      </c>
      <c r="AG136" s="3"/>
      <c r="AH136" s="4">
        <v>45902</v>
      </c>
      <c r="AI136" s="4">
        <f t="shared" si="448"/>
        <v>46632</v>
      </c>
      <c r="AJ136" s="8">
        <f t="shared" ca="1" si="458"/>
        <v>487</v>
      </c>
      <c r="AK136" s="5" t="str">
        <f t="shared" ca="1" si="408"/>
        <v>VIGENTE</v>
      </c>
      <c r="AL136" s="3"/>
      <c r="AM136" s="4">
        <v>45926</v>
      </c>
      <c r="AN136" s="4">
        <f t="shared" si="449"/>
        <v>46656</v>
      </c>
      <c r="AO136" s="8">
        <f t="shared" ca="1" si="459"/>
        <v>511</v>
      </c>
      <c r="AP136" s="5" t="str">
        <f t="shared" ca="1" si="460"/>
        <v>VIGENTE</v>
      </c>
      <c r="AQ136" s="3"/>
      <c r="AR136" s="4">
        <v>45967</v>
      </c>
      <c r="AS136" s="4">
        <f t="shared" si="450"/>
        <v>46697</v>
      </c>
      <c r="AT136" s="8">
        <f t="shared" ca="1" si="461"/>
        <v>552</v>
      </c>
      <c r="AU136" s="5" t="str">
        <f t="shared" ca="1" si="462"/>
        <v>VIGENTE</v>
      </c>
      <c r="AV136" s="3"/>
      <c r="AW136" s="4">
        <v>45927</v>
      </c>
      <c r="AX136" s="4">
        <f t="shared" si="445"/>
        <v>46657</v>
      </c>
      <c r="AY136" s="8">
        <f t="shared" ca="1" si="463"/>
        <v>512</v>
      </c>
      <c r="AZ136" s="5" t="str">
        <f t="shared" ca="1" si="464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5"/>
        <v>206</v>
      </c>
      <c r="BE136" s="5" t="str">
        <f t="shared" ca="1" si="466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7"/>
        <v>282</v>
      </c>
      <c r="BJ136" s="5" t="str">
        <f t="shared" ca="1" si="468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9"/>
        <v>184</v>
      </c>
      <c r="BO136" s="5" t="str">
        <f t="shared" ca="1" si="470"/>
        <v>VIGENTE</v>
      </c>
      <c r="BP136" s="3"/>
      <c r="BQ136" s="39">
        <v>45621</v>
      </c>
      <c r="BR136" s="4">
        <f>DATE(YEAR(BQ136)+2,MONTH(BQ136),DAY(BQ136)-1)</f>
        <v>46350</v>
      </c>
      <c r="BS136" s="8">
        <f t="shared" ca="1" si="471"/>
        <v>205</v>
      </c>
      <c r="BT136" s="5" t="str">
        <f t="shared" ca="1" si="472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3"/>
        <v>152</v>
      </c>
      <c r="BY136" s="5" t="str">
        <f t="shared" ca="1" si="474"/>
        <v>VIGENTE</v>
      </c>
      <c r="BZ136" s="3"/>
      <c r="CA136" s="4">
        <v>45944</v>
      </c>
      <c r="CB136" s="4">
        <f t="shared" si="447"/>
        <v>46674</v>
      </c>
      <c r="CC136" s="8">
        <f t="shared" ca="1" si="475"/>
        <v>529</v>
      </c>
      <c r="CD136" s="5" t="str">
        <f t="shared" ca="1" si="476"/>
        <v>VIGENTE</v>
      </c>
      <c r="CE136" s="6"/>
      <c r="CF136" s="4">
        <v>45529</v>
      </c>
      <c r="CG136" s="4">
        <f t="shared" si="416"/>
        <v>46990</v>
      </c>
      <c r="CH136" s="8">
        <f t="shared" ca="1" si="417"/>
        <v>845</v>
      </c>
      <c r="CI136" s="5" t="str">
        <f t="shared" ca="1" si="418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7"/>
        <v>362</v>
      </c>
      <c r="CN136" s="5" t="str">
        <f t="shared" ca="1" si="478"/>
        <v>VIGENTE</v>
      </c>
      <c r="CO136" s="3"/>
      <c r="CP136" s="39">
        <v>45769</v>
      </c>
      <c r="CQ136" s="4">
        <f>DATE(YEAR(CP136)+2,MONTH(CP136),DAY(CP136))</f>
        <v>46499</v>
      </c>
      <c r="CR136" s="8">
        <f t="shared" ca="1" si="479"/>
        <v>354</v>
      </c>
      <c r="CS136" s="5" t="str">
        <f t="shared" ca="1" si="480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1"/>
        <v>490</v>
      </c>
      <c r="CX136" s="5" t="str">
        <f t="shared" ca="1" si="482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3"/>
        <v>420</v>
      </c>
      <c r="DC136" s="5" t="str">
        <f t="shared" ca="1" si="484"/>
        <v>VIGENTE</v>
      </c>
      <c r="DD136" s="3"/>
      <c r="DE136" s="39">
        <v>45723</v>
      </c>
      <c r="DF136" s="4">
        <f>DATE(YEAR(DE136)+2,MONTH(DE136),DAY(DE136)-1)</f>
        <v>46452</v>
      </c>
      <c r="DG136" s="8">
        <f t="shared" ca="1" si="485"/>
        <v>307</v>
      </c>
      <c r="DH136" s="5" t="str">
        <f t="shared" ca="1" si="486"/>
        <v>VIGENTE</v>
      </c>
      <c r="DI136" s="3"/>
      <c r="DJ136" s="39">
        <v>45899</v>
      </c>
      <c r="DK136" s="4">
        <f>DATE(YEAR(DJ136)+2,MONTH(DJ136),DAY(DJ136))</f>
        <v>46629</v>
      </c>
      <c r="DL136" s="8">
        <f t="shared" ca="1" si="487"/>
        <v>484</v>
      </c>
      <c r="DM136" s="5" t="str">
        <f t="shared" ca="1" si="488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9"/>
        <v>592</v>
      </c>
      <c r="DR136" s="5" t="str">
        <f t="shared" ca="1" si="490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1"/>
        <v>327</v>
      </c>
      <c r="DW136" s="5" t="str">
        <f t="shared" ca="1" si="492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3"/>
        <v>335</v>
      </c>
      <c r="EB136" s="5" t="str">
        <f t="shared" ca="1" si="494"/>
        <v>VIGENTE</v>
      </c>
      <c r="EC136" s="3"/>
      <c r="ED136" s="39">
        <v>45730</v>
      </c>
      <c r="EE136" s="4">
        <f>DATE(YEAR(ED136)+2,MONTH(ED136),DAY(ED136)-1)</f>
        <v>46459</v>
      </c>
      <c r="EF136" s="8">
        <f t="shared" ca="1" si="495"/>
        <v>314</v>
      </c>
      <c r="EG136" s="5" t="str">
        <f t="shared" ca="1" si="496"/>
        <v>VIGENTE</v>
      </c>
      <c r="EH136" s="3"/>
      <c r="EI136" s="3">
        <v>46060</v>
      </c>
      <c r="EJ136" s="4">
        <f t="shared" si="558"/>
        <v>46425</v>
      </c>
      <c r="EK136" s="8">
        <f t="shared" ca="1" si="497"/>
        <v>280</v>
      </c>
      <c r="EL136" s="5" t="str">
        <f t="shared" ca="1" si="498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9"/>
        <v>289</v>
      </c>
      <c r="EQ136" s="5" t="str">
        <f t="shared" ca="1" si="500"/>
        <v>VIGENTE</v>
      </c>
      <c r="ER136" s="3"/>
      <c r="ES136" s="39">
        <v>45677</v>
      </c>
      <c r="ET136" s="4">
        <f>DATE(YEAR(ES136)+2,MONTH(ES136),DAY(ES136)-1)</f>
        <v>46406</v>
      </c>
      <c r="EU136" s="8">
        <f t="shared" ca="1" si="501"/>
        <v>261</v>
      </c>
      <c r="EV136" s="5" t="str">
        <f t="shared" ca="1" si="502"/>
        <v>VIGENTE</v>
      </c>
      <c r="EW136" s="3"/>
      <c r="EX136" s="4">
        <v>45917</v>
      </c>
      <c r="EY136" s="4">
        <f t="shared" si="451"/>
        <v>46647</v>
      </c>
      <c r="EZ136" s="8">
        <f t="shared" ca="1" si="503"/>
        <v>502</v>
      </c>
      <c r="FA136" s="5" t="str">
        <f t="shared" ca="1" si="504"/>
        <v>VIGENTE</v>
      </c>
      <c r="FB136" s="3"/>
      <c r="FC136" s="4">
        <v>45988</v>
      </c>
      <c r="FD136" s="4">
        <f t="shared" si="452"/>
        <v>46718</v>
      </c>
      <c r="FE136" s="8">
        <f t="shared" ca="1" si="505"/>
        <v>573</v>
      </c>
      <c r="FF136" s="5" t="str">
        <f t="shared" ca="1" si="506"/>
        <v>VIGENTE</v>
      </c>
      <c r="FG136" s="3"/>
      <c r="FH136" s="4">
        <v>45832</v>
      </c>
      <c r="FI136" s="4">
        <f t="shared" si="453"/>
        <v>46562</v>
      </c>
      <c r="FJ136" s="8">
        <f t="shared" ca="1" si="507"/>
        <v>417</v>
      </c>
      <c r="FK136" s="5" t="str">
        <f t="shared" ca="1" si="508"/>
        <v>VIGENTE</v>
      </c>
      <c r="FL136" s="3"/>
      <c r="FM136" s="39">
        <v>45670</v>
      </c>
      <c r="FN136" s="4">
        <f>DATE(YEAR(FM136)+2,MONTH(FM136),DAY(FM136)-1)</f>
        <v>46399</v>
      </c>
      <c r="FO136" s="8">
        <f t="shared" ca="1" si="509"/>
        <v>254</v>
      </c>
      <c r="FP136" s="5" t="str">
        <f t="shared" ca="1" si="510"/>
        <v>VIGENTE</v>
      </c>
      <c r="FQ136" s="3"/>
      <c r="FR136" s="39">
        <v>45605</v>
      </c>
      <c r="FS136" s="4">
        <f>DATE(YEAR(FR136)+2,MONTH(FR136),DAY(FR136)-1)</f>
        <v>46334</v>
      </c>
      <c r="FT136" s="8">
        <f t="shared" ca="1" si="511"/>
        <v>189</v>
      </c>
      <c r="FU136" s="5" t="str">
        <f t="shared" ca="1" si="512"/>
        <v>VIGENTE</v>
      </c>
      <c r="FV136" s="3"/>
      <c r="FW136" s="4">
        <v>45993</v>
      </c>
      <c r="FX136" s="4">
        <f t="shared" si="454"/>
        <v>46723</v>
      </c>
      <c r="FY136" s="8">
        <f t="shared" ca="1" si="513"/>
        <v>578</v>
      </c>
      <c r="FZ136" s="5" t="str">
        <f t="shared" ca="1" si="514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5"/>
        <v>341</v>
      </c>
      <c r="GE136" s="5" t="str">
        <f t="shared" ca="1" si="516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7"/>
        <v>315</v>
      </c>
      <c r="GJ136" s="5" t="str">
        <f t="shared" ca="1" si="518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9"/>
        <v>271</v>
      </c>
      <c r="GO136" s="5" t="str">
        <f t="shared" ca="1" si="520"/>
        <v>VIGENTE</v>
      </c>
      <c r="GP136" s="4"/>
      <c r="GQ136" s="4">
        <v>45072</v>
      </c>
      <c r="GR136" s="4">
        <f t="shared" si="521"/>
        <v>46899</v>
      </c>
      <c r="GS136" s="8">
        <f t="shared" ca="1" si="405"/>
        <v>754</v>
      </c>
      <c r="GT136" s="5" t="str">
        <f t="shared" ca="1" si="419"/>
        <v>VIGENTE</v>
      </c>
      <c r="GU136" s="3"/>
      <c r="GV136" s="4">
        <v>44952</v>
      </c>
      <c r="GW136" s="4">
        <f t="shared" si="522"/>
        <v>46778</v>
      </c>
      <c r="GX136" s="8">
        <f t="shared" ca="1" si="523"/>
        <v>633</v>
      </c>
      <c r="GY136" s="5" t="str">
        <f t="shared" ca="1" si="426"/>
        <v>VIGENTE</v>
      </c>
      <c r="GZ136" s="2"/>
      <c r="HA136" s="4">
        <v>45016</v>
      </c>
      <c r="HB136" s="4">
        <f t="shared" si="524"/>
        <v>46843</v>
      </c>
      <c r="HC136" s="8">
        <f t="shared" ca="1" si="525"/>
        <v>698</v>
      </c>
      <c r="HD136" s="5" t="str">
        <f t="shared" ca="1" si="421"/>
        <v>VIGENTE</v>
      </c>
      <c r="HE136" s="6"/>
      <c r="HF136" s="6"/>
      <c r="HG136" s="4"/>
      <c r="HH136" s="8"/>
      <c r="HI136" s="5" t="str">
        <f t="shared" si="427"/>
        <v>NO APLICA</v>
      </c>
      <c r="HJ136" s="2"/>
      <c r="HK136" s="6"/>
      <c r="HL136" s="4"/>
      <c r="HM136" s="8"/>
      <c r="HN136" s="5" t="str">
        <f t="shared" si="444"/>
        <v>NO APLICA</v>
      </c>
      <c r="HO136" s="2"/>
      <c r="HP136" s="2"/>
      <c r="HQ136" s="4"/>
      <c r="HR136" s="2"/>
      <c r="HS136" s="5" t="str">
        <f t="shared" si="526"/>
        <v>NO APLICA</v>
      </c>
      <c r="HT136" s="2"/>
      <c r="HU136" s="6"/>
      <c r="HV136" s="4"/>
      <c r="HW136" s="8"/>
      <c r="HX136" s="5" t="str">
        <f t="shared" si="527"/>
        <v>NO APLICA</v>
      </c>
      <c r="HY136" s="2"/>
      <c r="HZ136" s="6"/>
      <c r="IA136" s="4"/>
      <c r="IB136" s="8"/>
      <c r="IC136" s="5" t="str">
        <f t="shared" si="528"/>
        <v>NO APLICA</v>
      </c>
      <c r="ID136" s="2"/>
      <c r="IE136" s="6"/>
      <c r="IF136" s="4"/>
      <c r="IG136" s="8"/>
      <c r="IH136" s="5" t="str">
        <f t="shared" si="529"/>
        <v>NO APLICA</v>
      </c>
      <c r="II136" s="6"/>
      <c r="IJ136" s="6"/>
      <c r="IK136" s="4"/>
      <c r="IL136" s="8"/>
      <c r="IM136" s="5" t="str">
        <f t="shared" si="530"/>
        <v>NO APLICA</v>
      </c>
      <c r="IN136" s="2"/>
      <c r="IO136" s="6"/>
      <c r="IP136" s="4"/>
      <c r="IQ136" s="8"/>
      <c r="IR136" s="5" t="str">
        <f t="shared" si="531"/>
        <v>NO APLICA</v>
      </c>
      <c r="IS136" s="2"/>
      <c r="IT136" s="6"/>
      <c r="IU136" s="4"/>
      <c r="IV136" s="8"/>
      <c r="IW136" s="5" t="str">
        <f t="shared" si="532"/>
        <v>NO APLICA</v>
      </c>
      <c r="IX136" s="2"/>
      <c r="IY136" s="6"/>
      <c r="IZ136" s="4"/>
      <c r="JA136" s="8"/>
      <c r="JB136" s="5" t="str">
        <f t="shared" si="533"/>
        <v>NO APLICA</v>
      </c>
      <c r="JC136" s="3" t="s">
        <v>780</v>
      </c>
      <c r="JD136" s="3"/>
      <c r="JE136" s="4"/>
      <c r="JF136" s="8"/>
      <c r="JG136" s="5"/>
      <c r="JH136" s="3" t="s">
        <v>780</v>
      </c>
      <c r="JI136" s="6"/>
      <c r="JJ136" s="6"/>
      <c r="JK136" s="6"/>
      <c r="JL136" s="5"/>
      <c r="JM136" s="6" t="s">
        <v>780</v>
      </c>
      <c r="JN136" s="6"/>
      <c r="JO136" s="6"/>
      <c r="JP136" s="6"/>
      <c r="JQ136" s="5"/>
      <c r="JR136" s="6" t="s">
        <v>780</v>
      </c>
      <c r="JS136" s="6"/>
      <c r="JT136" s="6"/>
      <c r="JU136" s="6"/>
      <c r="JV136" s="5"/>
      <c r="JW136" s="6" t="s">
        <v>780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4"/>
        <v>NO APLICA</v>
      </c>
      <c r="KG136" s="5"/>
      <c r="KH136" s="2"/>
      <c r="KI136" s="4"/>
      <c r="KJ136" s="8"/>
      <c r="KK136" s="5" t="str">
        <f t="shared" si="559"/>
        <v>NO APLICA</v>
      </c>
      <c r="KL136" s="5"/>
      <c r="KM136" s="2"/>
      <c r="KN136" s="4"/>
      <c r="KO136" s="8"/>
      <c r="KP136" s="5" t="str">
        <f t="shared" si="535"/>
        <v>NO APLICA</v>
      </c>
      <c r="KQ136" s="5"/>
      <c r="KR136" s="2"/>
      <c r="KS136" s="4"/>
      <c r="KT136" s="8"/>
      <c r="KU136" s="5" t="str">
        <f t="shared" si="560"/>
        <v>NO APLICA</v>
      </c>
      <c r="KV136" s="2"/>
      <c r="KW136" s="6"/>
      <c r="KX136" s="4"/>
      <c r="KY136" s="8"/>
      <c r="KZ136" s="5" t="str">
        <f t="shared" si="565"/>
        <v>NO APLICA</v>
      </c>
      <c r="LA136" s="5"/>
      <c r="LB136" s="6"/>
      <c r="LC136" s="4"/>
      <c r="LD136" s="8"/>
      <c r="LE136" s="5" t="str">
        <f t="shared" si="561"/>
        <v>NO APLICA</v>
      </c>
      <c r="LF136" s="6"/>
      <c r="LG136" s="6"/>
      <c r="LH136" s="4"/>
      <c r="LI136" s="8"/>
      <c r="LJ136" s="5" t="str">
        <f t="shared" si="567"/>
        <v>NO APLICA</v>
      </c>
      <c r="LK136" s="5"/>
      <c r="LL136" s="5"/>
      <c r="LM136" s="4"/>
      <c r="LN136" s="8"/>
      <c r="LO136" s="5" t="str">
        <f t="shared" si="566"/>
        <v>NO APLICA</v>
      </c>
      <c r="LP136" s="2"/>
      <c r="LQ136" s="6"/>
      <c r="LR136" s="4"/>
      <c r="LS136" s="8"/>
      <c r="LT136" s="5" t="str">
        <f t="shared" si="562"/>
        <v>NO APLICA</v>
      </c>
      <c r="LU136" s="6"/>
      <c r="LV136" s="6"/>
      <c r="LW136" s="4"/>
      <c r="LX136" s="8"/>
      <c r="LY136" s="5" t="str">
        <f t="shared" si="563"/>
        <v>NO APLICA</v>
      </c>
      <c r="LZ136" s="6"/>
      <c r="MA136" s="6"/>
      <c r="MB136" s="4"/>
      <c r="MC136" s="8"/>
      <c r="MD136" s="5" t="str">
        <f t="shared" si="564"/>
        <v>NO APLICA</v>
      </c>
      <c r="ME136" s="2"/>
      <c r="MF136" s="2"/>
      <c r="MG136" s="4"/>
      <c r="MH136" s="8"/>
      <c r="MI136" s="5" t="str">
        <f t="shared" si="537"/>
        <v>NO APLICA</v>
      </c>
      <c r="MJ136" s="2"/>
      <c r="MK136" s="2"/>
      <c r="ML136" s="4"/>
      <c r="MM136" s="8"/>
      <c r="MN136" s="5" t="str">
        <f t="shared" si="538"/>
        <v>NO APLICA</v>
      </c>
      <c r="MO136" s="5"/>
      <c r="MP136" s="2"/>
      <c r="MQ136" s="4"/>
      <c r="MR136" s="8"/>
      <c r="MS136" s="5" t="str">
        <f t="shared" si="539"/>
        <v>NO APLICA</v>
      </c>
      <c r="MT136" s="5"/>
      <c r="MU136" s="2"/>
      <c r="MV136" s="4"/>
      <c r="MW136" s="2"/>
      <c r="MX136" s="5" t="str">
        <f t="shared" si="540"/>
        <v>NO APLICA</v>
      </c>
      <c r="MY136" s="2"/>
      <c r="MZ136" s="6"/>
      <c r="NA136" s="4"/>
      <c r="NB136" s="8"/>
      <c r="NC136" s="5" t="str">
        <f t="shared" si="541"/>
        <v>NO APLICA</v>
      </c>
      <c r="ND136" s="2"/>
      <c r="NE136" s="6"/>
      <c r="NF136" s="4"/>
      <c r="NG136" s="8"/>
      <c r="NH136" s="5" t="str">
        <f t="shared" si="542"/>
        <v>NO APLICA</v>
      </c>
      <c r="NI136" s="2"/>
      <c r="NJ136" s="6"/>
      <c r="NK136" s="4"/>
      <c r="NL136" s="8"/>
      <c r="NM136" s="5" t="str">
        <f t="shared" si="543"/>
        <v>NO APLICA</v>
      </c>
      <c r="NN136" s="2"/>
      <c r="NO136" s="2"/>
      <c r="NP136" s="4"/>
      <c r="NQ136" s="8"/>
      <c r="NR136" s="5" t="str">
        <f t="shared" si="544"/>
        <v>NO APLICA</v>
      </c>
      <c r="NS136" s="2"/>
      <c r="NT136" s="2"/>
      <c r="NU136" s="4"/>
      <c r="NV136" s="2"/>
      <c r="NW136" s="5" t="str">
        <f t="shared" si="545"/>
        <v>NO APLICA</v>
      </c>
      <c r="NX136" s="6"/>
      <c r="NY136" s="6"/>
      <c r="NZ136" s="4"/>
      <c r="OA136" s="8"/>
      <c r="OB136" s="5" t="str">
        <f t="shared" si="546"/>
        <v>NO APLICA</v>
      </c>
      <c r="OC136" s="6"/>
      <c r="OD136" s="6"/>
      <c r="OE136" s="6"/>
      <c r="OF136" s="6"/>
      <c r="OG136" s="5" t="str">
        <f t="shared" si="547"/>
        <v>NO APLICA</v>
      </c>
      <c r="OH136" s="2"/>
      <c r="OI136" s="2"/>
      <c r="OJ136" s="4"/>
      <c r="OK136" s="8"/>
      <c r="OL136" s="5" t="str">
        <f t="shared" si="548"/>
        <v>NO APLICA</v>
      </c>
      <c r="OM136" s="6"/>
      <c r="ON136" s="6"/>
      <c r="OO136" s="6"/>
      <c r="OP136" s="6"/>
      <c r="OQ136" s="5" t="str">
        <f t="shared" si="549"/>
        <v>NO APLICA</v>
      </c>
      <c r="OR136" s="6"/>
      <c r="OS136" s="6"/>
      <c r="OT136" s="6"/>
      <c r="OU136" s="6"/>
      <c r="OV136" s="5" t="str">
        <f t="shared" si="550"/>
        <v>NO APLICA</v>
      </c>
      <c r="OW136" s="6"/>
      <c r="OX136" s="6"/>
      <c r="OY136" s="6"/>
      <c r="OZ136" s="6"/>
      <c r="PA136" s="5" t="str">
        <f t="shared" si="551"/>
        <v>NO APLICA</v>
      </c>
      <c r="PB136" s="6"/>
      <c r="PC136" s="6"/>
      <c r="PD136" s="6"/>
      <c r="PE136" s="6"/>
      <c r="PF136" s="5" t="str">
        <f t="shared" si="552"/>
        <v>NO APLICA</v>
      </c>
      <c r="PG136" s="6"/>
      <c r="PH136" s="6"/>
      <c r="PI136" s="6"/>
      <c r="PJ136" s="6"/>
      <c r="PK136" s="5" t="str">
        <f t="shared" si="553"/>
        <v>NO APLICA</v>
      </c>
      <c r="PL136" s="5"/>
      <c r="PM136" s="6"/>
      <c r="PN136" s="4"/>
      <c r="PO136" s="8"/>
      <c r="PP136" s="5" t="str">
        <f t="shared" si="554"/>
        <v>NO APLICA</v>
      </c>
      <c r="PQ136" s="6"/>
      <c r="PR136" s="6"/>
      <c r="PS136" s="6"/>
      <c r="PT136" s="6"/>
      <c r="PU136" s="5" t="str">
        <f t="shared" si="555"/>
        <v>NO APLICA</v>
      </c>
      <c r="PV136" s="5"/>
      <c r="PW136" s="6"/>
      <c r="PX136" s="6"/>
      <c r="PY136" s="6"/>
      <c r="PZ136" s="5" t="str">
        <f t="shared" si="556"/>
        <v>NO APLICA</v>
      </c>
    </row>
    <row r="137" spans="1:442" ht="15.6" hidden="1" thickTop="1" thickBot="1" x14ac:dyDescent="0.35">
      <c r="A137" s="26">
        <v>134</v>
      </c>
      <c r="B137" s="31">
        <v>1693</v>
      </c>
      <c r="C137" s="28" t="s">
        <v>447</v>
      </c>
      <c r="D137" s="29" t="s">
        <v>68</v>
      </c>
      <c r="E137" s="30" t="s">
        <v>73</v>
      </c>
      <c r="F137" s="5"/>
      <c r="G137" s="6"/>
      <c r="H137" s="4"/>
      <c r="I137" s="8"/>
      <c r="J137" s="5" t="str">
        <f t="shared" si="455"/>
        <v>NO APLICA</v>
      </c>
      <c r="K137" s="5"/>
      <c r="L137" s="6"/>
      <c r="M137" s="6"/>
      <c r="N137" s="8"/>
      <c r="O137" s="5" t="str">
        <f t="shared" si="456"/>
        <v>NO APLICA</v>
      </c>
      <c r="P137" s="6"/>
      <c r="Q137" s="6"/>
      <c r="R137" s="4"/>
      <c r="S137" s="8"/>
      <c r="T137" s="5" t="str">
        <f t="shared" si="557"/>
        <v>NO APLICA</v>
      </c>
      <c r="U137" s="5"/>
      <c r="V137" s="2" t="s">
        <v>448</v>
      </c>
      <c r="W137" s="4">
        <v>45156</v>
      </c>
      <c r="X137" s="4">
        <f t="shared" si="410"/>
        <v>46983</v>
      </c>
      <c r="Y137" s="8">
        <f t="shared" ca="1" si="411"/>
        <v>838</v>
      </c>
      <c r="Z137" s="5" t="str">
        <f t="shared" ca="1" si="412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7"/>
        <v>VIGENTE</v>
      </c>
      <c r="AG137" s="3"/>
      <c r="AH137" s="4">
        <v>45936</v>
      </c>
      <c r="AI137" s="4">
        <f t="shared" si="448"/>
        <v>46666</v>
      </c>
      <c r="AJ137" s="8">
        <f t="shared" ca="1" si="458"/>
        <v>521</v>
      </c>
      <c r="AK137" s="5" t="str">
        <f t="shared" ca="1" si="408"/>
        <v>VIGENTE</v>
      </c>
      <c r="AL137" s="3"/>
      <c r="AM137" s="4">
        <v>45959</v>
      </c>
      <c r="AN137" s="4">
        <f t="shared" si="449"/>
        <v>46689</v>
      </c>
      <c r="AO137" s="8">
        <f t="shared" ca="1" si="459"/>
        <v>544</v>
      </c>
      <c r="AP137" s="5" t="str">
        <f t="shared" ca="1" si="460"/>
        <v>VIGENTE</v>
      </c>
      <c r="AQ137" s="3"/>
      <c r="AR137" s="4">
        <v>45967</v>
      </c>
      <c r="AS137" s="4">
        <f t="shared" si="450"/>
        <v>46697</v>
      </c>
      <c r="AT137" s="8">
        <f t="shared" ca="1" si="461"/>
        <v>552</v>
      </c>
      <c r="AU137" s="5" t="str">
        <f t="shared" ca="1" si="462"/>
        <v>VIGENTE</v>
      </c>
      <c r="AV137" s="3"/>
      <c r="AW137" s="4">
        <v>45906</v>
      </c>
      <c r="AX137" s="4">
        <f t="shared" si="445"/>
        <v>46636</v>
      </c>
      <c r="AY137" s="8">
        <f t="shared" ca="1" si="463"/>
        <v>491</v>
      </c>
      <c r="AZ137" s="5" t="str">
        <f t="shared" ca="1" si="464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5"/>
        <v>515</v>
      </c>
      <c r="BE137" s="5" t="str">
        <f t="shared" ca="1" si="466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7"/>
        <v>572</v>
      </c>
      <c r="BJ137" s="5" t="str">
        <f t="shared" ca="1" si="468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9"/>
        <v>561</v>
      </c>
      <c r="BO137" s="5" t="str">
        <f t="shared" ca="1" si="470"/>
        <v>VIGENTE</v>
      </c>
      <c r="BP137" s="4"/>
      <c r="BQ137" s="39">
        <v>45981</v>
      </c>
      <c r="BR137" s="4">
        <f>DATE(YEAR(BQ137)+2,MONTH(BQ137),DAY(BQ137))</f>
        <v>46711</v>
      </c>
      <c r="BS137" s="8">
        <f t="shared" ca="1" si="471"/>
        <v>566</v>
      </c>
      <c r="BT137" s="5" t="str">
        <f t="shared" ca="1" si="472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3"/>
        <v>616</v>
      </c>
      <c r="BY137" s="5" t="str">
        <f t="shared" ca="1" si="474"/>
        <v>VIGENTE</v>
      </c>
      <c r="BZ137" s="3"/>
      <c r="CA137" s="4">
        <v>45954</v>
      </c>
      <c r="CB137" s="4">
        <f t="shared" si="447"/>
        <v>46684</v>
      </c>
      <c r="CC137" s="8">
        <f t="shared" ca="1" si="475"/>
        <v>539</v>
      </c>
      <c r="CD137" s="5" t="str">
        <f t="shared" ca="1" si="476"/>
        <v>VIGENTE</v>
      </c>
      <c r="CE137" s="6"/>
      <c r="CF137" s="4">
        <v>45164</v>
      </c>
      <c r="CG137" s="4">
        <f t="shared" si="416"/>
        <v>46625</v>
      </c>
      <c r="CH137" s="8">
        <f t="shared" ca="1" si="417"/>
        <v>480</v>
      </c>
      <c r="CI137" s="5" t="str">
        <f t="shared" ca="1" si="418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7"/>
        <v>514</v>
      </c>
      <c r="CN137" s="5" t="str">
        <f t="shared" ca="1" si="478"/>
        <v>VIGENTE</v>
      </c>
      <c r="CO137" s="4"/>
      <c r="CP137" s="39">
        <v>45979</v>
      </c>
      <c r="CQ137" s="4">
        <f>DATE(YEAR(CP137)+2,MONTH(CP137),DAY(CP137))</f>
        <v>46709</v>
      </c>
      <c r="CR137" s="8">
        <f t="shared" ca="1" si="479"/>
        <v>564</v>
      </c>
      <c r="CS137" s="5" t="str">
        <f t="shared" ca="1" si="480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1"/>
        <v>524</v>
      </c>
      <c r="CX137" s="5" t="str">
        <f t="shared" ca="1" si="482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3"/>
        <v>428</v>
      </c>
      <c r="DC137" s="5" t="str">
        <f t="shared" ca="1" si="484"/>
        <v>VIGENTE</v>
      </c>
      <c r="DD137" s="4"/>
      <c r="DE137" s="39">
        <v>46045</v>
      </c>
      <c r="DF137" s="4">
        <f>DATE(YEAR(DE137)+2,MONTH(DE137),DAY(DE137))</f>
        <v>46775</v>
      </c>
      <c r="DG137" s="8">
        <f t="shared" ca="1" si="485"/>
        <v>630</v>
      </c>
      <c r="DH137" s="5" t="str">
        <f t="shared" ca="1" si="486"/>
        <v>VIGENTE</v>
      </c>
      <c r="DI137" s="3"/>
      <c r="DJ137" s="39">
        <v>45779</v>
      </c>
      <c r="DK137" s="4">
        <f>DATE(YEAR(DJ137)+2,MONTH(DJ137),DAY(DJ137))</f>
        <v>46509</v>
      </c>
      <c r="DL137" s="8">
        <f t="shared" ca="1" si="487"/>
        <v>364</v>
      </c>
      <c r="DM137" s="5" t="str">
        <f t="shared" ca="1" si="488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9"/>
        <v>674</v>
      </c>
      <c r="DR137" s="5" t="str">
        <f t="shared" ca="1" si="490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1"/>
        <v>503</v>
      </c>
      <c r="DW137" s="5" t="str">
        <f t="shared" ca="1" si="492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3"/>
        <v>500</v>
      </c>
      <c r="EB137" s="5" t="str">
        <f t="shared" ca="1" si="494"/>
        <v>VIGENTE</v>
      </c>
      <c r="EC137" s="4"/>
      <c r="ED137" s="39">
        <v>45994</v>
      </c>
      <c r="EE137" s="4">
        <f>DATE(YEAR(ED137)+2,MONTH(ED137),DAY(ED137))</f>
        <v>46724</v>
      </c>
      <c r="EF137" s="8">
        <f t="shared" ca="1" si="495"/>
        <v>579</v>
      </c>
      <c r="EG137" s="5" t="str">
        <f t="shared" ca="1" si="496"/>
        <v>VIGENTE</v>
      </c>
      <c r="EH137" s="3"/>
      <c r="EI137" s="3">
        <v>46085</v>
      </c>
      <c r="EJ137" s="4">
        <f t="shared" si="558"/>
        <v>46450</v>
      </c>
      <c r="EK137" s="8">
        <f t="shared" ca="1" si="497"/>
        <v>305</v>
      </c>
      <c r="EL137" s="5" t="str">
        <f t="shared" ca="1" si="498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9"/>
        <v>580</v>
      </c>
      <c r="EQ137" s="5" t="str">
        <f t="shared" ca="1" si="500"/>
        <v>VIGENTE</v>
      </c>
      <c r="ER137" s="3"/>
      <c r="ES137" s="39">
        <v>45796</v>
      </c>
      <c r="ET137" s="4">
        <f>DATE(YEAR(ES137)+2,MONTH(ES137),DAY(ES137))</f>
        <v>46526</v>
      </c>
      <c r="EU137" s="8">
        <f t="shared" ca="1" si="501"/>
        <v>381</v>
      </c>
      <c r="EV137" s="5" t="str">
        <f t="shared" ca="1" si="502"/>
        <v>VIGENTE</v>
      </c>
      <c r="EW137" s="2"/>
      <c r="EX137" s="4">
        <v>45953</v>
      </c>
      <c r="EY137" s="4">
        <f t="shared" si="451"/>
        <v>46683</v>
      </c>
      <c r="EZ137" s="8">
        <f t="shared" ca="1" si="503"/>
        <v>538</v>
      </c>
      <c r="FA137" s="5" t="str">
        <f t="shared" ca="1" si="504"/>
        <v>VIGENTE</v>
      </c>
      <c r="FB137" s="2"/>
      <c r="FC137" s="4">
        <v>45988</v>
      </c>
      <c r="FD137" s="4">
        <f t="shared" si="452"/>
        <v>46718</v>
      </c>
      <c r="FE137" s="8">
        <f t="shared" ca="1" si="505"/>
        <v>573</v>
      </c>
      <c r="FF137" s="5" t="str">
        <f t="shared" ca="1" si="506"/>
        <v>VIGENTE</v>
      </c>
      <c r="FG137" s="4"/>
      <c r="FH137" s="4">
        <v>45962</v>
      </c>
      <c r="FI137" s="4">
        <f t="shared" si="453"/>
        <v>46692</v>
      </c>
      <c r="FJ137" s="8">
        <f t="shared" ca="1" si="507"/>
        <v>547</v>
      </c>
      <c r="FK137" s="5" t="str">
        <f t="shared" ca="1" si="508"/>
        <v>VIGENTE</v>
      </c>
      <c r="FL137" s="4"/>
      <c r="FM137" s="39">
        <v>46039</v>
      </c>
      <c r="FN137" s="4">
        <f>DATE(YEAR(FM137)+2,MONTH(FM137),DAY(FM137))</f>
        <v>46769</v>
      </c>
      <c r="FO137" s="8">
        <f t="shared" ca="1" si="509"/>
        <v>624</v>
      </c>
      <c r="FP137" s="5" t="str">
        <f t="shared" ca="1" si="510"/>
        <v>VIGENTE</v>
      </c>
      <c r="FQ137" s="3"/>
      <c r="FR137" s="39">
        <v>45957</v>
      </c>
      <c r="FS137" s="4">
        <f>DATE(YEAR(FR137)+2,MONTH(FR137),DAY(FR137))</f>
        <v>46687</v>
      </c>
      <c r="FT137" s="8">
        <f t="shared" ca="1" si="511"/>
        <v>542</v>
      </c>
      <c r="FU137" s="5" t="str">
        <f t="shared" ca="1" si="512"/>
        <v>VIGENTE</v>
      </c>
      <c r="FV137" s="3"/>
      <c r="FW137" s="4">
        <v>45908</v>
      </c>
      <c r="FX137" s="4">
        <f t="shared" si="454"/>
        <v>46638</v>
      </c>
      <c r="FY137" s="8">
        <f t="shared" ca="1" si="513"/>
        <v>493</v>
      </c>
      <c r="FZ137" s="5" t="str">
        <f t="shared" ca="1" si="514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5"/>
        <v>510</v>
      </c>
      <c r="GE137" s="5" t="str">
        <f t="shared" ca="1" si="516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7"/>
        <v>664</v>
      </c>
      <c r="GJ137" s="5" t="str">
        <f t="shared" ca="1" si="518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9"/>
        <v>530</v>
      </c>
      <c r="GO137" s="5" t="str">
        <f t="shared" ca="1" si="520"/>
        <v>VIGENTE</v>
      </c>
      <c r="GP137" s="4"/>
      <c r="GQ137" s="4">
        <v>45224</v>
      </c>
      <c r="GR137" s="4">
        <f t="shared" si="521"/>
        <v>47051</v>
      </c>
      <c r="GS137" s="8">
        <f t="shared" ca="1" si="405"/>
        <v>906</v>
      </c>
      <c r="GT137" s="5" t="str">
        <f t="shared" ca="1" si="419"/>
        <v>VIGENTE</v>
      </c>
      <c r="GU137" s="3"/>
      <c r="GV137" s="4">
        <v>45389</v>
      </c>
      <c r="GW137" s="4">
        <f t="shared" si="522"/>
        <v>47215</v>
      </c>
      <c r="GX137" s="8">
        <f t="shared" ca="1" si="523"/>
        <v>1070</v>
      </c>
      <c r="GY137" s="5" t="str">
        <f t="shared" ca="1" si="426"/>
        <v>VIGENTE</v>
      </c>
      <c r="GZ137" s="2"/>
      <c r="HA137" s="4">
        <v>45258</v>
      </c>
      <c r="HB137" s="4">
        <f t="shared" si="524"/>
        <v>47085</v>
      </c>
      <c r="HC137" s="8">
        <f t="shared" ca="1" si="525"/>
        <v>940</v>
      </c>
      <c r="HD137" s="5" t="str">
        <f t="shared" ca="1" si="421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7"/>
        <v>VIGENTE</v>
      </c>
      <c r="HJ137" s="2"/>
      <c r="HK137" s="6"/>
      <c r="HL137" s="4"/>
      <c r="HM137" s="8"/>
      <c r="HN137" s="5" t="str">
        <f t="shared" si="444"/>
        <v>NO APLICA</v>
      </c>
      <c r="HO137" s="2"/>
      <c r="HP137" s="2"/>
      <c r="HQ137" s="4"/>
      <c r="HR137" s="2"/>
      <c r="HS137" s="5" t="str">
        <f t="shared" si="526"/>
        <v>NO APLICA</v>
      </c>
      <c r="HT137" s="2"/>
      <c r="HU137" s="6"/>
      <c r="HV137" s="4"/>
      <c r="HW137" s="8"/>
      <c r="HX137" s="5" t="str">
        <f t="shared" si="527"/>
        <v>NO APLICA</v>
      </c>
      <c r="HY137" s="2"/>
      <c r="HZ137" s="6"/>
      <c r="IA137" s="4"/>
      <c r="IB137" s="8"/>
      <c r="IC137" s="5" t="str">
        <f t="shared" si="528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9"/>
        <v>VIGENTE</v>
      </c>
      <c r="II137" s="6"/>
      <c r="IJ137" s="6"/>
      <c r="IK137" s="4"/>
      <c r="IL137" s="8"/>
      <c r="IM137" s="5" t="str">
        <f t="shared" si="530"/>
        <v>NO APLICA</v>
      </c>
      <c r="IN137" s="2"/>
      <c r="IO137" s="4"/>
      <c r="IP137" s="4"/>
      <c r="IQ137" s="8"/>
      <c r="IR137" s="5" t="str">
        <f t="shared" si="531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2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3"/>
        <v>VIGENTE</v>
      </c>
      <c r="JC137" s="3" t="s">
        <v>780</v>
      </c>
      <c r="JD137" s="3"/>
      <c r="JE137" s="4"/>
      <c r="JF137" s="8"/>
      <c r="JG137" s="5"/>
      <c r="JH137" s="3" t="s">
        <v>780</v>
      </c>
      <c r="JI137" s="6"/>
      <c r="JJ137" s="6"/>
      <c r="JK137" s="6"/>
      <c r="JL137" s="5"/>
      <c r="JM137" s="6" t="s">
        <v>780</v>
      </c>
      <c r="JN137" s="6"/>
      <c r="JO137" s="6"/>
      <c r="JP137" s="6"/>
      <c r="JQ137" s="5"/>
      <c r="JR137" s="6" t="s">
        <v>780</v>
      </c>
      <c r="JS137" s="6"/>
      <c r="JT137" s="6"/>
      <c r="JU137" s="6"/>
      <c r="JV137" s="5"/>
      <c r="JW137" s="6" t="s">
        <v>780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4"/>
        <v>NO APLICA</v>
      </c>
      <c r="KG137" s="5"/>
      <c r="KH137" s="2"/>
      <c r="KI137" s="4"/>
      <c r="KJ137" s="8"/>
      <c r="KK137" s="5" t="str">
        <f t="shared" si="559"/>
        <v>NO APLICA</v>
      </c>
      <c r="KL137" s="5"/>
      <c r="KM137" s="2"/>
      <c r="KN137" s="4"/>
      <c r="KO137" s="8"/>
      <c r="KP137" s="5" t="str">
        <f t="shared" si="535"/>
        <v>NO APLICA</v>
      </c>
      <c r="KQ137" s="5"/>
      <c r="KR137" s="2"/>
      <c r="KS137" s="4"/>
      <c r="KT137" s="8"/>
      <c r="KU137" s="5" t="str">
        <f t="shared" si="560"/>
        <v>NO APLICA</v>
      </c>
      <c r="KV137" s="2"/>
      <c r="KW137" s="6"/>
      <c r="KX137" s="4"/>
      <c r="KY137" s="8"/>
      <c r="KZ137" s="5" t="str">
        <f t="shared" si="565"/>
        <v>NO APLICA</v>
      </c>
      <c r="LA137" s="5"/>
      <c r="LB137" s="6"/>
      <c r="LC137" s="4"/>
      <c r="LD137" s="8"/>
      <c r="LE137" s="5" t="str">
        <f t="shared" si="561"/>
        <v>NO APLICA</v>
      </c>
      <c r="LF137" s="6"/>
      <c r="LG137" s="4"/>
      <c r="LH137" s="4"/>
      <c r="LI137" s="8"/>
      <c r="LJ137" s="5" t="str">
        <f t="shared" si="567"/>
        <v>NO APLICA</v>
      </c>
      <c r="LK137" s="5"/>
      <c r="LL137" s="5"/>
      <c r="LM137" s="4"/>
      <c r="LN137" s="8"/>
      <c r="LO137" s="5" t="str">
        <f t="shared" si="566"/>
        <v>NO APLICA</v>
      </c>
      <c r="LP137" s="2"/>
      <c r="LQ137" s="6"/>
      <c r="LR137" s="4"/>
      <c r="LS137" s="8"/>
      <c r="LT137" s="5" t="str">
        <f t="shared" si="562"/>
        <v>NO APLICA</v>
      </c>
      <c r="LU137" s="6"/>
      <c r="LV137" s="6"/>
      <c r="LW137" s="4"/>
      <c r="LX137" s="8"/>
      <c r="LY137" s="5" t="str">
        <f t="shared" si="563"/>
        <v>NO APLICA</v>
      </c>
      <c r="LZ137" s="6"/>
      <c r="MA137" s="6"/>
      <c r="MB137" s="4"/>
      <c r="MC137" s="8"/>
      <c r="MD137" s="5" t="str">
        <f t="shared" si="564"/>
        <v>NO APLICA</v>
      </c>
      <c r="ME137" s="2"/>
      <c r="MF137" s="2"/>
      <c r="MG137" s="4"/>
      <c r="MH137" s="8"/>
      <c r="MI137" s="5" t="str">
        <f t="shared" si="537"/>
        <v>NO APLICA</v>
      </c>
      <c r="MJ137" s="2"/>
      <c r="MK137" s="2"/>
      <c r="ML137" s="4"/>
      <c r="MM137" s="8"/>
      <c r="MN137" s="5" t="str">
        <f t="shared" si="538"/>
        <v>NO APLICA</v>
      </c>
      <c r="MO137" s="5"/>
      <c r="MP137" s="2"/>
      <c r="MQ137" s="4"/>
      <c r="MR137" s="8"/>
      <c r="MS137" s="5" t="str">
        <f t="shared" si="539"/>
        <v>NO APLICA</v>
      </c>
      <c r="MT137" s="5"/>
      <c r="MU137" s="2"/>
      <c r="MV137" s="4"/>
      <c r="MW137" s="2"/>
      <c r="MX137" s="5" t="str">
        <f t="shared" si="540"/>
        <v>NO APLICA</v>
      </c>
      <c r="MY137" s="2"/>
      <c r="MZ137" s="6"/>
      <c r="NA137" s="4"/>
      <c r="NB137" s="8"/>
      <c r="NC137" s="5" t="str">
        <f t="shared" si="541"/>
        <v>NO APLICA</v>
      </c>
      <c r="ND137" s="2"/>
      <c r="NE137" s="6"/>
      <c r="NF137" s="4"/>
      <c r="NG137" s="8"/>
      <c r="NH137" s="5" t="str">
        <f t="shared" si="542"/>
        <v>NO APLICA</v>
      </c>
      <c r="NI137" s="2"/>
      <c r="NJ137" s="6"/>
      <c r="NK137" s="4"/>
      <c r="NL137" s="8"/>
      <c r="NM137" s="5" t="str">
        <f t="shared" si="543"/>
        <v>NO APLICA</v>
      </c>
      <c r="NN137" s="2"/>
      <c r="NO137" s="2"/>
      <c r="NP137" s="4"/>
      <c r="NQ137" s="8"/>
      <c r="NR137" s="5" t="str">
        <f t="shared" si="544"/>
        <v>NO APLICA</v>
      </c>
      <c r="NS137" s="2"/>
      <c r="NT137" s="2"/>
      <c r="NU137" s="4"/>
      <c r="NV137" s="2"/>
      <c r="NW137" s="5" t="str">
        <f t="shared" si="545"/>
        <v>NO APLICA</v>
      </c>
      <c r="NX137" s="6"/>
      <c r="NY137" s="6"/>
      <c r="NZ137" s="4"/>
      <c r="OA137" s="8"/>
      <c r="OB137" s="5" t="str">
        <f t="shared" si="546"/>
        <v>NO APLICA</v>
      </c>
      <c r="OC137" s="6"/>
      <c r="OD137" s="6"/>
      <c r="OE137" s="6"/>
      <c r="OF137" s="6"/>
      <c r="OG137" s="5" t="str">
        <f t="shared" si="547"/>
        <v>NO APLICA</v>
      </c>
      <c r="OH137" s="6"/>
      <c r="OI137" s="6"/>
      <c r="OJ137" s="4"/>
      <c r="OK137" s="8"/>
      <c r="OL137" s="5" t="str">
        <f t="shared" si="548"/>
        <v>NO APLICA</v>
      </c>
      <c r="OM137" s="6"/>
      <c r="ON137" s="6"/>
      <c r="OO137" s="6"/>
      <c r="OP137" s="6"/>
      <c r="OQ137" s="5" t="str">
        <f t="shared" si="549"/>
        <v>NO APLICA</v>
      </c>
      <c r="OR137" s="6"/>
      <c r="OS137" s="6"/>
      <c r="OT137" s="6"/>
      <c r="OU137" s="6"/>
      <c r="OV137" s="5" t="str">
        <f t="shared" si="550"/>
        <v>NO APLICA</v>
      </c>
      <c r="OW137" s="6"/>
      <c r="OX137" s="6"/>
      <c r="OY137" s="6"/>
      <c r="OZ137" s="6"/>
      <c r="PA137" s="5" t="str">
        <f t="shared" si="551"/>
        <v>NO APLICA</v>
      </c>
      <c r="PB137" s="6"/>
      <c r="PC137" s="6"/>
      <c r="PD137" s="6"/>
      <c r="PE137" s="6"/>
      <c r="PF137" s="5" t="str">
        <f t="shared" si="552"/>
        <v>NO APLICA</v>
      </c>
      <c r="PG137" s="6"/>
      <c r="PH137" s="6"/>
      <c r="PI137" s="6"/>
      <c r="PJ137" s="6"/>
      <c r="PK137" s="5" t="str">
        <f t="shared" si="553"/>
        <v>NO APLICA</v>
      </c>
      <c r="PL137" s="5"/>
      <c r="PM137" s="6"/>
      <c r="PN137" s="4"/>
      <c r="PO137" s="8"/>
      <c r="PP137" s="5" t="str">
        <f t="shared" si="554"/>
        <v>NO APLICA</v>
      </c>
      <c r="PQ137" s="6"/>
      <c r="PR137" s="6"/>
      <c r="PS137" s="6"/>
      <c r="PT137" s="6"/>
      <c r="PU137" s="5" t="str">
        <f t="shared" si="555"/>
        <v>NO APLICA</v>
      </c>
      <c r="PV137" s="5"/>
      <c r="PW137" s="6"/>
      <c r="PX137" s="6"/>
      <c r="PY137" s="6"/>
      <c r="PZ137" s="5" t="str">
        <f t="shared" si="556"/>
        <v>NO APLICA</v>
      </c>
    </row>
    <row r="138" spans="1:442" ht="15.6" hidden="1" thickTop="1" thickBot="1" x14ac:dyDescent="0.35">
      <c r="A138" s="26">
        <v>135</v>
      </c>
      <c r="B138" s="27">
        <v>946</v>
      </c>
      <c r="C138" s="28" t="s">
        <v>450</v>
      </c>
      <c r="D138" s="29" t="s">
        <v>68</v>
      </c>
      <c r="E138" s="30" t="s">
        <v>451</v>
      </c>
      <c r="F138" s="5"/>
      <c r="G138" s="6"/>
      <c r="H138" s="4"/>
      <c r="I138" s="8"/>
      <c r="J138" s="5" t="str">
        <f t="shared" si="455"/>
        <v>NO APLICA</v>
      </c>
      <c r="K138" s="5"/>
      <c r="L138" s="6"/>
      <c r="M138" s="6"/>
      <c r="N138" s="8"/>
      <c r="O138" s="5" t="str">
        <f t="shared" si="456"/>
        <v>NO APLICA</v>
      </c>
      <c r="P138" s="6"/>
      <c r="Q138" s="6"/>
      <c r="R138" s="4"/>
      <c r="S138" s="8"/>
      <c r="T138" s="5" t="str">
        <f t="shared" si="557"/>
        <v>NO APLICA</v>
      </c>
      <c r="U138" s="5"/>
      <c r="V138" s="2" t="s">
        <v>452</v>
      </c>
      <c r="W138" s="4">
        <v>45401</v>
      </c>
      <c r="X138" s="4">
        <f t="shared" si="410"/>
        <v>47227</v>
      </c>
      <c r="Y138" s="8">
        <f t="shared" ca="1" si="411"/>
        <v>1082</v>
      </c>
      <c r="Z138" s="5" t="str">
        <f t="shared" ca="1" si="412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7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8"/>
        <v>173</v>
      </c>
      <c r="AK138" s="5" t="str">
        <f t="shared" ca="1" si="408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9"/>
        <v>102</v>
      </c>
      <c r="AP138" s="5" t="str">
        <f t="shared" ca="1" si="460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1"/>
        <v>89</v>
      </c>
      <c r="AU138" s="5" t="str">
        <f t="shared" ca="1" si="462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3"/>
        <v>98</v>
      </c>
      <c r="AZ138" s="5" t="str">
        <f t="shared" ca="1" si="464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5"/>
        <v>99</v>
      </c>
      <c r="BE138" s="5" t="str">
        <f t="shared" ca="1" si="466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7"/>
        <v>189</v>
      </c>
      <c r="BJ138" s="5" t="str">
        <f t="shared" ca="1" si="468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9"/>
        <v>283</v>
      </c>
      <c r="BO138" s="5" t="str">
        <f t="shared" ca="1" si="470"/>
        <v>VIGENTE</v>
      </c>
      <c r="BP138" s="3"/>
      <c r="BQ138" s="39">
        <v>45604</v>
      </c>
      <c r="BR138" s="4">
        <f>DATE(YEAR(BQ138)+2,MONTH(BQ138),DAY(BQ138)-1)</f>
        <v>46333</v>
      </c>
      <c r="BS138" s="8">
        <f t="shared" ca="1" si="471"/>
        <v>188</v>
      </c>
      <c r="BT138" s="5" t="str">
        <f t="shared" ca="1" si="472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3"/>
        <v>156</v>
      </c>
      <c r="BY138" s="5" t="str">
        <f t="shared" ca="1" si="474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5"/>
        <v>314</v>
      </c>
      <c r="CD138" s="5" t="str">
        <f t="shared" ca="1" si="476"/>
        <v>VIGENTE</v>
      </c>
      <c r="CE138" s="6"/>
      <c r="CF138" s="4">
        <v>45393</v>
      </c>
      <c r="CG138" s="4">
        <f t="shared" si="416"/>
        <v>46854</v>
      </c>
      <c r="CH138" s="8">
        <f t="shared" ca="1" si="417"/>
        <v>709</v>
      </c>
      <c r="CI138" s="5" t="str">
        <f t="shared" ca="1" si="418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7"/>
        <v>88</v>
      </c>
      <c r="CN138" s="5" t="str">
        <f t="shared" ca="1" si="478"/>
        <v>POR VENCER</v>
      </c>
      <c r="CO138" s="3"/>
      <c r="CP138" s="39">
        <v>45684</v>
      </c>
      <c r="CQ138" s="4">
        <f>DATE(YEAR(CP138)+2,MONTH(CP138),DAY(CP138)-1)</f>
        <v>46413</v>
      </c>
      <c r="CR138" s="8">
        <f t="shared" ca="1" si="479"/>
        <v>268</v>
      </c>
      <c r="CS138" s="5" t="str">
        <f t="shared" ca="1" si="480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1"/>
        <v>223</v>
      </c>
      <c r="CX138" s="5" t="str">
        <f t="shared" ca="1" si="482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3"/>
        <v>249</v>
      </c>
      <c r="DC138" s="5" t="str">
        <f t="shared" ca="1" si="484"/>
        <v>VIGENTE</v>
      </c>
      <c r="DD138" s="3"/>
      <c r="DE138" s="39">
        <v>45596</v>
      </c>
      <c r="DF138" s="4">
        <f>DATE(YEAR(DE138)+2,MONTH(DE138),DAY(DE138)-1)</f>
        <v>46325</v>
      </c>
      <c r="DG138" s="8">
        <f t="shared" ca="1" si="485"/>
        <v>180</v>
      </c>
      <c r="DH138" s="5" t="str">
        <f t="shared" ca="1" si="486"/>
        <v>VIGENTE</v>
      </c>
      <c r="DI138" s="3"/>
      <c r="DJ138" s="39">
        <v>45580</v>
      </c>
      <c r="DK138" s="4">
        <f>DATE(YEAR(DJ138)+2,MONTH(DJ138),DAY(DJ138)-1)</f>
        <v>46309</v>
      </c>
      <c r="DL138" s="8">
        <f t="shared" ca="1" si="487"/>
        <v>164</v>
      </c>
      <c r="DM138" s="5" t="str">
        <f t="shared" ca="1" si="488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9"/>
        <v>161</v>
      </c>
      <c r="DR138" s="5" t="str">
        <f t="shared" ca="1" si="490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1"/>
        <v>203</v>
      </c>
      <c r="DW138" s="5" t="str">
        <f t="shared" ca="1" si="492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3"/>
        <v>247</v>
      </c>
      <c r="EB138" s="5" t="str">
        <f t="shared" ca="1" si="494"/>
        <v>VIGENTE</v>
      </c>
      <c r="EC138" s="3"/>
      <c r="ED138" s="39">
        <v>45674</v>
      </c>
      <c r="EE138" s="4">
        <f>DATE(YEAR(ED138)+2,MONTH(ED138),DAY(ED138)-1)</f>
        <v>46403</v>
      </c>
      <c r="EF138" s="8">
        <f t="shared" ca="1" si="495"/>
        <v>258</v>
      </c>
      <c r="EG138" s="5" t="str">
        <f t="shared" ca="1" si="496"/>
        <v>VIGENTE</v>
      </c>
      <c r="EH138" s="3"/>
      <c r="EI138" s="3">
        <v>46085</v>
      </c>
      <c r="EJ138" s="4">
        <f t="shared" si="558"/>
        <v>46450</v>
      </c>
      <c r="EK138" s="8">
        <f t="shared" ca="1" si="497"/>
        <v>305</v>
      </c>
      <c r="EL138" s="5" t="str">
        <f t="shared" ca="1" si="498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9"/>
        <v>196</v>
      </c>
      <c r="EQ138" s="5" t="str">
        <f t="shared" ca="1" si="500"/>
        <v>VIGENTE</v>
      </c>
      <c r="ER138" s="3"/>
      <c r="ES138" s="39">
        <v>45575</v>
      </c>
      <c r="ET138" s="4">
        <f>DATE(YEAR(ES138)+2,MONTH(ES138),DAY(ES138)-1)</f>
        <v>46304</v>
      </c>
      <c r="EU138" s="8">
        <f t="shared" ca="1" si="501"/>
        <v>159</v>
      </c>
      <c r="EV138" s="5" t="str">
        <f t="shared" ca="1" si="502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3"/>
        <v>194</v>
      </c>
      <c r="FA138" s="5" t="str">
        <f t="shared" ca="1" si="504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5"/>
        <v>250</v>
      </c>
      <c r="FF138" s="5" t="str">
        <f t="shared" ca="1" si="506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7"/>
        <v>252</v>
      </c>
      <c r="FK138" s="5" t="str">
        <f t="shared" ca="1" si="508"/>
        <v>VIGENTE</v>
      </c>
      <c r="FL138" s="3"/>
      <c r="FM138" s="39">
        <v>45670</v>
      </c>
      <c r="FN138" s="4">
        <f>DATE(YEAR(FM138)+2,MONTH(FM138),DAY(FM138)-1)</f>
        <v>46399</v>
      </c>
      <c r="FO138" s="8">
        <f t="shared" ca="1" si="509"/>
        <v>254</v>
      </c>
      <c r="FP138" s="5" t="str">
        <f t="shared" ca="1" si="510"/>
        <v>VIGENTE</v>
      </c>
      <c r="FQ138" s="3"/>
      <c r="FR138" s="39">
        <v>45586</v>
      </c>
      <c r="FS138" s="4">
        <f>DATE(YEAR(FR138)+2,MONTH(FR138),DAY(FR138)-1)</f>
        <v>46315</v>
      </c>
      <c r="FT138" s="8">
        <f t="shared" ca="1" si="511"/>
        <v>170</v>
      </c>
      <c r="FU138" s="5" t="str">
        <f t="shared" ca="1" si="512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3"/>
        <v>158</v>
      </c>
      <c r="FZ138" s="5" t="str">
        <f t="shared" ca="1" si="514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5"/>
        <v>251</v>
      </c>
      <c r="GE138" s="5" t="str">
        <f t="shared" ca="1" si="516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7"/>
        <v>163</v>
      </c>
      <c r="GJ138" s="5" t="str">
        <f t="shared" ca="1" si="518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9"/>
        <v>141</v>
      </c>
      <c r="GO138" s="5" t="str">
        <f t="shared" ca="1" si="520"/>
        <v>VIGENTE</v>
      </c>
      <c r="GP138" s="4"/>
      <c r="GQ138" s="4">
        <v>44952</v>
      </c>
      <c r="GR138" s="4">
        <f t="shared" si="521"/>
        <v>46778</v>
      </c>
      <c r="GS138" s="8">
        <f t="shared" ca="1" si="405"/>
        <v>633</v>
      </c>
      <c r="GT138" s="5" t="str">
        <f t="shared" ca="1" si="419"/>
        <v>VIGENTE</v>
      </c>
      <c r="GU138" s="3"/>
      <c r="GV138" s="4">
        <v>45010</v>
      </c>
      <c r="GW138" s="4">
        <f t="shared" si="522"/>
        <v>46837</v>
      </c>
      <c r="GX138" s="8">
        <f t="shared" ca="1" si="523"/>
        <v>692</v>
      </c>
      <c r="GY138" s="5" t="str">
        <f t="shared" ca="1" si="426"/>
        <v>VIGENTE</v>
      </c>
      <c r="GZ138" s="3"/>
      <c r="HA138" s="4">
        <v>45499</v>
      </c>
      <c r="HB138" s="4">
        <f t="shared" si="524"/>
        <v>47325</v>
      </c>
      <c r="HC138" s="8">
        <f t="shared" ca="1" si="525"/>
        <v>1180</v>
      </c>
      <c r="HD138" s="5" t="str">
        <f t="shared" ca="1" si="421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7"/>
        <v>VIGENTE</v>
      </c>
      <c r="HJ138" s="2"/>
      <c r="HK138" s="6"/>
      <c r="HL138" s="4"/>
      <c r="HM138" s="8"/>
      <c r="HN138" s="5" t="str">
        <f t="shared" si="444"/>
        <v>NO APLICA</v>
      </c>
      <c r="HO138" s="2"/>
      <c r="HP138" s="2"/>
      <c r="HQ138" s="4"/>
      <c r="HR138" s="2"/>
      <c r="HS138" s="5" t="str">
        <f t="shared" si="526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7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8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9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30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1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2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3"/>
        <v>VIGENTE</v>
      </c>
      <c r="JC138" s="3" t="s">
        <v>780</v>
      </c>
      <c r="JD138" s="3"/>
      <c r="JE138" s="4"/>
      <c r="JF138" s="8"/>
      <c r="JG138" s="5"/>
      <c r="JH138" s="3" t="s">
        <v>780</v>
      </c>
      <c r="JI138" s="6"/>
      <c r="JJ138" s="6"/>
      <c r="JK138" s="6"/>
      <c r="JL138" s="5"/>
      <c r="JM138" s="6" t="s">
        <v>780</v>
      </c>
      <c r="JN138" s="6"/>
      <c r="JO138" s="6"/>
      <c r="JP138" s="6"/>
      <c r="JQ138" s="5"/>
      <c r="JR138" s="6" t="s">
        <v>780</v>
      </c>
      <c r="JS138" s="6"/>
      <c r="JT138" s="6"/>
      <c r="JU138" s="6"/>
      <c r="JV138" s="5"/>
      <c r="JW138" s="6" t="s">
        <v>780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4"/>
        <v>NO APLICA</v>
      </c>
      <c r="KG138" s="5"/>
      <c r="KH138" s="2"/>
      <c r="KI138" s="4"/>
      <c r="KJ138" s="8"/>
      <c r="KK138" s="5" t="str">
        <f t="shared" si="559"/>
        <v>NO APLICA</v>
      </c>
      <c r="KL138" s="5"/>
      <c r="KM138" s="2"/>
      <c r="KN138" s="4"/>
      <c r="KO138" s="8"/>
      <c r="KP138" s="5" t="str">
        <f t="shared" si="535"/>
        <v>NO APLICA</v>
      </c>
      <c r="KQ138" s="5"/>
      <c r="KR138" s="2"/>
      <c r="KS138" s="4"/>
      <c r="KT138" s="8"/>
      <c r="KU138" s="5" t="str">
        <f t="shared" si="560"/>
        <v>NO APLICA</v>
      </c>
      <c r="KV138" s="2"/>
      <c r="KW138" s="6"/>
      <c r="KX138" s="4"/>
      <c r="KY138" s="8"/>
      <c r="KZ138" s="5" t="str">
        <f t="shared" si="565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1"/>
        <v>VIGENTE</v>
      </c>
      <c r="LF138" s="6"/>
      <c r="LG138" s="6"/>
      <c r="LH138" s="4"/>
      <c r="LI138" s="8"/>
      <c r="LJ138" s="5" t="str">
        <f t="shared" si="567"/>
        <v>NO APLICA</v>
      </c>
      <c r="LK138" s="5"/>
      <c r="LL138" s="5"/>
      <c r="LM138" s="4"/>
      <c r="LN138" s="8"/>
      <c r="LO138" s="5" t="str">
        <f t="shared" si="566"/>
        <v>NO APLICA</v>
      </c>
      <c r="LP138" s="2"/>
      <c r="LQ138" s="6"/>
      <c r="LR138" s="4"/>
      <c r="LS138" s="8"/>
      <c r="LT138" s="5" t="str">
        <f t="shared" si="562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3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4"/>
        <v>VIGENTE</v>
      </c>
      <c r="ME138" s="2"/>
      <c r="MF138" s="2"/>
      <c r="MG138" s="4"/>
      <c r="MH138" s="8"/>
      <c r="MI138" s="5" t="str">
        <f t="shared" si="537"/>
        <v>NO APLICA</v>
      </c>
      <c r="MJ138" s="2"/>
      <c r="MK138" s="2"/>
      <c r="ML138" s="4"/>
      <c r="MM138" s="8"/>
      <c r="MN138" s="5" t="str">
        <f t="shared" si="538"/>
        <v>NO APLICA</v>
      </c>
      <c r="MO138" s="5"/>
      <c r="MP138" s="2"/>
      <c r="MQ138" s="4"/>
      <c r="MR138" s="8"/>
      <c r="MS138" s="5" t="str">
        <f t="shared" si="539"/>
        <v>NO APLICA</v>
      </c>
      <c r="MT138" s="5"/>
      <c r="MU138" s="2"/>
      <c r="MV138" s="4"/>
      <c r="MW138" s="2"/>
      <c r="MX138" s="5" t="str">
        <f t="shared" si="540"/>
        <v>NO APLICA</v>
      </c>
      <c r="MY138" s="2"/>
      <c r="MZ138" s="6"/>
      <c r="NA138" s="4"/>
      <c r="NB138" s="8"/>
      <c r="NC138" s="5" t="str">
        <f t="shared" si="541"/>
        <v>NO APLICA</v>
      </c>
      <c r="ND138" s="2"/>
      <c r="NE138" s="6"/>
      <c r="NF138" s="4"/>
      <c r="NG138" s="8"/>
      <c r="NH138" s="5" t="str">
        <f t="shared" si="542"/>
        <v>NO APLICA</v>
      </c>
      <c r="NI138" s="2"/>
      <c r="NJ138" s="6"/>
      <c r="NK138" s="4"/>
      <c r="NL138" s="8"/>
      <c r="NM138" s="5" t="str">
        <f t="shared" si="543"/>
        <v>NO APLICA</v>
      </c>
      <c r="NN138" s="2"/>
      <c r="NO138" s="2"/>
      <c r="NP138" s="4"/>
      <c r="NQ138" s="2"/>
      <c r="NR138" s="5" t="str">
        <f t="shared" si="544"/>
        <v>NO APLICA</v>
      </c>
      <c r="NS138" s="2"/>
      <c r="NT138" s="2"/>
      <c r="NU138" s="2"/>
      <c r="NV138" s="2"/>
      <c r="NW138" s="5" t="str">
        <f t="shared" si="545"/>
        <v>NO APLICA</v>
      </c>
      <c r="NX138" s="6"/>
      <c r="NY138" s="6"/>
      <c r="NZ138" s="4"/>
      <c r="OA138" s="8"/>
      <c r="OB138" s="5" t="str">
        <f t="shared" si="546"/>
        <v>NO APLICA</v>
      </c>
      <c r="OC138" s="6"/>
      <c r="OD138" s="6"/>
      <c r="OE138" s="6"/>
      <c r="OF138" s="6"/>
      <c r="OG138" s="5" t="str">
        <f t="shared" si="547"/>
        <v>NO APLICA</v>
      </c>
      <c r="OH138" s="6"/>
      <c r="OI138" s="6"/>
      <c r="OJ138" s="4"/>
      <c r="OK138" s="8"/>
      <c r="OL138" s="5" t="str">
        <f t="shared" si="548"/>
        <v>NO APLICA</v>
      </c>
      <c r="OM138" s="6"/>
      <c r="ON138" s="6"/>
      <c r="OO138" s="6"/>
      <c r="OP138" s="6"/>
      <c r="OQ138" s="5" t="str">
        <f t="shared" si="549"/>
        <v>NO APLICA</v>
      </c>
      <c r="OR138" s="6"/>
      <c r="OS138" s="6"/>
      <c r="OT138" s="6"/>
      <c r="OU138" s="6"/>
      <c r="OV138" s="5" t="str">
        <f t="shared" si="550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1"/>
        <v>VIGENTE</v>
      </c>
      <c r="PB138" s="6"/>
      <c r="PC138" s="6"/>
      <c r="PD138" s="6"/>
      <c r="PE138" s="6"/>
      <c r="PF138" s="5" t="str">
        <f t="shared" si="552"/>
        <v>NO APLICA</v>
      </c>
      <c r="PG138" s="6"/>
      <c r="PH138" s="6"/>
      <c r="PI138" s="6"/>
      <c r="PJ138" s="6"/>
      <c r="PK138" s="5" t="str">
        <f t="shared" si="553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4"/>
        <v>VIGENTE</v>
      </c>
      <c r="PQ138" s="6"/>
      <c r="PR138" s="6"/>
      <c r="PS138" s="6"/>
      <c r="PT138" s="6"/>
      <c r="PU138" s="5" t="str">
        <f t="shared" si="555"/>
        <v>NO APLICA</v>
      </c>
      <c r="PV138" s="5"/>
      <c r="PW138" s="6"/>
      <c r="PX138" s="6"/>
      <c r="PY138" s="6"/>
      <c r="PZ138" s="5" t="str">
        <f t="shared" si="556"/>
        <v>NO APLICA</v>
      </c>
    </row>
    <row r="139" spans="1:442" ht="15.6" hidden="1" thickTop="1" thickBot="1" x14ac:dyDescent="0.35">
      <c r="A139" s="26">
        <v>136</v>
      </c>
      <c r="B139" s="31">
        <v>1638</v>
      </c>
      <c r="C139" s="28" t="s">
        <v>454</v>
      </c>
      <c r="D139" s="29" t="s">
        <v>113</v>
      </c>
      <c r="E139" s="30" t="s">
        <v>174</v>
      </c>
      <c r="F139" s="5"/>
      <c r="G139" s="6"/>
      <c r="H139" s="4"/>
      <c r="I139" s="8"/>
      <c r="J139" s="5" t="str">
        <f t="shared" si="455"/>
        <v>NO APLICA</v>
      </c>
      <c r="K139" s="5"/>
      <c r="L139" s="6"/>
      <c r="M139" s="6"/>
      <c r="N139" s="8"/>
      <c r="O139" s="5" t="str">
        <f t="shared" si="456"/>
        <v>NO APLICA</v>
      </c>
      <c r="P139" s="6"/>
      <c r="Q139" s="6"/>
      <c r="R139" s="4"/>
      <c r="S139" s="8"/>
      <c r="T139" s="5" t="str">
        <f t="shared" si="557"/>
        <v>NO APLICA</v>
      </c>
      <c r="U139" s="5"/>
      <c r="V139" s="2" t="s">
        <v>455</v>
      </c>
      <c r="W139" s="4">
        <v>44944</v>
      </c>
      <c r="X139" s="4">
        <f t="shared" si="410"/>
        <v>46770</v>
      </c>
      <c r="Y139" s="8">
        <f t="shared" ca="1" si="411"/>
        <v>625</v>
      </c>
      <c r="Z139" s="5" t="str">
        <f t="shared" ca="1" si="412"/>
        <v>VIGENTE</v>
      </c>
      <c r="AA139" s="5"/>
      <c r="AB139" s="2"/>
      <c r="AC139" s="6"/>
      <c r="AD139" s="4"/>
      <c r="AE139" s="8"/>
      <c r="AF139" s="5" t="str">
        <f t="shared" si="457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8"/>
        <v>487</v>
      </c>
      <c r="AK139" s="5" t="str">
        <f t="shared" ca="1" si="408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9"/>
        <v>511</v>
      </c>
      <c r="AP139" s="5" t="str">
        <f t="shared" ca="1" si="460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1"/>
        <v>489</v>
      </c>
      <c r="AU139" s="5" t="str">
        <f t="shared" ca="1" si="462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3"/>
        <v>512</v>
      </c>
      <c r="AZ139" s="5" t="str">
        <f t="shared" ca="1" si="464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5"/>
        <v>486</v>
      </c>
      <c r="BE139" s="5" t="str">
        <f t="shared" ca="1" si="466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7"/>
        <v>553</v>
      </c>
      <c r="BJ139" s="5" t="str">
        <f t="shared" ca="1" si="468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9"/>
        <v>561</v>
      </c>
      <c r="BO139" s="5" t="str">
        <f t="shared" ca="1" si="470"/>
        <v>VIGENTE</v>
      </c>
      <c r="BP139" s="3"/>
      <c r="BQ139" s="39">
        <v>45988</v>
      </c>
      <c r="BR139" s="4">
        <f>DATE(YEAR(BQ139)+2,MONTH(BQ139),DAY(BQ139))</f>
        <v>46718</v>
      </c>
      <c r="BS139" s="8">
        <f t="shared" ca="1" si="471"/>
        <v>573</v>
      </c>
      <c r="BT139" s="5" t="str">
        <f t="shared" ca="1" si="472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3"/>
        <v>535</v>
      </c>
      <c r="BY139" s="5" t="str">
        <f t="shared" ca="1" si="474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5"/>
        <v>529</v>
      </c>
      <c r="CD139" s="5" t="str">
        <f t="shared" ca="1" si="476"/>
        <v>VIGENTE</v>
      </c>
      <c r="CE139" s="6"/>
      <c r="CF139" s="4">
        <v>45832</v>
      </c>
      <c r="CG139" s="4">
        <f t="shared" si="416"/>
        <v>47293</v>
      </c>
      <c r="CH139" s="8">
        <f t="shared" ca="1" si="417"/>
        <v>1148</v>
      </c>
      <c r="CI139" s="5" t="str">
        <f t="shared" ca="1" si="418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7"/>
        <v>514</v>
      </c>
      <c r="CN139" s="5" t="str">
        <f t="shared" ca="1" si="478"/>
        <v>VIGENTE</v>
      </c>
      <c r="CO139" s="3"/>
      <c r="CP139" s="39">
        <v>45882</v>
      </c>
      <c r="CQ139" s="4">
        <f>DATE(YEAR(CP139)+2,MONTH(CP139),DAY(CP139))</f>
        <v>46612</v>
      </c>
      <c r="CR139" s="8">
        <f t="shared" ca="1" si="479"/>
        <v>467</v>
      </c>
      <c r="CS139" s="5" t="str">
        <f t="shared" ca="1" si="480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1"/>
        <v>550</v>
      </c>
      <c r="CX139" s="5" t="str">
        <f t="shared" ca="1" si="482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3"/>
        <v>428</v>
      </c>
      <c r="DC139" s="5" t="str">
        <f t="shared" ca="1" si="484"/>
        <v>VIGENTE</v>
      </c>
      <c r="DD139" s="3"/>
      <c r="DE139" s="39">
        <v>45896</v>
      </c>
      <c r="DF139" s="4">
        <f>DATE(YEAR(DE139)+2,MONTH(DE139),DAY(DE139))</f>
        <v>46626</v>
      </c>
      <c r="DG139" s="8">
        <f t="shared" ca="1" si="485"/>
        <v>481</v>
      </c>
      <c r="DH139" s="5" t="str">
        <f t="shared" ca="1" si="486"/>
        <v>VIGENTE</v>
      </c>
      <c r="DI139" s="2"/>
      <c r="DJ139" s="39">
        <v>45975</v>
      </c>
      <c r="DK139" s="4">
        <f>DATE(YEAR(DJ139)+2,MONTH(DJ139),DAY(DJ139))</f>
        <v>46705</v>
      </c>
      <c r="DL139" s="8">
        <f t="shared" ca="1" si="487"/>
        <v>560</v>
      </c>
      <c r="DM139" s="5" t="str">
        <f t="shared" ca="1" si="488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9"/>
        <v>458</v>
      </c>
      <c r="DR139" s="5" t="str">
        <f t="shared" ca="1" si="490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1"/>
        <v>603</v>
      </c>
      <c r="DW139" s="5" t="str">
        <f t="shared" ca="1" si="492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3"/>
        <v>500</v>
      </c>
      <c r="EB139" s="5" t="str">
        <f t="shared" ca="1" si="494"/>
        <v>VIGENTE</v>
      </c>
      <c r="EC139" s="3"/>
      <c r="ED139" s="39">
        <v>45938</v>
      </c>
      <c r="EE139" s="4">
        <f>DATE(YEAR(ED139)+2,MONTH(ED139),DAY(ED139))</f>
        <v>46668</v>
      </c>
      <c r="EF139" s="8">
        <f t="shared" ca="1" si="495"/>
        <v>523</v>
      </c>
      <c r="EG139" s="5" t="str">
        <f t="shared" ca="1" si="496"/>
        <v>VIGENTE</v>
      </c>
      <c r="EH139" s="3"/>
      <c r="EI139" s="3">
        <v>46002</v>
      </c>
      <c r="EJ139" s="4">
        <f t="shared" si="558"/>
        <v>46367</v>
      </c>
      <c r="EK139" s="8">
        <f t="shared" ca="1" si="497"/>
        <v>222</v>
      </c>
      <c r="EL139" s="5" t="str">
        <f t="shared" ca="1" si="498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9"/>
        <v>525</v>
      </c>
      <c r="EQ139" s="5" t="str">
        <f t="shared" ca="1" si="500"/>
        <v>VIGENTE</v>
      </c>
      <c r="ER139" s="3"/>
      <c r="ES139" s="39">
        <v>45993</v>
      </c>
      <c r="ET139" s="4">
        <f>DATE(YEAR(ES139)+2,MONTH(ES139),DAY(ES139))</f>
        <v>46723</v>
      </c>
      <c r="EU139" s="8">
        <f t="shared" ca="1" si="501"/>
        <v>578</v>
      </c>
      <c r="EV139" s="5" t="str">
        <f t="shared" ca="1" si="502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3"/>
        <v>502</v>
      </c>
      <c r="FA139" s="5" t="str">
        <f t="shared" ca="1" si="504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5"/>
        <v>516</v>
      </c>
      <c r="FF139" s="5" t="str">
        <f t="shared" ca="1" si="506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7"/>
        <v>517</v>
      </c>
      <c r="FK139" s="5" t="str">
        <f t="shared" ca="1" si="508"/>
        <v>VIGENTE</v>
      </c>
      <c r="FL139" s="3"/>
      <c r="FM139" s="39">
        <v>45933</v>
      </c>
      <c r="FN139" s="4">
        <f>DATE(YEAR(FM139)+2,MONTH(FM139),DAY(FM139))</f>
        <v>46663</v>
      </c>
      <c r="FO139" s="8">
        <f t="shared" ca="1" si="509"/>
        <v>518</v>
      </c>
      <c r="FP139" s="5" t="str">
        <f t="shared" ca="1" si="510"/>
        <v>VIGENTE</v>
      </c>
      <c r="FQ139" s="3"/>
      <c r="FR139" s="39">
        <v>45957</v>
      </c>
      <c r="FS139" s="4">
        <f>DATE(YEAR(FR139)+2,MONTH(FR139),DAY(FR139))</f>
        <v>46687</v>
      </c>
      <c r="FT139" s="8">
        <f t="shared" ca="1" si="511"/>
        <v>542</v>
      </c>
      <c r="FU139" s="5" t="str">
        <f t="shared" ca="1" si="512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3"/>
        <v>526</v>
      </c>
      <c r="FZ139" s="5" t="str">
        <f t="shared" ca="1" si="514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5"/>
        <v>418</v>
      </c>
      <c r="GE139" s="5" t="str">
        <f t="shared" ca="1" si="516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7"/>
        <v>545</v>
      </c>
      <c r="GJ139" s="5" t="str">
        <f t="shared" ca="1" si="518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9"/>
        <v>530</v>
      </c>
      <c r="GO139" s="5" t="str">
        <f t="shared" ca="1" si="520"/>
        <v>VIGENTE</v>
      </c>
      <c r="GP139" s="4"/>
      <c r="GQ139" s="4">
        <v>45181</v>
      </c>
      <c r="GR139" s="4">
        <f t="shared" si="521"/>
        <v>47008</v>
      </c>
      <c r="GS139" s="8">
        <f t="shared" ca="1" si="405"/>
        <v>863</v>
      </c>
      <c r="GT139" s="5" t="str">
        <f t="shared" ca="1" si="419"/>
        <v>VIGENTE</v>
      </c>
      <c r="GU139" s="3"/>
      <c r="GV139" s="4">
        <v>45267</v>
      </c>
      <c r="GW139" s="4">
        <f t="shared" si="522"/>
        <v>47094</v>
      </c>
      <c r="GX139" s="8">
        <f t="shared" ca="1" si="523"/>
        <v>949</v>
      </c>
      <c r="GY139" s="5" t="str">
        <f t="shared" ca="1" si="426"/>
        <v>VIGENTE</v>
      </c>
      <c r="GZ139" s="2"/>
      <c r="HA139" s="4">
        <v>45251</v>
      </c>
      <c r="HB139" s="4">
        <f t="shared" si="524"/>
        <v>47078</v>
      </c>
      <c r="HC139" s="8">
        <f t="shared" ca="1" si="525"/>
        <v>933</v>
      </c>
      <c r="HD139" s="5" t="str">
        <f t="shared" ca="1" si="421"/>
        <v>VIGENTE</v>
      </c>
      <c r="HE139" s="6"/>
      <c r="HF139" s="6"/>
      <c r="HG139" s="4"/>
      <c r="HH139" s="8"/>
      <c r="HI139" s="5" t="str">
        <f t="shared" si="427"/>
        <v>NO APLICA</v>
      </c>
      <c r="HJ139" s="2"/>
      <c r="HK139" s="6"/>
      <c r="HL139" s="4"/>
      <c r="HM139" s="8"/>
      <c r="HN139" s="5" t="str">
        <f t="shared" si="444"/>
        <v>NO APLICA</v>
      </c>
      <c r="HO139" s="2"/>
      <c r="HP139" s="2"/>
      <c r="HQ139" s="4"/>
      <c r="HR139" s="2"/>
      <c r="HS139" s="5" t="str">
        <f t="shared" si="526"/>
        <v>NO APLICA</v>
      </c>
      <c r="HT139" s="2"/>
      <c r="HU139" s="6"/>
      <c r="HV139" s="4"/>
      <c r="HW139" s="8"/>
      <c r="HX139" s="5" t="str">
        <f t="shared" si="527"/>
        <v>NO APLICA</v>
      </c>
      <c r="HY139" s="2"/>
      <c r="HZ139" s="6"/>
      <c r="IA139" s="4"/>
      <c r="IB139" s="8"/>
      <c r="IC139" s="5" t="str">
        <f t="shared" si="528"/>
        <v>NO APLICA</v>
      </c>
      <c r="ID139" s="2"/>
      <c r="IE139" s="6"/>
      <c r="IF139" s="4"/>
      <c r="IG139" s="8"/>
      <c r="IH139" s="5" t="str">
        <f t="shared" si="529"/>
        <v>NO APLICA</v>
      </c>
      <c r="II139" s="6"/>
      <c r="IJ139" s="6"/>
      <c r="IK139" s="4"/>
      <c r="IL139" s="8"/>
      <c r="IM139" s="5" t="str">
        <f t="shared" si="530"/>
        <v>NO APLICA</v>
      </c>
      <c r="IN139" s="2"/>
      <c r="IO139" s="6"/>
      <c r="IP139" s="4"/>
      <c r="IQ139" s="8"/>
      <c r="IR139" s="5" t="str">
        <f t="shared" si="531"/>
        <v>NO APLICA</v>
      </c>
      <c r="IS139" s="2"/>
      <c r="IT139" s="6"/>
      <c r="IU139" s="4"/>
      <c r="IV139" s="8"/>
      <c r="IW139" s="5" t="str">
        <f t="shared" si="532"/>
        <v>NO APLICA</v>
      </c>
      <c r="IX139" s="2"/>
      <c r="IY139" s="6"/>
      <c r="IZ139" s="4"/>
      <c r="JA139" s="8"/>
      <c r="JB139" s="5" t="str">
        <f t="shared" si="533"/>
        <v>NO APLICA</v>
      </c>
      <c r="JC139" s="3" t="s">
        <v>780</v>
      </c>
      <c r="JD139" s="3"/>
      <c r="JE139" s="4"/>
      <c r="JF139" s="8"/>
      <c r="JG139" s="5"/>
      <c r="JH139" s="3" t="s">
        <v>780</v>
      </c>
      <c r="JI139" s="6"/>
      <c r="JJ139" s="6"/>
      <c r="JK139" s="6"/>
      <c r="JL139" s="5"/>
      <c r="JM139" s="6" t="s">
        <v>780</v>
      </c>
      <c r="JN139" s="6"/>
      <c r="JO139" s="6"/>
      <c r="JP139" s="6"/>
      <c r="JQ139" s="5"/>
      <c r="JR139" s="6" t="s">
        <v>780</v>
      </c>
      <c r="JS139" s="6"/>
      <c r="JT139" s="6"/>
      <c r="JU139" s="6"/>
      <c r="JV139" s="5"/>
      <c r="JW139" s="6" t="s">
        <v>780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4"/>
        <v>NO APLICA</v>
      </c>
      <c r="KG139" s="5"/>
      <c r="KH139" s="2"/>
      <c r="KI139" s="4"/>
      <c r="KJ139" s="8"/>
      <c r="KK139" s="5" t="str">
        <f t="shared" si="559"/>
        <v>NO APLICA</v>
      </c>
      <c r="KL139" s="5"/>
      <c r="KM139" s="2"/>
      <c r="KN139" s="4"/>
      <c r="KO139" s="8"/>
      <c r="KP139" s="5" t="str">
        <f t="shared" si="535"/>
        <v>NO APLICA</v>
      </c>
      <c r="KQ139" s="5"/>
      <c r="KR139" s="2"/>
      <c r="KS139" s="4"/>
      <c r="KT139" s="8"/>
      <c r="KU139" s="5" t="str">
        <f t="shared" si="560"/>
        <v>NO APLICA</v>
      </c>
      <c r="KV139" s="2"/>
      <c r="KW139" s="6"/>
      <c r="KX139" s="4"/>
      <c r="KY139" s="8"/>
      <c r="KZ139" s="5" t="str">
        <f t="shared" si="565"/>
        <v>NO APLICA</v>
      </c>
      <c r="LA139" s="5"/>
      <c r="LB139" s="6"/>
      <c r="LC139" s="4"/>
      <c r="LD139" s="8"/>
      <c r="LE139" s="5" t="str">
        <f t="shared" si="561"/>
        <v>NO APLICA</v>
      </c>
      <c r="LF139" s="6"/>
      <c r="LG139" s="6"/>
      <c r="LH139" s="4"/>
      <c r="LI139" s="8"/>
      <c r="LJ139" s="5" t="str">
        <f t="shared" si="567"/>
        <v>NO APLICA</v>
      </c>
      <c r="LK139" s="5"/>
      <c r="LL139" s="5"/>
      <c r="LM139" s="4"/>
      <c r="LN139" s="8"/>
      <c r="LO139" s="5" t="str">
        <f t="shared" si="566"/>
        <v>NO APLICA</v>
      </c>
      <c r="LP139" s="2"/>
      <c r="LQ139" s="6"/>
      <c r="LR139" s="4"/>
      <c r="LS139" s="8"/>
      <c r="LT139" s="5" t="str">
        <f t="shared" si="562"/>
        <v>NO APLICA</v>
      </c>
      <c r="LU139" s="6"/>
      <c r="LV139" s="6"/>
      <c r="LW139" s="4"/>
      <c r="LX139" s="8"/>
      <c r="LY139" s="5" t="str">
        <f t="shared" si="563"/>
        <v>NO APLICA</v>
      </c>
      <c r="LZ139" s="6"/>
      <c r="MA139" s="6"/>
      <c r="MB139" s="4"/>
      <c r="MC139" s="8"/>
      <c r="MD139" s="5" t="str">
        <f t="shared" si="564"/>
        <v>NO APLICA</v>
      </c>
      <c r="ME139" s="2"/>
      <c r="MF139" s="2"/>
      <c r="MG139" s="4"/>
      <c r="MH139" s="8"/>
      <c r="MI139" s="5" t="str">
        <f t="shared" si="537"/>
        <v>NO APLICA</v>
      </c>
      <c r="MJ139" s="2"/>
      <c r="MK139" s="2"/>
      <c r="ML139" s="4"/>
      <c r="MM139" s="8"/>
      <c r="MN139" s="5" t="str">
        <f t="shared" si="538"/>
        <v>NO APLICA</v>
      </c>
      <c r="MO139" s="5"/>
      <c r="MP139" s="2"/>
      <c r="MQ139" s="4"/>
      <c r="MR139" s="8"/>
      <c r="MS139" s="5" t="str">
        <f t="shared" si="539"/>
        <v>NO APLICA</v>
      </c>
      <c r="MT139" s="5"/>
      <c r="MU139" s="2"/>
      <c r="MV139" s="4"/>
      <c r="MW139" s="2"/>
      <c r="MX139" s="5" t="str">
        <f t="shared" si="540"/>
        <v>NO APLICA</v>
      </c>
      <c r="MY139" s="2"/>
      <c r="MZ139" s="6"/>
      <c r="NA139" s="4"/>
      <c r="NB139" s="8"/>
      <c r="NC139" s="5" t="str">
        <f t="shared" si="541"/>
        <v>NO APLICA</v>
      </c>
      <c r="ND139" s="2"/>
      <c r="NE139" s="6"/>
      <c r="NF139" s="4"/>
      <c r="NG139" s="8"/>
      <c r="NH139" s="5" t="str">
        <f t="shared" si="542"/>
        <v>NO APLICA</v>
      </c>
      <c r="NI139" s="2"/>
      <c r="NJ139" s="6"/>
      <c r="NK139" s="4"/>
      <c r="NL139" s="8"/>
      <c r="NM139" s="5" t="str">
        <f t="shared" si="543"/>
        <v>NO APLICA</v>
      </c>
      <c r="NN139" s="2"/>
      <c r="NO139" s="2"/>
      <c r="NP139" s="4"/>
      <c r="NQ139" s="8"/>
      <c r="NR139" s="5" t="str">
        <f t="shared" si="544"/>
        <v>NO APLICA</v>
      </c>
      <c r="NS139" s="2"/>
      <c r="NT139" s="2"/>
      <c r="NU139" s="4"/>
      <c r="NV139" s="2"/>
      <c r="NW139" s="5" t="str">
        <f t="shared" si="545"/>
        <v>NO APLICA</v>
      </c>
      <c r="NX139" s="6"/>
      <c r="NY139" s="6"/>
      <c r="NZ139" s="4"/>
      <c r="OA139" s="8"/>
      <c r="OB139" s="5" t="str">
        <f t="shared" si="546"/>
        <v>NO APLICA</v>
      </c>
      <c r="OC139" s="6"/>
      <c r="OD139" s="6"/>
      <c r="OE139" s="6"/>
      <c r="OF139" s="6"/>
      <c r="OG139" s="5" t="str">
        <f t="shared" si="547"/>
        <v>NO APLICA</v>
      </c>
      <c r="OH139" s="2"/>
      <c r="OI139" s="2"/>
      <c r="OJ139" s="4"/>
      <c r="OK139" s="8"/>
      <c r="OL139" s="5" t="str">
        <f t="shared" si="548"/>
        <v>NO APLICA</v>
      </c>
      <c r="OM139" s="6"/>
      <c r="ON139" s="6"/>
      <c r="OO139" s="6"/>
      <c r="OP139" s="6"/>
      <c r="OQ139" s="5" t="str">
        <f t="shared" si="549"/>
        <v>NO APLICA</v>
      </c>
      <c r="OR139" s="6"/>
      <c r="OS139" s="6"/>
      <c r="OT139" s="6"/>
      <c r="OU139" s="6"/>
      <c r="OV139" s="5" t="str">
        <f t="shared" si="550"/>
        <v>NO APLICA</v>
      </c>
      <c r="OW139" s="6"/>
      <c r="OX139" s="6"/>
      <c r="OY139" s="6"/>
      <c r="OZ139" s="6"/>
      <c r="PA139" s="5" t="str">
        <f t="shared" si="551"/>
        <v>NO APLICA</v>
      </c>
      <c r="PB139" s="6"/>
      <c r="PC139" s="6"/>
      <c r="PD139" s="6"/>
      <c r="PE139" s="6"/>
      <c r="PF139" s="5" t="str">
        <f t="shared" si="552"/>
        <v>NO APLICA</v>
      </c>
      <c r="PG139" s="6"/>
      <c r="PH139" s="6"/>
      <c r="PI139" s="6"/>
      <c r="PJ139" s="6"/>
      <c r="PK139" s="5" t="str">
        <f t="shared" si="553"/>
        <v>NO APLICA</v>
      </c>
      <c r="PL139" s="5"/>
      <c r="PM139" s="6"/>
      <c r="PN139" s="4"/>
      <c r="PO139" s="8"/>
      <c r="PP139" s="5" t="str">
        <f t="shared" si="554"/>
        <v>NO APLICA</v>
      </c>
      <c r="PQ139" s="6"/>
      <c r="PR139" s="6"/>
      <c r="PS139" s="6"/>
      <c r="PT139" s="6"/>
      <c r="PU139" s="5" t="str">
        <f t="shared" si="555"/>
        <v>NO APLICA</v>
      </c>
      <c r="PV139" s="5"/>
      <c r="PW139" s="6"/>
      <c r="PX139" s="6"/>
      <c r="PY139" s="6"/>
      <c r="PZ139" s="5" t="str">
        <f t="shared" si="556"/>
        <v>NO APLICA</v>
      </c>
    </row>
    <row r="140" spans="1:442" ht="15.6" hidden="1" thickTop="1" thickBot="1" x14ac:dyDescent="0.35">
      <c r="A140" s="26">
        <v>137</v>
      </c>
      <c r="B140" s="27">
        <v>469</v>
      </c>
      <c r="C140" s="28" t="s">
        <v>763</v>
      </c>
      <c r="D140" s="29" t="s">
        <v>68</v>
      </c>
      <c r="E140" s="30" t="s">
        <v>456</v>
      </c>
      <c r="F140" s="5"/>
      <c r="G140" s="6"/>
      <c r="H140" s="4"/>
      <c r="I140" s="8"/>
      <c r="J140" s="5" t="str">
        <f t="shared" si="455"/>
        <v>NO APLICA</v>
      </c>
      <c r="K140" s="5"/>
      <c r="L140" s="6"/>
      <c r="M140" s="6"/>
      <c r="N140" s="8"/>
      <c r="O140" s="5" t="str">
        <f t="shared" si="456"/>
        <v>NO APLICA</v>
      </c>
      <c r="P140" s="6"/>
      <c r="Q140" s="6"/>
      <c r="R140" s="4"/>
      <c r="S140" s="8"/>
      <c r="T140" s="5" t="str">
        <f t="shared" si="557"/>
        <v>NO APLICA</v>
      </c>
      <c r="U140" s="5"/>
      <c r="V140" s="2" t="s">
        <v>457</v>
      </c>
      <c r="W140" s="4">
        <v>45958</v>
      </c>
      <c r="X140" s="4">
        <f t="shared" si="410"/>
        <v>47784</v>
      </c>
      <c r="Y140" s="8">
        <f t="shared" ca="1" si="411"/>
        <v>1639</v>
      </c>
      <c r="Z140" s="5" t="str">
        <f t="shared" ca="1" si="412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7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8"/>
        <v>264</v>
      </c>
      <c r="AK140" s="5" t="str">
        <f t="shared" ca="1" si="408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9"/>
        <v>294</v>
      </c>
      <c r="AP140" s="5" t="str">
        <f t="shared" ca="1" si="460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1"/>
        <v>287</v>
      </c>
      <c r="AU140" s="5" t="str">
        <f t="shared" ca="1" si="462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3"/>
        <v>286</v>
      </c>
      <c r="AZ140" s="5" t="str">
        <f t="shared" ca="1" si="464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5"/>
        <v>301</v>
      </c>
      <c r="BE140" s="5" t="str">
        <f t="shared" ca="1" si="466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7"/>
        <v>282</v>
      </c>
      <c r="BJ140" s="5" t="str">
        <f t="shared" ca="1" si="468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9"/>
        <v>154</v>
      </c>
      <c r="BO140" s="5" t="str">
        <f t="shared" ca="1" si="470"/>
        <v>VIGENTE</v>
      </c>
      <c r="BP140" s="3"/>
      <c r="BQ140" s="39">
        <v>45701</v>
      </c>
      <c r="BR140" s="4">
        <f>DATE(YEAR(BQ140)+2,MONTH(BQ140),DAY(BQ140)-1)</f>
        <v>46430</v>
      </c>
      <c r="BS140" s="8">
        <f t="shared" ca="1" si="471"/>
        <v>285</v>
      </c>
      <c r="BT140" s="5" t="str">
        <f t="shared" ca="1" si="472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3"/>
        <v>152</v>
      </c>
      <c r="BY140" s="5" t="str">
        <f t="shared" ca="1" si="474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5"/>
        <v>314</v>
      </c>
      <c r="CD140" s="5" t="str">
        <f t="shared" ca="1" si="476"/>
        <v>VIGENTE</v>
      </c>
      <c r="CE140" s="6"/>
      <c r="CF140" s="4">
        <v>45533</v>
      </c>
      <c r="CG140" s="4">
        <f t="shared" si="416"/>
        <v>46994</v>
      </c>
      <c r="CH140" s="8">
        <f t="shared" ca="1" si="417"/>
        <v>849</v>
      </c>
      <c r="CI140" s="5" t="str">
        <f t="shared" ca="1" si="418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7"/>
        <v>185</v>
      </c>
      <c r="CN140" s="5" t="str">
        <f t="shared" ca="1" si="478"/>
        <v>VIGENTE</v>
      </c>
      <c r="CO140" s="3"/>
      <c r="CP140" s="39">
        <v>45684</v>
      </c>
      <c r="CQ140" s="4">
        <f>DATE(YEAR(CP140)+2,MONTH(CP140),DAY(CP140)-1)</f>
        <v>46413</v>
      </c>
      <c r="CR140" s="8">
        <f t="shared" ca="1" si="479"/>
        <v>268</v>
      </c>
      <c r="CS140" s="5" t="str">
        <f t="shared" ca="1" si="480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1"/>
        <v>311</v>
      </c>
      <c r="CX140" s="5" t="str">
        <f t="shared" ca="1" si="482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3"/>
        <v>265</v>
      </c>
      <c r="DC140" s="5" t="str">
        <f t="shared" ca="1" si="484"/>
        <v>VIGENTE</v>
      </c>
      <c r="DD140" s="3"/>
      <c r="DE140" s="39">
        <v>45596</v>
      </c>
      <c r="DF140" s="4">
        <f>DATE(YEAR(DE140)+2,MONTH(DE140),DAY(DE140)-1)</f>
        <v>46325</v>
      </c>
      <c r="DG140" s="8">
        <f t="shared" ca="1" si="485"/>
        <v>180</v>
      </c>
      <c r="DH140" s="5" t="str">
        <f t="shared" ca="1" si="486"/>
        <v>VIGENTE</v>
      </c>
      <c r="DI140" s="3"/>
      <c r="DJ140" s="39">
        <v>45696</v>
      </c>
      <c r="DK140" s="4">
        <f>DATE(YEAR(DJ140)+2,MONTH(DJ140),DAY(DJ140)-1)</f>
        <v>46425</v>
      </c>
      <c r="DL140" s="8">
        <f t="shared" ca="1" si="487"/>
        <v>280</v>
      </c>
      <c r="DM140" s="5" t="str">
        <f t="shared" ca="1" si="488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9"/>
        <v>161</v>
      </c>
      <c r="DR140" s="5" t="str">
        <f t="shared" ca="1" si="490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1"/>
        <v>269</v>
      </c>
      <c r="DW140" s="5" t="str">
        <f t="shared" ca="1" si="492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3"/>
        <v>247</v>
      </c>
      <c r="EB140" s="5" t="str">
        <f t="shared" ca="1" si="494"/>
        <v>VIGENTE</v>
      </c>
      <c r="EC140" s="3"/>
      <c r="ED140" s="39">
        <v>45674</v>
      </c>
      <c r="EE140" s="4">
        <f>DATE(YEAR(ED140)+2,MONTH(ED140),DAY(ED140)-1)</f>
        <v>46403</v>
      </c>
      <c r="EF140" s="8">
        <f t="shared" ca="1" si="495"/>
        <v>258</v>
      </c>
      <c r="EG140" s="5" t="str">
        <f t="shared" ca="1" si="496"/>
        <v>VIGENTE</v>
      </c>
      <c r="EH140" s="3"/>
      <c r="EI140" s="4">
        <v>46123</v>
      </c>
      <c r="EJ140" s="4">
        <f t="shared" si="558"/>
        <v>46488</v>
      </c>
      <c r="EK140" s="8">
        <f t="shared" ca="1" si="497"/>
        <v>343</v>
      </c>
      <c r="EL140" s="5" t="str">
        <f t="shared" ca="1" si="498"/>
        <v>VIGENTE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9"/>
        <v>220</v>
      </c>
      <c r="EQ140" s="5" t="str">
        <f t="shared" ca="1" si="500"/>
        <v>VIGENTE</v>
      </c>
      <c r="ER140" s="3"/>
      <c r="ES140" s="39">
        <v>45623</v>
      </c>
      <c r="ET140" s="4">
        <f>DATE(YEAR(ES140)+2,MONTH(ES140),DAY(ES140)-1)</f>
        <v>46352</v>
      </c>
      <c r="EU140" s="8">
        <f t="shared" ca="1" si="501"/>
        <v>207</v>
      </c>
      <c r="EV140" s="5" t="str">
        <f t="shared" ca="1" si="502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3"/>
        <v>194</v>
      </c>
      <c r="FA140" s="5" t="str">
        <f t="shared" ca="1" si="504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5"/>
        <v>195</v>
      </c>
      <c r="FF140" s="5" t="str">
        <f t="shared" ca="1" si="506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7"/>
        <v>252</v>
      </c>
      <c r="FK140" s="5" t="str">
        <f t="shared" ca="1" si="508"/>
        <v>VIGENTE</v>
      </c>
      <c r="FL140" s="3"/>
      <c r="FM140" s="39">
        <v>45588</v>
      </c>
      <c r="FN140" s="4">
        <f>DATE(YEAR(FM140)+2,MONTH(FM140),DAY(FM140)-1)</f>
        <v>46317</v>
      </c>
      <c r="FO140" s="8">
        <f t="shared" ca="1" si="509"/>
        <v>172</v>
      </c>
      <c r="FP140" s="5" t="str">
        <f t="shared" ca="1" si="510"/>
        <v>VIGENTE</v>
      </c>
      <c r="FQ140" s="3"/>
      <c r="FR140" s="39">
        <v>45664</v>
      </c>
      <c r="FS140" s="4">
        <f>DATE(YEAR(FR140)+2,MONTH(FR140),DAY(FR140)-1)</f>
        <v>46393</v>
      </c>
      <c r="FT140" s="8">
        <f t="shared" ca="1" si="511"/>
        <v>248</v>
      </c>
      <c r="FU140" s="5" t="str">
        <f t="shared" ca="1" si="512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3"/>
        <v>284</v>
      </c>
      <c r="FZ140" s="5" t="str">
        <f t="shared" ca="1" si="514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5"/>
        <v>251</v>
      </c>
      <c r="GE140" s="5" t="str">
        <f t="shared" ca="1" si="516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7"/>
        <v>256</v>
      </c>
      <c r="GJ140" s="5" t="str">
        <f t="shared" ca="1" si="518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9"/>
        <v>192</v>
      </c>
      <c r="GO140" s="5" t="str">
        <f t="shared" ca="1" si="520"/>
        <v>VIGENTE</v>
      </c>
      <c r="GP140" s="4"/>
      <c r="GQ140" s="4">
        <v>44966</v>
      </c>
      <c r="GR140" s="4">
        <f t="shared" si="521"/>
        <v>46792</v>
      </c>
      <c r="GS140" s="8">
        <f t="shared" ca="1" si="405"/>
        <v>647</v>
      </c>
      <c r="GT140" s="5" t="str">
        <f t="shared" ca="1" si="419"/>
        <v>VIGENTE</v>
      </c>
      <c r="GU140" s="3"/>
      <c r="GV140" s="4">
        <v>44952</v>
      </c>
      <c r="GW140" s="4">
        <f t="shared" si="522"/>
        <v>46778</v>
      </c>
      <c r="GX140" s="8">
        <f t="shared" ca="1" si="523"/>
        <v>633</v>
      </c>
      <c r="GY140" s="5" t="str">
        <f t="shared" ca="1" si="426"/>
        <v>VIGENTE</v>
      </c>
      <c r="GZ140" s="2"/>
      <c r="HA140" s="4">
        <v>44980</v>
      </c>
      <c r="HB140" s="4">
        <f t="shared" si="524"/>
        <v>46806</v>
      </c>
      <c r="HC140" s="8">
        <f t="shared" ca="1" si="525"/>
        <v>661</v>
      </c>
      <c r="HD140" s="5" t="str">
        <f t="shared" ca="1" si="421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7"/>
        <v>VIGENTE</v>
      </c>
      <c r="HJ140" s="2"/>
      <c r="HK140" s="6"/>
      <c r="HL140" s="4"/>
      <c r="HM140" s="8"/>
      <c r="HN140" s="5" t="str">
        <f t="shared" si="444"/>
        <v>NO APLICA</v>
      </c>
      <c r="HO140" s="2"/>
      <c r="HP140" s="5"/>
      <c r="HQ140" s="4"/>
      <c r="HR140" s="5"/>
      <c r="HS140" s="5" t="str">
        <f t="shared" si="526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7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8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9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30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1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2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3"/>
        <v>VIGENTE</v>
      </c>
      <c r="JC140" s="3" t="s">
        <v>780</v>
      </c>
      <c r="JD140" s="3"/>
      <c r="JE140" s="4"/>
      <c r="JF140" s="8"/>
      <c r="JG140" s="5"/>
      <c r="JH140" s="3" t="s">
        <v>780</v>
      </c>
      <c r="JI140" s="6"/>
      <c r="JJ140" s="6"/>
      <c r="JK140" s="6"/>
      <c r="JL140" s="5"/>
      <c r="JM140" s="6" t="s">
        <v>780</v>
      </c>
      <c r="JN140" s="6"/>
      <c r="JO140" s="6"/>
      <c r="JP140" s="6"/>
      <c r="JQ140" s="5"/>
      <c r="JR140" s="6" t="s">
        <v>780</v>
      </c>
      <c r="JS140" s="6"/>
      <c r="JT140" s="6"/>
      <c r="JU140" s="6"/>
      <c r="JV140" s="5"/>
      <c r="JW140" s="6" t="s">
        <v>780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4"/>
        <v>NO APLICA</v>
      </c>
      <c r="KG140" s="5"/>
      <c r="KH140" s="5"/>
      <c r="KI140" s="4"/>
      <c r="KJ140" s="8"/>
      <c r="KK140" s="5" t="str">
        <f t="shared" si="559"/>
        <v>NO APLICA</v>
      </c>
      <c r="KL140" s="5"/>
      <c r="KM140" s="5"/>
      <c r="KN140" s="4"/>
      <c r="KO140" s="8"/>
      <c r="KP140" s="5" t="str">
        <f t="shared" si="535"/>
        <v>NO APLICA</v>
      </c>
      <c r="KQ140" s="5"/>
      <c r="KR140" s="2"/>
      <c r="KS140" s="4"/>
      <c r="KT140" s="8"/>
      <c r="KU140" s="5" t="str">
        <f t="shared" si="560"/>
        <v>NO APLICA</v>
      </c>
      <c r="KV140" s="2"/>
      <c r="KW140" s="6"/>
      <c r="KX140" s="4"/>
      <c r="KY140" s="8"/>
      <c r="KZ140" s="5" t="str">
        <f t="shared" si="565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1"/>
        <v>VIGENTE</v>
      </c>
      <c r="LF140" s="6"/>
      <c r="LG140" s="6"/>
      <c r="LH140" s="4"/>
      <c r="LI140" s="8"/>
      <c r="LJ140" s="5" t="str">
        <f t="shared" si="567"/>
        <v>NO APLICA</v>
      </c>
      <c r="LK140" s="5"/>
      <c r="LL140" s="5"/>
      <c r="LM140" s="4"/>
      <c r="LN140" s="8"/>
      <c r="LO140" s="5" t="str">
        <f t="shared" si="566"/>
        <v>NO APLICA</v>
      </c>
      <c r="LP140" s="5"/>
      <c r="LQ140" s="6"/>
      <c r="LR140" s="4"/>
      <c r="LS140" s="8"/>
      <c r="LT140" s="5" t="str">
        <f t="shared" si="562"/>
        <v>NO APLICA</v>
      </c>
      <c r="LU140" s="6"/>
      <c r="LV140" s="6"/>
      <c r="LW140" s="4"/>
      <c r="LX140" s="8"/>
      <c r="LY140" s="5" t="str">
        <f t="shared" si="563"/>
        <v>NO APLICA</v>
      </c>
      <c r="LZ140" s="6"/>
      <c r="MA140" s="6"/>
      <c r="MB140" s="4"/>
      <c r="MC140" s="8"/>
      <c r="MD140" s="5" t="str">
        <f t="shared" si="564"/>
        <v>NO APLICA</v>
      </c>
      <c r="ME140" s="5"/>
      <c r="MF140" s="5"/>
      <c r="MG140" s="4"/>
      <c r="MH140" s="8"/>
      <c r="MI140" s="5" t="str">
        <f t="shared" si="537"/>
        <v>NO APLICA</v>
      </c>
      <c r="MJ140" s="5"/>
      <c r="MK140" s="5"/>
      <c r="ML140" s="4"/>
      <c r="MM140" s="8"/>
      <c r="MN140" s="5" t="str">
        <f t="shared" si="538"/>
        <v>NO APLICA</v>
      </c>
      <c r="MO140" s="5"/>
      <c r="MP140" s="5"/>
      <c r="MQ140" s="4"/>
      <c r="MR140" s="8"/>
      <c r="MS140" s="5" t="str">
        <f t="shared" si="539"/>
        <v>NO APLICA</v>
      </c>
      <c r="MT140" s="5"/>
      <c r="MU140" s="5"/>
      <c r="MV140" s="4"/>
      <c r="MW140" s="5"/>
      <c r="MX140" s="5" t="str">
        <f t="shared" si="540"/>
        <v>NO APLICA</v>
      </c>
      <c r="MY140" s="5"/>
      <c r="MZ140" s="6"/>
      <c r="NA140" s="4"/>
      <c r="NB140" s="8"/>
      <c r="NC140" s="5" t="str">
        <f t="shared" si="541"/>
        <v>NO APLICA</v>
      </c>
      <c r="ND140" s="5"/>
      <c r="NE140" s="6"/>
      <c r="NF140" s="4"/>
      <c r="NG140" s="8"/>
      <c r="NH140" s="5" t="str">
        <f t="shared" si="542"/>
        <v>NO APLICA</v>
      </c>
      <c r="NI140" s="5"/>
      <c r="NJ140" s="6"/>
      <c r="NK140" s="4"/>
      <c r="NL140" s="8"/>
      <c r="NM140" s="5" t="str">
        <f t="shared" si="543"/>
        <v>NO APLICA</v>
      </c>
      <c r="NN140" s="5"/>
      <c r="NO140" s="5"/>
      <c r="NP140" s="4"/>
      <c r="NQ140" s="8"/>
      <c r="NR140" s="5" t="str">
        <f t="shared" si="544"/>
        <v>NO APLICA</v>
      </c>
      <c r="NS140" s="5"/>
      <c r="NT140" s="5"/>
      <c r="NU140" s="5"/>
      <c r="NV140" s="5"/>
      <c r="NW140" s="5" t="str">
        <f t="shared" si="545"/>
        <v>NO APLICA</v>
      </c>
      <c r="NX140" s="6"/>
      <c r="NY140" s="6"/>
      <c r="NZ140" s="4"/>
      <c r="OA140" s="8"/>
      <c r="OB140" s="5" t="str">
        <f t="shared" si="546"/>
        <v>NO APLICA</v>
      </c>
      <c r="OC140" s="6"/>
      <c r="OD140" s="6"/>
      <c r="OE140" s="6"/>
      <c r="OF140" s="6"/>
      <c r="OG140" s="5" t="str">
        <f t="shared" si="547"/>
        <v>NO APLICA</v>
      </c>
      <c r="OH140" s="5"/>
      <c r="OI140" s="5"/>
      <c r="OJ140" s="4"/>
      <c r="OK140" s="8"/>
      <c r="OL140" s="5" t="str">
        <f t="shared" si="548"/>
        <v>NO APLICA</v>
      </c>
      <c r="OM140" s="6"/>
      <c r="ON140" s="6"/>
      <c r="OO140" s="6"/>
      <c r="OP140" s="6"/>
      <c r="OQ140" s="5" t="str">
        <f t="shared" si="549"/>
        <v>NO APLICA</v>
      </c>
      <c r="OR140" s="6"/>
      <c r="OS140" s="6"/>
      <c r="OT140" s="6"/>
      <c r="OU140" s="6"/>
      <c r="OV140" s="5" t="str">
        <f t="shared" si="550"/>
        <v>NO APLICA</v>
      </c>
      <c r="OW140" s="6"/>
      <c r="OX140" s="6"/>
      <c r="OY140" s="6"/>
      <c r="OZ140" s="6"/>
      <c r="PA140" s="5" t="str">
        <f t="shared" si="551"/>
        <v>NO APLICA</v>
      </c>
      <c r="PB140" s="6"/>
      <c r="PC140" s="6"/>
      <c r="PD140" s="6"/>
      <c r="PE140" s="6"/>
      <c r="PF140" s="5" t="str">
        <f t="shared" si="552"/>
        <v>NO APLICA</v>
      </c>
      <c r="PG140" s="6"/>
      <c r="PH140" s="6"/>
      <c r="PI140" s="6"/>
      <c r="PJ140" s="6"/>
      <c r="PK140" s="5" t="str">
        <f t="shared" si="553"/>
        <v>NO APLICA</v>
      </c>
      <c r="PL140" s="5"/>
      <c r="PM140" s="6"/>
      <c r="PN140" s="4"/>
      <c r="PO140" s="8"/>
      <c r="PP140" s="5" t="str">
        <f t="shared" si="554"/>
        <v>NO APLICA</v>
      </c>
      <c r="PQ140" s="6"/>
      <c r="PR140" s="6"/>
      <c r="PS140" s="6"/>
      <c r="PT140" s="6"/>
      <c r="PU140" s="5" t="str">
        <f t="shared" si="555"/>
        <v>NO APLICA</v>
      </c>
      <c r="PV140" s="5"/>
      <c r="PW140" s="6"/>
      <c r="PX140" s="6"/>
      <c r="PY140" s="6"/>
      <c r="PZ140" s="5" t="str">
        <f t="shared" si="556"/>
        <v>NO APLICA</v>
      </c>
    </row>
    <row r="141" spans="1:442" ht="15.6" hidden="1" thickTop="1" thickBot="1" x14ac:dyDescent="0.35">
      <c r="A141" s="26">
        <v>138</v>
      </c>
      <c r="B141" s="27">
        <v>1582</v>
      </c>
      <c r="C141" s="28" t="s">
        <v>459</v>
      </c>
      <c r="D141" s="29" t="s">
        <v>113</v>
      </c>
      <c r="E141" s="30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5"/>
        <v>VIGENTE</v>
      </c>
      <c r="K141" s="3"/>
      <c r="L141" s="4"/>
      <c r="M141" s="6"/>
      <c r="N141" s="8"/>
      <c r="O141" s="5" t="str">
        <f t="shared" si="456"/>
        <v>NO APLICA</v>
      </c>
      <c r="P141" s="6"/>
      <c r="Q141" s="6"/>
      <c r="R141" s="4"/>
      <c r="S141" s="8"/>
      <c r="T141" s="5" t="str">
        <f t="shared" si="557"/>
        <v>NO APLICA</v>
      </c>
      <c r="U141" s="5"/>
      <c r="V141" s="3" t="s">
        <v>460</v>
      </c>
      <c r="W141" s="4">
        <v>46069</v>
      </c>
      <c r="X141" s="4">
        <f t="shared" si="410"/>
        <v>47895</v>
      </c>
      <c r="Y141" s="8">
        <f t="shared" ca="1" si="411"/>
        <v>1750</v>
      </c>
      <c r="Z141" s="5" t="str">
        <f t="shared" ca="1" si="412"/>
        <v>VIGENTE</v>
      </c>
      <c r="AA141" s="5"/>
      <c r="AB141" s="2"/>
      <c r="AC141" s="6"/>
      <c r="AD141" s="4"/>
      <c r="AE141" s="8"/>
      <c r="AF141" s="5" t="str">
        <f t="shared" si="457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8"/>
        <v>487</v>
      </c>
      <c r="AK141" s="5" t="str">
        <f t="shared" ca="1" si="408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9"/>
        <v>488</v>
      </c>
      <c r="AP141" s="5" t="str">
        <f t="shared" ca="1" si="460"/>
        <v>VIGENTE</v>
      </c>
      <c r="AQ141" s="3"/>
      <c r="AR141" s="4">
        <v>45904</v>
      </c>
      <c r="AS141" s="4">
        <f t="shared" ref="AS141:AS152" si="568">DATE(YEAR(AR141)+2,MONTH(AR141),DAY(AR141))</f>
        <v>46634</v>
      </c>
      <c r="AT141" s="8">
        <f t="shared" ca="1" si="461"/>
        <v>489</v>
      </c>
      <c r="AU141" s="5" t="str">
        <f t="shared" ca="1" si="462"/>
        <v>VIGENTE</v>
      </c>
      <c r="AV141" s="3"/>
      <c r="AW141" s="4">
        <v>45906</v>
      </c>
      <c r="AX141" s="4">
        <f t="shared" ref="AX141:AX152" si="569">DATE(YEAR(AW141)+2,MONTH(AW141),DAY(AW141))</f>
        <v>46636</v>
      </c>
      <c r="AY141" s="8">
        <f t="shared" ca="1" si="463"/>
        <v>491</v>
      </c>
      <c r="AZ141" s="5" t="str">
        <f t="shared" ca="1" si="464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5"/>
        <v>486</v>
      </c>
      <c r="BE141" s="5" t="str">
        <f t="shared" ca="1" si="466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7"/>
        <v>465</v>
      </c>
      <c r="BJ141" s="5" t="str">
        <f t="shared" ca="1" si="468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9"/>
        <v>382</v>
      </c>
      <c r="BO141" s="5" t="str">
        <f t="shared" ca="1" si="470"/>
        <v>VIGENTE</v>
      </c>
      <c r="BP141" s="3"/>
      <c r="BQ141" s="39">
        <v>45841</v>
      </c>
      <c r="BR141" s="4">
        <f t="shared" ref="BR141:BR150" si="570">DATE(YEAR(BQ141)+2,MONTH(BQ141),DAY(BQ141))</f>
        <v>46571</v>
      </c>
      <c r="BS141" s="8">
        <f t="shared" ca="1" si="471"/>
        <v>426</v>
      </c>
      <c r="BT141" s="5" t="str">
        <f t="shared" ca="1" si="472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3"/>
        <v>438</v>
      </c>
      <c r="BY141" s="5" t="str">
        <f t="shared" ca="1" si="474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5"/>
        <v>516</v>
      </c>
      <c r="CD141" s="5" t="str">
        <f t="shared" ca="1" si="476"/>
        <v>VIGENTE</v>
      </c>
      <c r="CE141" s="6"/>
      <c r="CF141" s="4">
        <v>45723</v>
      </c>
      <c r="CG141" s="4">
        <f t="shared" si="416"/>
        <v>47184</v>
      </c>
      <c r="CH141" s="8">
        <f t="shared" ca="1" si="417"/>
        <v>1039</v>
      </c>
      <c r="CI141" s="5" t="str">
        <f t="shared" ca="1" si="418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7"/>
        <v>385</v>
      </c>
      <c r="CN141" s="5" t="str">
        <f t="shared" ca="1" si="478"/>
        <v>VIGENTE</v>
      </c>
      <c r="CO141" s="3"/>
      <c r="CP141" s="39">
        <v>45888</v>
      </c>
      <c r="CQ141" s="4">
        <f>DATE(YEAR(CP141)+2,MONTH(CP141),DAY(CP141))</f>
        <v>46618</v>
      </c>
      <c r="CR141" s="8">
        <f t="shared" ca="1" si="479"/>
        <v>473</v>
      </c>
      <c r="CS141" s="5" t="str">
        <f t="shared" ca="1" si="480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1"/>
        <v>398</v>
      </c>
      <c r="CX141" s="5" t="str">
        <f t="shared" ca="1" si="482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3"/>
        <v>428</v>
      </c>
      <c r="DC141" s="5" t="str">
        <f t="shared" ca="1" si="484"/>
        <v>VIGENTE</v>
      </c>
      <c r="DD141" s="3"/>
      <c r="DE141" s="39">
        <v>45761</v>
      </c>
      <c r="DF141" s="4">
        <f>DATE(YEAR(DE141)+2,MONTH(DE141),DAY(DE141))</f>
        <v>46491</v>
      </c>
      <c r="DG141" s="8">
        <f t="shared" ca="1" si="485"/>
        <v>346</v>
      </c>
      <c r="DH141" s="5" t="str">
        <f t="shared" ca="1" si="486"/>
        <v>VIGENTE</v>
      </c>
      <c r="DI141" s="3"/>
      <c r="DJ141" s="39">
        <v>45899</v>
      </c>
      <c r="DK141" s="4">
        <f>DATE(YEAR(DJ141)+2,MONTH(DJ141),DAY(DJ141))</f>
        <v>46629</v>
      </c>
      <c r="DL141" s="8">
        <f t="shared" ca="1" si="487"/>
        <v>484</v>
      </c>
      <c r="DM141" s="5" t="str">
        <f t="shared" ca="1" si="488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9"/>
        <v>458</v>
      </c>
      <c r="DR141" s="5" t="str">
        <f t="shared" ca="1" si="490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1"/>
        <v>437</v>
      </c>
      <c r="DW141" s="5" t="str">
        <f t="shared" ca="1" si="492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3"/>
        <v>432</v>
      </c>
      <c r="EB141" s="5" t="str">
        <f t="shared" ca="1" si="494"/>
        <v>VIGENTE</v>
      </c>
      <c r="EC141" s="3"/>
      <c r="ED141" s="39">
        <v>45938</v>
      </c>
      <c r="EE141" s="4">
        <f>DATE(YEAR(ED141)+2,MONTH(ED141),DAY(ED141))</f>
        <v>46668</v>
      </c>
      <c r="EF141" s="8">
        <f t="shared" ca="1" si="495"/>
        <v>523</v>
      </c>
      <c r="EG141" s="5" t="str">
        <f t="shared" ca="1" si="496"/>
        <v>VIGENTE</v>
      </c>
      <c r="EH141" s="3"/>
      <c r="EI141" s="3">
        <v>45911</v>
      </c>
      <c r="EJ141" s="4">
        <f t="shared" si="558"/>
        <v>46276</v>
      </c>
      <c r="EK141" s="8">
        <f t="shared" ca="1" si="497"/>
        <v>131</v>
      </c>
      <c r="EL141" s="5" t="str">
        <f t="shared" ca="1" si="498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9"/>
        <v>425</v>
      </c>
      <c r="EQ141" s="5" t="str">
        <f t="shared" ca="1" si="500"/>
        <v>VIGENTE</v>
      </c>
      <c r="ER141" s="2"/>
      <c r="ES141" s="39">
        <v>45735</v>
      </c>
      <c r="ET141" s="4">
        <f>DATE(YEAR(ES141)+2,MONTH(ES141),DAY(ES141)-1)</f>
        <v>46464</v>
      </c>
      <c r="EU141" s="8">
        <f t="shared" ca="1" si="501"/>
        <v>319</v>
      </c>
      <c r="EV141" s="5" t="str">
        <f t="shared" ca="1" si="502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3"/>
        <v>502</v>
      </c>
      <c r="FA141" s="5" t="str">
        <f t="shared" ca="1" si="504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5"/>
        <v>388</v>
      </c>
      <c r="FF141" s="5" t="str">
        <f t="shared" ca="1" si="506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7"/>
        <v>517</v>
      </c>
      <c r="FK141" s="5" t="str">
        <f t="shared" ca="1" si="508"/>
        <v>VIGENTE</v>
      </c>
      <c r="FL141" s="3"/>
      <c r="FM141" s="39">
        <v>45850</v>
      </c>
      <c r="FN141" s="4">
        <f>DATE(YEAR(FM141)+2,MONTH(FM141),DAY(FM141))</f>
        <v>46580</v>
      </c>
      <c r="FO141" s="8">
        <f t="shared" ca="1" si="509"/>
        <v>435</v>
      </c>
      <c r="FP141" s="5" t="str">
        <f t="shared" ca="1" si="510"/>
        <v>VIGENTE</v>
      </c>
      <c r="FQ141" s="3"/>
      <c r="FR141" s="39">
        <v>45846</v>
      </c>
      <c r="FS141" s="4">
        <f>DATE(YEAR(FR141)+2,MONTH(FR141),DAY(FR141))</f>
        <v>46576</v>
      </c>
      <c r="FT141" s="8">
        <f t="shared" ca="1" si="511"/>
        <v>431</v>
      </c>
      <c r="FU141" s="5" t="str">
        <f t="shared" ca="1" si="512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3"/>
        <v>460</v>
      </c>
      <c r="FZ141" s="5" t="str">
        <f t="shared" ca="1" si="514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5"/>
        <v>325</v>
      </c>
      <c r="GE141" s="5" t="str">
        <f t="shared" ca="1" si="516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7"/>
        <v>497</v>
      </c>
      <c r="GJ141" s="5" t="str">
        <f t="shared" ca="1" si="518"/>
        <v>VIGENTE</v>
      </c>
      <c r="GK141" s="3"/>
      <c r="GL141" s="4">
        <v>45945</v>
      </c>
      <c r="GM141" s="4">
        <f t="shared" ref="GM141:GM150" si="571">DATE(YEAR(GL141)+2,MONTH(GL141),DAY(GL141))</f>
        <v>46675</v>
      </c>
      <c r="GN141" s="8">
        <f t="shared" ca="1" si="519"/>
        <v>530</v>
      </c>
      <c r="GO141" s="5" t="str">
        <f t="shared" ca="1" si="520"/>
        <v>VIGENTE</v>
      </c>
      <c r="GP141" s="4"/>
      <c r="GQ141" s="4">
        <v>45169</v>
      </c>
      <c r="GR141" s="4">
        <f t="shared" si="521"/>
        <v>46996</v>
      </c>
      <c r="GS141" s="8">
        <f t="shared" ca="1" si="405"/>
        <v>851</v>
      </c>
      <c r="GT141" s="5" t="str">
        <f t="shared" ca="1" si="419"/>
        <v>VIGENTE</v>
      </c>
      <c r="GU141" s="3"/>
      <c r="GV141" s="4">
        <v>45245</v>
      </c>
      <c r="GW141" s="4">
        <f t="shared" si="522"/>
        <v>47072</v>
      </c>
      <c r="GX141" s="8">
        <f t="shared" ca="1" si="523"/>
        <v>927</v>
      </c>
      <c r="GY141" s="5" t="str">
        <f t="shared" ca="1" si="426"/>
        <v>VIGENTE</v>
      </c>
      <c r="GZ141" s="2"/>
      <c r="HA141" s="4">
        <v>45182</v>
      </c>
      <c r="HB141" s="4">
        <f t="shared" si="524"/>
        <v>47009</v>
      </c>
      <c r="HC141" s="8">
        <f t="shared" ca="1" si="525"/>
        <v>864</v>
      </c>
      <c r="HD141" s="5" t="str">
        <f t="shared" ca="1" si="421"/>
        <v>VIGENTE</v>
      </c>
      <c r="HE141" s="6"/>
      <c r="HF141" s="6"/>
      <c r="HG141" s="4"/>
      <c r="HH141" s="8"/>
      <c r="HI141" s="5" t="str">
        <f t="shared" si="427"/>
        <v>NO APLICA</v>
      </c>
      <c r="HJ141" s="2"/>
      <c r="HK141" s="6"/>
      <c r="HL141" s="4"/>
      <c r="HM141" s="8"/>
      <c r="HN141" s="5" t="str">
        <f t="shared" si="444"/>
        <v>NO APLICA</v>
      </c>
      <c r="HO141" s="2"/>
      <c r="HP141" s="2"/>
      <c r="HQ141" s="4"/>
      <c r="HR141" s="2"/>
      <c r="HS141" s="5" t="str">
        <f t="shared" si="526"/>
        <v>NO APLICA</v>
      </c>
      <c r="HT141" s="2"/>
      <c r="HU141" s="6"/>
      <c r="HV141" s="4"/>
      <c r="HW141" s="8"/>
      <c r="HX141" s="5" t="str">
        <f t="shared" si="527"/>
        <v>NO APLICA</v>
      </c>
      <c r="HY141" s="2"/>
      <c r="HZ141" s="6"/>
      <c r="IA141" s="4"/>
      <c r="IB141" s="8"/>
      <c r="IC141" s="5" t="str">
        <f t="shared" si="528"/>
        <v>NO APLICA</v>
      </c>
      <c r="ID141" s="2"/>
      <c r="IE141" s="6"/>
      <c r="IF141" s="4"/>
      <c r="IG141" s="8"/>
      <c r="IH141" s="5" t="str">
        <f t="shared" si="529"/>
        <v>NO APLICA</v>
      </c>
      <c r="II141" s="6"/>
      <c r="IJ141" s="6"/>
      <c r="IK141" s="4"/>
      <c r="IL141" s="8"/>
      <c r="IM141" s="5" t="str">
        <f t="shared" si="530"/>
        <v>NO APLICA</v>
      </c>
      <c r="IN141" s="2"/>
      <c r="IO141" s="6"/>
      <c r="IP141" s="4"/>
      <c r="IQ141" s="8"/>
      <c r="IR141" s="5" t="str">
        <f t="shared" si="531"/>
        <v>NO APLICA</v>
      </c>
      <c r="IS141" s="2"/>
      <c r="IT141" s="6"/>
      <c r="IU141" s="4"/>
      <c r="IV141" s="8"/>
      <c r="IW141" s="5" t="str">
        <f t="shared" si="532"/>
        <v>NO APLICA</v>
      </c>
      <c r="IX141" s="2"/>
      <c r="IY141" s="6"/>
      <c r="IZ141" s="4"/>
      <c r="JA141" s="8"/>
      <c r="JB141" s="5" t="str">
        <f t="shared" si="533"/>
        <v>NO APLICA</v>
      </c>
      <c r="JC141" s="3" t="s">
        <v>780</v>
      </c>
      <c r="JD141" s="3"/>
      <c r="JE141" s="4"/>
      <c r="JF141" s="8"/>
      <c r="JG141" s="5"/>
      <c r="JH141" s="3" t="s">
        <v>780</v>
      </c>
      <c r="JI141" s="6"/>
      <c r="JJ141" s="6"/>
      <c r="JK141" s="6"/>
      <c r="JL141" s="5"/>
      <c r="JM141" s="6" t="s">
        <v>780</v>
      </c>
      <c r="JN141" s="6"/>
      <c r="JO141" s="6"/>
      <c r="JP141" s="6"/>
      <c r="JQ141" s="5"/>
      <c r="JR141" s="6" t="s">
        <v>780</v>
      </c>
      <c r="JS141" s="6"/>
      <c r="JT141" s="6"/>
      <c r="JU141" s="6"/>
      <c r="JV141" s="5"/>
      <c r="JW141" s="6" t="s">
        <v>780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4"/>
        <v>NO APLICA</v>
      </c>
      <c r="KG141" s="5"/>
      <c r="KH141" s="2"/>
      <c r="KI141" s="4"/>
      <c r="KJ141" s="8"/>
      <c r="KK141" s="5" t="str">
        <f t="shared" si="559"/>
        <v>NO APLICA</v>
      </c>
      <c r="KL141" s="5"/>
      <c r="KM141" s="2"/>
      <c r="KN141" s="4"/>
      <c r="KO141" s="8"/>
      <c r="KP141" s="5" t="str">
        <f t="shared" si="535"/>
        <v>NO APLICA</v>
      </c>
      <c r="KQ141" s="5"/>
      <c r="KR141" s="2"/>
      <c r="KS141" s="4"/>
      <c r="KT141" s="8"/>
      <c r="KU141" s="5" t="str">
        <f t="shared" si="560"/>
        <v>NO APLICA</v>
      </c>
      <c r="KV141" s="2"/>
      <c r="KW141" s="6"/>
      <c r="KX141" s="4"/>
      <c r="KY141" s="8"/>
      <c r="KZ141" s="5" t="str">
        <f t="shared" si="565"/>
        <v>NO APLICA</v>
      </c>
      <c r="LA141" s="5"/>
      <c r="LB141" s="6"/>
      <c r="LC141" s="4"/>
      <c r="LD141" s="8"/>
      <c r="LE141" s="5" t="str">
        <f t="shared" si="561"/>
        <v>NO APLICA</v>
      </c>
      <c r="LF141" s="6"/>
      <c r="LG141" s="6"/>
      <c r="LH141" s="4"/>
      <c r="LI141" s="8"/>
      <c r="LJ141" s="5" t="str">
        <f t="shared" si="567"/>
        <v>NO APLICA</v>
      </c>
      <c r="LK141" s="5"/>
      <c r="LL141" s="5"/>
      <c r="LM141" s="4"/>
      <c r="LN141" s="8"/>
      <c r="LO141" s="5" t="str">
        <f t="shared" si="566"/>
        <v>NO APLICA</v>
      </c>
      <c r="LP141" s="2"/>
      <c r="LQ141" s="6"/>
      <c r="LR141" s="4"/>
      <c r="LS141" s="8"/>
      <c r="LT141" s="5" t="str">
        <f t="shared" si="562"/>
        <v>NO APLICA</v>
      </c>
      <c r="LU141" s="6"/>
      <c r="LV141" s="6"/>
      <c r="LW141" s="4"/>
      <c r="LX141" s="8"/>
      <c r="LY141" s="5" t="str">
        <f t="shared" si="563"/>
        <v>NO APLICA</v>
      </c>
      <c r="LZ141" s="6"/>
      <c r="MA141" s="6"/>
      <c r="MB141" s="4"/>
      <c r="MC141" s="8"/>
      <c r="MD141" s="5" t="str">
        <f t="shared" si="564"/>
        <v>NO APLICA</v>
      </c>
      <c r="ME141" s="2"/>
      <c r="MF141" s="2"/>
      <c r="MG141" s="4"/>
      <c r="MH141" s="8"/>
      <c r="MI141" s="5" t="str">
        <f t="shared" si="537"/>
        <v>NO APLICA</v>
      </c>
      <c r="MJ141" s="2"/>
      <c r="MK141" s="2"/>
      <c r="ML141" s="4"/>
      <c r="MM141" s="8"/>
      <c r="MN141" s="5" t="str">
        <f t="shared" si="538"/>
        <v>NO APLICA</v>
      </c>
      <c r="MO141" s="5"/>
      <c r="MP141" s="2"/>
      <c r="MQ141" s="4"/>
      <c r="MR141" s="8"/>
      <c r="MS141" s="5" t="str">
        <f t="shared" si="539"/>
        <v>NO APLICA</v>
      </c>
      <c r="MT141" s="5"/>
      <c r="MU141" s="2"/>
      <c r="MV141" s="4"/>
      <c r="MW141" s="2"/>
      <c r="MX141" s="5" t="str">
        <f t="shared" si="540"/>
        <v>NO APLICA</v>
      </c>
      <c r="MY141" s="2"/>
      <c r="MZ141" s="6"/>
      <c r="NA141" s="4"/>
      <c r="NB141" s="8"/>
      <c r="NC141" s="5" t="str">
        <f t="shared" si="541"/>
        <v>NO APLICA</v>
      </c>
      <c r="ND141" s="2"/>
      <c r="NE141" s="6"/>
      <c r="NF141" s="4"/>
      <c r="NG141" s="8"/>
      <c r="NH141" s="5" t="str">
        <f t="shared" si="542"/>
        <v>NO APLICA</v>
      </c>
      <c r="NI141" s="2"/>
      <c r="NJ141" s="6"/>
      <c r="NK141" s="4"/>
      <c r="NL141" s="8"/>
      <c r="NM141" s="5" t="str">
        <f t="shared" si="543"/>
        <v>NO APLICA</v>
      </c>
      <c r="NN141" s="2"/>
      <c r="NO141" s="2"/>
      <c r="NP141" s="4"/>
      <c r="NQ141" s="8"/>
      <c r="NR141" s="5" t="str">
        <f t="shared" si="544"/>
        <v>NO APLICA</v>
      </c>
      <c r="NS141" s="2"/>
      <c r="NT141" s="2"/>
      <c r="NU141" s="4"/>
      <c r="NV141" s="2"/>
      <c r="NW141" s="5" t="str">
        <f t="shared" si="545"/>
        <v>NO APLICA</v>
      </c>
      <c r="NX141" s="6"/>
      <c r="NY141" s="6"/>
      <c r="NZ141" s="4"/>
      <c r="OA141" s="8"/>
      <c r="OB141" s="5" t="str">
        <f t="shared" si="546"/>
        <v>NO APLICA</v>
      </c>
      <c r="OC141" s="6"/>
      <c r="OD141" s="6"/>
      <c r="OE141" s="6"/>
      <c r="OF141" s="6"/>
      <c r="OG141" s="5" t="str">
        <f t="shared" si="547"/>
        <v>NO APLICA</v>
      </c>
      <c r="OH141" s="6"/>
      <c r="OI141" s="6"/>
      <c r="OJ141" s="4"/>
      <c r="OK141" s="8"/>
      <c r="OL141" s="5" t="str">
        <f t="shared" si="548"/>
        <v>NO APLICA</v>
      </c>
      <c r="OM141" s="6"/>
      <c r="ON141" s="6"/>
      <c r="OO141" s="6"/>
      <c r="OP141" s="6"/>
      <c r="OQ141" s="5" t="str">
        <f t="shared" si="549"/>
        <v>NO APLICA</v>
      </c>
      <c r="OR141" s="6"/>
      <c r="OS141" s="6"/>
      <c r="OT141" s="6"/>
      <c r="OU141" s="6"/>
      <c r="OV141" s="5" t="str">
        <f t="shared" si="550"/>
        <v>NO APLICA</v>
      </c>
      <c r="OW141" s="6"/>
      <c r="OX141" s="6"/>
      <c r="OY141" s="6"/>
      <c r="OZ141" s="6"/>
      <c r="PA141" s="5" t="str">
        <f t="shared" si="551"/>
        <v>NO APLICA</v>
      </c>
      <c r="PB141" s="6"/>
      <c r="PC141" s="6"/>
      <c r="PD141" s="6"/>
      <c r="PE141" s="6"/>
      <c r="PF141" s="5" t="str">
        <f t="shared" si="552"/>
        <v>NO APLICA</v>
      </c>
      <c r="PG141" s="6"/>
      <c r="PH141" s="6"/>
      <c r="PI141" s="6"/>
      <c r="PJ141" s="6"/>
      <c r="PK141" s="5" t="str">
        <f t="shared" si="553"/>
        <v>NO APLICA</v>
      </c>
      <c r="PL141" s="5"/>
      <c r="PM141" s="6"/>
      <c r="PN141" s="4"/>
      <c r="PO141" s="8"/>
      <c r="PP141" s="5" t="str">
        <f t="shared" si="554"/>
        <v>NO APLICA</v>
      </c>
      <c r="PQ141" s="6"/>
      <c r="PR141" s="6"/>
      <c r="PS141" s="6"/>
      <c r="PT141" s="6"/>
      <c r="PU141" s="5" t="str">
        <f t="shared" si="555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hidden="1" thickTop="1" thickBot="1" x14ac:dyDescent="0.35">
      <c r="A142" s="26">
        <v>139</v>
      </c>
      <c r="B142" s="31">
        <v>1341</v>
      </c>
      <c r="C142" s="28" t="s">
        <v>764</v>
      </c>
      <c r="D142" s="29" t="s">
        <v>68</v>
      </c>
      <c r="E142" s="30" t="s">
        <v>73</v>
      </c>
      <c r="F142" s="6"/>
      <c r="G142" s="6"/>
      <c r="H142" s="6"/>
      <c r="I142" s="6"/>
      <c r="J142" s="5" t="str">
        <f t="shared" si="455"/>
        <v>NO APLICA</v>
      </c>
      <c r="K142" s="6"/>
      <c r="L142" s="6"/>
      <c r="M142" s="6"/>
      <c r="N142" s="6"/>
      <c r="O142" s="5" t="str">
        <f t="shared" si="456"/>
        <v>NO APLICA</v>
      </c>
      <c r="P142" s="6"/>
      <c r="Q142" s="6"/>
      <c r="R142" s="6"/>
      <c r="S142" s="6"/>
      <c r="T142" s="5" t="str">
        <f t="shared" si="557"/>
        <v>NO APLICA</v>
      </c>
      <c r="U142" s="5"/>
      <c r="V142" s="6" t="s">
        <v>461</v>
      </c>
      <c r="W142" s="4">
        <v>45337</v>
      </c>
      <c r="X142" s="4">
        <f t="shared" si="410"/>
        <v>47164</v>
      </c>
      <c r="Y142" s="8">
        <f t="shared" ca="1" si="411"/>
        <v>1019</v>
      </c>
      <c r="Z142" s="5" t="str">
        <f t="shared" ca="1" si="412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7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8"/>
        <v>587</v>
      </c>
      <c r="AK142" s="5" t="str">
        <f t="shared" ca="1" si="408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9"/>
        <v>670</v>
      </c>
      <c r="AP142" s="5" t="str">
        <f t="shared" ca="1" si="460"/>
        <v>VIGENTE</v>
      </c>
      <c r="AQ142" s="6"/>
      <c r="AR142" s="4">
        <v>46048</v>
      </c>
      <c r="AS142" s="4">
        <f t="shared" si="568"/>
        <v>46778</v>
      </c>
      <c r="AT142" s="8">
        <f t="shared" ca="1" si="461"/>
        <v>633</v>
      </c>
      <c r="AU142" s="5" t="str">
        <f t="shared" ca="1" si="462"/>
        <v>VIGENTE</v>
      </c>
      <c r="AV142" s="6"/>
      <c r="AW142" s="4">
        <v>46070</v>
      </c>
      <c r="AX142" s="4">
        <f t="shared" si="569"/>
        <v>46800</v>
      </c>
      <c r="AY142" s="8">
        <f t="shared" ca="1" si="463"/>
        <v>655</v>
      </c>
      <c r="AZ142" s="5" t="str">
        <f t="shared" ca="1" si="464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5"/>
        <v>626</v>
      </c>
      <c r="BE142" s="5" t="str">
        <f t="shared" ca="1" si="466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7"/>
        <v>572</v>
      </c>
      <c r="BJ142" s="5" t="str">
        <f t="shared" ca="1" si="468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9"/>
        <v>620</v>
      </c>
      <c r="BO142" s="5" t="str">
        <f t="shared" ca="1" si="470"/>
        <v>VIGENTE</v>
      </c>
      <c r="BP142" s="4"/>
      <c r="BQ142" s="39">
        <v>45988</v>
      </c>
      <c r="BR142" s="4">
        <f t="shared" si="570"/>
        <v>46718</v>
      </c>
      <c r="BS142" s="8">
        <f t="shared" ca="1" si="471"/>
        <v>573</v>
      </c>
      <c r="BT142" s="5" t="str">
        <f t="shared" ca="1" si="472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3"/>
        <v>616</v>
      </c>
      <c r="BY142" s="5" t="str">
        <f t="shared" ca="1" si="474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5"/>
        <v>571</v>
      </c>
      <c r="CD142" s="5" t="str">
        <f t="shared" ca="1" si="476"/>
        <v>VIGENTE</v>
      </c>
      <c r="CE142" s="6"/>
      <c r="CF142" s="4">
        <v>45346</v>
      </c>
      <c r="CG142" s="4">
        <f t="shared" si="416"/>
        <v>46807</v>
      </c>
      <c r="CH142" s="8">
        <f t="shared" ca="1" si="417"/>
        <v>662</v>
      </c>
      <c r="CI142" s="5" t="str">
        <f t="shared" ca="1" si="418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7"/>
        <v>603</v>
      </c>
      <c r="CN142" s="5" t="str">
        <f t="shared" ca="1" si="478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9"/>
        <v>687</v>
      </c>
      <c r="CS142" s="5" t="str">
        <f t="shared" ca="1" si="480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1"/>
        <v>628</v>
      </c>
      <c r="CX142" s="5" t="str">
        <f t="shared" ca="1" si="482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3"/>
        <v>613</v>
      </c>
      <c r="DC142" s="5" t="str">
        <f t="shared" ca="1" si="484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5"/>
        <v>651</v>
      </c>
      <c r="DH142" s="5" t="str">
        <f t="shared" ca="1" si="486"/>
        <v>VIGENTE</v>
      </c>
      <c r="DI142" s="6"/>
      <c r="DJ142" s="39">
        <v>46126</v>
      </c>
      <c r="DK142" s="4">
        <f>DATE(YEAR(DJ142)+2,MONTH(DJ142),DAY(DJ142)-1)</f>
        <v>46856</v>
      </c>
      <c r="DL142" s="8">
        <f t="shared" ca="1" si="487"/>
        <v>711</v>
      </c>
      <c r="DM142" s="5" t="str">
        <f t="shared" ca="1" si="488"/>
        <v>VIGENTE</v>
      </c>
      <c r="DN142" s="4"/>
      <c r="DO142" s="4">
        <v>46046</v>
      </c>
      <c r="DP142" s="4">
        <f>DATE(YEAR(DO142)+2,MONTH(DO142),DAY(DO142))</f>
        <v>46776</v>
      </c>
      <c r="DQ142" s="8">
        <f t="shared" ca="1" si="489"/>
        <v>631</v>
      </c>
      <c r="DR142" s="5" t="str">
        <f t="shared" ca="1" si="490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1"/>
        <v>638</v>
      </c>
      <c r="DW142" s="5" t="str">
        <f t="shared" ca="1" si="492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3"/>
        <v>685</v>
      </c>
      <c r="EB142" s="5" t="str">
        <f t="shared" ca="1" si="494"/>
        <v>VIGENTE</v>
      </c>
      <c r="EC142" s="4"/>
      <c r="ED142" s="39">
        <v>46104</v>
      </c>
      <c r="EE142" s="4">
        <f>DATE(YEAR(ED142)+2,MONTH(ED142),DAY(ED142))</f>
        <v>46835</v>
      </c>
      <c r="EF142" s="8">
        <f t="shared" ca="1" si="495"/>
        <v>690</v>
      </c>
      <c r="EG142" s="5" t="str">
        <f t="shared" ca="1" si="496"/>
        <v>VIGENTE</v>
      </c>
      <c r="EH142" s="4"/>
      <c r="EI142" s="4">
        <v>46115</v>
      </c>
      <c r="EJ142" s="4">
        <f t="shared" si="558"/>
        <v>46480</v>
      </c>
      <c r="EK142" s="8">
        <f t="shared" ca="1" si="497"/>
        <v>335</v>
      </c>
      <c r="EL142" s="5" t="str">
        <f t="shared" ca="1" si="498"/>
        <v>VIGENTE</v>
      </c>
      <c r="EM142" s="4"/>
      <c r="EN142" s="4">
        <v>46100</v>
      </c>
      <c r="EO142" s="4">
        <f>DATE(YEAR(EN142)+2,MONTH(EN142),DAY(EN142))</f>
        <v>46831</v>
      </c>
      <c r="EP142" s="8">
        <f t="shared" ca="1" si="499"/>
        <v>686</v>
      </c>
      <c r="EQ142" s="5" t="str">
        <f t="shared" ca="1" si="500"/>
        <v>VIGENTE</v>
      </c>
      <c r="ER142" s="6"/>
      <c r="ES142" s="39">
        <v>45999</v>
      </c>
      <c r="ET142" s="4">
        <f>DATE(YEAR(ES142)+2,MONTH(ES142),DAY(ES142))</f>
        <v>46729</v>
      </c>
      <c r="EU142" s="8">
        <f t="shared" ca="1" si="501"/>
        <v>584</v>
      </c>
      <c r="EV142" s="5" t="str">
        <f t="shared" ca="1" si="502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3"/>
        <v>648</v>
      </c>
      <c r="FA142" s="5" t="str">
        <f t="shared" ca="1" si="504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5"/>
        <v>602</v>
      </c>
      <c r="FF142" s="5" t="str">
        <f t="shared" ca="1" si="506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7"/>
        <v>594</v>
      </c>
      <c r="FK142" s="5" t="str">
        <f t="shared" ca="1" si="508"/>
        <v>VIGENTE</v>
      </c>
      <c r="FL142" s="4"/>
      <c r="FM142" s="39">
        <v>46039</v>
      </c>
      <c r="FN142" s="4">
        <f>DATE(YEAR(FM142)+2,MONTH(FM142),DAY(FM142))</f>
        <v>46769</v>
      </c>
      <c r="FO142" s="8">
        <f t="shared" ca="1" si="509"/>
        <v>624</v>
      </c>
      <c r="FP142" s="5" t="str">
        <f t="shared" ca="1" si="510"/>
        <v>VIGENTE</v>
      </c>
      <c r="FQ142" s="4"/>
      <c r="FR142" s="39">
        <v>46034</v>
      </c>
      <c r="FS142" s="4">
        <f>DATE(YEAR(FR142)+2,MONTH(FR142),DAY(FR142))</f>
        <v>46764</v>
      </c>
      <c r="FT142" s="8">
        <f t="shared" ca="1" si="511"/>
        <v>619</v>
      </c>
      <c r="FU142" s="5" t="str">
        <f t="shared" ca="1" si="512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3"/>
        <v>599</v>
      </c>
      <c r="FZ142" s="5" t="str">
        <f t="shared" ca="1" si="514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5"/>
        <v>588</v>
      </c>
      <c r="GE142" s="5" t="str">
        <f t="shared" ca="1" si="516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7"/>
        <v>657</v>
      </c>
      <c r="GJ142" s="5" t="str">
        <f t="shared" ca="1" si="518"/>
        <v>VIGENTE</v>
      </c>
      <c r="GK142" s="3"/>
      <c r="GL142" s="4">
        <v>46044</v>
      </c>
      <c r="GM142" s="4">
        <f t="shared" si="571"/>
        <v>46774</v>
      </c>
      <c r="GN142" s="8">
        <f t="shared" ca="1" si="519"/>
        <v>629</v>
      </c>
      <c r="GO142" s="5" t="str">
        <f t="shared" ca="1" si="520"/>
        <v>VIGENTE</v>
      </c>
      <c r="GP142" s="4"/>
      <c r="GQ142" s="4">
        <v>45367</v>
      </c>
      <c r="GR142" s="4">
        <f t="shared" si="521"/>
        <v>47193</v>
      </c>
      <c r="GS142" s="8">
        <f t="shared" ca="1" si="405"/>
        <v>1048</v>
      </c>
      <c r="GT142" s="5" t="str">
        <f t="shared" ca="1" si="419"/>
        <v>VIGENTE</v>
      </c>
      <c r="GU142" s="4"/>
      <c r="GV142" s="4">
        <v>45389</v>
      </c>
      <c r="GW142" s="4">
        <f t="shared" si="522"/>
        <v>47215</v>
      </c>
      <c r="GX142" s="8">
        <f t="shared" ca="1" si="523"/>
        <v>1070</v>
      </c>
      <c r="GY142" s="5" t="str">
        <f t="shared" ca="1" si="426"/>
        <v>VIGENTE</v>
      </c>
      <c r="GZ142" s="6"/>
      <c r="HA142" s="4">
        <v>45348</v>
      </c>
      <c r="HB142" s="4">
        <f t="shared" si="524"/>
        <v>47175</v>
      </c>
      <c r="HC142" s="8">
        <f t="shared" ca="1" si="525"/>
        <v>1030</v>
      </c>
      <c r="HD142" s="5" t="str">
        <f t="shared" ca="1" si="421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7"/>
        <v>VIGENTE</v>
      </c>
      <c r="HJ142" s="6"/>
      <c r="HK142" s="6"/>
      <c r="HL142" s="4"/>
      <c r="HM142" s="8"/>
      <c r="HN142" s="5" t="str">
        <f t="shared" si="444"/>
        <v>NO APLICA</v>
      </c>
      <c r="HO142" s="2"/>
      <c r="HP142" s="2"/>
      <c r="HQ142" s="4"/>
      <c r="HR142" s="2"/>
      <c r="HS142" s="5" t="str">
        <f t="shared" si="526"/>
        <v>NO APLICA</v>
      </c>
      <c r="HT142" s="6"/>
      <c r="HU142" s="6"/>
      <c r="HV142" s="4"/>
      <c r="HW142" s="8"/>
      <c r="HX142" s="5" t="str">
        <f t="shared" si="527"/>
        <v>NO APLICA</v>
      </c>
      <c r="HY142" s="6"/>
      <c r="HZ142" s="6"/>
      <c r="IA142" s="4"/>
      <c r="IB142" s="8"/>
      <c r="IC142" s="5" t="str">
        <f t="shared" si="528"/>
        <v>NO APLICA</v>
      </c>
      <c r="ID142" s="6"/>
      <c r="IE142" s="6"/>
      <c r="IF142" s="4"/>
      <c r="IG142" s="8"/>
      <c r="IH142" s="5" t="str">
        <f t="shared" si="529"/>
        <v>NO APLICA</v>
      </c>
      <c r="II142" s="6"/>
      <c r="IJ142" s="6"/>
      <c r="IK142" s="4"/>
      <c r="IL142" s="6"/>
      <c r="IM142" s="5" t="str">
        <f t="shared" si="530"/>
        <v>NO APLICA</v>
      </c>
      <c r="IN142" s="6"/>
      <c r="IO142" s="6"/>
      <c r="IP142" s="4"/>
      <c r="IQ142" s="8"/>
      <c r="IR142" s="5" t="str">
        <f t="shared" si="531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2"/>
        <v>VIGENTE</v>
      </c>
      <c r="IX142" s="6"/>
      <c r="IY142" s="6"/>
      <c r="IZ142" s="4"/>
      <c r="JA142" s="8"/>
      <c r="JB142" s="5" t="str">
        <f t="shared" si="533"/>
        <v>NO APLICA</v>
      </c>
      <c r="JC142" s="3" t="s">
        <v>780</v>
      </c>
      <c r="JD142" s="3"/>
      <c r="JE142" s="4"/>
      <c r="JF142" s="8"/>
      <c r="JG142" s="5"/>
      <c r="JH142" s="3" t="s">
        <v>780</v>
      </c>
      <c r="JI142" s="6"/>
      <c r="JJ142" s="6"/>
      <c r="JK142" s="6"/>
      <c r="JL142" s="5"/>
      <c r="JM142" s="6" t="s">
        <v>780</v>
      </c>
      <c r="JN142" s="6"/>
      <c r="JO142" s="6"/>
      <c r="JP142" s="6"/>
      <c r="JQ142" s="5"/>
      <c r="JR142" s="6" t="s">
        <v>780</v>
      </c>
      <c r="JS142" s="6"/>
      <c r="JT142" s="6"/>
      <c r="JU142" s="6"/>
      <c r="JV142" s="5"/>
      <c r="JW142" s="6" t="s">
        <v>780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4"/>
        <v>NO APLICA</v>
      </c>
      <c r="KG142" s="5"/>
      <c r="KH142" s="6"/>
      <c r="KI142" s="4"/>
      <c r="KJ142" s="6"/>
      <c r="KK142" s="5" t="str">
        <f t="shared" si="559"/>
        <v>NO APLICA</v>
      </c>
      <c r="KL142" s="5"/>
      <c r="KM142" s="2"/>
      <c r="KN142" s="4"/>
      <c r="KO142" s="8"/>
      <c r="KP142" s="5" t="str">
        <f t="shared" si="535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60"/>
        <v>VIGENTE</v>
      </c>
      <c r="KV142" s="6"/>
      <c r="KW142" s="6"/>
      <c r="KX142" s="4"/>
      <c r="KY142" s="6"/>
      <c r="KZ142" s="5" t="str">
        <f t="shared" si="565"/>
        <v>NO APLICA</v>
      </c>
      <c r="LA142" s="5"/>
      <c r="LB142" s="6"/>
      <c r="LC142" s="4"/>
      <c r="LD142" s="6"/>
      <c r="LE142" s="5" t="str">
        <f t="shared" si="561"/>
        <v>NO APLICA</v>
      </c>
      <c r="LF142" s="6"/>
      <c r="LG142" s="6"/>
      <c r="LH142" s="6"/>
      <c r="LI142" s="6"/>
      <c r="LJ142" s="5" t="str">
        <f t="shared" si="567"/>
        <v>NO APLICA</v>
      </c>
      <c r="LK142" s="5"/>
      <c r="LL142" s="5"/>
      <c r="LM142" s="5"/>
      <c r="LN142" s="5"/>
      <c r="LO142" s="5" t="str">
        <f t="shared" si="566"/>
        <v>NO APLICA</v>
      </c>
      <c r="LP142" s="6"/>
      <c r="LQ142" s="6"/>
      <c r="LR142" s="4"/>
      <c r="LS142" s="8"/>
      <c r="LT142" s="5" t="str">
        <f t="shared" si="562"/>
        <v>NO APLICA</v>
      </c>
      <c r="LU142" s="6"/>
      <c r="LV142" s="6"/>
      <c r="LW142" s="4"/>
      <c r="LX142" s="6"/>
      <c r="LY142" s="5" t="str">
        <f t="shared" si="563"/>
        <v>NO APLICA</v>
      </c>
      <c r="LZ142" s="6"/>
      <c r="MA142" s="6"/>
      <c r="MB142" s="4"/>
      <c r="MC142" s="6"/>
      <c r="MD142" s="5" t="str">
        <f t="shared" si="564"/>
        <v>NO APLICA</v>
      </c>
      <c r="ME142" s="6"/>
      <c r="MF142" s="6"/>
      <c r="MG142" s="4"/>
      <c r="MH142" s="6"/>
      <c r="MI142" s="5" t="str">
        <f t="shared" si="537"/>
        <v>NO APLICA</v>
      </c>
      <c r="MJ142" s="6"/>
      <c r="MK142" s="6"/>
      <c r="ML142" s="4"/>
      <c r="MM142" s="6"/>
      <c r="MN142" s="5" t="str">
        <f t="shared" si="538"/>
        <v>NO APLICA</v>
      </c>
      <c r="MO142" s="5"/>
      <c r="MP142" s="6"/>
      <c r="MQ142" s="4"/>
      <c r="MR142" s="6"/>
      <c r="MS142" s="5" t="str">
        <f t="shared" si="539"/>
        <v>NO APLICA</v>
      </c>
      <c r="MT142" s="5"/>
      <c r="MU142" s="6"/>
      <c r="MV142" s="6"/>
      <c r="MW142" s="6"/>
      <c r="MX142" s="5" t="str">
        <f t="shared" si="540"/>
        <v>NO APLICA</v>
      </c>
      <c r="MY142" s="6"/>
      <c r="MZ142" s="6"/>
      <c r="NA142" s="4"/>
      <c r="NB142" s="6"/>
      <c r="NC142" s="5" t="str">
        <f t="shared" si="541"/>
        <v>NO APLICA</v>
      </c>
      <c r="ND142" s="6"/>
      <c r="NE142" s="6"/>
      <c r="NF142" s="4"/>
      <c r="NG142" s="6"/>
      <c r="NH142" s="5" t="str">
        <f t="shared" si="542"/>
        <v>NO APLICA</v>
      </c>
      <c r="NI142" s="6"/>
      <c r="NJ142" s="6"/>
      <c r="NK142" s="4"/>
      <c r="NL142" s="6"/>
      <c r="NM142" s="5" t="str">
        <f t="shared" si="543"/>
        <v>NO APLICA</v>
      </c>
      <c r="NN142" s="6"/>
      <c r="NO142" s="6"/>
      <c r="NP142" s="4"/>
      <c r="NQ142" s="6"/>
      <c r="NR142" s="5" t="str">
        <f t="shared" si="544"/>
        <v>NO APLICA</v>
      </c>
      <c r="NS142" s="6"/>
      <c r="NT142" s="6"/>
      <c r="NU142" s="4"/>
      <c r="NV142" s="6"/>
      <c r="NW142" s="5" t="str">
        <f t="shared" si="545"/>
        <v>NO APLICA</v>
      </c>
      <c r="NX142" s="6"/>
      <c r="NY142" s="6"/>
      <c r="NZ142" s="4"/>
      <c r="OA142" s="8"/>
      <c r="OB142" s="5" t="str">
        <f t="shared" si="546"/>
        <v>NO APLICA</v>
      </c>
      <c r="OC142" s="6"/>
      <c r="OD142" s="6"/>
      <c r="OE142" s="6"/>
      <c r="OF142" s="6"/>
      <c r="OG142" s="5" t="str">
        <f t="shared" si="547"/>
        <v>NO APLICA</v>
      </c>
      <c r="OH142" s="6"/>
      <c r="OI142" s="6"/>
      <c r="OJ142" s="6"/>
      <c r="OK142" s="6"/>
      <c r="OL142" s="5" t="str">
        <f t="shared" si="548"/>
        <v>NO APLICA</v>
      </c>
      <c r="OM142" s="6"/>
      <c r="ON142" s="6"/>
      <c r="OO142" s="4"/>
      <c r="OP142" s="8"/>
      <c r="OQ142" s="5" t="str">
        <f t="shared" si="549"/>
        <v>NO APLICA</v>
      </c>
      <c r="OR142" s="6"/>
      <c r="OS142" s="6"/>
      <c r="OT142" s="6"/>
      <c r="OU142" s="6"/>
      <c r="OV142" s="5" t="str">
        <f t="shared" si="550"/>
        <v>NO APLICA</v>
      </c>
      <c r="OW142" s="6"/>
      <c r="OX142" s="6"/>
      <c r="OY142" s="6"/>
      <c r="OZ142" s="6"/>
      <c r="PA142" s="5" t="str">
        <f t="shared" si="551"/>
        <v>NO APLICA</v>
      </c>
      <c r="PB142" s="6"/>
      <c r="PC142" s="6"/>
      <c r="PD142" s="6"/>
      <c r="PE142" s="6"/>
      <c r="PF142" s="5" t="str">
        <f t="shared" si="552"/>
        <v>NO APLICA</v>
      </c>
      <c r="PG142" s="6"/>
      <c r="PH142" s="6"/>
      <c r="PI142" s="6"/>
      <c r="PJ142" s="6"/>
      <c r="PK142" s="5" t="str">
        <f t="shared" si="553"/>
        <v>NO APLICA</v>
      </c>
      <c r="PL142" s="5"/>
      <c r="PM142" s="6"/>
      <c r="PN142" s="6"/>
      <c r="PO142" s="6"/>
      <c r="PP142" s="5" t="str">
        <f t="shared" si="554"/>
        <v>NO APLICA</v>
      </c>
      <c r="PQ142" s="6"/>
      <c r="PR142" s="6"/>
      <c r="PS142" s="6"/>
      <c r="PT142" s="6"/>
      <c r="PU142" s="5" t="str">
        <f t="shared" si="555"/>
        <v>NO APLICA</v>
      </c>
      <c r="PV142" s="5"/>
      <c r="PW142" s="6"/>
      <c r="PX142" s="6"/>
      <c r="PY142" s="6"/>
      <c r="PZ142" s="5" t="str">
        <f t="shared" si="556"/>
        <v>NO APLICA</v>
      </c>
    </row>
    <row r="143" spans="1:442" ht="15.6" hidden="1" thickTop="1" thickBot="1" x14ac:dyDescent="0.35">
      <c r="A143" s="26">
        <v>140</v>
      </c>
      <c r="B143" s="31">
        <v>1680</v>
      </c>
      <c r="C143" s="28" t="s">
        <v>463</v>
      </c>
      <c r="D143" s="29" t="s">
        <v>64</v>
      </c>
      <c r="E143" s="30" t="s">
        <v>81</v>
      </c>
      <c r="F143" s="5"/>
      <c r="G143" s="6"/>
      <c r="H143" s="4"/>
      <c r="I143" s="8"/>
      <c r="J143" s="5" t="str">
        <f t="shared" si="455"/>
        <v>NO APLICA</v>
      </c>
      <c r="K143" s="5"/>
      <c r="L143" s="6"/>
      <c r="M143" s="6"/>
      <c r="N143" s="8"/>
      <c r="O143" s="5" t="str">
        <f t="shared" si="456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7"/>
        <v>VIGENTE</v>
      </c>
      <c r="U143" s="5"/>
      <c r="V143" s="2" t="s">
        <v>464</v>
      </c>
      <c r="W143" s="4">
        <v>45142</v>
      </c>
      <c r="X143" s="4">
        <f t="shared" si="410"/>
        <v>46969</v>
      </c>
      <c r="Y143" s="8">
        <f t="shared" ca="1" si="411"/>
        <v>824</v>
      </c>
      <c r="Z143" s="5" t="str">
        <f t="shared" ca="1" si="412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7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8"/>
        <v>365</v>
      </c>
      <c r="AK143" s="5" t="str">
        <f t="shared" ca="1" si="408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9"/>
        <v>332</v>
      </c>
      <c r="AP143" s="5" t="str">
        <f t="shared" ca="1" si="460"/>
        <v>VIGENTE</v>
      </c>
      <c r="AQ143" s="3"/>
      <c r="AR143" s="4">
        <v>45775</v>
      </c>
      <c r="AS143" s="4">
        <f t="shared" si="568"/>
        <v>46505</v>
      </c>
      <c r="AT143" s="8">
        <f t="shared" ca="1" si="461"/>
        <v>360</v>
      </c>
      <c r="AU143" s="5" t="str">
        <f t="shared" ca="1" si="462"/>
        <v>VIGENTE</v>
      </c>
      <c r="AV143" s="3"/>
      <c r="AW143" s="4">
        <v>45765</v>
      </c>
      <c r="AX143" s="4">
        <f t="shared" si="569"/>
        <v>46495</v>
      </c>
      <c r="AY143" s="8">
        <f t="shared" ca="1" si="463"/>
        <v>350</v>
      </c>
      <c r="AZ143" s="5" t="str">
        <f t="shared" ca="1" si="464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5"/>
        <v>326</v>
      </c>
      <c r="BE143" s="5" t="str">
        <f t="shared" ca="1" si="466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7"/>
        <v>347</v>
      </c>
      <c r="BJ143" s="5" t="str">
        <f t="shared" ca="1" si="468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9"/>
        <v>382</v>
      </c>
      <c r="BO143" s="5" t="str">
        <f t="shared" ca="1" si="470"/>
        <v>VIGENTE</v>
      </c>
      <c r="BP143" s="3"/>
      <c r="BQ143" s="39">
        <v>45841</v>
      </c>
      <c r="BR143" s="4">
        <f t="shared" si="570"/>
        <v>46571</v>
      </c>
      <c r="BS143" s="8">
        <f t="shared" ca="1" si="471"/>
        <v>426</v>
      </c>
      <c r="BT143" s="5" t="str">
        <f t="shared" ca="1" si="472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3"/>
        <v>438</v>
      </c>
      <c r="BY143" s="5" t="str">
        <f t="shared" ca="1" si="474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5"/>
        <v>403</v>
      </c>
      <c r="CD143" s="5" t="str">
        <f t="shared" ca="1" si="476"/>
        <v>VIGENTE</v>
      </c>
      <c r="CE143" s="6"/>
      <c r="CF143" s="4">
        <v>46134</v>
      </c>
      <c r="CG143" s="4">
        <f t="shared" si="416"/>
        <v>47595</v>
      </c>
      <c r="CH143" s="8">
        <f t="shared" ca="1" si="417"/>
        <v>1450</v>
      </c>
      <c r="CI143" s="5" t="str">
        <f ca="1">IF(CH143&gt;=90,"VIGENTE",IF(CH143&gt;=1,"POR VENCER",IF(CH143&lt;=-1,"VENCIDA",IF(CH143=0,"NO APLICA"))))</f>
        <v>VIGENTE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7"/>
        <v>385</v>
      </c>
      <c r="CN143" s="5" t="str">
        <f t="shared" ca="1" si="478"/>
        <v>VIGENTE</v>
      </c>
      <c r="CO143" s="2"/>
      <c r="CP143" s="39">
        <v>45769</v>
      </c>
      <c r="CQ143" s="4">
        <f>DATE(YEAR(CP143)+2,MONTH(CP143),DAY(CP143))</f>
        <v>46499</v>
      </c>
      <c r="CR143" s="8">
        <f t="shared" ca="1" si="479"/>
        <v>354</v>
      </c>
      <c r="CS143" s="5" t="str">
        <f t="shared" ca="1" si="480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1"/>
        <v>490</v>
      </c>
      <c r="CX143" s="5" t="str">
        <f t="shared" ca="1" si="482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3"/>
        <v>420</v>
      </c>
      <c r="DC143" s="5" t="str">
        <f t="shared" ca="1" si="484"/>
        <v>VIGENTE</v>
      </c>
      <c r="DD143" s="3"/>
      <c r="DE143" s="39">
        <v>45761</v>
      </c>
      <c r="DF143" s="4">
        <f>DATE(YEAR(DE143)+2,MONTH(DE143),DAY(DE143))</f>
        <v>46491</v>
      </c>
      <c r="DG143" s="8">
        <f t="shared" ca="1" si="485"/>
        <v>346</v>
      </c>
      <c r="DH143" s="5" t="str">
        <f t="shared" ca="1" si="486"/>
        <v>VIGENTE</v>
      </c>
      <c r="DI143" s="3"/>
      <c r="DJ143" s="39">
        <v>45779</v>
      </c>
      <c r="DK143" s="4">
        <f>DATE(YEAR(DJ143)+2,MONTH(DJ143),DAY(DJ143))</f>
        <v>46509</v>
      </c>
      <c r="DL143" s="8">
        <f t="shared" ca="1" si="487"/>
        <v>364</v>
      </c>
      <c r="DM143" s="5" t="str">
        <f t="shared" ca="1" si="488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9"/>
        <v>458</v>
      </c>
      <c r="DR143" s="5" t="str">
        <f t="shared" ca="1" si="490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1"/>
        <v>437</v>
      </c>
      <c r="DW143" s="5" t="str">
        <f t="shared" ca="1" si="492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3"/>
        <v>389</v>
      </c>
      <c r="EB143" s="5" t="str">
        <f t="shared" ca="1" si="494"/>
        <v>VIGENTE</v>
      </c>
      <c r="EC143" s="3"/>
      <c r="ED143" s="39">
        <v>45787</v>
      </c>
      <c r="EE143" s="4">
        <f>DATE(YEAR(ED143)+2,MONTH(ED143),DAY(ED143))</f>
        <v>46517</v>
      </c>
      <c r="EF143" s="8">
        <f t="shared" ca="1" si="495"/>
        <v>372</v>
      </c>
      <c r="EG143" s="5" t="str">
        <f t="shared" ca="1" si="496"/>
        <v>VIGENTE</v>
      </c>
      <c r="EH143" s="3"/>
      <c r="EI143" s="4">
        <v>46123</v>
      </c>
      <c r="EJ143" s="4">
        <f t="shared" si="558"/>
        <v>46488</v>
      </c>
      <c r="EK143" s="8">
        <f t="shared" ca="1" si="497"/>
        <v>343</v>
      </c>
      <c r="EL143" s="5" t="str">
        <f t="shared" ca="1" si="498"/>
        <v>VIGENTE</v>
      </c>
      <c r="EM143" s="3"/>
      <c r="EN143" s="4">
        <v>45840</v>
      </c>
      <c r="EO143" s="4">
        <f>DATE(YEAR(EN143)+2,MONTH(EN143),DAY(EN143))</f>
        <v>46570</v>
      </c>
      <c r="EP143" s="8">
        <f t="shared" ca="1" si="499"/>
        <v>425</v>
      </c>
      <c r="EQ143" s="5" t="str">
        <f t="shared" ca="1" si="500"/>
        <v>VIGENTE</v>
      </c>
      <c r="ER143" s="3"/>
      <c r="ES143" s="39">
        <v>45824</v>
      </c>
      <c r="ET143" s="4">
        <f>DATE(YEAR(ES143)+2,MONTH(ES143),DAY(ES143))</f>
        <v>46554</v>
      </c>
      <c r="EU143" s="8">
        <f t="shared" ca="1" si="501"/>
        <v>409</v>
      </c>
      <c r="EV143" s="5" t="str">
        <f t="shared" ca="1" si="502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3"/>
        <v>379</v>
      </c>
      <c r="FA143" s="5" t="str">
        <f t="shared" ca="1" si="504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5"/>
        <v>516</v>
      </c>
      <c r="FF143" s="5" t="str">
        <f t="shared" ca="1" si="506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7"/>
        <v>417</v>
      </c>
      <c r="FK143" s="5" t="str">
        <f t="shared" ca="1" si="508"/>
        <v>VIGENTE</v>
      </c>
      <c r="FL143" s="3"/>
      <c r="FM143" s="39">
        <v>45771</v>
      </c>
      <c r="FN143" s="4">
        <f>DATE(YEAR(FM143)+2,MONTH(FM143),DAY(FM143))</f>
        <v>46501</v>
      </c>
      <c r="FO143" s="8">
        <f t="shared" ca="1" si="509"/>
        <v>356</v>
      </c>
      <c r="FP143" s="5" t="str">
        <f t="shared" ca="1" si="510"/>
        <v>VIGENTE</v>
      </c>
      <c r="FQ143" s="3"/>
      <c r="FR143" s="39">
        <v>45782</v>
      </c>
      <c r="FS143" s="4">
        <f>DATE(YEAR(FR143)+2,MONTH(FR143),DAY(FR143))</f>
        <v>46512</v>
      </c>
      <c r="FT143" s="8">
        <f t="shared" ca="1" si="511"/>
        <v>367</v>
      </c>
      <c r="FU143" s="5" t="str">
        <f t="shared" ca="1" si="512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3"/>
        <v>460</v>
      </c>
      <c r="FZ143" s="5" t="str">
        <f t="shared" ca="1" si="514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5"/>
        <v>418</v>
      </c>
      <c r="GE143" s="5" t="str">
        <f t="shared" ca="1" si="516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7"/>
        <v>315</v>
      </c>
      <c r="GJ143" s="5" t="str">
        <f t="shared" ca="1" si="518"/>
        <v>VIGENTE</v>
      </c>
      <c r="GK143" s="3"/>
      <c r="GL143" s="4">
        <v>45848</v>
      </c>
      <c r="GM143" s="4">
        <f t="shared" si="571"/>
        <v>46578</v>
      </c>
      <c r="GN143" s="8">
        <f t="shared" ca="1" si="519"/>
        <v>433</v>
      </c>
      <c r="GO143" s="5" t="str">
        <f t="shared" ca="1" si="520"/>
        <v>VIGENTE</v>
      </c>
      <c r="GP143" s="4"/>
      <c r="GQ143" s="4">
        <v>45136</v>
      </c>
      <c r="GR143" s="4">
        <f t="shared" si="521"/>
        <v>46963</v>
      </c>
      <c r="GS143" s="8">
        <f t="shared" ca="1" si="405"/>
        <v>818</v>
      </c>
      <c r="GT143" s="5" t="str">
        <f t="shared" ca="1" si="419"/>
        <v>VIGENTE</v>
      </c>
      <c r="GU143" s="3"/>
      <c r="GV143" s="4">
        <v>45203</v>
      </c>
      <c r="GW143" s="4">
        <f t="shared" si="522"/>
        <v>47030</v>
      </c>
      <c r="GX143" s="8">
        <f t="shared" ca="1" si="523"/>
        <v>885</v>
      </c>
      <c r="GY143" s="5" t="str">
        <f t="shared" ca="1" si="426"/>
        <v>VIGENTE</v>
      </c>
      <c r="GZ143" s="2"/>
      <c r="HA143" s="4">
        <v>45187</v>
      </c>
      <c r="HB143" s="4">
        <f t="shared" si="524"/>
        <v>47014</v>
      </c>
      <c r="HC143" s="8">
        <f t="shared" ca="1" si="525"/>
        <v>869</v>
      </c>
      <c r="HD143" s="5" t="str">
        <f t="shared" ca="1" si="421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7"/>
        <v>VIGENTE</v>
      </c>
      <c r="HJ143" s="2"/>
      <c r="HK143" s="6"/>
      <c r="HL143" s="4"/>
      <c r="HM143" s="8"/>
      <c r="HN143" s="5" t="str">
        <f t="shared" si="444"/>
        <v>NO APLICA</v>
      </c>
      <c r="HO143" s="2"/>
      <c r="HP143" s="2"/>
      <c r="HQ143" s="4"/>
      <c r="HR143" s="2"/>
      <c r="HS143" s="5" t="str">
        <f t="shared" si="526"/>
        <v>NO APLICA</v>
      </c>
      <c r="HT143" s="2"/>
      <c r="HU143" s="6"/>
      <c r="HV143" s="4"/>
      <c r="HW143" s="8"/>
      <c r="HX143" s="5" t="str">
        <f t="shared" si="527"/>
        <v>NO APLICA</v>
      </c>
      <c r="HY143" s="2"/>
      <c r="HZ143" s="6"/>
      <c r="IA143" s="4"/>
      <c r="IB143" s="8"/>
      <c r="IC143" s="5" t="str">
        <f t="shared" si="528"/>
        <v>NO APLICA</v>
      </c>
      <c r="ID143" s="2"/>
      <c r="IE143" s="6"/>
      <c r="IF143" s="4"/>
      <c r="IG143" s="8"/>
      <c r="IH143" s="5" t="str">
        <f t="shared" si="529"/>
        <v>NO APLICA</v>
      </c>
      <c r="II143" s="6"/>
      <c r="IJ143" s="6"/>
      <c r="IK143" s="4"/>
      <c r="IL143" s="8"/>
      <c r="IM143" s="5" t="str">
        <f t="shared" si="530"/>
        <v>NO APLICA</v>
      </c>
      <c r="IN143" s="2"/>
      <c r="IO143" s="6"/>
      <c r="IP143" s="4"/>
      <c r="IQ143" s="8"/>
      <c r="IR143" s="5" t="str">
        <f t="shared" si="531"/>
        <v>NO APLICA</v>
      </c>
      <c r="IS143" s="2"/>
      <c r="IT143" s="6"/>
      <c r="IU143" s="4"/>
      <c r="IV143" s="8"/>
      <c r="IW143" s="5" t="str">
        <f t="shared" si="532"/>
        <v>NO APLICA</v>
      </c>
      <c r="IX143" s="2"/>
      <c r="IY143" s="6"/>
      <c r="IZ143" s="4"/>
      <c r="JA143" s="8"/>
      <c r="JB143" s="5" t="str">
        <f t="shared" si="533"/>
        <v>NO APLICA</v>
      </c>
      <c r="JC143" s="3" t="s">
        <v>780</v>
      </c>
      <c r="JD143" s="3"/>
      <c r="JE143" s="4"/>
      <c r="JF143" s="8"/>
      <c r="JG143" s="5"/>
      <c r="JH143" s="3" t="s">
        <v>780</v>
      </c>
      <c r="JI143" s="6"/>
      <c r="JJ143" s="6"/>
      <c r="JK143" s="6"/>
      <c r="JL143" s="5"/>
      <c r="JM143" s="6" t="s">
        <v>780</v>
      </c>
      <c r="JN143" s="6"/>
      <c r="JO143" s="6"/>
      <c r="JP143" s="6"/>
      <c r="JQ143" s="5"/>
      <c r="JR143" s="6" t="s">
        <v>780</v>
      </c>
      <c r="JS143" s="6"/>
      <c r="JT143" s="6"/>
      <c r="JU143" s="6"/>
      <c r="JV143" s="5"/>
      <c r="JW143" s="6" t="s">
        <v>780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4"/>
        <v>NO APLICA</v>
      </c>
      <c r="KG143" s="5"/>
      <c r="KH143" s="2"/>
      <c r="KI143" s="4"/>
      <c r="KJ143" s="8"/>
      <c r="KK143" s="5" t="str">
        <f t="shared" si="559"/>
        <v>NO APLICA</v>
      </c>
      <c r="KL143" s="5"/>
      <c r="KM143" s="2"/>
      <c r="KN143" s="4"/>
      <c r="KO143" s="8"/>
      <c r="KP143" s="5" t="str">
        <f t="shared" si="535"/>
        <v>NO APLICA</v>
      </c>
      <c r="KQ143" s="5"/>
      <c r="KR143" s="2"/>
      <c r="KS143" s="4"/>
      <c r="KT143" s="8"/>
      <c r="KU143" s="5" t="str">
        <f t="shared" si="560"/>
        <v>NO APLICA</v>
      </c>
      <c r="KV143" s="2"/>
      <c r="KW143" s="6"/>
      <c r="KX143" s="4"/>
      <c r="KY143" s="8"/>
      <c r="KZ143" s="5" t="str">
        <f t="shared" si="565"/>
        <v>NO APLICA</v>
      </c>
      <c r="LA143" s="5"/>
      <c r="LB143" s="6"/>
      <c r="LC143" s="4"/>
      <c r="LD143" s="8"/>
      <c r="LE143" s="5" t="str">
        <f t="shared" si="561"/>
        <v>NO APLICA</v>
      </c>
      <c r="LF143" s="6"/>
      <c r="LG143" s="6"/>
      <c r="LH143" s="4"/>
      <c r="LI143" s="8"/>
      <c r="LJ143" s="5" t="str">
        <f t="shared" si="567"/>
        <v>NO APLICA</v>
      </c>
      <c r="LK143" s="5"/>
      <c r="LL143" s="5"/>
      <c r="LM143" s="5"/>
      <c r="LN143" s="5"/>
      <c r="LO143" s="5" t="str">
        <f t="shared" si="566"/>
        <v>NO APLICA</v>
      </c>
      <c r="LP143" s="2"/>
      <c r="LQ143" s="6"/>
      <c r="LR143" s="4"/>
      <c r="LS143" s="8"/>
      <c r="LT143" s="5" t="str">
        <f t="shared" si="562"/>
        <v>NO APLICA</v>
      </c>
      <c r="LU143" s="6"/>
      <c r="LV143" s="6"/>
      <c r="LW143" s="4"/>
      <c r="LX143" s="8"/>
      <c r="LY143" s="5" t="str">
        <f t="shared" si="563"/>
        <v>NO APLICA</v>
      </c>
      <c r="LZ143" s="6"/>
      <c r="MA143" s="6"/>
      <c r="MB143" s="4"/>
      <c r="MC143" s="8"/>
      <c r="MD143" s="5" t="str">
        <f t="shared" si="564"/>
        <v>NO APLICA</v>
      </c>
      <c r="ME143" s="2"/>
      <c r="MF143" s="2"/>
      <c r="MG143" s="4"/>
      <c r="MH143" s="8"/>
      <c r="MI143" s="5" t="str">
        <f t="shared" si="537"/>
        <v>NO APLICA</v>
      </c>
      <c r="MJ143" s="2"/>
      <c r="MK143" s="2"/>
      <c r="ML143" s="4"/>
      <c r="MM143" s="8"/>
      <c r="MN143" s="5" t="str">
        <f t="shared" si="538"/>
        <v>NO APLICA</v>
      </c>
      <c r="MO143" s="5"/>
      <c r="MP143" s="2"/>
      <c r="MQ143" s="4"/>
      <c r="MR143" s="8"/>
      <c r="MS143" s="5" t="str">
        <f t="shared" si="539"/>
        <v>NO APLICA</v>
      </c>
      <c r="MT143" s="5"/>
      <c r="MU143" s="2"/>
      <c r="MV143" s="4"/>
      <c r="MW143" s="2"/>
      <c r="MX143" s="5" t="str">
        <f t="shared" si="540"/>
        <v>NO APLICA</v>
      </c>
      <c r="MY143" s="2"/>
      <c r="MZ143" s="6"/>
      <c r="NA143" s="4"/>
      <c r="NB143" s="8"/>
      <c r="NC143" s="5" t="str">
        <f t="shared" si="541"/>
        <v>NO APLICA</v>
      </c>
      <c r="ND143" s="2"/>
      <c r="NE143" s="6"/>
      <c r="NF143" s="4"/>
      <c r="NG143" s="8"/>
      <c r="NH143" s="5" t="str">
        <f t="shared" si="542"/>
        <v>NO APLICA</v>
      </c>
      <c r="NI143" s="2"/>
      <c r="NJ143" s="6"/>
      <c r="NK143" s="4"/>
      <c r="NL143" s="8"/>
      <c r="NM143" s="5" t="str">
        <f t="shared" si="543"/>
        <v>NO APLICA</v>
      </c>
      <c r="NN143" s="2"/>
      <c r="NO143" s="2"/>
      <c r="NP143" s="4"/>
      <c r="NQ143" s="8"/>
      <c r="NR143" s="5" t="str">
        <f t="shared" si="544"/>
        <v>NO APLICA</v>
      </c>
      <c r="NS143" s="2"/>
      <c r="NT143" s="2"/>
      <c r="NU143" s="4"/>
      <c r="NV143" s="2"/>
      <c r="NW143" s="5" t="str">
        <f t="shared" si="545"/>
        <v>NO APLICA</v>
      </c>
      <c r="NX143" s="6"/>
      <c r="NY143" s="4"/>
      <c r="NZ143" s="4"/>
      <c r="OA143" s="8"/>
      <c r="OB143" s="5" t="str">
        <f t="shared" si="546"/>
        <v>NO APLICA</v>
      </c>
      <c r="OC143" s="6"/>
      <c r="OD143" s="6"/>
      <c r="OE143" s="6"/>
      <c r="OF143" s="6"/>
      <c r="OG143" s="5" t="str">
        <f t="shared" si="547"/>
        <v>NO APLICA</v>
      </c>
      <c r="OH143" s="6"/>
      <c r="OI143" s="6"/>
      <c r="OJ143" s="4"/>
      <c r="OK143" s="8"/>
      <c r="OL143" s="5" t="str">
        <f t="shared" si="548"/>
        <v>NO APLICA</v>
      </c>
      <c r="OM143" s="6"/>
      <c r="ON143" s="6"/>
      <c r="OO143" s="6"/>
      <c r="OP143" s="6"/>
      <c r="OQ143" s="5" t="str">
        <f t="shared" si="549"/>
        <v>NO APLICA</v>
      </c>
      <c r="OR143" s="6"/>
      <c r="OS143" s="6"/>
      <c r="OT143" s="6"/>
      <c r="OU143" s="6"/>
      <c r="OV143" s="5" t="str">
        <f t="shared" si="550"/>
        <v>NO APLICA</v>
      </c>
      <c r="OW143" s="6"/>
      <c r="OX143" s="6"/>
      <c r="OY143" s="6"/>
      <c r="OZ143" s="6"/>
      <c r="PA143" s="5" t="str">
        <f t="shared" si="551"/>
        <v>NO APLICA</v>
      </c>
      <c r="PB143" s="6"/>
      <c r="PC143" s="6"/>
      <c r="PD143" s="6"/>
      <c r="PE143" s="6"/>
      <c r="PF143" s="5" t="str">
        <f t="shared" si="552"/>
        <v>NO APLICA</v>
      </c>
      <c r="PG143" s="6"/>
      <c r="PH143" s="6"/>
      <c r="PI143" s="6"/>
      <c r="PJ143" s="6"/>
      <c r="PK143" s="5" t="str">
        <f t="shared" si="553"/>
        <v>NO APLICA</v>
      </c>
      <c r="PL143" s="5"/>
      <c r="PM143" s="6"/>
      <c r="PN143" s="4"/>
      <c r="PO143" s="8"/>
      <c r="PP143" s="5" t="str">
        <f t="shared" si="554"/>
        <v>NO APLICA</v>
      </c>
      <c r="PQ143" s="6"/>
      <c r="PR143" s="6"/>
      <c r="PS143" s="6"/>
      <c r="PT143" s="6"/>
      <c r="PU143" s="5" t="str">
        <f t="shared" si="555"/>
        <v>NO APLICA</v>
      </c>
      <c r="PV143" s="5"/>
      <c r="PW143" s="6"/>
      <c r="PX143" s="6"/>
      <c r="PY143" s="6"/>
      <c r="PZ143" s="5" t="str">
        <f t="shared" si="556"/>
        <v>NO APLICA</v>
      </c>
    </row>
    <row r="144" spans="1:442" ht="15.6" hidden="1" thickTop="1" thickBot="1" x14ac:dyDescent="0.35">
      <c r="A144" s="26">
        <v>141</v>
      </c>
      <c r="B144" s="31">
        <v>1729</v>
      </c>
      <c r="C144" s="28" t="s">
        <v>466</v>
      </c>
      <c r="D144" s="29" t="s">
        <v>117</v>
      </c>
      <c r="E144" s="30" t="s">
        <v>118</v>
      </c>
      <c r="F144" s="6"/>
      <c r="G144" s="6"/>
      <c r="H144" s="6"/>
      <c r="I144" s="6"/>
      <c r="J144" s="5" t="str">
        <f t="shared" si="455"/>
        <v>NO APLICA</v>
      </c>
      <c r="K144" s="6"/>
      <c r="L144" s="6"/>
      <c r="M144" s="6"/>
      <c r="N144" s="6"/>
      <c r="O144" s="5" t="str">
        <f t="shared" si="456"/>
        <v>NO APLICA</v>
      </c>
      <c r="P144" s="6"/>
      <c r="Q144" s="6"/>
      <c r="R144" s="6"/>
      <c r="S144" s="6"/>
      <c r="T144" s="5" t="str">
        <f t="shared" si="557"/>
        <v>NO APLICA</v>
      </c>
      <c r="U144" s="5"/>
      <c r="V144" s="6" t="s">
        <v>467</v>
      </c>
      <c r="W144" s="4">
        <v>45502</v>
      </c>
      <c r="X144" s="4">
        <f t="shared" si="410"/>
        <v>47328</v>
      </c>
      <c r="Y144" s="8">
        <f t="shared" ca="1" si="411"/>
        <v>1183</v>
      </c>
      <c r="Z144" s="5" t="str">
        <f t="shared" ca="1" si="412"/>
        <v>VIGENTE</v>
      </c>
      <c r="AA144" s="5"/>
      <c r="AB144" s="6" t="s">
        <v>468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7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8"/>
        <v>671</v>
      </c>
      <c r="AK144" s="5" t="str">
        <f t="shared" ca="1" si="408"/>
        <v>VIGENTE</v>
      </c>
      <c r="AL144" s="6"/>
      <c r="AM144" s="4">
        <v>46062</v>
      </c>
      <c r="AN144" s="4">
        <f t="shared" ref="AN144:AN157" si="572">DATE(YEAR(AM144)+2,MONTH(AM144),DAY(AM144))</f>
        <v>46792</v>
      </c>
      <c r="AO144" s="8">
        <f t="shared" ca="1" si="459"/>
        <v>647</v>
      </c>
      <c r="AP144" s="5" t="str">
        <f t="shared" ca="1" si="460"/>
        <v>VIGENTE</v>
      </c>
      <c r="AQ144" s="4"/>
      <c r="AR144" s="4">
        <v>45989</v>
      </c>
      <c r="AS144" s="4">
        <f t="shared" si="568"/>
        <v>46719</v>
      </c>
      <c r="AT144" s="8">
        <f t="shared" ca="1" si="461"/>
        <v>574</v>
      </c>
      <c r="AU144" s="5" t="str">
        <f t="shared" ca="1" si="462"/>
        <v>VIGENTE</v>
      </c>
      <c r="AV144" s="6"/>
      <c r="AW144" s="4">
        <v>46070</v>
      </c>
      <c r="AX144" s="4">
        <f t="shared" si="569"/>
        <v>46800</v>
      </c>
      <c r="AY144" s="8">
        <f t="shared" ca="1" si="463"/>
        <v>655</v>
      </c>
      <c r="AZ144" s="5" t="str">
        <f t="shared" ca="1" si="464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5"/>
        <v>626</v>
      </c>
      <c r="BE144" s="5" t="str">
        <f t="shared" ca="1" si="466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7"/>
        <v>572</v>
      </c>
      <c r="BJ144" s="5" t="str">
        <f t="shared" ca="1" si="468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9"/>
        <v>592</v>
      </c>
      <c r="BO144" s="5" t="str">
        <f t="shared" ca="1" si="470"/>
        <v>VIGENTE</v>
      </c>
      <c r="BP144" s="4"/>
      <c r="BQ144" s="39">
        <v>45988</v>
      </c>
      <c r="BR144" s="4">
        <f t="shared" si="570"/>
        <v>46718</v>
      </c>
      <c r="BS144" s="8">
        <f t="shared" ca="1" si="471"/>
        <v>573</v>
      </c>
      <c r="BT144" s="5" t="str">
        <f t="shared" ca="1" si="472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3"/>
        <v>616</v>
      </c>
      <c r="BY144" s="5" t="str">
        <f t="shared" ca="1" si="474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5"/>
        <v>571</v>
      </c>
      <c r="CD144" s="5" t="str">
        <f t="shared" ca="1" si="476"/>
        <v>VIGENTE</v>
      </c>
      <c r="CE144" s="6"/>
      <c r="CF144" s="4">
        <v>45372</v>
      </c>
      <c r="CG144" s="4">
        <f t="shared" si="416"/>
        <v>46833</v>
      </c>
      <c r="CH144" s="8">
        <f t="shared" ca="1" si="417"/>
        <v>688</v>
      </c>
      <c r="CI144" s="5" t="str">
        <f t="shared" ref="CI144:CI207" ca="1" si="573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7"/>
        <v>603</v>
      </c>
      <c r="CN144" s="5" t="str">
        <f t="shared" ca="1" si="478"/>
        <v>VIGENTE</v>
      </c>
      <c r="CO144" s="4"/>
      <c r="CP144" s="39">
        <v>46038</v>
      </c>
      <c r="CQ144" s="4">
        <f>DATE(YEAR(CP144)+2,MONTH(CP144),DAY(CP144))</f>
        <v>46768</v>
      </c>
      <c r="CR144" s="8">
        <f t="shared" ca="1" si="479"/>
        <v>623</v>
      </c>
      <c r="CS144" s="5" t="str">
        <f t="shared" ca="1" si="480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1"/>
        <v>628</v>
      </c>
      <c r="CX144" s="5" t="str">
        <f t="shared" ca="1" si="482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3"/>
        <v>613</v>
      </c>
      <c r="DC144" s="5" t="str">
        <f t="shared" ca="1" si="484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5"/>
        <v>581</v>
      </c>
      <c r="DH144" s="5" t="str">
        <f t="shared" ca="1" si="486"/>
        <v>VIGENTE</v>
      </c>
      <c r="DI144" s="4"/>
      <c r="DJ144" s="39">
        <v>46029</v>
      </c>
      <c r="DK144" s="4">
        <f>DATE(YEAR(DJ144)+2,MONTH(DJ144),DAY(DJ144))</f>
        <v>46759</v>
      </c>
      <c r="DL144" s="8">
        <f t="shared" ca="1" si="487"/>
        <v>614</v>
      </c>
      <c r="DM144" s="5" t="str">
        <f t="shared" ca="1" si="488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9"/>
        <v>567</v>
      </c>
      <c r="DR144" s="5" t="str">
        <f t="shared" ca="1" si="490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1"/>
        <v>638</v>
      </c>
      <c r="DW144" s="5" t="str">
        <f t="shared" ca="1" si="492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3"/>
        <v>617</v>
      </c>
      <c r="EB144" s="5" t="str">
        <f t="shared" ca="1" si="494"/>
        <v>VIGENTE</v>
      </c>
      <c r="EC144" s="4"/>
      <c r="ED144" s="39">
        <v>45994</v>
      </c>
      <c r="EE144" s="4">
        <f>DATE(YEAR(ED144)+2,MONTH(ED144),DAY(ED144))</f>
        <v>46724</v>
      </c>
      <c r="EF144" s="8">
        <f t="shared" ca="1" si="495"/>
        <v>579</v>
      </c>
      <c r="EG144" s="5" t="str">
        <f t="shared" ca="1" si="496"/>
        <v>VIGENTE</v>
      </c>
      <c r="EH144" s="3"/>
      <c r="EI144" s="3">
        <v>46015</v>
      </c>
      <c r="EJ144" s="4">
        <f t="shared" si="558"/>
        <v>46380</v>
      </c>
      <c r="EK144" s="8">
        <f t="shared" ca="1" si="497"/>
        <v>235</v>
      </c>
      <c r="EL144" s="5" t="str">
        <f t="shared" ca="1" si="498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9"/>
        <v>568</v>
      </c>
      <c r="EQ144" s="5" t="str">
        <f t="shared" ca="1" si="500"/>
        <v>VIGENTE</v>
      </c>
      <c r="ER144" s="6"/>
      <c r="ES144" s="39">
        <v>45999</v>
      </c>
      <c r="ET144" s="4">
        <f>DATE(YEAR(ES144)+2,MONTH(ES144),DAY(ES144))</f>
        <v>46729</v>
      </c>
      <c r="EU144" s="8">
        <f t="shared" ca="1" si="501"/>
        <v>584</v>
      </c>
      <c r="EV144" s="5" t="str">
        <f t="shared" ca="1" si="502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3"/>
        <v>549</v>
      </c>
      <c r="FA144" s="5" t="str">
        <f t="shared" ca="1" si="504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5"/>
        <v>602</v>
      </c>
      <c r="FF144" s="5" t="str">
        <f t="shared" ca="1" si="506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7"/>
        <v>554</v>
      </c>
      <c r="FK144" s="5" t="str">
        <f t="shared" ca="1" si="508"/>
        <v>VIGENTE</v>
      </c>
      <c r="FL144" s="4"/>
      <c r="FM144" s="39">
        <v>46039</v>
      </c>
      <c r="FN144" s="4">
        <f>DATE(YEAR(FM144)+2,MONTH(FM144),DAY(FM144))</f>
        <v>46769</v>
      </c>
      <c r="FO144" s="8">
        <f t="shared" ca="1" si="509"/>
        <v>624</v>
      </c>
      <c r="FP144" s="5" t="str">
        <f t="shared" ca="1" si="510"/>
        <v>VIGENTE</v>
      </c>
      <c r="FQ144" s="4"/>
      <c r="FR144" s="39">
        <v>46034</v>
      </c>
      <c r="FS144" s="4">
        <f>DATE(YEAR(FR144)+2,MONTH(FR144),DAY(FR144))</f>
        <v>46764</v>
      </c>
      <c r="FT144" s="8">
        <f t="shared" ca="1" si="511"/>
        <v>619</v>
      </c>
      <c r="FU144" s="5" t="str">
        <f t="shared" ca="1" si="512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3"/>
        <v>578</v>
      </c>
      <c r="FZ144" s="5" t="str">
        <f t="shared" ca="1" si="514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5"/>
        <v>615</v>
      </c>
      <c r="GE144" s="5" t="str">
        <f t="shared" ca="1" si="516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7"/>
        <v>621</v>
      </c>
      <c r="GJ144" s="5" t="str">
        <f t="shared" ca="1" si="518"/>
        <v>VIGENTE</v>
      </c>
      <c r="GK144" s="3"/>
      <c r="GL144" s="4">
        <v>46044</v>
      </c>
      <c r="GM144" s="4">
        <f t="shared" si="571"/>
        <v>46774</v>
      </c>
      <c r="GN144" s="8">
        <f t="shared" ca="1" si="519"/>
        <v>629</v>
      </c>
      <c r="GO144" s="5" t="str">
        <f t="shared" ca="1" si="520"/>
        <v>VIGENTE</v>
      </c>
      <c r="GP144" s="4"/>
      <c r="GQ144" s="4">
        <v>45367</v>
      </c>
      <c r="GR144" s="4">
        <f t="shared" si="521"/>
        <v>47193</v>
      </c>
      <c r="GS144" s="8">
        <f t="shared" ca="1" si="405"/>
        <v>1048</v>
      </c>
      <c r="GT144" s="5" t="str">
        <f t="shared" ca="1" si="419"/>
        <v>VIGENTE</v>
      </c>
      <c r="GU144" s="4"/>
      <c r="GV144" s="4">
        <v>45389</v>
      </c>
      <c r="GW144" s="4">
        <f t="shared" si="522"/>
        <v>47215</v>
      </c>
      <c r="GX144" s="8">
        <f t="shared" ca="1" si="523"/>
        <v>1070</v>
      </c>
      <c r="GY144" s="5" t="str">
        <f t="shared" ca="1" si="426"/>
        <v>VIGENTE</v>
      </c>
      <c r="GZ144" s="6"/>
      <c r="HA144" s="4">
        <v>45343</v>
      </c>
      <c r="HB144" s="4">
        <f t="shared" si="524"/>
        <v>47170</v>
      </c>
      <c r="HC144" s="8">
        <f t="shared" ca="1" si="525"/>
        <v>1025</v>
      </c>
      <c r="HD144" s="5" t="str">
        <f t="shared" ca="1" si="421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7"/>
        <v>VIGENTE</v>
      </c>
      <c r="HJ144" s="6"/>
      <c r="HK144" s="6"/>
      <c r="HL144" s="4"/>
      <c r="HM144" s="8"/>
      <c r="HN144" s="5" t="str">
        <f t="shared" si="444"/>
        <v>NO APLICA</v>
      </c>
      <c r="HO144" s="2"/>
      <c r="HP144" s="2"/>
      <c r="HQ144" s="4"/>
      <c r="HR144" s="2"/>
      <c r="HS144" s="5" t="str">
        <f t="shared" si="526"/>
        <v>NO APLICA</v>
      </c>
      <c r="HT144" s="6"/>
      <c r="HU144" s="6"/>
      <c r="HV144" s="4"/>
      <c r="HW144" s="8"/>
      <c r="HX144" s="5" t="str">
        <f t="shared" si="527"/>
        <v>NO APLICA</v>
      </c>
      <c r="HY144" s="6"/>
      <c r="HZ144" s="6"/>
      <c r="IA144" s="4"/>
      <c r="IB144" s="8"/>
      <c r="IC144" s="5" t="str">
        <f t="shared" si="528"/>
        <v>NO APLICA</v>
      </c>
      <c r="ID144" s="6"/>
      <c r="IE144" s="6"/>
      <c r="IF144" s="4"/>
      <c r="IG144" s="8"/>
      <c r="IH144" s="5" t="str">
        <f t="shared" si="529"/>
        <v>NO APLICA</v>
      </c>
      <c r="II144" s="6"/>
      <c r="IJ144" s="6"/>
      <c r="IK144" s="4"/>
      <c r="IL144" s="6"/>
      <c r="IM144" s="5" t="str">
        <f t="shared" si="530"/>
        <v>NO APLICA</v>
      </c>
      <c r="IN144" s="6"/>
      <c r="IO144" s="6"/>
      <c r="IP144" s="4"/>
      <c r="IQ144" s="8"/>
      <c r="IR144" s="5" t="str">
        <f t="shared" si="531"/>
        <v>NO APLICA</v>
      </c>
      <c r="IS144" s="6"/>
      <c r="IT144" s="6"/>
      <c r="IU144" s="4"/>
      <c r="IV144" s="8"/>
      <c r="IW144" s="5" t="str">
        <f t="shared" si="532"/>
        <v>NO APLICA</v>
      </c>
      <c r="IX144" s="6"/>
      <c r="IY144" s="6"/>
      <c r="IZ144" s="4"/>
      <c r="JA144" s="8"/>
      <c r="JB144" s="5" t="str">
        <f t="shared" si="533"/>
        <v>NO APLICA</v>
      </c>
      <c r="JC144" s="3" t="s">
        <v>780</v>
      </c>
      <c r="JD144" s="3"/>
      <c r="JE144" s="4"/>
      <c r="JF144" s="8"/>
      <c r="JG144" s="5"/>
      <c r="JH144" s="3" t="s">
        <v>780</v>
      </c>
      <c r="JI144" s="6"/>
      <c r="JJ144" s="6"/>
      <c r="JK144" s="6"/>
      <c r="JL144" s="5"/>
      <c r="JM144" s="6" t="s">
        <v>780</v>
      </c>
      <c r="JN144" s="6"/>
      <c r="JO144" s="6"/>
      <c r="JP144" s="6"/>
      <c r="JQ144" s="5"/>
      <c r="JR144" s="6" t="s">
        <v>780</v>
      </c>
      <c r="JS144" s="6"/>
      <c r="JT144" s="6"/>
      <c r="JU144" s="6"/>
      <c r="JV144" s="5"/>
      <c r="JW144" s="6" t="s">
        <v>780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4"/>
        <v>NO APLICA</v>
      </c>
      <c r="KG144" s="5"/>
      <c r="KH144" s="6"/>
      <c r="KI144" s="4"/>
      <c r="KJ144" s="8"/>
      <c r="KK144" s="5" t="str">
        <f t="shared" si="559"/>
        <v>NO APLICA</v>
      </c>
      <c r="KL144" s="5"/>
      <c r="KM144" s="2"/>
      <c r="KN144" s="4"/>
      <c r="KO144" s="8"/>
      <c r="KP144" s="5" t="str">
        <f t="shared" si="535"/>
        <v>NO APLICA</v>
      </c>
      <c r="KQ144" s="5"/>
      <c r="KR144" s="2"/>
      <c r="KS144" s="4"/>
      <c r="KT144" s="8"/>
      <c r="KU144" s="5" t="str">
        <f t="shared" si="560"/>
        <v>NO APLICA</v>
      </c>
      <c r="KV144" s="6"/>
      <c r="KW144" s="6"/>
      <c r="KX144" s="4"/>
      <c r="KY144" s="6"/>
      <c r="KZ144" s="5" t="str">
        <f t="shared" si="565"/>
        <v>NO APLICA</v>
      </c>
      <c r="LA144" s="5"/>
      <c r="LB144" s="6"/>
      <c r="LC144" s="4"/>
      <c r="LD144" s="6"/>
      <c r="LE144" s="5" t="str">
        <f t="shared" si="561"/>
        <v>NO APLICA</v>
      </c>
      <c r="LF144" s="6"/>
      <c r="LG144" s="6"/>
      <c r="LH144" s="6"/>
      <c r="LI144" s="6"/>
      <c r="LJ144" s="5" t="str">
        <f t="shared" si="567"/>
        <v>NO APLICA</v>
      </c>
      <c r="LK144" s="5"/>
      <c r="LL144" s="5"/>
      <c r="LM144" s="4"/>
      <c r="LN144" s="8"/>
      <c r="LO144" s="5" t="str">
        <f t="shared" si="566"/>
        <v>NO APLICA</v>
      </c>
      <c r="LP144" s="6"/>
      <c r="LQ144" s="6"/>
      <c r="LR144" s="4"/>
      <c r="LS144" s="8"/>
      <c r="LT144" s="5" t="str">
        <f t="shared" si="562"/>
        <v>NO APLICA</v>
      </c>
      <c r="LU144" s="6"/>
      <c r="LV144" s="6"/>
      <c r="LW144" s="4"/>
      <c r="LX144" s="6"/>
      <c r="LY144" s="5" t="str">
        <f t="shared" si="563"/>
        <v>NO APLICA</v>
      </c>
      <c r="LZ144" s="6"/>
      <c r="MA144" s="6"/>
      <c r="MB144" s="4"/>
      <c r="MC144" s="6"/>
      <c r="MD144" s="5" t="str">
        <f t="shared" si="564"/>
        <v>NO APLICA</v>
      </c>
      <c r="ME144" s="6"/>
      <c r="MF144" s="6"/>
      <c r="MG144" s="4"/>
      <c r="MH144" s="6"/>
      <c r="MI144" s="5" t="str">
        <f t="shared" si="537"/>
        <v>NO APLICA</v>
      </c>
      <c r="MJ144" s="6"/>
      <c r="MK144" s="6"/>
      <c r="ML144" s="4"/>
      <c r="MM144" s="6"/>
      <c r="MN144" s="5" t="str">
        <f t="shared" si="538"/>
        <v>NO APLICA</v>
      </c>
      <c r="MO144" s="5"/>
      <c r="MP144" s="6"/>
      <c r="MQ144" s="4"/>
      <c r="MR144" s="6"/>
      <c r="MS144" s="5" t="str">
        <f t="shared" si="539"/>
        <v>NO APLICA</v>
      </c>
      <c r="MT144" s="5"/>
      <c r="MU144" s="6"/>
      <c r="MV144" s="6"/>
      <c r="MW144" s="6"/>
      <c r="MX144" s="5" t="str">
        <f t="shared" si="540"/>
        <v>NO APLICA</v>
      </c>
      <c r="MY144" s="6"/>
      <c r="MZ144" s="6"/>
      <c r="NA144" s="4"/>
      <c r="NB144" s="6"/>
      <c r="NC144" s="5" t="str">
        <f t="shared" si="541"/>
        <v>NO APLICA</v>
      </c>
      <c r="ND144" s="6"/>
      <c r="NE144" s="6"/>
      <c r="NF144" s="4"/>
      <c r="NG144" s="6"/>
      <c r="NH144" s="5" t="str">
        <f t="shared" si="542"/>
        <v>NO APLICA</v>
      </c>
      <c r="NI144" s="6"/>
      <c r="NJ144" s="6"/>
      <c r="NK144" s="4"/>
      <c r="NL144" s="6"/>
      <c r="NM144" s="5" t="str">
        <f t="shared" si="543"/>
        <v>NO APLICA</v>
      </c>
      <c r="NN144" s="6"/>
      <c r="NO144" s="6"/>
      <c r="NP144" s="4"/>
      <c r="NQ144" s="6"/>
      <c r="NR144" s="5" t="str">
        <f t="shared" si="544"/>
        <v>NO APLICA</v>
      </c>
      <c r="NS144" s="6"/>
      <c r="NT144" s="6"/>
      <c r="NU144" s="4"/>
      <c r="NV144" s="6"/>
      <c r="NW144" s="5" t="str">
        <f t="shared" si="545"/>
        <v>NO APLICA</v>
      </c>
      <c r="NX144" s="6"/>
      <c r="NY144" s="6"/>
      <c r="NZ144" s="4"/>
      <c r="OA144" s="8"/>
      <c r="OB144" s="5" t="str">
        <f t="shared" si="546"/>
        <v>NO APLICA</v>
      </c>
      <c r="OC144" s="6"/>
      <c r="OD144" s="6"/>
      <c r="OE144" s="6"/>
      <c r="OF144" s="6"/>
      <c r="OG144" s="5" t="str">
        <f t="shared" si="547"/>
        <v>NO APLICA</v>
      </c>
      <c r="OH144" s="6"/>
      <c r="OI144" s="6"/>
      <c r="OJ144" s="6"/>
      <c r="OK144" s="6"/>
      <c r="OL144" s="5" t="str">
        <f t="shared" si="548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9"/>
        <v>VIGENTE</v>
      </c>
      <c r="OR144" s="6"/>
      <c r="OS144" s="6"/>
      <c r="OT144" s="6"/>
      <c r="OU144" s="6"/>
      <c r="OV144" s="5" t="str">
        <f t="shared" si="550"/>
        <v>NO APLICA</v>
      </c>
      <c r="OW144" s="6"/>
      <c r="OX144" s="6"/>
      <c r="OY144" s="6"/>
      <c r="OZ144" s="6"/>
      <c r="PA144" s="5" t="str">
        <f t="shared" si="551"/>
        <v>NO APLICA</v>
      </c>
      <c r="PB144" s="6"/>
      <c r="PC144" s="6"/>
      <c r="PD144" s="6"/>
      <c r="PE144" s="6"/>
      <c r="PF144" s="5" t="str">
        <f t="shared" si="552"/>
        <v>NO APLICA</v>
      </c>
      <c r="PG144" s="6"/>
      <c r="PH144" s="6"/>
      <c r="PI144" s="6"/>
      <c r="PJ144" s="6"/>
      <c r="PK144" s="5" t="str">
        <f t="shared" si="553"/>
        <v>NO APLICA</v>
      </c>
      <c r="PL144" s="5"/>
      <c r="PM144" s="6"/>
      <c r="PN144" s="6"/>
      <c r="PO144" s="6"/>
      <c r="PP144" s="5" t="str">
        <f t="shared" si="554"/>
        <v>NO APLICA</v>
      </c>
      <c r="PQ144" s="6"/>
      <c r="PR144" s="6"/>
      <c r="PS144" s="6"/>
      <c r="PT144" s="6"/>
      <c r="PU144" s="5" t="str">
        <f t="shared" si="555"/>
        <v>NO APLICA</v>
      </c>
      <c r="PV144" s="5"/>
      <c r="PW144" s="6"/>
      <c r="PX144" s="4"/>
      <c r="PY144" s="8"/>
      <c r="PZ144" s="5" t="str">
        <f t="shared" si="556"/>
        <v>NO APLICA</v>
      </c>
    </row>
    <row r="145" spans="1:442" ht="15.6" hidden="1" thickTop="1" thickBot="1" x14ac:dyDescent="0.35">
      <c r="A145" s="26">
        <v>142</v>
      </c>
      <c r="B145" s="27">
        <v>1391</v>
      </c>
      <c r="C145" s="28" t="s">
        <v>469</v>
      </c>
      <c r="D145" s="29" t="s">
        <v>68</v>
      </c>
      <c r="E145" s="30" t="s">
        <v>77</v>
      </c>
      <c r="F145" s="5"/>
      <c r="G145" s="6"/>
      <c r="H145" s="4"/>
      <c r="I145" s="8"/>
      <c r="J145" s="5" t="str">
        <f t="shared" si="455"/>
        <v>NO APLICA</v>
      </c>
      <c r="K145" s="2"/>
      <c r="L145" s="6"/>
      <c r="M145" s="6"/>
      <c r="N145" s="8"/>
      <c r="O145" s="5" t="str">
        <f t="shared" si="456"/>
        <v>NO APLICA</v>
      </c>
      <c r="P145" s="6"/>
      <c r="Q145" s="6"/>
      <c r="R145" s="4"/>
      <c r="S145" s="8"/>
      <c r="T145" s="5" t="str">
        <f t="shared" si="557"/>
        <v>NO APLICA</v>
      </c>
      <c r="U145" s="5"/>
      <c r="V145" s="2" t="s">
        <v>470</v>
      </c>
      <c r="W145" s="4">
        <v>45391</v>
      </c>
      <c r="X145" s="4">
        <f t="shared" si="410"/>
        <v>47217</v>
      </c>
      <c r="Y145" s="8">
        <f t="shared" ca="1" si="411"/>
        <v>1072</v>
      </c>
      <c r="Z145" s="5" t="str">
        <f t="shared" ca="1" si="412"/>
        <v>VIGENTE</v>
      </c>
      <c r="AA145" s="5"/>
      <c r="AB145" s="2" t="s">
        <v>471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7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8"/>
        <v>173</v>
      </c>
      <c r="AK145" s="5" t="str">
        <f t="shared" ca="1" si="408"/>
        <v>VIGENTE</v>
      </c>
      <c r="AL145" s="4"/>
      <c r="AM145" s="4">
        <v>45926</v>
      </c>
      <c r="AN145" s="4">
        <f t="shared" si="572"/>
        <v>46656</v>
      </c>
      <c r="AO145" s="8">
        <f t="shared" ca="1" si="459"/>
        <v>511</v>
      </c>
      <c r="AP145" s="5" t="str">
        <f t="shared" ca="1" si="460"/>
        <v>VIGENTE</v>
      </c>
      <c r="AQ145" s="3"/>
      <c r="AR145" s="4">
        <v>45989</v>
      </c>
      <c r="AS145" s="4">
        <f t="shared" si="568"/>
        <v>46719</v>
      </c>
      <c r="AT145" s="8">
        <f t="shared" ca="1" si="461"/>
        <v>574</v>
      </c>
      <c r="AU145" s="5" t="str">
        <f t="shared" ca="1" si="462"/>
        <v>VIGENTE</v>
      </c>
      <c r="AV145" s="3"/>
      <c r="AW145" s="4">
        <v>45972</v>
      </c>
      <c r="AX145" s="4">
        <f t="shared" si="569"/>
        <v>46702</v>
      </c>
      <c r="AY145" s="8">
        <f t="shared" ca="1" si="463"/>
        <v>557</v>
      </c>
      <c r="AZ145" s="5" t="str">
        <f t="shared" ca="1" si="464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5"/>
        <v>206</v>
      </c>
      <c r="BE145" s="5" t="str">
        <f t="shared" ca="1" si="466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7"/>
        <v>572</v>
      </c>
      <c r="BJ145" s="5" t="str">
        <f t="shared" ca="1" si="468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9"/>
        <v>641</v>
      </c>
      <c r="BO145" s="5" t="str">
        <f t="shared" ca="1" si="470"/>
        <v>VIGENTE</v>
      </c>
      <c r="BP145" s="3"/>
      <c r="BQ145" s="39">
        <v>46069</v>
      </c>
      <c r="BR145" s="4">
        <f t="shared" si="570"/>
        <v>46799</v>
      </c>
      <c r="BS145" s="8">
        <f t="shared" ca="1" si="471"/>
        <v>654</v>
      </c>
      <c r="BT145" s="5" t="str">
        <f t="shared" ca="1" si="472"/>
        <v>VIGENTE</v>
      </c>
      <c r="BU145" s="3"/>
      <c r="BV145" s="4">
        <v>46116</v>
      </c>
      <c r="BW145" s="4">
        <f>DATE(YEAR(BV145)+2,MONTH(BV145),DAY(BV145)-1)</f>
        <v>46846</v>
      </c>
      <c r="BX145" s="8">
        <f t="shared" ca="1" si="473"/>
        <v>701</v>
      </c>
      <c r="BY145" s="5" t="str">
        <f t="shared" ca="1" si="474"/>
        <v>VIGENTE</v>
      </c>
      <c r="BZ145" s="3"/>
      <c r="CA145" s="4">
        <v>46119</v>
      </c>
      <c r="CB145" s="4">
        <f>DATE(YEAR(CA145)+2,MONTH(CA145),DAY(CA145)-1)</f>
        <v>46849</v>
      </c>
      <c r="CC145" s="8">
        <f t="shared" ca="1" si="475"/>
        <v>704</v>
      </c>
      <c r="CD145" s="5" t="str">
        <f t="shared" ca="1" si="476"/>
        <v>VIGENTE</v>
      </c>
      <c r="CE145" s="6"/>
      <c r="CF145" s="4">
        <v>45211</v>
      </c>
      <c r="CG145" s="4">
        <f t="shared" si="416"/>
        <v>46672</v>
      </c>
      <c r="CH145" s="8">
        <f t="shared" ca="1" si="417"/>
        <v>527</v>
      </c>
      <c r="CI145" s="5" t="str">
        <f t="shared" ca="1" si="573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7"/>
        <v>88</v>
      </c>
      <c r="CN145" s="5" t="str">
        <f t="shared" ca="1" si="478"/>
        <v>POR VENCER</v>
      </c>
      <c r="CO145" s="3"/>
      <c r="CP145" s="39">
        <v>45517</v>
      </c>
      <c r="CQ145" s="4">
        <f>DATE(YEAR(CP145)+2,MONTH(CP145),DAY(CP145)-1)</f>
        <v>46246</v>
      </c>
      <c r="CR145" s="8">
        <f t="shared" ca="1" si="479"/>
        <v>101</v>
      </c>
      <c r="CS145" s="5" t="str">
        <f t="shared" ca="1" si="480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1"/>
        <v>223</v>
      </c>
      <c r="CX145" s="5" t="str">
        <f t="shared" ca="1" si="482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3"/>
        <v>249</v>
      </c>
      <c r="DC145" s="5" t="str">
        <f t="shared" ca="1" si="484"/>
        <v>VIGENTE</v>
      </c>
      <c r="DD145" s="3"/>
      <c r="DE145" s="39">
        <v>45713</v>
      </c>
      <c r="DF145" s="4">
        <f>DATE(YEAR(DE145)+2,MONTH(DE145),DAY(DE145)-1)</f>
        <v>46442</v>
      </c>
      <c r="DG145" s="8">
        <f t="shared" ca="1" si="485"/>
        <v>297</v>
      </c>
      <c r="DH145" s="5" t="str">
        <f t="shared" ca="1" si="486"/>
        <v>VIGENTE</v>
      </c>
      <c r="DI145" s="3"/>
      <c r="DJ145" s="39">
        <v>45714</v>
      </c>
      <c r="DK145" s="4">
        <f>DATE(YEAR(DJ145)+2,MONTH(DJ145),DAY(DJ145)-1)</f>
        <v>46443</v>
      </c>
      <c r="DL145" s="8">
        <f t="shared" ca="1" si="487"/>
        <v>298</v>
      </c>
      <c r="DM145" s="5" t="str">
        <f t="shared" ca="1" si="488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9"/>
        <v>161</v>
      </c>
      <c r="DR145" s="5" t="str">
        <f t="shared" ca="1" si="490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1"/>
        <v>312</v>
      </c>
      <c r="DW145" s="5" t="str">
        <f t="shared" ca="1" si="492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3"/>
        <v>266</v>
      </c>
      <c r="EB145" s="5" t="str">
        <f t="shared" ca="1" si="494"/>
        <v>VIGENTE</v>
      </c>
      <c r="EC145" s="3"/>
      <c r="ED145" s="39">
        <v>45674</v>
      </c>
      <c r="EE145" s="4">
        <f>DATE(YEAR(ED145)+2,MONTH(ED145),DAY(ED145)-1)</f>
        <v>46403</v>
      </c>
      <c r="EF145" s="8">
        <f t="shared" ca="1" si="495"/>
        <v>258</v>
      </c>
      <c r="EG145" s="5" t="str">
        <f t="shared" ca="1" si="496"/>
        <v>VIGENTE</v>
      </c>
      <c r="EH145" s="3"/>
      <c r="EI145" s="4">
        <v>46123</v>
      </c>
      <c r="EJ145" s="4">
        <f t="shared" si="558"/>
        <v>46488</v>
      </c>
      <c r="EK145" s="8">
        <f t="shared" ca="1" si="497"/>
        <v>343</v>
      </c>
      <c r="EL145" s="5" t="str">
        <f t="shared" ca="1" si="498"/>
        <v>VIGENTE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9"/>
        <v>255</v>
      </c>
      <c r="EQ145" s="5" t="str">
        <f t="shared" ca="1" si="500"/>
        <v>VIGENTE</v>
      </c>
      <c r="ER145" s="2"/>
      <c r="ES145" s="39">
        <v>45755</v>
      </c>
      <c r="ET145" s="4">
        <f>DATE(YEAR(ES145)+2,MONTH(ES145),DAY(ES145)-1)</f>
        <v>46484</v>
      </c>
      <c r="EU145" s="8">
        <f t="shared" ca="1" si="501"/>
        <v>339</v>
      </c>
      <c r="EV145" s="5" t="str">
        <f t="shared" ca="1" si="502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3"/>
        <v>278</v>
      </c>
      <c r="FA145" s="5" t="str">
        <f t="shared" ca="1" si="504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5"/>
        <v>313</v>
      </c>
      <c r="FF145" s="5" t="str">
        <f t="shared" ca="1" si="506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7"/>
        <v>275</v>
      </c>
      <c r="FK145" s="5" t="str">
        <f t="shared" ca="1" si="508"/>
        <v>VIGENTE</v>
      </c>
      <c r="FL145" s="3"/>
      <c r="FM145" s="39">
        <v>45670</v>
      </c>
      <c r="FN145" s="4">
        <f>DATE(YEAR(FM145)+2,MONTH(FM145),DAY(FM145)-1)</f>
        <v>46399</v>
      </c>
      <c r="FO145" s="8">
        <f t="shared" ca="1" si="509"/>
        <v>254</v>
      </c>
      <c r="FP145" s="5" t="str">
        <f t="shared" ca="1" si="510"/>
        <v>VIGENTE</v>
      </c>
      <c r="FQ145" s="3"/>
      <c r="FR145" s="39">
        <v>45747</v>
      </c>
      <c r="FS145" s="4">
        <f>DATE(YEAR(FR145)+2,MONTH(FR145),DAY(FR145)-1)</f>
        <v>46476</v>
      </c>
      <c r="FT145" s="8">
        <f t="shared" ca="1" si="511"/>
        <v>331</v>
      </c>
      <c r="FU145" s="5" t="str">
        <f t="shared" ca="1" si="512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3"/>
        <v>284</v>
      </c>
      <c r="FZ145" s="5" t="str">
        <f t="shared" ca="1" si="514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5"/>
        <v>179</v>
      </c>
      <c r="GE145" s="5" t="str">
        <f t="shared" ca="1" si="516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7"/>
        <v>296</v>
      </c>
      <c r="GJ145" s="5" t="str">
        <f t="shared" ca="1" si="518"/>
        <v>VIGENTE</v>
      </c>
      <c r="GK145" s="4"/>
      <c r="GL145" s="4">
        <v>45945</v>
      </c>
      <c r="GM145" s="4">
        <f t="shared" si="571"/>
        <v>46675</v>
      </c>
      <c r="GN145" s="8">
        <f t="shared" ca="1" si="519"/>
        <v>530</v>
      </c>
      <c r="GO145" s="5" t="str">
        <f t="shared" ca="1" si="520"/>
        <v>VIGENTE</v>
      </c>
      <c r="GP145" s="4"/>
      <c r="GQ145" s="4">
        <v>45299</v>
      </c>
      <c r="GR145" s="4">
        <f t="shared" si="521"/>
        <v>47126</v>
      </c>
      <c r="GS145" s="8">
        <f t="shared" ca="1" si="405"/>
        <v>981</v>
      </c>
      <c r="GT145" s="5" t="str">
        <f t="shared" ca="1" si="419"/>
        <v>VIGENTE</v>
      </c>
      <c r="GU145" s="3"/>
      <c r="GV145" s="4">
        <v>44910</v>
      </c>
      <c r="GW145" s="4">
        <f t="shared" si="522"/>
        <v>46736</v>
      </c>
      <c r="GX145" s="8">
        <f t="shared" ca="1" si="523"/>
        <v>591</v>
      </c>
      <c r="GY145" s="5" t="str">
        <f t="shared" ca="1" si="426"/>
        <v>VIGENTE</v>
      </c>
      <c r="GZ145" s="3"/>
      <c r="HA145" s="4">
        <v>45454</v>
      </c>
      <c r="HB145" s="4">
        <f t="shared" si="524"/>
        <v>47280</v>
      </c>
      <c r="HC145" s="8">
        <f t="shared" ca="1" si="525"/>
        <v>1135</v>
      </c>
      <c r="HD145" s="5" t="str">
        <f t="shared" ca="1" si="421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7"/>
        <v>VIGENTE</v>
      </c>
      <c r="HJ145" s="2"/>
      <c r="HK145" s="6"/>
      <c r="HL145" s="4"/>
      <c r="HM145" s="8"/>
      <c r="HN145" s="5" t="str">
        <f t="shared" si="444"/>
        <v>NO APLICA</v>
      </c>
      <c r="HO145" s="2"/>
      <c r="HP145" s="2"/>
      <c r="HQ145" s="4"/>
      <c r="HR145" s="2"/>
      <c r="HS145" s="5" t="str">
        <f t="shared" si="526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7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8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9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30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1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2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3"/>
        <v>VIGENTE</v>
      </c>
      <c r="JC145" s="3" t="s">
        <v>780</v>
      </c>
      <c r="JD145" s="3"/>
      <c r="JE145" s="4"/>
      <c r="JF145" s="8"/>
      <c r="JG145" s="5"/>
      <c r="JH145" s="3" t="s">
        <v>780</v>
      </c>
      <c r="JI145" s="6"/>
      <c r="JJ145" s="6"/>
      <c r="JK145" s="6"/>
      <c r="JL145" s="5"/>
      <c r="JM145" s="6" t="s">
        <v>780</v>
      </c>
      <c r="JN145" s="6"/>
      <c r="JO145" s="6"/>
      <c r="JP145" s="6"/>
      <c r="JQ145" s="5"/>
      <c r="JR145" s="6" t="s">
        <v>780</v>
      </c>
      <c r="JS145" s="6"/>
      <c r="JT145" s="6"/>
      <c r="JU145" s="6"/>
      <c r="JV145" s="5"/>
      <c r="JW145" s="6" t="s">
        <v>780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4"/>
        <v>NO APLICA</v>
      </c>
      <c r="KG145" s="5"/>
      <c r="KH145" s="2"/>
      <c r="KI145" s="4"/>
      <c r="KJ145" s="8"/>
      <c r="KK145" s="5" t="str">
        <f t="shared" si="559"/>
        <v>NO APLICA</v>
      </c>
      <c r="KL145" s="5"/>
      <c r="KM145" s="2"/>
      <c r="KN145" s="4"/>
      <c r="KO145" s="8"/>
      <c r="KP145" s="5" t="str">
        <f t="shared" si="535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60"/>
        <v>VIGENTE</v>
      </c>
      <c r="KV145" s="2"/>
      <c r="KW145" s="6"/>
      <c r="KX145" s="4"/>
      <c r="KY145" s="8"/>
      <c r="KZ145" s="5" t="str">
        <f t="shared" si="565"/>
        <v>NO APLICA</v>
      </c>
      <c r="LA145" s="5"/>
      <c r="LB145" s="6"/>
      <c r="LC145" s="4"/>
      <c r="LD145" s="8"/>
      <c r="LE145" s="5" t="str">
        <f t="shared" si="561"/>
        <v>NO APLICA</v>
      </c>
      <c r="LF145" s="6"/>
      <c r="LG145" s="4"/>
      <c r="LH145" s="4"/>
      <c r="LI145" s="8"/>
      <c r="LJ145" s="5" t="str">
        <f t="shared" si="567"/>
        <v>NO APLICA</v>
      </c>
      <c r="LK145" s="5"/>
      <c r="LL145" s="5"/>
      <c r="LM145" s="4"/>
      <c r="LN145" s="8"/>
      <c r="LO145" s="5" t="str">
        <f t="shared" si="566"/>
        <v>NO APLICA</v>
      </c>
      <c r="LP145" s="2"/>
      <c r="LQ145" s="6"/>
      <c r="LR145" s="4"/>
      <c r="LS145" s="8"/>
      <c r="LT145" s="5" t="str">
        <f t="shared" si="562"/>
        <v>NO APLICA</v>
      </c>
      <c r="LU145" s="6"/>
      <c r="LV145" s="6"/>
      <c r="LW145" s="4"/>
      <c r="LX145" s="8"/>
      <c r="LY145" s="5" t="str">
        <f t="shared" si="563"/>
        <v>NO APLICA</v>
      </c>
      <c r="LZ145" s="6"/>
      <c r="MA145" s="6"/>
      <c r="MB145" s="4"/>
      <c r="MC145" s="8"/>
      <c r="MD145" s="5" t="str">
        <f t="shared" si="564"/>
        <v>NO APLICA</v>
      </c>
      <c r="ME145" s="2"/>
      <c r="MF145" s="2"/>
      <c r="MG145" s="4"/>
      <c r="MH145" s="8"/>
      <c r="MI145" s="5" t="str">
        <f t="shared" si="537"/>
        <v>NO APLICA</v>
      </c>
      <c r="MJ145" s="2"/>
      <c r="MK145" s="2"/>
      <c r="ML145" s="4"/>
      <c r="MM145" s="8"/>
      <c r="MN145" s="5" t="str">
        <f t="shared" si="538"/>
        <v>NO APLICA</v>
      </c>
      <c r="MO145" s="5"/>
      <c r="MP145" s="2"/>
      <c r="MQ145" s="4"/>
      <c r="MR145" s="8"/>
      <c r="MS145" s="5" t="str">
        <f t="shared" si="539"/>
        <v>NO APLICA</v>
      </c>
      <c r="MT145" s="5"/>
      <c r="MU145" s="2"/>
      <c r="MV145" s="4"/>
      <c r="MW145" s="2"/>
      <c r="MX145" s="5" t="str">
        <f t="shared" si="540"/>
        <v>NO APLICA</v>
      </c>
      <c r="MY145" s="2"/>
      <c r="MZ145" s="6"/>
      <c r="NA145" s="4"/>
      <c r="NB145" s="8"/>
      <c r="NC145" s="5" t="str">
        <f t="shared" si="541"/>
        <v>NO APLICA</v>
      </c>
      <c r="ND145" s="2"/>
      <c r="NE145" s="6"/>
      <c r="NF145" s="4"/>
      <c r="NG145" s="8"/>
      <c r="NH145" s="5" t="str">
        <f t="shared" si="542"/>
        <v>NO APLICA</v>
      </c>
      <c r="NI145" s="2"/>
      <c r="NJ145" s="6"/>
      <c r="NK145" s="4"/>
      <c r="NL145" s="8"/>
      <c r="NM145" s="5" t="str">
        <f t="shared" si="543"/>
        <v>NO APLICA</v>
      </c>
      <c r="NN145" s="2"/>
      <c r="NO145" s="2"/>
      <c r="NP145" s="4"/>
      <c r="NQ145" s="8"/>
      <c r="NR145" s="5" t="str">
        <f t="shared" si="544"/>
        <v>NO APLICA</v>
      </c>
      <c r="NS145" s="2"/>
      <c r="NT145" s="2"/>
      <c r="NU145" s="4"/>
      <c r="NV145" s="2"/>
      <c r="NW145" s="5" t="str">
        <f t="shared" si="545"/>
        <v>NO APLICA</v>
      </c>
      <c r="NX145" s="6"/>
      <c r="NY145" s="6"/>
      <c r="NZ145" s="4"/>
      <c r="OA145" s="8"/>
      <c r="OB145" s="5" t="str">
        <f t="shared" si="546"/>
        <v>NO APLICA</v>
      </c>
      <c r="OC145" s="6"/>
      <c r="OD145" s="6"/>
      <c r="OE145" s="6"/>
      <c r="OF145" s="6"/>
      <c r="OG145" s="5" t="str">
        <f t="shared" si="547"/>
        <v>NO APLICA</v>
      </c>
      <c r="OH145" s="2"/>
      <c r="OI145" s="2"/>
      <c r="OJ145" s="4"/>
      <c r="OK145" s="8"/>
      <c r="OL145" s="5" t="str">
        <f t="shared" si="548"/>
        <v>NO APLICA</v>
      </c>
      <c r="OM145" s="6"/>
      <c r="ON145" s="6"/>
      <c r="OO145" s="6"/>
      <c r="OP145" s="6"/>
      <c r="OQ145" s="5" t="str">
        <f t="shared" si="549"/>
        <v>NO APLICA</v>
      </c>
      <c r="OR145" s="6"/>
      <c r="OS145" s="6"/>
      <c r="OT145" s="6"/>
      <c r="OU145" s="6"/>
      <c r="OV145" s="5" t="str">
        <f t="shared" si="550"/>
        <v>NO APLICA</v>
      </c>
      <c r="OW145" s="6"/>
      <c r="OX145" s="6"/>
      <c r="OY145" s="6"/>
      <c r="OZ145" s="6"/>
      <c r="PA145" s="5" t="str">
        <f t="shared" si="551"/>
        <v>NO APLICA</v>
      </c>
      <c r="PB145" s="6"/>
      <c r="PC145" s="6"/>
      <c r="PD145" s="6"/>
      <c r="PE145" s="6"/>
      <c r="PF145" s="5" t="str">
        <f t="shared" si="552"/>
        <v>NO APLICA</v>
      </c>
      <c r="PG145" s="6"/>
      <c r="PH145" s="6"/>
      <c r="PI145" s="6"/>
      <c r="PJ145" s="6"/>
      <c r="PK145" s="5" t="str">
        <f t="shared" si="553"/>
        <v>NO APLICA</v>
      </c>
      <c r="PL145" s="5"/>
      <c r="PM145" s="6"/>
      <c r="PN145" s="4"/>
      <c r="PO145" s="8"/>
      <c r="PP145" s="5" t="str">
        <f t="shared" si="554"/>
        <v>NO APLICA</v>
      </c>
      <c r="PQ145" s="6"/>
      <c r="PR145" s="6"/>
      <c r="PS145" s="6"/>
      <c r="PT145" s="6"/>
      <c r="PU145" s="5" t="str">
        <f t="shared" si="555"/>
        <v>NO APLICA</v>
      </c>
      <c r="PV145" s="5"/>
      <c r="PW145" s="6"/>
      <c r="PX145" s="6"/>
      <c r="PY145" s="6"/>
      <c r="PZ145" s="5" t="str">
        <f t="shared" si="556"/>
        <v>NO APLICA</v>
      </c>
    </row>
    <row r="146" spans="1:442" ht="15.6" hidden="1" thickTop="1" thickBot="1" x14ac:dyDescent="0.35">
      <c r="A146" s="26">
        <v>143</v>
      </c>
      <c r="B146" s="27">
        <v>1538</v>
      </c>
      <c r="C146" s="28" t="s">
        <v>472</v>
      </c>
      <c r="D146" s="29" t="s">
        <v>113</v>
      </c>
      <c r="E146" s="30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5"/>
        <v>VIGENTE</v>
      </c>
      <c r="K146" s="2"/>
      <c r="L146" s="6"/>
      <c r="M146" s="6"/>
      <c r="N146" s="8"/>
      <c r="O146" s="5" t="str">
        <f t="shared" si="456"/>
        <v>NO APLICA</v>
      </c>
      <c r="P146" s="6"/>
      <c r="Q146" s="6"/>
      <c r="R146" s="4"/>
      <c r="S146" s="8"/>
      <c r="T146" s="5" t="str">
        <f t="shared" si="557"/>
        <v>NO APLICA</v>
      </c>
      <c r="U146" s="5"/>
      <c r="V146" s="2" t="s">
        <v>473</v>
      </c>
      <c r="W146" s="4">
        <v>45282</v>
      </c>
      <c r="X146" s="4">
        <f t="shared" si="410"/>
        <v>47109</v>
      </c>
      <c r="Y146" s="8">
        <f t="shared" ca="1" si="411"/>
        <v>964</v>
      </c>
      <c r="Z146" s="5" t="str">
        <f t="shared" ca="1" si="412"/>
        <v>VIGENTE</v>
      </c>
      <c r="AA146" s="5"/>
      <c r="AB146" s="2"/>
      <c r="AC146" s="6"/>
      <c r="AD146" s="4"/>
      <c r="AE146" s="8"/>
      <c r="AF146" s="5" t="str">
        <f t="shared" si="457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8"/>
        <v>487</v>
      </c>
      <c r="AK146" s="5" t="str">
        <f t="shared" ca="1" si="408"/>
        <v>VIGENTE</v>
      </c>
      <c r="AL146" s="3"/>
      <c r="AM146" s="4">
        <v>45838</v>
      </c>
      <c r="AN146" s="4">
        <f t="shared" si="572"/>
        <v>46568</v>
      </c>
      <c r="AO146" s="8">
        <f t="shared" ca="1" si="459"/>
        <v>423</v>
      </c>
      <c r="AP146" s="5" t="str">
        <f t="shared" ca="1" si="460"/>
        <v>VIGENTE</v>
      </c>
      <c r="AQ146" s="3"/>
      <c r="AR146" s="4">
        <v>45904</v>
      </c>
      <c r="AS146" s="4">
        <f t="shared" si="568"/>
        <v>46634</v>
      </c>
      <c r="AT146" s="8">
        <f t="shared" ca="1" si="461"/>
        <v>489</v>
      </c>
      <c r="AU146" s="5" t="str">
        <f t="shared" ca="1" si="462"/>
        <v>VIGENTE</v>
      </c>
      <c r="AV146" s="3"/>
      <c r="AW146" s="4">
        <v>45927</v>
      </c>
      <c r="AX146" s="4">
        <f t="shared" si="569"/>
        <v>46657</v>
      </c>
      <c r="AY146" s="8">
        <f t="shared" ca="1" si="463"/>
        <v>512</v>
      </c>
      <c r="AZ146" s="5" t="str">
        <f t="shared" ca="1" si="464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5"/>
        <v>187</v>
      </c>
      <c r="BE146" s="5" t="str">
        <f t="shared" ca="1" si="466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7"/>
        <v>282</v>
      </c>
      <c r="BJ146" s="5" t="str">
        <f t="shared" ca="1" si="468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9"/>
        <v>184</v>
      </c>
      <c r="BO146" s="5" t="str">
        <f t="shared" ca="1" si="470"/>
        <v>VIGENTE</v>
      </c>
      <c r="BP146" s="3"/>
      <c r="BQ146" s="39">
        <v>46050</v>
      </c>
      <c r="BR146" s="4">
        <f t="shared" si="570"/>
        <v>46780</v>
      </c>
      <c r="BS146" s="8">
        <f t="shared" ca="1" si="471"/>
        <v>635</v>
      </c>
      <c r="BT146" s="5" t="str">
        <f t="shared" ca="1" si="472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3"/>
        <v>111</v>
      </c>
      <c r="BY146" s="5" t="str">
        <f t="shared" ca="1" si="474"/>
        <v>VIGENTE</v>
      </c>
      <c r="BZ146" s="3"/>
      <c r="CA146" s="4">
        <v>45944</v>
      </c>
      <c r="CB146" s="4">
        <f t="shared" ref="CB146:CB157" si="574">DATE(YEAR(CA146)+2,MONTH(CA146),DAY(CA146))</f>
        <v>46674</v>
      </c>
      <c r="CC146" s="8">
        <f t="shared" ca="1" si="475"/>
        <v>529</v>
      </c>
      <c r="CD146" s="5" t="str">
        <f t="shared" ca="1" si="476"/>
        <v>VIGENTE</v>
      </c>
      <c r="CE146" s="6"/>
      <c r="CF146" s="4">
        <v>45616</v>
      </c>
      <c r="CG146" s="4">
        <f t="shared" si="416"/>
        <v>47077</v>
      </c>
      <c r="CH146" s="8">
        <f t="shared" ca="1" si="417"/>
        <v>932</v>
      </c>
      <c r="CI146" s="5" t="str">
        <f t="shared" ca="1" si="573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7"/>
        <v>514</v>
      </c>
      <c r="CN146" s="5" t="str">
        <f t="shared" ca="1" si="478"/>
        <v>VIGENTE</v>
      </c>
      <c r="CO146" s="3"/>
      <c r="CP146" s="39">
        <v>45882</v>
      </c>
      <c r="CQ146" s="4">
        <f>DATE(YEAR(CP146)+2,MONTH(CP146),DAY(CP146))</f>
        <v>46612</v>
      </c>
      <c r="CR146" s="8">
        <f t="shared" ca="1" si="479"/>
        <v>467</v>
      </c>
      <c r="CS146" s="5" t="str">
        <f t="shared" ca="1" si="480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1"/>
        <v>490</v>
      </c>
      <c r="CX146" s="5" t="str">
        <f t="shared" ca="1" si="482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3"/>
        <v>428</v>
      </c>
      <c r="DC146" s="5" t="str">
        <f t="shared" ca="1" si="484"/>
        <v>VIGENTE</v>
      </c>
      <c r="DD146" s="3"/>
      <c r="DE146" s="39">
        <v>46076</v>
      </c>
      <c r="DF146" s="4">
        <f>DATE(YEAR(DE146)+2,MONTH(DE146),DAY(DE146))</f>
        <v>46806</v>
      </c>
      <c r="DG146" s="8">
        <f t="shared" ca="1" si="485"/>
        <v>661</v>
      </c>
      <c r="DH146" s="5" t="str">
        <f t="shared" ca="1" si="486"/>
        <v>VIGENTE</v>
      </c>
      <c r="DI146" s="3"/>
      <c r="DJ146" s="39">
        <v>45955</v>
      </c>
      <c r="DK146" s="4">
        <f>DATE(YEAR(DJ146)+2,MONTH(DJ146),DAY(DJ146))</f>
        <v>46685</v>
      </c>
      <c r="DL146" s="8">
        <f t="shared" ca="1" si="487"/>
        <v>540</v>
      </c>
      <c r="DM146" s="5" t="str">
        <f t="shared" ca="1" si="488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9"/>
        <v>674</v>
      </c>
      <c r="DR146" s="5" t="str">
        <f t="shared" ca="1" si="490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1"/>
        <v>312</v>
      </c>
      <c r="DW146" s="5" t="str">
        <f t="shared" ca="1" si="492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3"/>
        <v>247</v>
      </c>
      <c r="EB146" s="5" t="str">
        <f t="shared" ca="1" si="494"/>
        <v>VIGENTE</v>
      </c>
      <c r="EC146" s="3"/>
      <c r="ED146" s="39">
        <v>46104</v>
      </c>
      <c r="EE146" s="4">
        <f>DATE(YEAR(ED146)+2,MONTH(ED146),DAY(ED146))</f>
        <v>46835</v>
      </c>
      <c r="EF146" s="8">
        <f t="shared" ca="1" si="495"/>
        <v>690</v>
      </c>
      <c r="EG146" s="5" t="str">
        <f t="shared" ca="1" si="496"/>
        <v>VIGENTE</v>
      </c>
      <c r="EH146" s="3"/>
      <c r="EI146" s="3">
        <v>46060</v>
      </c>
      <c r="EJ146" s="4">
        <f t="shared" si="558"/>
        <v>46425</v>
      </c>
      <c r="EK146" s="8">
        <f t="shared" ca="1" si="497"/>
        <v>280</v>
      </c>
      <c r="EL146" s="5" t="str">
        <f t="shared" ca="1" si="498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9"/>
        <v>180</v>
      </c>
      <c r="EQ146" s="5" t="str">
        <f t="shared" ca="1" si="500"/>
        <v>VIGENTE</v>
      </c>
      <c r="ER146" s="3"/>
      <c r="ES146" s="39">
        <v>45677</v>
      </c>
      <c r="ET146" s="4">
        <f>DATE(YEAR(ES146)+2,MONTH(ES146),DAY(ES146)-1)</f>
        <v>46406</v>
      </c>
      <c r="EU146" s="8">
        <f t="shared" ca="1" si="501"/>
        <v>261</v>
      </c>
      <c r="EV146" s="5" t="str">
        <f t="shared" ca="1" si="502"/>
        <v>VIGENTE</v>
      </c>
      <c r="EW146" s="3"/>
      <c r="EX146" s="4">
        <v>45917</v>
      </c>
      <c r="EY146" s="4">
        <f t="shared" ref="EY146:EY157" si="575">DATE(YEAR(EX146)+2,MONTH(EX146),DAY(EX146))</f>
        <v>46647</v>
      </c>
      <c r="EZ146" s="8">
        <f t="shared" ca="1" si="503"/>
        <v>502</v>
      </c>
      <c r="FA146" s="5" t="str">
        <f t="shared" ca="1" si="504"/>
        <v>VIGENTE</v>
      </c>
      <c r="FB146" s="3"/>
      <c r="FC146" s="4">
        <v>45951</v>
      </c>
      <c r="FD146" s="4">
        <f t="shared" ref="FD146:FD157" si="576">DATE(YEAR(FC146)+2,MONTH(FC146),DAY(FC146))</f>
        <v>46681</v>
      </c>
      <c r="FE146" s="8">
        <f t="shared" ca="1" si="505"/>
        <v>536</v>
      </c>
      <c r="FF146" s="5" t="str">
        <f t="shared" ca="1" si="506"/>
        <v>VIGENTE</v>
      </c>
      <c r="FG146" s="3"/>
      <c r="FH146" s="4">
        <v>45919</v>
      </c>
      <c r="FI146" s="4">
        <f t="shared" ref="FI146:FI152" si="577">DATE(YEAR(FH146)+2,MONTH(FH146),DAY(FH146))</f>
        <v>46649</v>
      </c>
      <c r="FJ146" s="8">
        <f t="shared" ca="1" si="507"/>
        <v>504</v>
      </c>
      <c r="FK146" s="5" t="str">
        <f t="shared" ca="1" si="508"/>
        <v>VIGENTE</v>
      </c>
      <c r="FL146" s="3"/>
      <c r="FM146" s="39">
        <v>46049</v>
      </c>
      <c r="FN146" s="4">
        <f>DATE(YEAR(FM146)+2,MONTH(FM146),DAY(FM146))</f>
        <v>46779</v>
      </c>
      <c r="FO146" s="8">
        <f t="shared" ca="1" si="509"/>
        <v>634</v>
      </c>
      <c r="FP146" s="5" t="str">
        <f t="shared" ca="1" si="510"/>
        <v>VIGENTE</v>
      </c>
      <c r="FQ146" s="3"/>
      <c r="FR146" s="39">
        <v>46034</v>
      </c>
      <c r="FS146" s="4">
        <f>DATE(YEAR(FR146)+2,MONTH(FR146),DAY(FR146))</f>
        <v>46764</v>
      </c>
      <c r="FT146" s="8">
        <f t="shared" ca="1" si="511"/>
        <v>619</v>
      </c>
      <c r="FU146" s="5" t="str">
        <f t="shared" ca="1" si="512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3"/>
        <v>578</v>
      </c>
      <c r="FZ146" s="5" t="str">
        <f t="shared" ca="1" si="514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5"/>
        <v>658</v>
      </c>
      <c r="GE146" s="5" t="str">
        <f t="shared" ca="1" si="516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7"/>
        <v>256</v>
      </c>
      <c r="GJ146" s="5" t="str">
        <f t="shared" ca="1" si="518"/>
        <v>VIGENTE</v>
      </c>
      <c r="GK146" s="3"/>
      <c r="GL146" s="4">
        <v>46044</v>
      </c>
      <c r="GM146" s="4">
        <f t="shared" si="571"/>
        <v>46774</v>
      </c>
      <c r="GN146" s="8">
        <f t="shared" ca="1" si="519"/>
        <v>629</v>
      </c>
      <c r="GO146" s="5" t="str">
        <f t="shared" ca="1" si="520"/>
        <v>VIGENTE</v>
      </c>
      <c r="GP146" s="4"/>
      <c r="GQ146" s="4">
        <v>45367</v>
      </c>
      <c r="GR146" s="4">
        <f t="shared" si="521"/>
        <v>47193</v>
      </c>
      <c r="GS146" s="8">
        <f t="shared" ca="1" si="405"/>
        <v>1048</v>
      </c>
      <c r="GT146" s="5" t="str">
        <f t="shared" ca="1" si="419"/>
        <v>VIGENTE</v>
      </c>
      <c r="GU146" s="3"/>
      <c r="GV146" s="4">
        <v>45432</v>
      </c>
      <c r="GW146" s="4">
        <f t="shared" si="522"/>
        <v>47258</v>
      </c>
      <c r="GX146" s="8">
        <f t="shared" ca="1" si="523"/>
        <v>1113</v>
      </c>
      <c r="GY146" s="5" t="str">
        <f t="shared" ca="1" si="426"/>
        <v>VIGENTE</v>
      </c>
      <c r="GZ146" s="3"/>
      <c r="HA146" s="4">
        <v>45454</v>
      </c>
      <c r="HB146" s="4">
        <f t="shared" si="524"/>
        <v>47280</v>
      </c>
      <c r="HC146" s="8">
        <f t="shared" ca="1" si="525"/>
        <v>1135</v>
      </c>
      <c r="HD146" s="5" t="str">
        <f t="shared" ca="1" si="421"/>
        <v>VIGENTE</v>
      </c>
      <c r="HE146" s="6"/>
      <c r="HF146" s="6"/>
      <c r="HG146" s="4"/>
      <c r="HH146" s="8"/>
      <c r="HI146" s="5" t="str">
        <f t="shared" si="427"/>
        <v>NO APLICA</v>
      </c>
      <c r="HJ146" s="2"/>
      <c r="HK146" s="6"/>
      <c r="HL146" s="4"/>
      <c r="HM146" s="8"/>
      <c r="HN146" s="5" t="str">
        <f t="shared" si="444"/>
        <v>NO APLICA</v>
      </c>
      <c r="HO146" s="2"/>
      <c r="HP146" s="2"/>
      <c r="HQ146" s="4"/>
      <c r="HR146" s="2"/>
      <c r="HS146" s="5" t="str">
        <f t="shared" si="526"/>
        <v>NO APLICA</v>
      </c>
      <c r="HT146" s="2"/>
      <c r="HU146" s="6"/>
      <c r="HV146" s="4"/>
      <c r="HW146" s="8"/>
      <c r="HX146" s="5" t="str">
        <f t="shared" si="527"/>
        <v>NO APLICA</v>
      </c>
      <c r="HY146" s="2"/>
      <c r="HZ146" s="6"/>
      <c r="IA146" s="4"/>
      <c r="IB146" s="8"/>
      <c r="IC146" s="5" t="str">
        <f t="shared" si="528"/>
        <v>NO APLICA</v>
      </c>
      <c r="ID146" s="2"/>
      <c r="IE146" s="6"/>
      <c r="IF146" s="4"/>
      <c r="IG146" s="8"/>
      <c r="IH146" s="5" t="str">
        <f t="shared" si="529"/>
        <v>NO APLICA</v>
      </c>
      <c r="II146" s="6"/>
      <c r="IJ146" s="6"/>
      <c r="IK146" s="4"/>
      <c r="IL146" s="8"/>
      <c r="IM146" s="5" t="str">
        <f t="shared" si="530"/>
        <v>NO APLICA</v>
      </c>
      <c r="IN146" s="2"/>
      <c r="IO146" s="6"/>
      <c r="IP146" s="4"/>
      <c r="IQ146" s="8"/>
      <c r="IR146" s="5" t="str">
        <f t="shared" si="531"/>
        <v>NO APLICA</v>
      </c>
      <c r="IS146" s="2"/>
      <c r="IT146" s="6"/>
      <c r="IU146" s="4"/>
      <c r="IV146" s="8"/>
      <c r="IW146" s="5" t="str">
        <f t="shared" si="532"/>
        <v>NO APLICA</v>
      </c>
      <c r="IX146" s="2"/>
      <c r="IY146" s="6"/>
      <c r="IZ146" s="4"/>
      <c r="JA146" s="8"/>
      <c r="JB146" s="5" t="str">
        <f t="shared" si="533"/>
        <v>NO APLICA</v>
      </c>
      <c r="JC146" s="3" t="s">
        <v>780</v>
      </c>
      <c r="JD146" s="3"/>
      <c r="JE146" s="4"/>
      <c r="JF146" s="8"/>
      <c r="JG146" s="5"/>
      <c r="JH146" s="3" t="s">
        <v>780</v>
      </c>
      <c r="JI146" s="6"/>
      <c r="JJ146" s="6"/>
      <c r="JK146" s="6"/>
      <c r="JL146" s="5"/>
      <c r="JM146" s="6" t="s">
        <v>780</v>
      </c>
      <c r="JN146" s="6"/>
      <c r="JO146" s="6"/>
      <c r="JP146" s="6"/>
      <c r="JQ146" s="5"/>
      <c r="JR146" s="6" t="s">
        <v>780</v>
      </c>
      <c r="JS146" s="6"/>
      <c r="JT146" s="6"/>
      <c r="JU146" s="6"/>
      <c r="JV146" s="5"/>
      <c r="JW146" s="6" t="s">
        <v>780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4"/>
        <v>NO APLICA</v>
      </c>
      <c r="KG146" s="5"/>
      <c r="KH146" s="2"/>
      <c r="KI146" s="4"/>
      <c r="KJ146" s="8"/>
      <c r="KK146" s="5" t="str">
        <f t="shared" si="559"/>
        <v>NO APLICA</v>
      </c>
      <c r="KL146" s="5"/>
      <c r="KM146" s="2"/>
      <c r="KN146" s="4"/>
      <c r="KO146" s="8"/>
      <c r="KP146" s="5" t="str">
        <f t="shared" si="535"/>
        <v>NO APLICA</v>
      </c>
      <c r="KQ146" s="5"/>
      <c r="KR146" s="2"/>
      <c r="KS146" s="4"/>
      <c r="KT146" s="8"/>
      <c r="KU146" s="5" t="str">
        <f t="shared" si="560"/>
        <v>NO APLICA</v>
      </c>
      <c r="KV146" s="2"/>
      <c r="KW146" s="6"/>
      <c r="KX146" s="4"/>
      <c r="KY146" s="8"/>
      <c r="KZ146" s="5" t="str">
        <f t="shared" si="565"/>
        <v>NO APLICA</v>
      </c>
      <c r="LA146" s="5"/>
      <c r="LB146" s="6"/>
      <c r="LC146" s="4"/>
      <c r="LD146" s="8"/>
      <c r="LE146" s="5" t="str">
        <f t="shared" si="561"/>
        <v>NO APLICA</v>
      </c>
      <c r="LF146" s="6"/>
      <c r="LG146" s="6"/>
      <c r="LH146" s="4"/>
      <c r="LI146" s="8"/>
      <c r="LJ146" s="5" t="str">
        <f t="shared" si="567"/>
        <v>NO APLICA</v>
      </c>
      <c r="LK146" s="5"/>
      <c r="LL146" s="5"/>
      <c r="LM146" s="4"/>
      <c r="LN146" s="8"/>
      <c r="LO146" s="5" t="str">
        <f t="shared" si="566"/>
        <v>NO APLICA</v>
      </c>
      <c r="LP146" s="2"/>
      <c r="LQ146" s="6"/>
      <c r="LR146" s="4"/>
      <c r="LS146" s="8"/>
      <c r="LT146" s="5" t="str">
        <f t="shared" si="562"/>
        <v>NO APLICA</v>
      </c>
      <c r="LU146" s="6"/>
      <c r="LV146" s="6"/>
      <c r="LW146" s="4"/>
      <c r="LX146" s="8"/>
      <c r="LY146" s="5" t="str">
        <f t="shared" si="563"/>
        <v>NO APLICA</v>
      </c>
      <c r="LZ146" s="6"/>
      <c r="MA146" s="6"/>
      <c r="MB146" s="4"/>
      <c r="MC146" s="8"/>
      <c r="MD146" s="5" t="str">
        <f t="shared" si="564"/>
        <v>NO APLICA</v>
      </c>
      <c r="ME146" s="2"/>
      <c r="MF146" s="2"/>
      <c r="MG146" s="4"/>
      <c r="MH146" s="8"/>
      <c r="MI146" s="5" t="str">
        <f t="shared" si="537"/>
        <v>NO APLICA</v>
      </c>
      <c r="MJ146" s="2"/>
      <c r="MK146" s="2"/>
      <c r="ML146" s="4"/>
      <c r="MM146" s="8"/>
      <c r="MN146" s="5" t="str">
        <f t="shared" si="538"/>
        <v>NO APLICA</v>
      </c>
      <c r="MO146" s="5"/>
      <c r="MP146" s="2"/>
      <c r="MQ146" s="4"/>
      <c r="MR146" s="8"/>
      <c r="MS146" s="5" t="str">
        <f t="shared" si="539"/>
        <v>NO APLICA</v>
      </c>
      <c r="MT146" s="5"/>
      <c r="MU146" s="2"/>
      <c r="MV146" s="4"/>
      <c r="MW146" s="2"/>
      <c r="MX146" s="5" t="str">
        <f t="shared" si="540"/>
        <v>NO APLICA</v>
      </c>
      <c r="MY146" s="2"/>
      <c r="MZ146" s="6"/>
      <c r="NA146" s="4"/>
      <c r="NB146" s="8"/>
      <c r="NC146" s="5" t="str">
        <f t="shared" si="541"/>
        <v>NO APLICA</v>
      </c>
      <c r="ND146" s="2"/>
      <c r="NE146" s="6"/>
      <c r="NF146" s="4"/>
      <c r="NG146" s="8"/>
      <c r="NH146" s="5" t="str">
        <f t="shared" si="542"/>
        <v>NO APLICA</v>
      </c>
      <c r="NI146" s="2"/>
      <c r="NJ146" s="6"/>
      <c r="NK146" s="4"/>
      <c r="NL146" s="8"/>
      <c r="NM146" s="5" t="str">
        <f t="shared" si="543"/>
        <v>NO APLICA</v>
      </c>
      <c r="NN146" s="2"/>
      <c r="NO146" s="2"/>
      <c r="NP146" s="4"/>
      <c r="NQ146" s="8"/>
      <c r="NR146" s="5" t="str">
        <f t="shared" si="544"/>
        <v>NO APLICA</v>
      </c>
      <c r="NS146" s="2"/>
      <c r="NT146" s="2"/>
      <c r="NU146" s="4"/>
      <c r="NV146" s="2"/>
      <c r="NW146" s="5" t="str">
        <f t="shared" si="545"/>
        <v>NO APLICA</v>
      </c>
      <c r="NX146" s="6"/>
      <c r="NY146" s="6"/>
      <c r="NZ146" s="4"/>
      <c r="OA146" s="8"/>
      <c r="OB146" s="5" t="str">
        <f t="shared" si="546"/>
        <v>NO APLICA</v>
      </c>
      <c r="OC146" s="6"/>
      <c r="OD146" s="6"/>
      <c r="OE146" s="6"/>
      <c r="OF146" s="6"/>
      <c r="OG146" s="5" t="str">
        <f t="shared" si="547"/>
        <v>NO APLICA</v>
      </c>
      <c r="OH146" s="2"/>
      <c r="OI146" s="2"/>
      <c r="OJ146" s="4"/>
      <c r="OK146" s="8"/>
      <c r="OL146" s="5" t="str">
        <f t="shared" si="548"/>
        <v>NO APLICA</v>
      </c>
      <c r="OM146" s="6"/>
      <c r="ON146" s="6"/>
      <c r="OO146" s="6"/>
      <c r="OP146" s="6"/>
      <c r="OQ146" s="5" t="str">
        <f t="shared" si="549"/>
        <v>NO APLICA</v>
      </c>
      <c r="OR146" s="6"/>
      <c r="OS146" s="6"/>
      <c r="OT146" s="6"/>
      <c r="OU146" s="6"/>
      <c r="OV146" s="5" t="str">
        <f t="shared" si="550"/>
        <v>NO APLICA</v>
      </c>
      <c r="OW146" s="6"/>
      <c r="OX146" s="6"/>
      <c r="OY146" s="6"/>
      <c r="OZ146" s="6"/>
      <c r="PA146" s="5" t="str">
        <f t="shared" si="551"/>
        <v>NO APLICA</v>
      </c>
      <c r="PB146" s="6"/>
      <c r="PC146" s="6"/>
      <c r="PD146" s="6"/>
      <c r="PE146" s="6"/>
      <c r="PF146" s="5" t="str">
        <f t="shared" si="552"/>
        <v>NO APLICA</v>
      </c>
      <c r="PG146" s="6"/>
      <c r="PH146" s="6"/>
      <c r="PI146" s="6"/>
      <c r="PJ146" s="6"/>
      <c r="PK146" s="5" t="str">
        <f t="shared" si="553"/>
        <v>NO APLICA</v>
      </c>
      <c r="PL146" s="5"/>
      <c r="PM146" s="6"/>
      <c r="PN146" s="4"/>
      <c r="PO146" s="8"/>
      <c r="PP146" s="5" t="str">
        <f t="shared" si="554"/>
        <v>NO APLICA</v>
      </c>
      <c r="PQ146" s="6"/>
      <c r="PR146" s="6"/>
      <c r="PS146" s="6"/>
      <c r="PT146" s="6"/>
      <c r="PU146" s="5" t="str">
        <f t="shared" si="555"/>
        <v>NO APLICA</v>
      </c>
      <c r="PV146" s="5"/>
      <c r="PW146" s="6"/>
      <c r="PX146" s="6"/>
      <c r="PY146" s="6"/>
      <c r="PZ146" s="5" t="str">
        <f t="shared" si="556"/>
        <v>NO APLICA</v>
      </c>
    </row>
    <row r="147" spans="1:442" ht="15.6" hidden="1" thickTop="1" thickBot="1" x14ac:dyDescent="0.35">
      <c r="A147" s="26">
        <v>144</v>
      </c>
      <c r="B147" s="31">
        <v>393</v>
      </c>
      <c r="C147" s="28" t="s">
        <v>474</v>
      </c>
      <c r="D147" s="29" t="s">
        <v>68</v>
      </c>
      <c r="E147" s="30" t="s">
        <v>73</v>
      </c>
      <c r="F147" s="6"/>
      <c r="G147" s="6"/>
      <c r="H147" s="6"/>
      <c r="I147" s="6"/>
      <c r="J147" s="5" t="str">
        <f t="shared" si="455"/>
        <v>NO APLICA</v>
      </c>
      <c r="K147" s="6"/>
      <c r="L147" s="6"/>
      <c r="M147" s="6"/>
      <c r="N147" s="6"/>
      <c r="O147" s="5" t="str">
        <f t="shared" si="456"/>
        <v>NO APLICA</v>
      </c>
      <c r="P147" s="6"/>
      <c r="Q147" s="6"/>
      <c r="R147" s="6"/>
      <c r="S147" s="6"/>
      <c r="T147" s="5" t="str">
        <f t="shared" si="557"/>
        <v>NO APLICA</v>
      </c>
      <c r="U147" s="5"/>
      <c r="V147" s="6" t="s">
        <v>475</v>
      </c>
      <c r="W147" s="4">
        <v>45391</v>
      </c>
      <c r="X147" s="4">
        <f t="shared" si="410"/>
        <v>47217</v>
      </c>
      <c r="Y147" s="8">
        <f t="shared" ca="1" si="411"/>
        <v>1072</v>
      </c>
      <c r="Z147" s="5" t="str">
        <f t="shared" ca="1" si="412"/>
        <v>VIGENTE</v>
      </c>
      <c r="AA147" s="5"/>
      <c r="AB147" s="6" t="s">
        <v>476</v>
      </c>
      <c r="AC147" s="4">
        <v>45464</v>
      </c>
      <c r="AD147" s="4">
        <f t="shared" ref="AD147:AD152" si="578">DATE(YEAR(AC147)+5,MONTH(AC147),DAY(AC147))</f>
        <v>47290</v>
      </c>
      <c r="AE147" s="8">
        <f t="shared" ref="AE147:AE152" ca="1" si="579">AD147-TODAY()</f>
        <v>1145</v>
      </c>
      <c r="AF147" s="5" t="str">
        <f t="shared" ca="1" si="457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8"/>
        <v>671</v>
      </c>
      <c r="AK147" s="5" t="str">
        <f t="shared" ca="1" si="408"/>
        <v>VIGENTE</v>
      </c>
      <c r="AL147" s="6"/>
      <c r="AM147" s="4">
        <v>46062</v>
      </c>
      <c r="AN147" s="4">
        <f t="shared" si="572"/>
        <v>46792</v>
      </c>
      <c r="AO147" s="8">
        <f t="shared" ca="1" si="459"/>
        <v>647</v>
      </c>
      <c r="AP147" s="5" t="str">
        <f t="shared" ca="1" si="460"/>
        <v>VIGENTE</v>
      </c>
      <c r="AQ147" s="6"/>
      <c r="AR147" s="4">
        <v>46048</v>
      </c>
      <c r="AS147" s="4">
        <f t="shared" si="568"/>
        <v>46778</v>
      </c>
      <c r="AT147" s="8">
        <f t="shared" ca="1" si="461"/>
        <v>633</v>
      </c>
      <c r="AU147" s="5" t="str">
        <f t="shared" ca="1" si="462"/>
        <v>VIGENTE</v>
      </c>
      <c r="AV147" s="6"/>
      <c r="AW147" s="4">
        <v>46070</v>
      </c>
      <c r="AX147" s="4">
        <f t="shared" si="569"/>
        <v>46800</v>
      </c>
      <c r="AY147" s="8">
        <f t="shared" ca="1" si="463"/>
        <v>655</v>
      </c>
      <c r="AZ147" s="5" t="str">
        <f t="shared" ca="1" si="464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5"/>
        <v>626</v>
      </c>
      <c r="BE147" s="5" t="str">
        <f t="shared" ca="1" si="466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7"/>
        <v>612</v>
      </c>
      <c r="BJ147" s="5" t="str">
        <f t="shared" ca="1" si="468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9"/>
        <v>620</v>
      </c>
      <c r="BO147" s="5" t="str">
        <f t="shared" ca="1" si="470"/>
        <v>VIGENTE</v>
      </c>
      <c r="BP147" s="4"/>
      <c r="BQ147" s="39">
        <v>46050</v>
      </c>
      <c r="BR147" s="4">
        <f t="shared" si="570"/>
        <v>46780</v>
      </c>
      <c r="BS147" s="8">
        <f t="shared" ca="1" si="471"/>
        <v>635</v>
      </c>
      <c r="BT147" s="5" t="str">
        <f t="shared" ca="1" si="472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3"/>
        <v>648</v>
      </c>
      <c r="BY147" s="5" t="str">
        <f t="shared" ca="1" si="474"/>
        <v>VIGENTE</v>
      </c>
      <c r="BZ147" s="6"/>
      <c r="CA147" s="4">
        <v>45986</v>
      </c>
      <c r="CB147" s="4">
        <f t="shared" si="574"/>
        <v>46716</v>
      </c>
      <c r="CC147" s="8">
        <f t="shared" ca="1" si="475"/>
        <v>571</v>
      </c>
      <c r="CD147" s="5" t="str">
        <f t="shared" ca="1" si="476"/>
        <v>VIGENTE</v>
      </c>
      <c r="CE147" s="6"/>
      <c r="CF147" s="4">
        <v>45616</v>
      </c>
      <c r="CG147" s="4">
        <f t="shared" si="416"/>
        <v>47077</v>
      </c>
      <c r="CH147" s="8">
        <f t="shared" ca="1" si="417"/>
        <v>932</v>
      </c>
      <c r="CI147" s="5" t="str">
        <f t="shared" ca="1" si="573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7"/>
        <v>603</v>
      </c>
      <c r="CN147" s="5" t="str">
        <f t="shared" ca="1" si="478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9"/>
        <v>687</v>
      </c>
      <c r="CS147" s="5" t="str">
        <f t="shared" ca="1" si="480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1"/>
        <v>628</v>
      </c>
      <c r="CX147" s="5" t="str">
        <f t="shared" ca="1" si="482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3"/>
        <v>585</v>
      </c>
      <c r="DC147" s="5" t="str">
        <f t="shared" ca="1" si="484"/>
        <v>VIGENTE</v>
      </c>
      <c r="DD147" s="4"/>
      <c r="DE147" s="39">
        <v>46045</v>
      </c>
      <c r="DF147" s="4">
        <f>DATE(YEAR(DE147)+2,MONTH(DE147),DAY(DE147))</f>
        <v>46775</v>
      </c>
      <c r="DG147" s="8">
        <f t="shared" ca="1" si="485"/>
        <v>630</v>
      </c>
      <c r="DH147" s="5" t="str">
        <f t="shared" ca="1" si="486"/>
        <v>VIGENTE</v>
      </c>
      <c r="DI147" s="4"/>
      <c r="DJ147" s="39">
        <v>46029</v>
      </c>
      <c r="DK147" s="4">
        <f>DATE(YEAR(DJ147)+2,MONTH(DJ147),DAY(DJ147))</f>
        <v>46759</v>
      </c>
      <c r="DL147" s="8">
        <f t="shared" ca="1" si="487"/>
        <v>614</v>
      </c>
      <c r="DM147" s="5" t="str">
        <f t="shared" ca="1" si="488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9"/>
        <v>567</v>
      </c>
      <c r="DR147" s="5" t="str">
        <f t="shared" ca="1" si="490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1"/>
        <v>638</v>
      </c>
      <c r="DW147" s="5" t="str">
        <f t="shared" ca="1" si="492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3"/>
        <v>685</v>
      </c>
      <c r="EB147" s="5" t="str">
        <f t="shared" ca="1" si="494"/>
        <v>VIGENTE</v>
      </c>
      <c r="EC147" s="4"/>
      <c r="ED147" s="39">
        <v>46104</v>
      </c>
      <c r="EE147" s="4">
        <f>DATE(YEAR(ED147)+2,MONTH(ED147),DAY(ED147))</f>
        <v>46835</v>
      </c>
      <c r="EF147" s="8">
        <f t="shared" ca="1" si="495"/>
        <v>690</v>
      </c>
      <c r="EG147" s="5" t="str">
        <f t="shared" ca="1" si="496"/>
        <v>VIGENTE</v>
      </c>
      <c r="EH147" s="4"/>
      <c r="EI147" s="4">
        <v>46123</v>
      </c>
      <c r="EJ147" s="4">
        <f t="shared" si="558"/>
        <v>46488</v>
      </c>
      <c r="EK147" s="8">
        <f t="shared" ca="1" si="497"/>
        <v>343</v>
      </c>
      <c r="EL147" s="5" t="str">
        <f t="shared" ca="1" si="498"/>
        <v>VIGENTE</v>
      </c>
      <c r="EM147" s="4"/>
      <c r="EN147" s="4">
        <v>46100</v>
      </c>
      <c r="EO147" s="4">
        <f>DATE(YEAR(EN147)+2,MONTH(EN147),DAY(EN147))</f>
        <v>46831</v>
      </c>
      <c r="EP147" s="8">
        <f t="shared" ca="1" si="499"/>
        <v>686</v>
      </c>
      <c r="EQ147" s="5" t="str">
        <f t="shared" ca="1" si="500"/>
        <v>VIGENTE</v>
      </c>
      <c r="ER147" s="6"/>
      <c r="ES147" s="39">
        <v>45999</v>
      </c>
      <c r="ET147" s="4">
        <f>DATE(YEAR(ES147)+2,MONTH(ES147),DAY(ES147))</f>
        <v>46729</v>
      </c>
      <c r="EU147" s="8">
        <f t="shared" ca="1" si="501"/>
        <v>584</v>
      </c>
      <c r="EV147" s="5" t="str">
        <f t="shared" ca="1" si="502"/>
        <v>VIGENTE</v>
      </c>
      <c r="EW147" s="4"/>
      <c r="EX147" s="4">
        <v>46037</v>
      </c>
      <c r="EY147" s="4">
        <f t="shared" si="575"/>
        <v>46767</v>
      </c>
      <c r="EZ147" s="8">
        <f t="shared" ca="1" si="503"/>
        <v>622</v>
      </c>
      <c r="FA147" s="5" t="str">
        <f t="shared" ca="1" si="504"/>
        <v>VIGENTE</v>
      </c>
      <c r="FB147" s="6"/>
      <c r="FC147" s="4">
        <v>46091</v>
      </c>
      <c r="FD147" s="4">
        <f t="shared" si="576"/>
        <v>46822</v>
      </c>
      <c r="FE147" s="8">
        <f t="shared" ca="1" si="505"/>
        <v>677</v>
      </c>
      <c r="FF147" s="5" t="str">
        <f t="shared" ca="1" si="506"/>
        <v>VIGENTE</v>
      </c>
      <c r="FG147" s="4"/>
      <c r="FH147" s="4">
        <v>45969</v>
      </c>
      <c r="FI147" s="4">
        <f t="shared" si="577"/>
        <v>46699</v>
      </c>
      <c r="FJ147" s="8">
        <f t="shared" ca="1" si="507"/>
        <v>554</v>
      </c>
      <c r="FK147" s="5" t="str">
        <f t="shared" ca="1" si="508"/>
        <v>VIGENTE</v>
      </c>
      <c r="FL147" s="4"/>
      <c r="FM147" s="39">
        <v>46039</v>
      </c>
      <c r="FN147" s="4">
        <f>DATE(YEAR(FM147)+2,MONTH(FM147),DAY(FM147))</f>
        <v>46769</v>
      </c>
      <c r="FO147" s="8">
        <f t="shared" ca="1" si="509"/>
        <v>624</v>
      </c>
      <c r="FP147" s="5" t="str">
        <f t="shared" ca="1" si="510"/>
        <v>VIGENTE</v>
      </c>
      <c r="FQ147" s="4"/>
      <c r="FR147" s="39">
        <v>46080</v>
      </c>
      <c r="FS147" s="4">
        <f>DATE(YEAR(FR147)+2,MONTH(FR147),DAY(FR147))</f>
        <v>46810</v>
      </c>
      <c r="FT147" s="8">
        <f t="shared" ca="1" si="511"/>
        <v>665</v>
      </c>
      <c r="FU147" s="5" t="str">
        <f t="shared" ca="1" si="512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3"/>
        <v>599</v>
      </c>
      <c r="FZ147" s="5" t="str">
        <f t="shared" ca="1" si="514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5"/>
        <v>615</v>
      </c>
      <c r="GE147" s="5" t="str">
        <f t="shared" ca="1" si="516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7"/>
        <v>545</v>
      </c>
      <c r="GJ147" s="5" t="str">
        <f t="shared" ca="1" si="518"/>
        <v>VIGENTE</v>
      </c>
      <c r="GK147" s="4"/>
      <c r="GL147" s="4">
        <v>46093</v>
      </c>
      <c r="GM147" s="4">
        <f t="shared" si="571"/>
        <v>46824</v>
      </c>
      <c r="GN147" s="8">
        <f t="shared" ca="1" si="519"/>
        <v>679</v>
      </c>
      <c r="GO147" s="5" t="str">
        <f t="shared" ca="1" si="520"/>
        <v>VIGENTE</v>
      </c>
      <c r="GP147" s="4"/>
      <c r="GQ147" s="4">
        <v>45421</v>
      </c>
      <c r="GR147" s="4">
        <f t="shared" si="521"/>
        <v>47247</v>
      </c>
      <c r="GS147" s="8">
        <f t="shared" ca="1" si="405"/>
        <v>1102</v>
      </c>
      <c r="GT147" s="5" t="str">
        <f t="shared" ca="1" si="419"/>
        <v>VIGENTE</v>
      </c>
      <c r="GU147" s="4"/>
      <c r="GV147" s="4">
        <v>45417</v>
      </c>
      <c r="GW147" s="4">
        <f t="shared" si="522"/>
        <v>47243</v>
      </c>
      <c r="GX147" s="8">
        <f t="shared" ca="1" si="523"/>
        <v>1098</v>
      </c>
      <c r="GY147" s="5" t="str">
        <f t="shared" ca="1" si="426"/>
        <v>VIGENTE</v>
      </c>
      <c r="GZ147" s="6"/>
      <c r="HA147" s="4">
        <v>45415</v>
      </c>
      <c r="HB147" s="4">
        <f t="shared" si="524"/>
        <v>47241</v>
      </c>
      <c r="HC147" s="8">
        <f t="shared" ca="1" si="525"/>
        <v>1096</v>
      </c>
      <c r="HD147" s="5" t="str">
        <f t="shared" ca="1" si="421"/>
        <v>VIGENTE</v>
      </c>
      <c r="HE147" s="6"/>
      <c r="HF147" s="4">
        <v>45401</v>
      </c>
      <c r="HG147" s="4">
        <f t="shared" ref="HG147:HG152" si="580">DATE(YEAR(HF147)+5,MONTH(HF147),DAY(HF147))</f>
        <v>47227</v>
      </c>
      <c r="HH147" s="8">
        <f t="shared" ref="HH147:HH152" ca="1" si="581">HG147-TODAY()</f>
        <v>1082</v>
      </c>
      <c r="HI147" s="5" t="str">
        <f t="shared" ca="1" si="427"/>
        <v>VIGENTE</v>
      </c>
      <c r="HJ147" s="6"/>
      <c r="HK147" s="6"/>
      <c r="HL147" s="4"/>
      <c r="HM147" s="8"/>
      <c r="HN147" s="5" t="str">
        <f t="shared" si="444"/>
        <v>NO APLICA</v>
      </c>
      <c r="HO147" s="2"/>
      <c r="HP147" s="5"/>
      <c r="HQ147" s="4"/>
      <c r="HR147" s="5"/>
      <c r="HS147" s="5" t="str">
        <f t="shared" si="526"/>
        <v>NO APLICA</v>
      </c>
      <c r="HT147" s="6"/>
      <c r="HU147" s="6"/>
      <c r="HV147" s="4"/>
      <c r="HW147" s="8"/>
      <c r="HX147" s="5" t="str">
        <f t="shared" si="527"/>
        <v>NO APLICA</v>
      </c>
      <c r="HY147" s="6"/>
      <c r="HZ147" s="6"/>
      <c r="IA147" s="4"/>
      <c r="IB147" s="8"/>
      <c r="IC147" s="5" t="str">
        <f t="shared" si="528"/>
        <v>NO APLICA</v>
      </c>
      <c r="ID147" s="6"/>
      <c r="IE147" s="6"/>
      <c r="IF147" s="4"/>
      <c r="IG147" s="8"/>
      <c r="IH147" s="5" t="str">
        <f t="shared" si="529"/>
        <v>NO APLICA</v>
      </c>
      <c r="II147" s="6"/>
      <c r="IJ147" s="6"/>
      <c r="IK147" s="4"/>
      <c r="IL147" s="6"/>
      <c r="IM147" s="5" t="str">
        <f t="shared" si="530"/>
        <v>NO APLICA</v>
      </c>
      <c r="IN147" s="6"/>
      <c r="IO147" s="6"/>
      <c r="IP147" s="4"/>
      <c r="IQ147" s="8"/>
      <c r="IR147" s="5" t="str">
        <f t="shared" si="531"/>
        <v>NO APLICA</v>
      </c>
      <c r="IS147" s="6"/>
      <c r="IT147" s="6"/>
      <c r="IU147" s="4"/>
      <c r="IV147" s="8"/>
      <c r="IW147" s="5" t="str">
        <f t="shared" si="532"/>
        <v>NO APLICA</v>
      </c>
      <c r="IX147" s="6"/>
      <c r="IY147" s="6"/>
      <c r="IZ147" s="4"/>
      <c r="JA147" s="8"/>
      <c r="JB147" s="5" t="str">
        <f t="shared" si="533"/>
        <v>NO APLICA</v>
      </c>
      <c r="JC147" s="3" t="s">
        <v>780</v>
      </c>
      <c r="JD147" s="3"/>
      <c r="JE147" s="4"/>
      <c r="JF147" s="8"/>
      <c r="JG147" s="5"/>
      <c r="JH147" s="3" t="s">
        <v>780</v>
      </c>
      <c r="JI147" s="6"/>
      <c r="JJ147" s="6"/>
      <c r="JK147" s="6"/>
      <c r="JL147" s="5"/>
      <c r="JM147" s="6" t="s">
        <v>780</v>
      </c>
      <c r="JN147" s="6"/>
      <c r="JO147" s="6"/>
      <c r="JP147" s="6"/>
      <c r="JQ147" s="5"/>
      <c r="JR147" s="6" t="s">
        <v>780</v>
      </c>
      <c r="JS147" s="6"/>
      <c r="JT147" s="6"/>
      <c r="JU147" s="6"/>
      <c r="JV147" s="5"/>
      <c r="JW147" s="6" t="s">
        <v>780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4"/>
        <v>NO APLICA</v>
      </c>
      <c r="KG147" s="5"/>
      <c r="KH147" s="6"/>
      <c r="KI147" s="4"/>
      <c r="KJ147" s="6"/>
      <c r="KK147" s="5" t="str">
        <f t="shared" si="559"/>
        <v>NO APLICA</v>
      </c>
      <c r="KL147" s="5"/>
      <c r="KM147" s="6"/>
      <c r="KN147" s="4"/>
      <c r="KO147" s="8"/>
      <c r="KP147" s="5" t="str">
        <f t="shared" si="535"/>
        <v>NO APLICA</v>
      </c>
      <c r="KQ147" s="5"/>
      <c r="KR147" s="2"/>
      <c r="KS147" s="4"/>
      <c r="KT147" s="8"/>
      <c r="KU147" s="5" t="str">
        <f t="shared" si="560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5"/>
        <v>VIGENTE</v>
      </c>
      <c r="LA147" s="5"/>
      <c r="LB147" s="6"/>
      <c r="LC147" s="4"/>
      <c r="LD147" s="6"/>
      <c r="LE147" s="5" t="str">
        <f t="shared" si="561"/>
        <v>NO APLICA</v>
      </c>
      <c r="LF147" s="6"/>
      <c r="LG147" s="6"/>
      <c r="LH147" s="6"/>
      <c r="LI147" s="6"/>
      <c r="LJ147" s="5" t="str">
        <f t="shared" si="567"/>
        <v>NO APLICA</v>
      </c>
      <c r="LK147" s="5"/>
      <c r="LL147" s="5"/>
      <c r="LM147" s="4"/>
      <c r="LN147" s="8"/>
      <c r="LO147" s="5" t="str">
        <f t="shared" si="566"/>
        <v>NO APLICA</v>
      </c>
      <c r="LP147" s="6"/>
      <c r="LQ147" s="6"/>
      <c r="LR147" s="4"/>
      <c r="LS147" s="8"/>
      <c r="LT147" s="5" t="str">
        <f t="shared" si="562"/>
        <v>NO APLICA</v>
      </c>
      <c r="LU147" s="6"/>
      <c r="LV147" s="6"/>
      <c r="LW147" s="4"/>
      <c r="LX147" s="6"/>
      <c r="LY147" s="5" t="str">
        <f t="shared" si="563"/>
        <v>NO APLICA</v>
      </c>
      <c r="LZ147" s="6"/>
      <c r="MA147" s="6"/>
      <c r="MB147" s="4"/>
      <c r="MC147" s="6"/>
      <c r="MD147" s="5" t="str">
        <f t="shared" si="564"/>
        <v>NO APLICA</v>
      </c>
      <c r="ME147" s="6"/>
      <c r="MF147" s="6"/>
      <c r="MG147" s="4"/>
      <c r="MH147" s="6"/>
      <c r="MI147" s="5" t="str">
        <f t="shared" si="537"/>
        <v>NO APLICA</v>
      </c>
      <c r="MJ147" s="6"/>
      <c r="MK147" s="6"/>
      <c r="ML147" s="4"/>
      <c r="MM147" s="6"/>
      <c r="MN147" s="5" t="str">
        <f t="shared" si="538"/>
        <v>NO APLICA</v>
      </c>
      <c r="MO147" s="5"/>
      <c r="MP147" s="6"/>
      <c r="MQ147" s="4"/>
      <c r="MR147" s="6"/>
      <c r="MS147" s="5" t="str">
        <f t="shared" si="539"/>
        <v>NO APLICA</v>
      </c>
      <c r="MT147" s="5"/>
      <c r="MU147" s="6"/>
      <c r="MV147" s="6"/>
      <c r="MW147" s="6"/>
      <c r="MX147" s="5" t="str">
        <f t="shared" si="540"/>
        <v>NO APLICA</v>
      </c>
      <c r="MY147" s="6"/>
      <c r="MZ147" s="6"/>
      <c r="NA147" s="4"/>
      <c r="NB147" s="6"/>
      <c r="NC147" s="5" t="str">
        <f t="shared" si="541"/>
        <v>NO APLICA</v>
      </c>
      <c r="ND147" s="6"/>
      <c r="NE147" s="6"/>
      <c r="NF147" s="4"/>
      <c r="NG147" s="6"/>
      <c r="NH147" s="5" t="str">
        <f t="shared" si="542"/>
        <v>NO APLICA</v>
      </c>
      <c r="NI147" s="6"/>
      <c r="NJ147" s="6"/>
      <c r="NK147" s="4"/>
      <c r="NL147" s="6"/>
      <c r="NM147" s="5" t="str">
        <f t="shared" si="543"/>
        <v>NO APLICA</v>
      </c>
      <c r="NN147" s="6"/>
      <c r="NO147" s="6"/>
      <c r="NP147" s="4"/>
      <c r="NQ147" s="6"/>
      <c r="NR147" s="5" t="str">
        <f t="shared" si="544"/>
        <v>NO APLICA</v>
      </c>
      <c r="NS147" s="6"/>
      <c r="NT147" s="6"/>
      <c r="NU147" s="4"/>
      <c r="NV147" s="6"/>
      <c r="NW147" s="5" t="str">
        <f t="shared" si="545"/>
        <v>NO APLICA</v>
      </c>
      <c r="NX147" s="6"/>
      <c r="NY147" s="6"/>
      <c r="NZ147" s="4"/>
      <c r="OA147" s="8"/>
      <c r="OB147" s="5" t="str">
        <f t="shared" si="546"/>
        <v>NO APLICA</v>
      </c>
      <c r="OC147" s="6"/>
      <c r="OD147" s="6"/>
      <c r="OE147" s="6"/>
      <c r="OF147" s="6"/>
      <c r="OG147" s="5" t="str">
        <f t="shared" si="547"/>
        <v>NO APLICA</v>
      </c>
      <c r="OH147" s="6"/>
      <c r="OI147" s="6"/>
      <c r="OJ147" s="6"/>
      <c r="OK147" s="6"/>
      <c r="OL147" s="5" t="str">
        <f t="shared" si="548"/>
        <v>NO APLICA</v>
      </c>
      <c r="OM147" s="6"/>
      <c r="ON147" s="6"/>
      <c r="OO147" s="4"/>
      <c r="OP147" s="8"/>
      <c r="OQ147" s="5" t="str">
        <f t="shared" si="549"/>
        <v>NO APLICA</v>
      </c>
      <c r="OR147" s="6"/>
      <c r="OS147" s="6"/>
      <c r="OT147" s="6"/>
      <c r="OU147" s="6"/>
      <c r="OV147" s="5" t="str">
        <f t="shared" si="550"/>
        <v>NO APLICA</v>
      </c>
      <c r="OW147" s="6"/>
      <c r="OX147" s="6"/>
      <c r="OY147" s="6"/>
      <c r="OZ147" s="6"/>
      <c r="PA147" s="5" t="str">
        <f t="shared" si="551"/>
        <v>NO APLICA</v>
      </c>
      <c r="PB147" s="6"/>
      <c r="PC147" s="6"/>
      <c r="PD147" s="6"/>
      <c r="PE147" s="6"/>
      <c r="PF147" s="5" t="str">
        <f t="shared" si="552"/>
        <v>NO APLICA</v>
      </c>
      <c r="PG147" s="6"/>
      <c r="PH147" s="6"/>
      <c r="PI147" s="6"/>
      <c r="PJ147" s="6"/>
      <c r="PK147" s="5" t="str">
        <f t="shared" si="553"/>
        <v>NO APLICA</v>
      </c>
      <c r="PL147" s="5"/>
      <c r="PM147" s="6"/>
      <c r="PN147" s="6"/>
      <c r="PO147" s="6"/>
      <c r="PP147" s="5" t="str">
        <f t="shared" si="554"/>
        <v>NO APLICA</v>
      </c>
      <c r="PQ147" s="6"/>
      <c r="PR147" s="6"/>
      <c r="PS147" s="6"/>
      <c r="PT147" s="6"/>
      <c r="PU147" s="5" t="str">
        <f t="shared" si="555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6"/>
        <v>VIGENTE</v>
      </c>
    </row>
    <row r="148" spans="1:442" ht="15.6" hidden="1" thickTop="1" thickBot="1" x14ac:dyDescent="0.35">
      <c r="A148" s="26">
        <v>145</v>
      </c>
      <c r="B148" s="27">
        <v>842</v>
      </c>
      <c r="C148" s="28" t="s">
        <v>477</v>
      </c>
      <c r="D148" s="29" t="s">
        <v>68</v>
      </c>
      <c r="E148" s="30" t="s">
        <v>122</v>
      </c>
      <c r="F148" s="5"/>
      <c r="G148" s="6"/>
      <c r="H148" s="4"/>
      <c r="I148" s="8"/>
      <c r="J148" s="5" t="str">
        <f t="shared" si="455"/>
        <v>NO APLICA</v>
      </c>
      <c r="K148" s="5"/>
      <c r="L148" s="6"/>
      <c r="M148" s="6"/>
      <c r="N148" s="8"/>
      <c r="O148" s="5" t="str">
        <f t="shared" si="456"/>
        <v>NO APLICA</v>
      </c>
      <c r="P148" s="6"/>
      <c r="Q148" s="6"/>
      <c r="R148" s="4"/>
      <c r="S148" s="8"/>
      <c r="T148" s="5" t="str">
        <f t="shared" si="557"/>
        <v>NO APLICA</v>
      </c>
      <c r="U148" s="5"/>
      <c r="V148" s="2" t="s">
        <v>478</v>
      </c>
      <c r="W148" s="4">
        <v>45426</v>
      </c>
      <c r="X148" s="4">
        <f t="shared" si="410"/>
        <v>47252</v>
      </c>
      <c r="Y148" s="8">
        <f t="shared" ca="1" si="411"/>
        <v>1107</v>
      </c>
      <c r="Z148" s="5" t="str">
        <f t="shared" ca="1" si="412"/>
        <v>VIGENTE</v>
      </c>
      <c r="AA148" s="5"/>
      <c r="AB148" s="2" t="s">
        <v>479</v>
      </c>
      <c r="AC148" s="4">
        <v>44824</v>
      </c>
      <c r="AD148" s="4">
        <f t="shared" si="578"/>
        <v>46650</v>
      </c>
      <c r="AE148" s="8">
        <f t="shared" ca="1" si="579"/>
        <v>505</v>
      </c>
      <c r="AF148" s="5" t="str">
        <f t="shared" ca="1" si="457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8"/>
        <v>201</v>
      </c>
      <c r="AK148" s="5" t="str">
        <f t="shared" ca="1" si="408"/>
        <v>VIGENTE</v>
      </c>
      <c r="AL148" s="3"/>
      <c r="AM148" s="4">
        <v>45926</v>
      </c>
      <c r="AN148" s="4">
        <f t="shared" si="572"/>
        <v>46656</v>
      </c>
      <c r="AO148" s="8">
        <f t="shared" ca="1" si="459"/>
        <v>511</v>
      </c>
      <c r="AP148" s="5" t="str">
        <f t="shared" ca="1" si="460"/>
        <v>VIGENTE</v>
      </c>
      <c r="AQ148" s="3"/>
      <c r="AR148" s="4">
        <v>45887</v>
      </c>
      <c r="AS148" s="4">
        <f t="shared" si="568"/>
        <v>46617</v>
      </c>
      <c r="AT148" s="8">
        <f t="shared" ca="1" si="461"/>
        <v>472</v>
      </c>
      <c r="AU148" s="5" t="str">
        <f t="shared" ca="1" si="462"/>
        <v>VIGENTE</v>
      </c>
      <c r="AV148" s="3"/>
      <c r="AW148" s="4">
        <v>45972</v>
      </c>
      <c r="AX148" s="4">
        <f t="shared" si="569"/>
        <v>46702</v>
      </c>
      <c r="AY148" s="8">
        <f t="shared" ca="1" si="463"/>
        <v>557</v>
      </c>
      <c r="AZ148" s="5" t="str">
        <f t="shared" ca="1" si="464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5"/>
        <v>99</v>
      </c>
      <c r="BE148" s="5" t="str">
        <f t="shared" ca="1" si="466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7"/>
        <v>553</v>
      </c>
      <c r="BJ148" s="5" t="str">
        <f t="shared" ca="1" si="468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9"/>
        <v>184</v>
      </c>
      <c r="BO148" s="5" t="str">
        <f t="shared" ca="1" si="470"/>
        <v>VIGENTE</v>
      </c>
      <c r="BP148" s="3"/>
      <c r="BQ148" s="39">
        <v>46069</v>
      </c>
      <c r="BR148" s="4">
        <f t="shared" si="570"/>
        <v>46799</v>
      </c>
      <c r="BS148" s="8">
        <f t="shared" ca="1" si="471"/>
        <v>654</v>
      </c>
      <c r="BT148" s="5" t="str">
        <f t="shared" ca="1" si="472"/>
        <v>VIGENTE</v>
      </c>
      <c r="BU148" s="3"/>
      <c r="BV148" s="4">
        <v>46116</v>
      </c>
      <c r="BW148" s="4">
        <f>DATE(YEAR(BV148)+2,MONTH(BV148),DAY(BV148)-1)</f>
        <v>46846</v>
      </c>
      <c r="BX148" s="8">
        <f t="shared" ca="1" si="473"/>
        <v>701</v>
      </c>
      <c r="BY148" s="5" t="str">
        <f t="shared" ca="1" si="474"/>
        <v>VIGENTE</v>
      </c>
      <c r="BZ148" s="3"/>
      <c r="CA148" s="4">
        <v>45954</v>
      </c>
      <c r="CB148" s="4">
        <f t="shared" si="574"/>
        <v>46684</v>
      </c>
      <c r="CC148" s="8">
        <f t="shared" ca="1" si="475"/>
        <v>539</v>
      </c>
      <c r="CD148" s="5" t="str">
        <f t="shared" ca="1" si="476"/>
        <v>VIGENTE</v>
      </c>
      <c r="CE148" s="6"/>
      <c r="CF148" s="4">
        <v>45262</v>
      </c>
      <c r="CG148" s="4">
        <f t="shared" si="416"/>
        <v>46723</v>
      </c>
      <c r="CH148" s="8">
        <f t="shared" ca="1" si="417"/>
        <v>578</v>
      </c>
      <c r="CI148" s="5" t="str">
        <f t="shared" ca="1" si="573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7"/>
        <v>88</v>
      </c>
      <c r="CN148" s="5" t="str">
        <f t="shared" ca="1" si="478"/>
        <v>POR VENCER</v>
      </c>
      <c r="CO148" s="3"/>
      <c r="CP148" s="39">
        <v>45517</v>
      </c>
      <c r="CQ148" s="4">
        <f>DATE(YEAR(CP148)+2,MONTH(CP148),DAY(CP148)-1)</f>
        <v>46246</v>
      </c>
      <c r="CR148" s="8">
        <f t="shared" ca="1" si="479"/>
        <v>101</v>
      </c>
      <c r="CS148" s="5" t="str">
        <f t="shared" ca="1" si="480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1"/>
        <v>229</v>
      </c>
      <c r="CX148" s="5" t="str">
        <f t="shared" ca="1" si="482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3"/>
        <v>245</v>
      </c>
      <c r="DC148" s="5" t="str">
        <f t="shared" ca="1" si="484"/>
        <v>VIGENTE</v>
      </c>
      <c r="DD148" s="3"/>
      <c r="DE148" s="39">
        <v>45689</v>
      </c>
      <c r="DF148" s="4">
        <f>DATE(YEAR(DE148)+2,MONTH(DE148),DAY(DE148)-1)</f>
        <v>46418</v>
      </c>
      <c r="DG148" s="8">
        <f t="shared" ca="1" si="485"/>
        <v>273</v>
      </c>
      <c r="DH148" s="5" t="str">
        <f t="shared" ca="1" si="486"/>
        <v>VIGENTE</v>
      </c>
      <c r="DI148" s="3"/>
      <c r="DJ148" s="39">
        <v>45696</v>
      </c>
      <c r="DK148" s="4">
        <f>DATE(YEAR(DJ148)+2,MONTH(DJ148),DAY(DJ148)-1)</f>
        <v>46425</v>
      </c>
      <c r="DL148" s="8">
        <f t="shared" ca="1" si="487"/>
        <v>280</v>
      </c>
      <c r="DM148" s="5" t="str">
        <f t="shared" ca="1" si="488"/>
        <v>VIGENTE</v>
      </c>
      <c r="DN148" s="3"/>
      <c r="DO148" s="4">
        <v>46128</v>
      </c>
      <c r="DP148" s="4">
        <f>DATE(YEAR(DO148)+2,MONTH(DO148),DAY(DO148)-1)</f>
        <v>46858</v>
      </c>
      <c r="DQ148" s="8">
        <f t="shared" ca="1" si="489"/>
        <v>713</v>
      </c>
      <c r="DR148" s="5" t="str">
        <f t="shared" ca="1" si="490"/>
        <v>VIGENTE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1"/>
        <v>203</v>
      </c>
      <c r="DW148" s="5" t="str">
        <f t="shared" ca="1" si="492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3"/>
        <v>293</v>
      </c>
      <c r="EB148" s="5" t="str">
        <f t="shared" ca="1" si="494"/>
        <v>VIGENTE</v>
      </c>
      <c r="EC148" s="3"/>
      <c r="ED148" s="39">
        <v>45674</v>
      </c>
      <c r="EE148" s="4">
        <f>DATE(YEAR(ED148)+2,MONTH(ED148),DAY(ED148)-1)</f>
        <v>46403</v>
      </c>
      <c r="EF148" s="8">
        <f t="shared" ca="1" si="495"/>
        <v>258</v>
      </c>
      <c r="EG148" s="5" t="str">
        <f t="shared" ca="1" si="496"/>
        <v>VIGENTE</v>
      </c>
      <c r="EH148" s="3"/>
      <c r="EI148" s="3">
        <v>46085</v>
      </c>
      <c r="EJ148" s="4">
        <f t="shared" si="558"/>
        <v>46450</v>
      </c>
      <c r="EK148" s="8">
        <f t="shared" ca="1" si="497"/>
        <v>305</v>
      </c>
      <c r="EL148" s="5" t="str">
        <f t="shared" ca="1" si="498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9"/>
        <v>255</v>
      </c>
      <c r="EQ148" s="5" t="str">
        <f t="shared" ca="1" si="500"/>
        <v>VIGENTE</v>
      </c>
      <c r="ER148" s="3"/>
      <c r="ES148" s="39">
        <v>45735</v>
      </c>
      <c r="ET148" s="4">
        <f>DATE(YEAR(ES148)+2,MONTH(ES148),DAY(ES148)-1)</f>
        <v>46464</v>
      </c>
      <c r="EU148" s="8">
        <f t="shared" ca="1" si="501"/>
        <v>319</v>
      </c>
      <c r="EV148" s="5" t="str">
        <f t="shared" ca="1" si="502"/>
        <v>VIGENTE</v>
      </c>
      <c r="EW148" s="3"/>
      <c r="EX148" s="4">
        <v>45953</v>
      </c>
      <c r="EY148" s="4">
        <f t="shared" si="575"/>
        <v>46683</v>
      </c>
      <c r="EZ148" s="8">
        <f t="shared" ca="1" si="503"/>
        <v>538</v>
      </c>
      <c r="FA148" s="5" t="str">
        <f t="shared" ca="1" si="504"/>
        <v>VIGENTE</v>
      </c>
      <c r="FB148" s="3"/>
      <c r="FC148" s="4">
        <v>46017</v>
      </c>
      <c r="FD148" s="4">
        <f t="shared" si="576"/>
        <v>46747</v>
      </c>
      <c r="FE148" s="8">
        <f t="shared" ca="1" si="505"/>
        <v>602</v>
      </c>
      <c r="FF148" s="5" t="str">
        <f t="shared" ca="1" si="506"/>
        <v>VIGENTE</v>
      </c>
      <c r="FG148" s="3"/>
      <c r="FH148" s="4">
        <v>45969</v>
      </c>
      <c r="FI148" s="4">
        <f t="shared" si="577"/>
        <v>46699</v>
      </c>
      <c r="FJ148" s="8">
        <f t="shared" ca="1" si="507"/>
        <v>554</v>
      </c>
      <c r="FK148" s="5" t="str">
        <f t="shared" ca="1" si="508"/>
        <v>VIGENTE</v>
      </c>
      <c r="FL148" s="3"/>
      <c r="FM148" s="39">
        <v>45670</v>
      </c>
      <c r="FN148" s="4">
        <f>DATE(YEAR(FM148)+2,MONTH(FM148),DAY(FM148)-1)</f>
        <v>46399</v>
      </c>
      <c r="FO148" s="8">
        <f t="shared" ca="1" si="509"/>
        <v>254</v>
      </c>
      <c r="FP148" s="5" t="str">
        <f t="shared" ca="1" si="510"/>
        <v>VIGENTE</v>
      </c>
      <c r="FQ148" s="3"/>
      <c r="FR148" s="39">
        <v>45724</v>
      </c>
      <c r="FS148" s="4">
        <f>DATE(YEAR(FR148)+2,MONTH(FR148),DAY(FR148)-1)</f>
        <v>46453</v>
      </c>
      <c r="FT148" s="8">
        <f t="shared" ca="1" si="511"/>
        <v>308</v>
      </c>
      <c r="FU148" s="5" t="str">
        <f t="shared" ca="1" si="512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3"/>
        <v>200</v>
      </c>
      <c r="FZ148" s="5" t="str">
        <f t="shared" ca="1" si="514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5"/>
        <v>251</v>
      </c>
      <c r="GE148" s="5" t="str">
        <f t="shared" ca="1" si="516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7"/>
        <v>256</v>
      </c>
      <c r="GJ148" s="5" t="str">
        <f t="shared" ca="1" si="518"/>
        <v>VIGENTE</v>
      </c>
      <c r="GK148" s="3"/>
      <c r="GL148" s="4">
        <v>45958</v>
      </c>
      <c r="GM148" s="4">
        <f t="shared" si="571"/>
        <v>46688</v>
      </c>
      <c r="GN148" s="8">
        <f t="shared" ca="1" si="519"/>
        <v>543</v>
      </c>
      <c r="GO148" s="5" t="str">
        <f t="shared" ca="1" si="520"/>
        <v>VIGENTE</v>
      </c>
      <c r="GP148" s="4"/>
      <c r="GQ148" s="4">
        <v>44952</v>
      </c>
      <c r="GR148" s="4">
        <f t="shared" si="521"/>
        <v>46778</v>
      </c>
      <c r="GS148" s="8">
        <f t="shared" ca="1" si="405"/>
        <v>633</v>
      </c>
      <c r="GT148" s="5" t="str">
        <f t="shared" ca="1" si="419"/>
        <v>VIGENTE</v>
      </c>
      <c r="GU148" s="3"/>
      <c r="GV148" s="4">
        <v>44979</v>
      </c>
      <c r="GW148" s="4">
        <f t="shared" si="522"/>
        <v>46805</v>
      </c>
      <c r="GX148" s="8">
        <f t="shared" ca="1" si="523"/>
        <v>660</v>
      </c>
      <c r="GY148" s="5" t="str">
        <f t="shared" ca="1" si="426"/>
        <v>VIGENTE</v>
      </c>
      <c r="GZ148" s="3"/>
      <c r="HA148" s="4">
        <v>45499</v>
      </c>
      <c r="HB148" s="4">
        <f t="shared" si="524"/>
        <v>47325</v>
      </c>
      <c r="HC148" s="8">
        <f t="shared" ca="1" si="525"/>
        <v>1180</v>
      </c>
      <c r="HD148" s="5" t="str">
        <f t="shared" ca="1" si="421"/>
        <v>VIGENTE</v>
      </c>
      <c r="HE148" s="6"/>
      <c r="HF148" s="4">
        <v>44879</v>
      </c>
      <c r="HG148" s="4">
        <f t="shared" si="580"/>
        <v>46705</v>
      </c>
      <c r="HH148" s="8">
        <f t="shared" ca="1" si="581"/>
        <v>560</v>
      </c>
      <c r="HI148" s="5" t="str">
        <f t="shared" ca="1" si="427"/>
        <v>VIGENTE</v>
      </c>
      <c r="HJ148" s="2"/>
      <c r="HK148" s="6"/>
      <c r="HL148" s="4"/>
      <c r="HM148" s="8"/>
      <c r="HN148" s="5" t="str">
        <f t="shared" si="444"/>
        <v>NO APLICA</v>
      </c>
      <c r="HO148" s="2"/>
      <c r="HP148" s="2"/>
      <c r="HQ148" s="4"/>
      <c r="HR148" s="2"/>
      <c r="HS148" s="5" t="str">
        <f t="shared" si="526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7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8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9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30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1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2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3"/>
        <v>VIGENTE</v>
      </c>
      <c r="JC148" s="3" t="s">
        <v>780</v>
      </c>
      <c r="JD148" s="3"/>
      <c r="JE148" s="4"/>
      <c r="JF148" s="8"/>
      <c r="JG148" s="5"/>
      <c r="JH148" s="3" t="s">
        <v>780</v>
      </c>
      <c r="JI148" s="6"/>
      <c r="JJ148" s="6"/>
      <c r="JK148" s="6"/>
      <c r="JL148" s="5"/>
      <c r="JM148" s="6" t="s">
        <v>780</v>
      </c>
      <c r="JN148" s="6"/>
      <c r="JO148" s="6"/>
      <c r="JP148" s="6"/>
      <c r="JQ148" s="5"/>
      <c r="JR148" s="6" t="s">
        <v>780</v>
      </c>
      <c r="JS148" s="6"/>
      <c r="JT148" s="6"/>
      <c r="JU148" s="6"/>
      <c r="JV148" s="5"/>
      <c r="JW148" s="6" t="s">
        <v>780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4"/>
        <v>NO APLICA</v>
      </c>
      <c r="KG148" s="5"/>
      <c r="KH148" s="2"/>
      <c r="KI148" s="4"/>
      <c r="KJ148" s="8"/>
      <c r="KK148" s="5" t="str">
        <f t="shared" si="559"/>
        <v>NO APLICA</v>
      </c>
      <c r="KL148" s="5"/>
      <c r="KM148" s="2"/>
      <c r="KN148" s="4"/>
      <c r="KO148" s="8"/>
      <c r="KP148" s="5" t="str">
        <f t="shared" si="535"/>
        <v>NO APLICA</v>
      </c>
      <c r="KQ148" s="5"/>
      <c r="KR148" s="2"/>
      <c r="KS148" s="4"/>
      <c r="KT148" s="8"/>
      <c r="KU148" s="5" t="str">
        <f t="shared" si="560"/>
        <v>NO APLICA</v>
      </c>
      <c r="KV148" s="2"/>
      <c r="KW148" s="6"/>
      <c r="KX148" s="4"/>
      <c r="KY148" s="8"/>
      <c r="KZ148" s="5" t="str">
        <f t="shared" si="565"/>
        <v>NO APLICA</v>
      </c>
      <c r="LA148" s="5"/>
      <c r="LB148" s="6"/>
      <c r="LC148" s="4"/>
      <c r="LD148" s="8"/>
      <c r="LE148" s="5" t="str">
        <f t="shared" si="561"/>
        <v>NO APLICA</v>
      </c>
      <c r="LF148" s="6"/>
      <c r="LG148" s="4"/>
      <c r="LH148" s="4"/>
      <c r="LI148" s="8"/>
      <c r="LJ148" s="5" t="str">
        <f t="shared" si="567"/>
        <v>NO APLICA</v>
      </c>
      <c r="LK148" s="5"/>
      <c r="LL148" s="5"/>
      <c r="LM148" s="5"/>
      <c r="LN148" s="5"/>
      <c r="LO148" s="5" t="str">
        <f t="shared" si="566"/>
        <v>NO APLICA</v>
      </c>
      <c r="LP148" s="2"/>
      <c r="LQ148" s="6"/>
      <c r="LR148" s="4"/>
      <c r="LS148" s="8"/>
      <c r="LT148" s="5" t="str">
        <f t="shared" si="562"/>
        <v>NO APLICA</v>
      </c>
      <c r="LU148" s="6"/>
      <c r="LV148" s="6"/>
      <c r="LW148" s="4"/>
      <c r="LX148" s="8"/>
      <c r="LY148" s="5" t="str">
        <f t="shared" si="563"/>
        <v>NO APLICA</v>
      </c>
      <c r="LZ148" s="6"/>
      <c r="MA148" s="6"/>
      <c r="MB148" s="4"/>
      <c r="MC148" s="8"/>
      <c r="MD148" s="5" t="str">
        <f t="shared" si="564"/>
        <v>NO APLICA</v>
      </c>
      <c r="ME148" s="2"/>
      <c r="MF148" s="2"/>
      <c r="MG148" s="4"/>
      <c r="MH148" s="8"/>
      <c r="MI148" s="5" t="str">
        <f t="shared" si="537"/>
        <v>NO APLICA</v>
      </c>
      <c r="MJ148" s="2"/>
      <c r="MK148" s="2"/>
      <c r="ML148" s="4"/>
      <c r="MM148" s="8"/>
      <c r="MN148" s="5" t="str">
        <f t="shared" si="538"/>
        <v>NO APLICA</v>
      </c>
      <c r="MO148" s="5"/>
      <c r="MP148" s="2"/>
      <c r="MQ148" s="4"/>
      <c r="MR148" s="8"/>
      <c r="MS148" s="5" t="str">
        <f t="shared" si="539"/>
        <v>NO APLICA</v>
      </c>
      <c r="MT148" s="5"/>
      <c r="MU148" s="2"/>
      <c r="MV148" s="4"/>
      <c r="MW148" s="2"/>
      <c r="MX148" s="5" t="str">
        <f t="shared" si="540"/>
        <v>NO APLICA</v>
      </c>
      <c r="MY148" s="2"/>
      <c r="MZ148" s="6"/>
      <c r="NA148" s="4"/>
      <c r="NB148" s="8"/>
      <c r="NC148" s="5" t="str">
        <f t="shared" si="541"/>
        <v>NO APLICA</v>
      </c>
      <c r="ND148" s="2"/>
      <c r="NE148" s="6"/>
      <c r="NF148" s="4"/>
      <c r="NG148" s="8"/>
      <c r="NH148" s="5" t="str">
        <f t="shared" si="542"/>
        <v>NO APLICA</v>
      </c>
      <c r="NI148" s="2"/>
      <c r="NJ148" s="6"/>
      <c r="NK148" s="4"/>
      <c r="NL148" s="8"/>
      <c r="NM148" s="5" t="str">
        <f t="shared" si="543"/>
        <v>NO APLICA</v>
      </c>
      <c r="NN148" s="2"/>
      <c r="NO148" s="2"/>
      <c r="NP148" s="4"/>
      <c r="NQ148" s="2"/>
      <c r="NR148" s="5" t="str">
        <f t="shared" si="544"/>
        <v>NO APLICA</v>
      </c>
      <c r="NS148" s="2"/>
      <c r="NT148" s="2"/>
      <c r="NU148" s="2"/>
      <c r="NV148" s="2"/>
      <c r="NW148" s="5" t="str">
        <f t="shared" si="545"/>
        <v>NO APLICA</v>
      </c>
      <c r="NX148" s="6"/>
      <c r="NY148" s="6"/>
      <c r="NZ148" s="4"/>
      <c r="OA148" s="8"/>
      <c r="OB148" s="5" t="str">
        <f t="shared" si="546"/>
        <v>NO APLICA</v>
      </c>
      <c r="OC148" s="6"/>
      <c r="OD148" s="6"/>
      <c r="OE148" s="6"/>
      <c r="OF148" s="6"/>
      <c r="OG148" s="5" t="str">
        <f t="shared" si="547"/>
        <v>NO APLICA</v>
      </c>
      <c r="OH148" s="6"/>
      <c r="OI148" s="6"/>
      <c r="OJ148" s="4"/>
      <c r="OK148" s="8"/>
      <c r="OL148" s="5" t="str">
        <f t="shared" si="548"/>
        <v>NO APLICA</v>
      </c>
      <c r="OM148" s="6"/>
      <c r="ON148" s="6"/>
      <c r="OO148" s="6"/>
      <c r="OP148" s="6"/>
      <c r="OQ148" s="5" t="str">
        <f t="shared" si="549"/>
        <v>NO APLICA</v>
      </c>
      <c r="OR148" s="6"/>
      <c r="OS148" s="6"/>
      <c r="OT148" s="6"/>
      <c r="OU148" s="6"/>
      <c r="OV148" s="5" t="str">
        <f t="shared" si="550"/>
        <v>NO APLICA</v>
      </c>
      <c r="OW148" s="6"/>
      <c r="OX148" s="6"/>
      <c r="OY148" s="6"/>
      <c r="OZ148" s="6"/>
      <c r="PA148" s="5" t="str">
        <f t="shared" si="551"/>
        <v>NO APLICA</v>
      </c>
      <c r="PB148" s="6"/>
      <c r="PC148" s="6"/>
      <c r="PD148" s="6"/>
      <c r="PE148" s="6"/>
      <c r="PF148" s="5" t="str">
        <f t="shared" si="552"/>
        <v>NO APLICA</v>
      </c>
      <c r="PG148" s="6"/>
      <c r="PH148" s="6"/>
      <c r="PI148" s="6"/>
      <c r="PJ148" s="6"/>
      <c r="PK148" s="5" t="str">
        <f t="shared" si="553"/>
        <v>NO APLICA</v>
      </c>
      <c r="PL148" s="5"/>
      <c r="PM148" s="6"/>
      <c r="PN148" s="4"/>
      <c r="PO148" s="8"/>
      <c r="PP148" s="5" t="str">
        <f t="shared" si="554"/>
        <v>NO APLICA</v>
      </c>
      <c r="PQ148" s="6"/>
      <c r="PR148" s="6"/>
      <c r="PS148" s="6"/>
      <c r="PT148" s="6"/>
      <c r="PU148" s="5" t="str">
        <f t="shared" si="555"/>
        <v>NO APLICA</v>
      </c>
      <c r="PV148" s="5"/>
      <c r="PW148" s="6"/>
      <c r="PX148" s="6"/>
      <c r="PY148" s="6"/>
      <c r="PZ148" s="5" t="str">
        <f t="shared" si="556"/>
        <v>NO APLICA</v>
      </c>
    </row>
    <row r="149" spans="1:442" ht="15.6" hidden="1" thickTop="1" thickBot="1" x14ac:dyDescent="0.35">
      <c r="A149" s="26">
        <v>146</v>
      </c>
      <c r="B149" s="27">
        <v>1135</v>
      </c>
      <c r="C149" s="28" t="s">
        <v>480</v>
      </c>
      <c r="D149" s="29" t="s">
        <v>68</v>
      </c>
      <c r="E149" s="30" t="s">
        <v>164</v>
      </c>
      <c r="F149" s="5"/>
      <c r="G149" s="6"/>
      <c r="H149" s="4"/>
      <c r="I149" s="8"/>
      <c r="J149" s="5" t="str">
        <f t="shared" si="455"/>
        <v>NO APLICA</v>
      </c>
      <c r="K149" s="2"/>
      <c r="L149" s="6"/>
      <c r="M149" s="6"/>
      <c r="N149" s="8"/>
      <c r="O149" s="5" t="str">
        <f t="shared" si="456"/>
        <v>NO APLICA</v>
      </c>
      <c r="P149" s="6"/>
      <c r="Q149" s="6"/>
      <c r="R149" s="4"/>
      <c r="S149" s="8"/>
      <c r="T149" s="5" t="str">
        <f t="shared" si="557"/>
        <v>NO APLICA</v>
      </c>
      <c r="U149" s="5"/>
      <c r="V149" s="2" t="s">
        <v>481</v>
      </c>
      <c r="W149" s="4">
        <v>44801</v>
      </c>
      <c r="X149" s="4">
        <f t="shared" si="410"/>
        <v>46627</v>
      </c>
      <c r="Y149" s="8">
        <f t="shared" ca="1" si="411"/>
        <v>482</v>
      </c>
      <c r="Z149" s="5" t="str">
        <f t="shared" ca="1" si="412"/>
        <v>VIGENTE</v>
      </c>
      <c r="AA149" s="5"/>
      <c r="AB149" s="2" t="s">
        <v>482</v>
      </c>
      <c r="AC149" s="4">
        <v>44831</v>
      </c>
      <c r="AD149" s="4">
        <f t="shared" si="578"/>
        <v>46657</v>
      </c>
      <c r="AE149" s="8">
        <f t="shared" ca="1" si="579"/>
        <v>512</v>
      </c>
      <c r="AF149" s="5" t="str">
        <f t="shared" ca="1" si="457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8"/>
        <v>178</v>
      </c>
      <c r="AK149" s="5" t="str">
        <f t="shared" ca="1" si="408"/>
        <v>VIGENTE</v>
      </c>
      <c r="AL149" s="3"/>
      <c r="AM149" s="4">
        <v>45937</v>
      </c>
      <c r="AN149" s="4">
        <f t="shared" si="572"/>
        <v>46667</v>
      </c>
      <c r="AO149" s="8">
        <f t="shared" ca="1" si="459"/>
        <v>522</v>
      </c>
      <c r="AP149" s="5" t="str">
        <f t="shared" ca="1" si="460"/>
        <v>VIGENTE</v>
      </c>
      <c r="AQ149" s="3"/>
      <c r="AR149" s="4">
        <v>45967</v>
      </c>
      <c r="AS149" s="4">
        <f t="shared" si="568"/>
        <v>46697</v>
      </c>
      <c r="AT149" s="8">
        <f t="shared" ca="1" si="461"/>
        <v>552</v>
      </c>
      <c r="AU149" s="5" t="str">
        <f t="shared" ca="1" si="462"/>
        <v>VIGENTE</v>
      </c>
      <c r="AV149" s="3"/>
      <c r="AW149" s="4">
        <v>45952</v>
      </c>
      <c r="AX149" s="4">
        <f t="shared" si="569"/>
        <v>46682</v>
      </c>
      <c r="AY149" s="8">
        <f t="shared" ca="1" si="463"/>
        <v>537</v>
      </c>
      <c r="AZ149" s="5" t="str">
        <f t="shared" ca="1" si="464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5"/>
        <v>656</v>
      </c>
      <c r="BE149" s="5" t="str">
        <f t="shared" ca="1" si="466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7"/>
        <v>553</v>
      </c>
      <c r="BJ149" s="5" t="str">
        <f t="shared" ca="1" si="468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9"/>
        <v>676</v>
      </c>
      <c r="BO149" s="5" t="str">
        <f t="shared" ca="1" si="470"/>
        <v>VIGENTE</v>
      </c>
      <c r="BP149" s="3"/>
      <c r="BQ149" s="39">
        <v>46069</v>
      </c>
      <c r="BR149" s="4">
        <f t="shared" si="570"/>
        <v>46799</v>
      </c>
      <c r="BS149" s="8">
        <f t="shared" ca="1" si="471"/>
        <v>654</v>
      </c>
      <c r="BT149" s="5" t="str">
        <f t="shared" ca="1" si="472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3"/>
        <v>535</v>
      </c>
      <c r="BY149" s="5" t="str">
        <f t="shared" ca="1" si="474"/>
        <v>VIGENTE</v>
      </c>
      <c r="BZ149" s="3"/>
      <c r="CA149" s="4">
        <v>45954</v>
      </c>
      <c r="CB149" s="4">
        <f t="shared" si="574"/>
        <v>46684</v>
      </c>
      <c r="CC149" s="8">
        <f t="shared" ca="1" si="475"/>
        <v>539</v>
      </c>
      <c r="CD149" s="5" t="str">
        <f t="shared" ca="1" si="476"/>
        <v>VIGENTE</v>
      </c>
      <c r="CE149" s="6"/>
      <c r="CF149" s="4">
        <v>45227</v>
      </c>
      <c r="CG149" s="4">
        <f t="shared" si="416"/>
        <v>46688</v>
      </c>
      <c r="CH149" s="8">
        <f t="shared" ca="1" si="417"/>
        <v>543</v>
      </c>
      <c r="CI149" s="5" t="str">
        <f t="shared" ca="1" si="573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7"/>
        <v>110</v>
      </c>
      <c r="CN149" s="5" t="str">
        <f t="shared" ca="1" si="478"/>
        <v>VIGENTE</v>
      </c>
      <c r="CO149" s="3"/>
      <c r="CP149" s="39">
        <v>45513</v>
      </c>
      <c r="CQ149" s="4">
        <f>DATE(YEAR(CP149)+2,MONTH(CP149),DAY(CP149)-1)</f>
        <v>46242</v>
      </c>
      <c r="CR149" s="8">
        <f t="shared" ca="1" si="479"/>
        <v>97</v>
      </c>
      <c r="CS149" s="5" t="str">
        <f t="shared" ca="1" si="480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1"/>
        <v>223</v>
      </c>
      <c r="CX149" s="5" t="str">
        <f t="shared" ca="1" si="482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3"/>
        <v>249</v>
      </c>
      <c r="DC149" s="5" t="str">
        <f t="shared" ca="1" si="484"/>
        <v>VIGENTE</v>
      </c>
      <c r="DD149" s="3"/>
      <c r="DE149" s="39">
        <v>45689</v>
      </c>
      <c r="DF149" s="4">
        <f>DATE(YEAR(DE149)+2,MONTH(DE149),DAY(DE149)-1)</f>
        <v>46418</v>
      </c>
      <c r="DG149" s="8">
        <f t="shared" ca="1" si="485"/>
        <v>273</v>
      </c>
      <c r="DH149" s="5" t="str">
        <f t="shared" ca="1" si="486"/>
        <v>VIGENTE</v>
      </c>
      <c r="DI149" s="3"/>
      <c r="DJ149" s="39">
        <v>45955</v>
      </c>
      <c r="DK149" s="4">
        <f>DATE(YEAR(DJ149)+2,MONTH(DJ149),DAY(DJ149))</f>
        <v>46685</v>
      </c>
      <c r="DL149" s="8">
        <f t="shared" ca="1" si="487"/>
        <v>540</v>
      </c>
      <c r="DM149" s="5" t="str">
        <f t="shared" ca="1" si="488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9"/>
        <v>593</v>
      </c>
      <c r="DR149" s="5" t="str">
        <f t="shared" ca="1" si="490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1"/>
        <v>657</v>
      </c>
      <c r="DW149" s="5" t="str">
        <f t="shared" ca="1" si="492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3"/>
        <v>685</v>
      </c>
      <c r="EB149" s="5" t="str">
        <f t="shared" ca="1" si="494"/>
        <v>VIGENTE</v>
      </c>
      <c r="EC149" s="3"/>
      <c r="ED149" s="39">
        <v>45994</v>
      </c>
      <c r="EE149" s="4">
        <f>DATE(YEAR(ED149)+2,MONTH(ED149),DAY(ED149))</f>
        <v>46724</v>
      </c>
      <c r="EF149" s="8">
        <f t="shared" ca="1" si="495"/>
        <v>579</v>
      </c>
      <c r="EG149" s="5" t="str">
        <f t="shared" ca="1" si="496"/>
        <v>VIGENTE</v>
      </c>
      <c r="EH149" s="3"/>
      <c r="EI149" s="3">
        <v>46015</v>
      </c>
      <c r="EJ149" s="4">
        <f t="shared" si="558"/>
        <v>46380</v>
      </c>
      <c r="EK149" s="8">
        <f t="shared" ca="1" si="497"/>
        <v>235</v>
      </c>
      <c r="EL149" s="5" t="str">
        <f t="shared" ca="1" si="498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9"/>
        <v>686</v>
      </c>
      <c r="EQ149" s="5" t="str">
        <f t="shared" ca="1" si="500"/>
        <v>VIGENTE</v>
      </c>
      <c r="ER149" s="3"/>
      <c r="ES149" s="39">
        <v>46094</v>
      </c>
      <c r="ET149" s="4">
        <f>DATE(YEAR(ES149)+2,MONTH(ES149),DAY(ES149))</f>
        <v>46825</v>
      </c>
      <c r="EU149" s="8">
        <f t="shared" ca="1" si="501"/>
        <v>680</v>
      </c>
      <c r="EV149" s="5" t="str">
        <f t="shared" ca="1" si="502"/>
        <v>VIGENTE</v>
      </c>
      <c r="EW149" s="3"/>
      <c r="EX149" s="4">
        <v>45953</v>
      </c>
      <c r="EY149" s="4">
        <f t="shared" si="575"/>
        <v>46683</v>
      </c>
      <c r="EZ149" s="8">
        <f t="shared" ca="1" si="503"/>
        <v>538</v>
      </c>
      <c r="FA149" s="5" t="str">
        <f t="shared" ca="1" si="504"/>
        <v>VIGENTE</v>
      </c>
      <c r="FB149" s="3"/>
      <c r="FC149" s="4">
        <v>45951</v>
      </c>
      <c r="FD149" s="4">
        <f t="shared" si="576"/>
        <v>46681</v>
      </c>
      <c r="FE149" s="8">
        <f t="shared" ca="1" si="505"/>
        <v>536</v>
      </c>
      <c r="FF149" s="5" t="str">
        <f t="shared" ca="1" si="506"/>
        <v>VIGENTE</v>
      </c>
      <c r="FG149" s="3"/>
      <c r="FH149" s="4">
        <v>45992</v>
      </c>
      <c r="FI149" s="4">
        <f t="shared" si="577"/>
        <v>46722</v>
      </c>
      <c r="FJ149" s="8">
        <f t="shared" ca="1" si="507"/>
        <v>577</v>
      </c>
      <c r="FK149" s="5" t="str">
        <f t="shared" ca="1" si="508"/>
        <v>VIGENTE</v>
      </c>
      <c r="FL149" s="3"/>
      <c r="FM149" s="39">
        <v>46039</v>
      </c>
      <c r="FN149" s="4">
        <f>DATE(YEAR(FM149)+2,MONTH(FM149),DAY(FM149))</f>
        <v>46769</v>
      </c>
      <c r="FO149" s="8">
        <f t="shared" ca="1" si="509"/>
        <v>624</v>
      </c>
      <c r="FP149" s="5" t="str">
        <f t="shared" ca="1" si="510"/>
        <v>VIGENTE</v>
      </c>
      <c r="FQ149" s="3"/>
      <c r="FR149" s="39">
        <v>46077</v>
      </c>
      <c r="FS149" s="4">
        <f>DATE(YEAR(FR149)+2,MONTH(FR149),DAY(FR149))</f>
        <v>46807</v>
      </c>
      <c r="FT149" s="8">
        <f t="shared" ca="1" si="511"/>
        <v>662</v>
      </c>
      <c r="FU149" s="5" t="str">
        <f t="shared" ca="1" si="512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3"/>
        <v>125</v>
      </c>
      <c r="FZ149" s="5" t="str">
        <f t="shared" ca="1" si="514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5"/>
        <v>615</v>
      </c>
      <c r="GE149" s="5" t="str">
        <f t="shared" ca="1" si="516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7"/>
        <v>434</v>
      </c>
      <c r="GJ149" s="5" t="str">
        <f t="shared" ca="1" si="518"/>
        <v>VIGENTE</v>
      </c>
      <c r="GK149" s="3"/>
      <c r="GL149" s="4">
        <v>45945</v>
      </c>
      <c r="GM149" s="4">
        <f t="shared" si="571"/>
        <v>46675</v>
      </c>
      <c r="GN149" s="8">
        <f t="shared" ca="1" si="519"/>
        <v>530</v>
      </c>
      <c r="GO149" s="5" t="str">
        <f t="shared" ca="1" si="520"/>
        <v>VIGENTE</v>
      </c>
      <c r="GP149" s="4"/>
      <c r="GQ149" s="4">
        <v>45421</v>
      </c>
      <c r="GR149" s="4">
        <f t="shared" si="521"/>
        <v>47247</v>
      </c>
      <c r="GS149" s="8">
        <f t="shared" ca="1" si="405"/>
        <v>1102</v>
      </c>
      <c r="GT149" s="5" t="str">
        <f t="shared" ca="1" si="419"/>
        <v>VIGENTE</v>
      </c>
      <c r="GU149" s="3"/>
      <c r="GV149" s="4">
        <v>45200</v>
      </c>
      <c r="GW149" s="4">
        <f t="shared" si="522"/>
        <v>47027</v>
      </c>
      <c r="GX149" s="8">
        <f t="shared" ca="1" si="523"/>
        <v>882</v>
      </c>
      <c r="GY149" s="5" t="str">
        <f t="shared" ca="1" si="426"/>
        <v>VIGENTE</v>
      </c>
      <c r="GZ149" s="3"/>
      <c r="HA149" s="4">
        <v>45294</v>
      </c>
      <c r="HB149" s="4">
        <f t="shared" si="524"/>
        <v>47121</v>
      </c>
      <c r="HC149" s="8">
        <f t="shared" ca="1" si="525"/>
        <v>976</v>
      </c>
      <c r="HD149" s="5" t="str">
        <f t="shared" ca="1" si="421"/>
        <v>VIGENTE</v>
      </c>
      <c r="HE149" s="6"/>
      <c r="HF149" s="4">
        <v>45196</v>
      </c>
      <c r="HG149" s="4">
        <f t="shared" si="580"/>
        <v>47023</v>
      </c>
      <c r="HH149" s="8">
        <f t="shared" ca="1" si="581"/>
        <v>878</v>
      </c>
      <c r="HI149" s="5" t="str">
        <f t="shared" ca="1" si="427"/>
        <v>VIGENTE</v>
      </c>
      <c r="HJ149" s="2"/>
      <c r="HK149" s="6"/>
      <c r="HL149" s="4"/>
      <c r="HM149" s="8"/>
      <c r="HN149" s="5" t="str">
        <f t="shared" si="444"/>
        <v>NO APLICA</v>
      </c>
      <c r="HO149" s="2"/>
      <c r="HP149" s="2"/>
      <c r="HQ149" s="4"/>
      <c r="HR149" s="2"/>
      <c r="HS149" s="5" t="str">
        <f t="shared" si="526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7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8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9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30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1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2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3"/>
        <v>VIGENTE</v>
      </c>
      <c r="JC149" s="3" t="s">
        <v>780</v>
      </c>
      <c r="JD149" s="3"/>
      <c r="JE149" s="4"/>
      <c r="JF149" s="8"/>
      <c r="JG149" s="5"/>
      <c r="JH149" s="3" t="s">
        <v>780</v>
      </c>
      <c r="JI149" s="6"/>
      <c r="JJ149" s="6"/>
      <c r="JK149" s="6"/>
      <c r="JL149" s="5"/>
      <c r="JM149" s="6" t="s">
        <v>780</v>
      </c>
      <c r="JN149" s="6"/>
      <c r="JO149" s="6"/>
      <c r="JP149" s="6"/>
      <c r="JQ149" s="5"/>
      <c r="JR149" s="6" t="s">
        <v>780</v>
      </c>
      <c r="JS149" s="6"/>
      <c r="JT149" s="6"/>
      <c r="JU149" s="6"/>
      <c r="JV149" s="5"/>
      <c r="JW149" s="6" t="s">
        <v>780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4"/>
        <v>NO APLICA</v>
      </c>
      <c r="KG149" s="5"/>
      <c r="KH149" s="2"/>
      <c r="KI149" s="4"/>
      <c r="KJ149" s="8"/>
      <c r="KK149" s="5" t="str">
        <f t="shared" si="559"/>
        <v>NO APLICA</v>
      </c>
      <c r="KL149" s="5"/>
      <c r="KM149" s="2"/>
      <c r="KN149" s="4"/>
      <c r="KO149" s="8"/>
      <c r="KP149" s="5" t="str">
        <f t="shared" si="535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60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5"/>
        <v>VIGENTE</v>
      </c>
      <c r="LA149" s="5"/>
      <c r="LB149" s="6"/>
      <c r="LC149" s="4"/>
      <c r="LD149" s="8"/>
      <c r="LE149" s="5" t="str">
        <f t="shared" si="561"/>
        <v>NO APLICA</v>
      </c>
      <c r="LF149" s="6"/>
      <c r="LG149" s="4"/>
      <c r="LH149" s="4"/>
      <c r="LI149" s="8"/>
      <c r="LJ149" s="5" t="str">
        <f t="shared" si="567"/>
        <v>NO APLICA</v>
      </c>
      <c r="LK149" s="5"/>
      <c r="LL149" s="5"/>
      <c r="LM149" s="4"/>
      <c r="LN149" s="8"/>
      <c r="LO149" s="5" t="str">
        <f t="shared" si="566"/>
        <v>NO APLICA</v>
      </c>
      <c r="LP149" s="2"/>
      <c r="LQ149" s="6"/>
      <c r="LR149" s="4"/>
      <c r="LS149" s="8"/>
      <c r="LT149" s="5" t="str">
        <f t="shared" si="562"/>
        <v>NO APLICA</v>
      </c>
      <c r="LU149" s="6"/>
      <c r="LV149" s="6"/>
      <c r="LW149" s="4"/>
      <c r="LX149" s="8"/>
      <c r="LY149" s="5" t="str">
        <f t="shared" si="563"/>
        <v>NO APLICA</v>
      </c>
      <c r="LZ149" s="6"/>
      <c r="MA149" s="6"/>
      <c r="MB149" s="4"/>
      <c r="MC149" s="8"/>
      <c r="MD149" s="5" t="str">
        <f t="shared" si="564"/>
        <v>NO APLICA</v>
      </c>
      <c r="ME149" s="2"/>
      <c r="MF149" s="2"/>
      <c r="MG149" s="4"/>
      <c r="MH149" s="8"/>
      <c r="MI149" s="5" t="str">
        <f t="shared" si="537"/>
        <v>NO APLICA</v>
      </c>
      <c r="MJ149" s="2"/>
      <c r="MK149" s="2"/>
      <c r="ML149" s="4"/>
      <c r="MM149" s="8"/>
      <c r="MN149" s="5" t="str">
        <f t="shared" si="538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9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40"/>
        <v>VIGENTE</v>
      </c>
      <c r="MY149" s="2"/>
      <c r="MZ149" s="6"/>
      <c r="NA149" s="4"/>
      <c r="NB149" s="8"/>
      <c r="NC149" s="5" t="str">
        <f t="shared" si="541"/>
        <v>NO APLICA</v>
      </c>
      <c r="ND149" s="2"/>
      <c r="NE149" s="6"/>
      <c r="NF149" s="4"/>
      <c r="NG149" s="8"/>
      <c r="NH149" s="5" t="str">
        <f t="shared" si="542"/>
        <v>NO APLICA</v>
      </c>
      <c r="NI149" s="2"/>
      <c r="NJ149" s="6"/>
      <c r="NK149" s="4"/>
      <c r="NL149" s="8"/>
      <c r="NM149" s="5" t="str">
        <f t="shared" si="543"/>
        <v>NO APLICA</v>
      </c>
      <c r="NN149" s="2"/>
      <c r="NO149" s="2"/>
      <c r="NP149" s="4"/>
      <c r="NQ149" s="8"/>
      <c r="NR149" s="5" t="str">
        <f t="shared" si="544"/>
        <v>NO APLICA</v>
      </c>
      <c r="NS149" s="2"/>
      <c r="NT149" s="2"/>
      <c r="NU149" s="4"/>
      <c r="NV149" s="2"/>
      <c r="NW149" s="5" t="str">
        <f t="shared" si="545"/>
        <v>NO APLICA</v>
      </c>
      <c r="NX149" s="6"/>
      <c r="NY149" s="6"/>
      <c r="NZ149" s="4"/>
      <c r="OA149" s="8"/>
      <c r="OB149" s="5" t="str">
        <f t="shared" si="546"/>
        <v>NO APLICA</v>
      </c>
      <c r="OC149" s="6"/>
      <c r="OD149" s="6"/>
      <c r="OE149" s="6"/>
      <c r="OF149" s="6"/>
      <c r="OG149" s="5" t="str">
        <f t="shared" si="547"/>
        <v>NO APLICA</v>
      </c>
      <c r="OH149" s="6"/>
      <c r="OI149" s="6"/>
      <c r="OJ149" s="4"/>
      <c r="OK149" s="8"/>
      <c r="OL149" s="5" t="str">
        <f t="shared" si="548"/>
        <v>NO APLICA</v>
      </c>
      <c r="OM149" s="6"/>
      <c r="ON149" s="6"/>
      <c r="OO149" s="6"/>
      <c r="OP149" s="6"/>
      <c r="OQ149" s="5" t="str">
        <f t="shared" si="549"/>
        <v>NO APLICA</v>
      </c>
      <c r="OR149" s="6"/>
      <c r="OS149" s="6"/>
      <c r="OT149" s="6"/>
      <c r="OU149" s="6"/>
      <c r="OV149" s="5" t="str">
        <f t="shared" si="550"/>
        <v>NO APLICA</v>
      </c>
      <c r="OW149" s="6"/>
      <c r="OX149" s="6"/>
      <c r="OY149" s="6"/>
      <c r="OZ149" s="6"/>
      <c r="PA149" s="5" t="str">
        <f t="shared" si="551"/>
        <v>NO APLICA</v>
      </c>
      <c r="PB149" s="6"/>
      <c r="PC149" s="6"/>
      <c r="PD149" s="6"/>
      <c r="PE149" s="6"/>
      <c r="PF149" s="5" t="str">
        <f t="shared" si="552"/>
        <v>NO APLICA</v>
      </c>
      <c r="PG149" s="6"/>
      <c r="PH149" s="6"/>
      <c r="PI149" s="6"/>
      <c r="PJ149" s="6"/>
      <c r="PK149" s="5" t="str">
        <f t="shared" si="553"/>
        <v>NO APLICA</v>
      </c>
      <c r="PL149" s="5"/>
      <c r="PM149" s="6"/>
      <c r="PN149" s="4"/>
      <c r="PO149" s="8"/>
      <c r="PP149" s="5" t="str">
        <f t="shared" si="554"/>
        <v>NO APLICA</v>
      </c>
      <c r="PQ149" s="6"/>
      <c r="PR149" s="6"/>
      <c r="PS149" s="6"/>
      <c r="PT149" s="6"/>
      <c r="PU149" s="5" t="str">
        <f t="shared" si="555"/>
        <v>NO APLICA</v>
      </c>
      <c r="PV149" s="5"/>
      <c r="PW149" s="6"/>
      <c r="PX149" s="6"/>
      <c r="PY149" s="6"/>
      <c r="PZ149" s="5" t="str">
        <f t="shared" si="556"/>
        <v>NO APLICA</v>
      </c>
    </row>
    <row r="150" spans="1:442" ht="15.6" hidden="1" thickTop="1" thickBot="1" x14ac:dyDescent="0.35">
      <c r="A150" s="26">
        <v>147</v>
      </c>
      <c r="B150" s="27">
        <v>1591</v>
      </c>
      <c r="C150" s="28" t="s">
        <v>483</v>
      </c>
      <c r="D150" s="29" t="s">
        <v>64</v>
      </c>
      <c r="E150" s="30" t="s">
        <v>484</v>
      </c>
      <c r="F150" s="5"/>
      <c r="G150" s="6"/>
      <c r="H150" s="4"/>
      <c r="I150" s="8"/>
      <c r="J150" s="5" t="str">
        <f t="shared" si="455"/>
        <v>NO APLICA</v>
      </c>
      <c r="K150" s="5"/>
      <c r="L150" s="6"/>
      <c r="M150" s="6"/>
      <c r="N150" s="8"/>
      <c r="O150" s="5" t="str">
        <f t="shared" si="456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7"/>
        <v>VIGENTE</v>
      </c>
      <c r="U150" s="5"/>
      <c r="V150" s="2" t="s">
        <v>485</v>
      </c>
      <c r="W150" s="4">
        <v>44590</v>
      </c>
      <c r="X150" s="4">
        <f t="shared" si="410"/>
        <v>46416</v>
      </c>
      <c r="Y150" s="8">
        <f t="shared" ca="1" si="411"/>
        <v>271</v>
      </c>
      <c r="Z150" s="5" t="str">
        <f t="shared" ca="1" si="412"/>
        <v>VIGENTE</v>
      </c>
      <c r="AA150" s="5"/>
      <c r="AB150" s="2" t="s">
        <v>486</v>
      </c>
      <c r="AC150" s="4">
        <v>45192</v>
      </c>
      <c r="AD150" s="4">
        <f t="shared" si="578"/>
        <v>47019</v>
      </c>
      <c r="AE150" s="8">
        <f t="shared" ca="1" si="579"/>
        <v>874</v>
      </c>
      <c r="AF150" s="5" t="str">
        <f t="shared" ca="1" si="457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8"/>
        <v>521</v>
      </c>
      <c r="AK150" s="5" t="str">
        <f t="shared" ca="1" si="408"/>
        <v>VIGENTE</v>
      </c>
      <c r="AL150" s="2"/>
      <c r="AM150" s="4">
        <v>45937</v>
      </c>
      <c r="AN150" s="4">
        <f t="shared" si="572"/>
        <v>46667</v>
      </c>
      <c r="AO150" s="8">
        <f t="shared" ca="1" si="459"/>
        <v>522</v>
      </c>
      <c r="AP150" s="5" t="str">
        <f t="shared" ca="1" si="460"/>
        <v>VIGENTE</v>
      </c>
      <c r="AQ150" s="2"/>
      <c r="AR150" s="4">
        <v>45904</v>
      </c>
      <c r="AS150" s="4">
        <f t="shared" si="568"/>
        <v>46634</v>
      </c>
      <c r="AT150" s="8">
        <f t="shared" ca="1" si="461"/>
        <v>489</v>
      </c>
      <c r="AU150" s="5" t="str">
        <f t="shared" ca="1" si="462"/>
        <v>VIGENTE</v>
      </c>
      <c r="AV150" s="2"/>
      <c r="AW150" s="4">
        <v>45927</v>
      </c>
      <c r="AX150" s="4">
        <f t="shared" si="569"/>
        <v>46657</v>
      </c>
      <c r="AY150" s="8">
        <f t="shared" ca="1" si="463"/>
        <v>512</v>
      </c>
      <c r="AZ150" s="5" t="str">
        <f t="shared" ca="1" si="464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5"/>
        <v>626</v>
      </c>
      <c r="BE150" s="5" t="str">
        <f t="shared" ca="1" si="466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7"/>
        <v>582</v>
      </c>
      <c r="BJ150" s="5" t="str">
        <f t="shared" ca="1" si="468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9"/>
        <v>602</v>
      </c>
      <c r="BO150" s="5" t="str">
        <f t="shared" ca="1" si="470"/>
        <v>VIGENTE</v>
      </c>
      <c r="BP150" s="3"/>
      <c r="BQ150" s="39">
        <v>45988</v>
      </c>
      <c r="BR150" s="4">
        <f t="shared" si="570"/>
        <v>46718</v>
      </c>
      <c r="BS150" s="8">
        <f t="shared" ca="1" si="471"/>
        <v>573</v>
      </c>
      <c r="BT150" s="5" t="str">
        <f t="shared" ca="1" si="472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3"/>
        <v>616</v>
      </c>
      <c r="BY150" s="5" t="str">
        <f t="shared" ca="1" si="474"/>
        <v>VIGENTE</v>
      </c>
      <c r="BZ150" s="2"/>
      <c r="CA150" s="4">
        <v>45986</v>
      </c>
      <c r="CB150" s="4">
        <f t="shared" si="574"/>
        <v>46716</v>
      </c>
      <c r="CC150" s="8">
        <f t="shared" ca="1" si="475"/>
        <v>571</v>
      </c>
      <c r="CD150" s="5" t="str">
        <f t="shared" ca="1" si="476"/>
        <v>VIGENTE</v>
      </c>
      <c r="CE150" s="6"/>
      <c r="CF150" s="4">
        <v>45832</v>
      </c>
      <c r="CG150" s="4">
        <f t="shared" si="416"/>
        <v>47293</v>
      </c>
      <c r="CH150" s="8">
        <f t="shared" ca="1" si="417"/>
        <v>1148</v>
      </c>
      <c r="CI150" s="5" t="str">
        <f t="shared" ca="1" si="573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7"/>
        <v>603</v>
      </c>
      <c r="CN150" s="5" t="str">
        <f t="shared" ca="1" si="478"/>
        <v>VIGENTE</v>
      </c>
      <c r="CO150" s="4"/>
      <c r="CP150" s="39">
        <v>45979</v>
      </c>
      <c r="CQ150" s="4">
        <f>DATE(YEAR(CP150)+2,MONTH(CP150),DAY(CP150))</f>
        <v>46709</v>
      </c>
      <c r="CR150" s="8">
        <f t="shared" ca="1" si="479"/>
        <v>564</v>
      </c>
      <c r="CS150" s="5" t="str">
        <f t="shared" ca="1" si="480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1"/>
        <v>490</v>
      </c>
      <c r="CX150" s="5" t="str">
        <f t="shared" ca="1" si="482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3"/>
        <v>585</v>
      </c>
      <c r="DC150" s="5" t="str">
        <f t="shared" ca="1" si="484"/>
        <v>VIGENTE</v>
      </c>
      <c r="DD150" s="3"/>
      <c r="DE150" s="39">
        <v>45996</v>
      </c>
      <c r="DF150" s="4">
        <f>DATE(YEAR(DE150)+2,MONTH(DE150),DAY(DE150))</f>
        <v>46726</v>
      </c>
      <c r="DG150" s="8">
        <f t="shared" ca="1" si="485"/>
        <v>581</v>
      </c>
      <c r="DH150" s="5" t="str">
        <f t="shared" ca="1" si="486"/>
        <v>VIGENTE</v>
      </c>
      <c r="DI150" s="4"/>
      <c r="DJ150" s="39">
        <v>45975</v>
      </c>
      <c r="DK150" s="4">
        <f>DATE(YEAR(DJ150)+2,MONTH(DJ150),DAY(DJ150))</f>
        <v>46705</v>
      </c>
      <c r="DL150" s="8">
        <f t="shared" ca="1" si="487"/>
        <v>560</v>
      </c>
      <c r="DM150" s="5" t="str">
        <f t="shared" ca="1" si="488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9"/>
        <v>592</v>
      </c>
      <c r="DR150" s="5" t="str">
        <f t="shared" ca="1" si="490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1"/>
        <v>594</v>
      </c>
      <c r="DW150" s="5" t="str">
        <f t="shared" ca="1" si="492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3"/>
        <v>617</v>
      </c>
      <c r="EB150" s="5" t="str">
        <f t="shared" ca="1" si="494"/>
        <v>VIGENTE</v>
      </c>
      <c r="EC150" s="4"/>
      <c r="ED150" s="39">
        <v>45994</v>
      </c>
      <c r="EE150" s="4">
        <f>DATE(YEAR(ED150)+2,MONTH(ED150),DAY(ED150))</f>
        <v>46724</v>
      </c>
      <c r="EF150" s="8">
        <f t="shared" ca="1" si="495"/>
        <v>579</v>
      </c>
      <c r="EG150" s="5" t="str">
        <f t="shared" ca="1" si="496"/>
        <v>VIGENTE</v>
      </c>
      <c r="EH150" s="3"/>
      <c r="EI150" s="3">
        <v>46015</v>
      </c>
      <c r="EJ150" s="4">
        <f t="shared" si="558"/>
        <v>46380</v>
      </c>
      <c r="EK150" s="8">
        <f t="shared" ca="1" si="497"/>
        <v>235</v>
      </c>
      <c r="EL150" s="5" t="str">
        <f t="shared" ca="1" si="498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9"/>
        <v>568</v>
      </c>
      <c r="EQ150" s="5" t="str">
        <f t="shared" ca="1" si="500"/>
        <v>VIGENTE</v>
      </c>
      <c r="ER150" s="2"/>
      <c r="ES150" s="39">
        <v>45999</v>
      </c>
      <c r="ET150" s="4">
        <f>DATE(YEAR(ES150)+2,MONTH(ES150),DAY(ES150))</f>
        <v>46729</v>
      </c>
      <c r="EU150" s="8">
        <f t="shared" ca="1" si="501"/>
        <v>584</v>
      </c>
      <c r="EV150" s="5" t="str">
        <f t="shared" ca="1" si="502"/>
        <v>VIGENTE</v>
      </c>
      <c r="EW150" s="3"/>
      <c r="EX150" s="4">
        <v>46037</v>
      </c>
      <c r="EY150" s="4">
        <f t="shared" si="575"/>
        <v>46767</v>
      </c>
      <c r="EZ150" s="8">
        <f t="shared" ca="1" si="503"/>
        <v>622</v>
      </c>
      <c r="FA150" s="5" t="str">
        <f t="shared" ca="1" si="504"/>
        <v>VIGENTE</v>
      </c>
      <c r="FB150" s="4"/>
      <c r="FC150" s="4">
        <v>46010</v>
      </c>
      <c r="FD150" s="4">
        <f t="shared" si="576"/>
        <v>46740</v>
      </c>
      <c r="FE150" s="8">
        <f t="shared" ca="1" si="505"/>
        <v>595</v>
      </c>
      <c r="FF150" s="5" t="str">
        <f t="shared" ca="1" si="506"/>
        <v>VIGENTE</v>
      </c>
      <c r="FG150" s="4"/>
      <c r="FH150" s="4">
        <v>45962</v>
      </c>
      <c r="FI150" s="4">
        <f t="shared" si="577"/>
        <v>46692</v>
      </c>
      <c r="FJ150" s="8">
        <f t="shared" ca="1" si="507"/>
        <v>547</v>
      </c>
      <c r="FK150" s="5" t="str">
        <f t="shared" ca="1" si="508"/>
        <v>VIGENTE</v>
      </c>
      <c r="FL150" s="4"/>
      <c r="FM150" s="39">
        <v>46039</v>
      </c>
      <c r="FN150" s="4">
        <f>DATE(YEAR(FM150)+2,MONTH(FM150),DAY(FM150))</f>
        <v>46769</v>
      </c>
      <c r="FO150" s="8">
        <f t="shared" ca="1" si="509"/>
        <v>624</v>
      </c>
      <c r="FP150" s="5" t="str">
        <f t="shared" ca="1" si="510"/>
        <v>VIGENTE</v>
      </c>
      <c r="FQ150" s="4"/>
      <c r="FR150" s="39">
        <v>46034</v>
      </c>
      <c r="FS150" s="4">
        <f>DATE(YEAR(FR150)+2,MONTH(FR150),DAY(FR150))</f>
        <v>46764</v>
      </c>
      <c r="FT150" s="8">
        <f t="shared" ca="1" si="511"/>
        <v>619</v>
      </c>
      <c r="FU150" s="5" t="str">
        <f t="shared" ca="1" si="512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3"/>
        <v>589</v>
      </c>
      <c r="FZ150" s="5" t="str">
        <f t="shared" ca="1" si="514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5"/>
        <v>510</v>
      </c>
      <c r="GE150" s="5" t="str">
        <f t="shared" ca="1" si="516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7"/>
        <v>545</v>
      </c>
      <c r="GJ150" s="5" t="str">
        <f t="shared" ca="1" si="518"/>
        <v>VIGENTE</v>
      </c>
      <c r="GK150" s="3"/>
      <c r="GL150" s="4">
        <v>46071</v>
      </c>
      <c r="GM150" s="4">
        <f t="shared" si="571"/>
        <v>46801</v>
      </c>
      <c r="GN150" s="8">
        <f t="shared" ca="1" si="519"/>
        <v>656</v>
      </c>
      <c r="GO150" s="5" t="str">
        <f t="shared" ca="1" si="520"/>
        <v>VIGENTE</v>
      </c>
      <c r="GP150" s="4"/>
      <c r="GQ150" s="4">
        <v>45299</v>
      </c>
      <c r="GR150" s="4">
        <f t="shared" si="521"/>
        <v>47126</v>
      </c>
      <c r="GS150" s="8">
        <f t="shared" ca="1" si="405"/>
        <v>981</v>
      </c>
      <c r="GT150" s="5" t="str">
        <f t="shared" ca="1" si="419"/>
        <v>VIGENTE</v>
      </c>
      <c r="GU150" s="3"/>
      <c r="GV150" s="4">
        <v>45329</v>
      </c>
      <c r="GW150" s="4">
        <f t="shared" si="522"/>
        <v>47156</v>
      </c>
      <c r="GX150" s="8">
        <f t="shared" ca="1" si="523"/>
        <v>1011</v>
      </c>
      <c r="GY150" s="5" t="str">
        <f t="shared" ca="1" si="426"/>
        <v>VIGENTE</v>
      </c>
      <c r="GZ150" s="2"/>
      <c r="HA150" s="4">
        <v>45343</v>
      </c>
      <c r="HB150" s="4">
        <f t="shared" si="524"/>
        <v>47170</v>
      </c>
      <c r="HC150" s="8">
        <f t="shared" ca="1" si="525"/>
        <v>1025</v>
      </c>
      <c r="HD150" s="5" t="str">
        <f t="shared" ca="1" si="421"/>
        <v>VIGENTE</v>
      </c>
      <c r="HE150" s="6"/>
      <c r="HF150" s="4">
        <v>45317</v>
      </c>
      <c r="HG150" s="4">
        <f t="shared" si="580"/>
        <v>47144</v>
      </c>
      <c r="HH150" s="8">
        <f t="shared" ca="1" si="581"/>
        <v>999</v>
      </c>
      <c r="HI150" s="5" t="str">
        <f t="shared" ca="1" si="427"/>
        <v>VIGENTE</v>
      </c>
      <c r="HJ150" s="2"/>
      <c r="HK150" s="6"/>
      <c r="HL150" s="4"/>
      <c r="HM150" s="8"/>
      <c r="HN150" s="5" t="str">
        <f t="shared" si="444"/>
        <v>NO APLICA</v>
      </c>
      <c r="HO150" s="2"/>
      <c r="HP150" s="2"/>
      <c r="HQ150" s="4"/>
      <c r="HR150" s="2"/>
      <c r="HS150" s="5" t="str">
        <f t="shared" si="526"/>
        <v>NO APLICA</v>
      </c>
      <c r="HT150" s="2"/>
      <c r="HU150" s="6"/>
      <c r="HV150" s="4"/>
      <c r="HW150" s="8"/>
      <c r="HX150" s="5" t="str">
        <f t="shared" si="527"/>
        <v>NO APLICA</v>
      </c>
      <c r="HY150" s="2"/>
      <c r="HZ150" s="6"/>
      <c r="IA150" s="4"/>
      <c r="IB150" s="8"/>
      <c r="IC150" s="5" t="str">
        <f t="shared" si="528"/>
        <v>NO APLICA</v>
      </c>
      <c r="ID150" s="2"/>
      <c r="IE150" s="6"/>
      <c r="IF150" s="4"/>
      <c r="IG150" s="8"/>
      <c r="IH150" s="5" t="str">
        <f t="shared" si="529"/>
        <v>NO APLICA</v>
      </c>
      <c r="II150" s="6"/>
      <c r="IJ150" s="6"/>
      <c r="IK150" s="4"/>
      <c r="IL150" s="8"/>
      <c r="IM150" s="5" t="str">
        <f t="shared" si="530"/>
        <v>NO APLICA</v>
      </c>
      <c r="IN150" s="2"/>
      <c r="IO150" s="6"/>
      <c r="IP150" s="4"/>
      <c r="IQ150" s="8"/>
      <c r="IR150" s="5" t="str">
        <f t="shared" si="531"/>
        <v>NO APLICA</v>
      </c>
      <c r="IS150" s="2"/>
      <c r="IT150" s="6"/>
      <c r="IU150" s="4"/>
      <c r="IV150" s="8"/>
      <c r="IW150" s="5" t="str">
        <f t="shared" si="532"/>
        <v>NO APLICA</v>
      </c>
      <c r="IX150" s="2"/>
      <c r="IY150" s="6"/>
      <c r="IZ150" s="4"/>
      <c r="JA150" s="8"/>
      <c r="JB150" s="5" t="str">
        <f t="shared" si="533"/>
        <v>NO APLICA</v>
      </c>
      <c r="JC150" s="3" t="s">
        <v>780</v>
      </c>
      <c r="JD150" s="3"/>
      <c r="JE150" s="4"/>
      <c r="JF150" s="8"/>
      <c r="JG150" s="5"/>
      <c r="JH150" s="3" t="s">
        <v>780</v>
      </c>
      <c r="JI150" s="6"/>
      <c r="JJ150" s="6"/>
      <c r="JK150" s="6"/>
      <c r="JL150" s="5"/>
      <c r="JM150" s="6" t="s">
        <v>780</v>
      </c>
      <c r="JN150" s="6"/>
      <c r="JO150" s="6"/>
      <c r="JP150" s="6"/>
      <c r="JQ150" s="5"/>
      <c r="JR150" s="6" t="s">
        <v>780</v>
      </c>
      <c r="JS150" s="6"/>
      <c r="JT150" s="6"/>
      <c r="JU150" s="6"/>
      <c r="JV150" s="5"/>
      <c r="JW150" s="6" t="s">
        <v>780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4"/>
        <v>NO APLICA</v>
      </c>
      <c r="KG150" s="5"/>
      <c r="KH150" s="2"/>
      <c r="KI150" s="4"/>
      <c r="KJ150" s="8"/>
      <c r="KK150" s="5" t="str">
        <f t="shared" si="559"/>
        <v>NO APLICA</v>
      </c>
      <c r="KL150" s="5"/>
      <c r="KM150" s="2"/>
      <c r="KN150" s="4"/>
      <c r="KO150" s="8"/>
      <c r="KP150" s="5" t="str">
        <f t="shared" si="535"/>
        <v>NO APLICA</v>
      </c>
      <c r="KQ150" s="5"/>
      <c r="KR150" s="2"/>
      <c r="KS150" s="4"/>
      <c r="KT150" s="8"/>
      <c r="KU150" s="5" t="str">
        <f t="shared" si="560"/>
        <v>NO APLICA</v>
      </c>
      <c r="KV150" s="2"/>
      <c r="KW150" s="6"/>
      <c r="KX150" s="4"/>
      <c r="KY150" s="8"/>
      <c r="KZ150" s="5" t="str">
        <f t="shared" si="565"/>
        <v>NO APLICA</v>
      </c>
      <c r="LA150" s="5"/>
      <c r="LB150" s="6"/>
      <c r="LC150" s="4"/>
      <c r="LD150" s="8"/>
      <c r="LE150" s="5" t="str">
        <f t="shared" si="561"/>
        <v>NO APLICA</v>
      </c>
      <c r="LF150" s="6"/>
      <c r="LG150" s="6"/>
      <c r="LH150" s="4"/>
      <c r="LI150" s="8"/>
      <c r="LJ150" s="5" t="str">
        <f t="shared" si="567"/>
        <v>NO APLICA</v>
      </c>
      <c r="LK150" s="5"/>
      <c r="LL150" s="5"/>
      <c r="LM150" s="5"/>
      <c r="LN150" s="5"/>
      <c r="LO150" s="5" t="str">
        <f t="shared" si="566"/>
        <v>NO APLICA</v>
      </c>
      <c r="LP150" s="2"/>
      <c r="LQ150" s="6"/>
      <c r="LR150" s="4"/>
      <c r="LS150" s="8"/>
      <c r="LT150" s="5" t="str">
        <f t="shared" si="562"/>
        <v>NO APLICA</v>
      </c>
      <c r="LU150" s="6"/>
      <c r="LV150" s="6"/>
      <c r="LW150" s="4"/>
      <c r="LX150" s="8"/>
      <c r="LY150" s="5" t="str">
        <f t="shared" si="563"/>
        <v>NO APLICA</v>
      </c>
      <c r="LZ150" s="6"/>
      <c r="MA150" s="6"/>
      <c r="MB150" s="4"/>
      <c r="MC150" s="8"/>
      <c r="MD150" s="5" t="str">
        <f t="shared" si="564"/>
        <v>NO APLICA</v>
      </c>
      <c r="ME150" s="2"/>
      <c r="MF150" s="2"/>
      <c r="MG150" s="4"/>
      <c r="MH150" s="8"/>
      <c r="MI150" s="5" t="str">
        <f t="shared" si="537"/>
        <v>NO APLICA</v>
      </c>
      <c r="MJ150" s="2"/>
      <c r="MK150" s="2"/>
      <c r="ML150" s="4"/>
      <c r="MM150" s="8"/>
      <c r="MN150" s="5" t="str">
        <f t="shared" si="538"/>
        <v>NO APLICA</v>
      </c>
      <c r="MO150" s="5"/>
      <c r="MP150" s="2"/>
      <c r="MQ150" s="4"/>
      <c r="MR150" s="8"/>
      <c r="MS150" s="5" t="str">
        <f t="shared" si="539"/>
        <v>NO APLICA</v>
      </c>
      <c r="MT150" s="5"/>
      <c r="MU150" s="2"/>
      <c r="MV150" s="4"/>
      <c r="MW150" s="2"/>
      <c r="MX150" s="5" t="str">
        <f t="shared" si="540"/>
        <v>NO APLICA</v>
      </c>
      <c r="MY150" s="2"/>
      <c r="MZ150" s="6"/>
      <c r="NA150" s="4"/>
      <c r="NB150" s="8"/>
      <c r="NC150" s="5" t="str">
        <f t="shared" si="541"/>
        <v>NO APLICA</v>
      </c>
      <c r="ND150" s="2"/>
      <c r="NE150" s="6"/>
      <c r="NF150" s="4"/>
      <c r="NG150" s="8"/>
      <c r="NH150" s="5" t="str">
        <f t="shared" si="542"/>
        <v>NO APLICA</v>
      </c>
      <c r="NI150" s="2"/>
      <c r="NJ150" s="6"/>
      <c r="NK150" s="4"/>
      <c r="NL150" s="8"/>
      <c r="NM150" s="5" t="str">
        <f t="shared" si="543"/>
        <v>NO APLICA</v>
      </c>
      <c r="NN150" s="2"/>
      <c r="NO150" s="2"/>
      <c r="NP150" s="4"/>
      <c r="NQ150" s="2"/>
      <c r="NR150" s="5" t="str">
        <f t="shared" si="544"/>
        <v>NO APLICA</v>
      </c>
      <c r="NS150" s="2"/>
      <c r="NT150" s="2"/>
      <c r="NU150" s="4"/>
      <c r="NV150" s="2"/>
      <c r="NW150" s="5" t="str">
        <f t="shared" si="545"/>
        <v>NO APLICA</v>
      </c>
      <c r="NX150" s="6"/>
      <c r="NY150" s="6"/>
      <c r="NZ150" s="4"/>
      <c r="OA150" s="8"/>
      <c r="OB150" s="5" t="str">
        <f t="shared" si="546"/>
        <v>NO APLICA</v>
      </c>
      <c r="OC150" s="6"/>
      <c r="OD150" s="6"/>
      <c r="OE150" s="6"/>
      <c r="OF150" s="6"/>
      <c r="OG150" s="5" t="str">
        <f t="shared" si="547"/>
        <v>NO APLICA</v>
      </c>
      <c r="OH150" s="6"/>
      <c r="OI150" s="6"/>
      <c r="OJ150" s="4"/>
      <c r="OK150" s="8"/>
      <c r="OL150" s="5" t="str">
        <f t="shared" si="548"/>
        <v>NO APLICA</v>
      </c>
      <c r="OM150" s="6"/>
      <c r="ON150" s="6"/>
      <c r="OO150" s="6"/>
      <c r="OP150" s="6"/>
      <c r="OQ150" s="5" t="str">
        <f t="shared" si="549"/>
        <v>NO APLICA</v>
      </c>
      <c r="OR150" s="6"/>
      <c r="OS150" s="6"/>
      <c r="OT150" s="6"/>
      <c r="OU150" s="6"/>
      <c r="OV150" s="5" t="str">
        <f t="shared" si="550"/>
        <v>NO APLICA</v>
      </c>
      <c r="OW150" s="6"/>
      <c r="OX150" s="6"/>
      <c r="OY150" s="6"/>
      <c r="OZ150" s="6"/>
      <c r="PA150" s="5" t="str">
        <f t="shared" si="551"/>
        <v>NO APLICA</v>
      </c>
      <c r="PB150" s="6"/>
      <c r="PC150" s="6"/>
      <c r="PD150" s="6"/>
      <c r="PE150" s="6"/>
      <c r="PF150" s="5" t="str">
        <f t="shared" si="552"/>
        <v>NO APLICA</v>
      </c>
      <c r="PG150" s="6"/>
      <c r="PH150" s="6"/>
      <c r="PI150" s="6"/>
      <c r="PJ150" s="6"/>
      <c r="PK150" s="5" t="str">
        <f t="shared" si="553"/>
        <v>NO APLICA</v>
      </c>
      <c r="PL150" s="5"/>
      <c r="PM150" s="6"/>
      <c r="PN150" s="4"/>
      <c r="PO150" s="8"/>
      <c r="PP150" s="5" t="str">
        <f t="shared" si="554"/>
        <v>NO APLICA</v>
      </c>
      <c r="PQ150" s="6"/>
      <c r="PR150" s="6"/>
      <c r="PS150" s="6"/>
      <c r="PT150" s="6"/>
      <c r="PU150" s="5" t="str">
        <f t="shared" si="555"/>
        <v>NO APLICA</v>
      </c>
      <c r="PV150" s="5"/>
      <c r="PW150" s="6"/>
      <c r="PX150" s="6"/>
      <c r="PY150" s="6"/>
      <c r="PZ150" s="5" t="str">
        <f t="shared" si="556"/>
        <v>NO APLICA</v>
      </c>
    </row>
    <row r="151" spans="1:442" ht="15.6" hidden="1" thickTop="1" thickBot="1" x14ac:dyDescent="0.35">
      <c r="A151" s="26">
        <v>148</v>
      </c>
      <c r="B151" s="27">
        <v>857</v>
      </c>
      <c r="C151" s="28" t="s">
        <v>487</v>
      </c>
      <c r="D151" s="29" t="s">
        <v>68</v>
      </c>
      <c r="E151" s="30" t="s">
        <v>77</v>
      </c>
      <c r="F151" s="5"/>
      <c r="G151" s="6"/>
      <c r="H151" s="4"/>
      <c r="I151" s="8"/>
      <c r="J151" s="5" t="str">
        <f t="shared" si="455"/>
        <v>NO APLICA</v>
      </c>
      <c r="K151" s="5"/>
      <c r="L151" s="6"/>
      <c r="M151" s="6"/>
      <c r="N151" s="8"/>
      <c r="O151" s="5" t="str">
        <f t="shared" si="456"/>
        <v>NO APLICA</v>
      </c>
      <c r="P151" s="6"/>
      <c r="Q151" s="6"/>
      <c r="R151" s="4"/>
      <c r="S151" s="8"/>
      <c r="T151" s="5" t="str">
        <f t="shared" si="557"/>
        <v>NO APLICA</v>
      </c>
      <c r="U151" s="5"/>
      <c r="V151" s="2" t="s">
        <v>488</v>
      </c>
      <c r="W151" s="4">
        <v>45849</v>
      </c>
      <c r="X151" s="4">
        <f t="shared" si="410"/>
        <v>47675</v>
      </c>
      <c r="Y151" s="8">
        <f t="shared" ca="1" si="411"/>
        <v>1530</v>
      </c>
      <c r="Z151" s="5" t="str">
        <f t="shared" ca="1" si="412"/>
        <v>VIGENTE</v>
      </c>
      <c r="AA151" s="5"/>
      <c r="AB151" s="2" t="s">
        <v>489</v>
      </c>
      <c r="AC151" s="4">
        <v>44603</v>
      </c>
      <c r="AD151" s="4">
        <f t="shared" si="578"/>
        <v>46429</v>
      </c>
      <c r="AE151" s="8">
        <f t="shared" ca="1" si="579"/>
        <v>284</v>
      </c>
      <c r="AF151" s="5" t="str">
        <f t="shared" ca="1" si="457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8"/>
        <v>178</v>
      </c>
      <c r="AK151" s="5" t="str">
        <f t="shared" ca="1" si="408"/>
        <v>VIGENTE</v>
      </c>
      <c r="AL151" s="3"/>
      <c r="AM151" s="4">
        <v>45937</v>
      </c>
      <c r="AN151" s="4">
        <f t="shared" si="572"/>
        <v>46667</v>
      </c>
      <c r="AO151" s="8">
        <f t="shared" ca="1" si="459"/>
        <v>522</v>
      </c>
      <c r="AP151" s="5" t="str">
        <f t="shared" ca="1" si="460"/>
        <v>VIGENTE</v>
      </c>
      <c r="AQ151" s="3"/>
      <c r="AR151" s="4">
        <v>45989</v>
      </c>
      <c r="AS151" s="4">
        <f t="shared" si="568"/>
        <v>46719</v>
      </c>
      <c r="AT151" s="8">
        <f t="shared" ca="1" si="461"/>
        <v>574</v>
      </c>
      <c r="AU151" s="5" t="str">
        <f t="shared" ca="1" si="462"/>
        <v>VIGENTE</v>
      </c>
      <c r="AV151" s="3"/>
      <c r="AW151" s="4">
        <v>46070</v>
      </c>
      <c r="AX151" s="4">
        <f t="shared" si="569"/>
        <v>46800</v>
      </c>
      <c r="AY151" s="8">
        <f t="shared" ca="1" si="463"/>
        <v>655</v>
      </c>
      <c r="AZ151" s="5" t="str">
        <f t="shared" ca="1" si="464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5"/>
        <v>187</v>
      </c>
      <c r="BE151" s="5" t="str">
        <f t="shared" ca="1" si="466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7"/>
        <v>227</v>
      </c>
      <c r="BJ151" s="5" t="str">
        <f t="shared" ca="1" si="468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9"/>
        <v>620</v>
      </c>
      <c r="BO151" s="5" t="str">
        <f t="shared" ca="1" si="470"/>
        <v>VIGENTE</v>
      </c>
      <c r="BP151" s="3"/>
      <c r="BQ151" s="39">
        <v>45701</v>
      </c>
      <c r="BR151" s="4">
        <f>DATE(YEAR(BQ151)+2,MONTH(BQ151),DAY(BQ151)-1)</f>
        <v>46430</v>
      </c>
      <c r="BS151" s="8">
        <f t="shared" ca="1" si="471"/>
        <v>285</v>
      </c>
      <c r="BT151" s="5" t="str">
        <f t="shared" ca="1" si="472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3"/>
        <v>320</v>
      </c>
      <c r="BY151" s="5" t="str">
        <f t="shared" ca="1" si="474"/>
        <v>VIGENTE</v>
      </c>
      <c r="BZ151" s="3"/>
      <c r="CA151" s="4">
        <v>45944</v>
      </c>
      <c r="CB151" s="4">
        <f t="shared" si="574"/>
        <v>46674</v>
      </c>
      <c r="CC151" s="8">
        <f t="shared" ca="1" si="475"/>
        <v>529</v>
      </c>
      <c r="CD151" s="5" t="str">
        <f t="shared" ca="1" si="476"/>
        <v>VIGENTE</v>
      </c>
      <c r="CE151" s="6"/>
      <c r="CF151" s="4">
        <v>45262</v>
      </c>
      <c r="CG151" s="4">
        <f t="shared" si="416"/>
        <v>46723</v>
      </c>
      <c r="CH151" s="8">
        <f t="shared" ca="1" si="417"/>
        <v>578</v>
      </c>
      <c r="CI151" s="5" t="str">
        <f t="shared" ca="1" si="573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7"/>
        <v>272</v>
      </c>
      <c r="CN151" s="5" t="str">
        <f t="shared" ca="1" si="478"/>
        <v>VIGENTE</v>
      </c>
      <c r="CO151" s="4"/>
      <c r="CP151" s="39">
        <v>45726</v>
      </c>
      <c r="CQ151" s="4">
        <f>DATE(YEAR(CP151)+2,MONTH(CP151),DAY(CP151)-1)</f>
        <v>46455</v>
      </c>
      <c r="CR151" s="8">
        <f t="shared" ca="1" si="479"/>
        <v>310</v>
      </c>
      <c r="CS151" s="5" t="str">
        <f t="shared" ca="1" si="480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1"/>
        <v>223</v>
      </c>
      <c r="CX151" s="5" t="str">
        <f t="shared" ca="1" si="482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3"/>
        <v>249</v>
      </c>
      <c r="DC151" s="5" t="str">
        <f t="shared" ca="1" si="484"/>
        <v>VIGENTE</v>
      </c>
      <c r="DD151" s="3"/>
      <c r="DE151" s="39">
        <v>45689</v>
      </c>
      <c r="DF151" s="4">
        <f>DATE(YEAR(DE151)+2,MONTH(DE151),DAY(DE151)-1)</f>
        <v>46418</v>
      </c>
      <c r="DG151" s="8">
        <f t="shared" ca="1" si="485"/>
        <v>273</v>
      </c>
      <c r="DH151" s="5" t="str">
        <f t="shared" ca="1" si="486"/>
        <v>VIGENTE</v>
      </c>
      <c r="DI151" s="3"/>
      <c r="DJ151" s="39">
        <v>46073</v>
      </c>
      <c r="DK151" s="4">
        <f>DATE(YEAR(DJ151)+2,MONTH(DJ151),DAY(DJ151))</f>
        <v>46803</v>
      </c>
      <c r="DL151" s="8">
        <f t="shared" ca="1" si="487"/>
        <v>658</v>
      </c>
      <c r="DM151" s="5" t="str">
        <f t="shared" ca="1" si="488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9"/>
        <v>567</v>
      </c>
      <c r="DR151" s="5" t="str">
        <f t="shared" ca="1" si="490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1"/>
        <v>269</v>
      </c>
      <c r="DW151" s="5" t="str">
        <f t="shared" ca="1" si="492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3"/>
        <v>247</v>
      </c>
      <c r="EB151" s="5" t="str">
        <f t="shared" ca="1" si="494"/>
        <v>VIGENTE</v>
      </c>
      <c r="EC151" s="4"/>
      <c r="ED151" s="39">
        <v>45583</v>
      </c>
      <c r="EE151" s="4">
        <f>DATE(YEAR(ED151)+2,MONTH(ED151),DAY(ED151)-1)</f>
        <v>46312</v>
      </c>
      <c r="EF151" s="8">
        <f t="shared" ca="1" si="495"/>
        <v>167</v>
      </c>
      <c r="EG151" s="5" t="str">
        <f t="shared" ca="1" si="496"/>
        <v>VIGENTE</v>
      </c>
      <c r="EH151" s="3"/>
      <c r="EI151" s="3">
        <v>46085</v>
      </c>
      <c r="EJ151" s="4">
        <f t="shared" si="558"/>
        <v>46450</v>
      </c>
      <c r="EK151" s="8">
        <f t="shared" ca="1" si="497"/>
        <v>305</v>
      </c>
      <c r="EL151" s="5" t="str">
        <f t="shared" ca="1" si="498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9"/>
        <v>255</v>
      </c>
      <c r="EQ151" s="5" t="str">
        <f t="shared" ca="1" si="500"/>
        <v>VIGENTE</v>
      </c>
      <c r="ER151" s="4"/>
      <c r="ES151" s="39">
        <v>45677</v>
      </c>
      <c r="ET151" s="4">
        <f>DATE(YEAR(ES151)+2,MONTH(ES151),DAY(ES151)-1)</f>
        <v>46406</v>
      </c>
      <c r="EU151" s="8">
        <f t="shared" ca="1" si="501"/>
        <v>261</v>
      </c>
      <c r="EV151" s="5" t="str">
        <f t="shared" ca="1" si="502"/>
        <v>VIGENTE</v>
      </c>
      <c r="EW151" s="3"/>
      <c r="EX151" s="4">
        <v>45953</v>
      </c>
      <c r="EY151" s="4">
        <f t="shared" si="575"/>
        <v>46683</v>
      </c>
      <c r="EZ151" s="8">
        <f t="shared" ca="1" si="503"/>
        <v>538</v>
      </c>
      <c r="FA151" s="5" t="str">
        <f t="shared" ca="1" si="504"/>
        <v>VIGENTE</v>
      </c>
      <c r="FB151" s="3"/>
      <c r="FC151" s="4">
        <v>45931</v>
      </c>
      <c r="FD151" s="4">
        <f t="shared" si="576"/>
        <v>46661</v>
      </c>
      <c r="FE151" s="8">
        <f t="shared" ca="1" si="505"/>
        <v>516</v>
      </c>
      <c r="FF151" s="5" t="str">
        <f t="shared" ca="1" si="506"/>
        <v>VIGENTE</v>
      </c>
      <c r="FG151" s="3"/>
      <c r="FH151" s="4">
        <v>45992</v>
      </c>
      <c r="FI151" s="4">
        <f t="shared" si="577"/>
        <v>46722</v>
      </c>
      <c r="FJ151" s="8">
        <f t="shared" ca="1" si="507"/>
        <v>577</v>
      </c>
      <c r="FK151" s="5" t="str">
        <f t="shared" ca="1" si="508"/>
        <v>VIGENTE</v>
      </c>
      <c r="FL151" s="3"/>
      <c r="FM151" s="39">
        <v>45738</v>
      </c>
      <c r="FN151" s="4">
        <f>DATE(YEAR(FM151)+2,MONTH(FM151),DAY(FM151)-1)</f>
        <v>46467</v>
      </c>
      <c r="FO151" s="8">
        <f t="shared" ca="1" si="509"/>
        <v>322</v>
      </c>
      <c r="FP151" s="5" t="str">
        <f t="shared" ca="1" si="510"/>
        <v>VIGENTE</v>
      </c>
      <c r="FQ151" s="4"/>
      <c r="FR151" s="39">
        <v>45678</v>
      </c>
      <c r="FS151" s="4">
        <f>DATE(YEAR(FR151)+2,MONTH(FR151),DAY(FR151)-1)</f>
        <v>46407</v>
      </c>
      <c r="FT151" s="8">
        <f t="shared" ca="1" si="511"/>
        <v>262</v>
      </c>
      <c r="FU151" s="5" t="str">
        <f t="shared" ca="1" si="512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3"/>
        <v>599</v>
      </c>
      <c r="FZ151" s="5" t="str">
        <f t="shared" ca="1" si="514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5"/>
        <v>251</v>
      </c>
      <c r="GE151" s="5" t="str">
        <f t="shared" ca="1" si="516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7"/>
        <v>256</v>
      </c>
      <c r="GJ151" s="5" t="str">
        <f t="shared" ca="1" si="518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9"/>
        <v>217</v>
      </c>
      <c r="GO151" s="5" t="str">
        <f t="shared" ca="1" si="520"/>
        <v>VIGENTE</v>
      </c>
      <c r="GP151" s="4"/>
      <c r="GQ151" s="4">
        <v>45299</v>
      </c>
      <c r="GR151" s="4">
        <f t="shared" si="521"/>
        <v>47126</v>
      </c>
      <c r="GS151" s="8">
        <f t="shared" ca="1" si="405"/>
        <v>981</v>
      </c>
      <c r="GT151" s="5" t="str">
        <f t="shared" ca="1" si="419"/>
        <v>VIGENTE</v>
      </c>
      <c r="GU151" s="3"/>
      <c r="GV151" s="4">
        <v>45195</v>
      </c>
      <c r="GW151" s="4">
        <f t="shared" si="522"/>
        <v>47022</v>
      </c>
      <c r="GX151" s="8">
        <f t="shared" ca="1" si="523"/>
        <v>877</v>
      </c>
      <c r="GY151" s="5" t="str">
        <f t="shared" ca="1" si="426"/>
        <v>VIGENTE</v>
      </c>
      <c r="GZ151" s="3"/>
      <c r="HA151" s="4">
        <v>45258</v>
      </c>
      <c r="HB151" s="4">
        <f t="shared" si="524"/>
        <v>47085</v>
      </c>
      <c r="HC151" s="8">
        <f t="shared" ca="1" si="525"/>
        <v>940</v>
      </c>
      <c r="HD151" s="5" t="str">
        <f t="shared" ca="1" si="421"/>
        <v>VIGENTE</v>
      </c>
      <c r="HE151" s="6"/>
      <c r="HF151" s="4">
        <v>44879</v>
      </c>
      <c r="HG151" s="4">
        <f t="shared" si="580"/>
        <v>46705</v>
      </c>
      <c r="HH151" s="8">
        <f t="shared" ca="1" si="581"/>
        <v>560</v>
      </c>
      <c r="HI151" s="5" t="str">
        <f t="shared" ca="1" si="427"/>
        <v>VIGENTE</v>
      </c>
      <c r="HJ151" s="2"/>
      <c r="HK151" s="6"/>
      <c r="HL151" s="4"/>
      <c r="HM151" s="8"/>
      <c r="HN151" s="5" t="str">
        <f t="shared" si="444"/>
        <v>NO APLICA</v>
      </c>
      <c r="HO151" s="2"/>
      <c r="HP151" s="2"/>
      <c r="HQ151" s="4"/>
      <c r="HR151" s="2"/>
      <c r="HS151" s="5" t="str">
        <f t="shared" si="526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7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8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9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30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1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2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3"/>
        <v>VIGENTE</v>
      </c>
      <c r="JC151" s="3" t="s">
        <v>780</v>
      </c>
      <c r="JD151" s="3"/>
      <c r="JE151" s="4"/>
      <c r="JF151" s="8"/>
      <c r="JG151" s="5"/>
      <c r="JH151" s="3" t="s">
        <v>780</v>
      </c>
      <c r="JI151" s="6"/>
      <c r="JJ151" s="6"/>
      <c r="JK151" s="6"/>
      <c r="JL151" s="5"/>
      <c r="JM151" s="6" t="s">
        <v>780</v>
      </c>
      <c r="JN151" s="6"/>
      <c r="JO151" s="6"/>
      <c r="JP151" s="6"/>
      <c r="JQ151" s="5"/>
      <c r="JR151" s="6" t="s">
        <v>780</v>
      </c>
      <c r="JS151" s="6"/>
      <c r="JT151" s="6"/>
      <c r="JU151" s="6"/>
      <c r="JV151" s="5"/>
      <c r="JW151" s="6" t="s">
        <v>780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4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9"/>
        <v>VIGENTE</v>
      </c>
      <c r="KL151" s="5"/>
      <c r="KM151" s="2"/>
      <c r="KN151" s="4"/>
      <c r="KO151" s="8"/>
      <c r="KP151" s="5" t="str">
        <f t="shared" si="535"/>
        <v>NO APLICA</v>
      </c>
      <c r="KQ151" s="5"/>
      <c r="KR151" s="2"/>
      <c r="KS151" s="4"/>
      <c r="KT151" s="8"/>
      <c r="KU151" s="5" t="str">
        <f t="shared" si="560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5"/>
        <v>VIGENTE</v>
      </c>
      <c r="LA151" s="5"/>
      <c r="LB151" s="6"/>
      <c r="LC151" s="4"/>
      <c r="LD151" s="8"/>
      <c r="LE151" s="5" t="str">
        <f t="shared" si="561"/>
        <v>NO APLICA</v>
      </c>
      <c r="LF151" s="6"/>
      <c r="LG151" s="4"/>
      <c r="LH151" s="4"/>
      <c r="LI151" s="8"/>
      <c r="LJ151" s="5" t="str">
        <f t="shared" si="567"/>
        <v>NO APLICA</v>
      </c>
      <c r="LK151" s="5"/>
      <c r="LL151" s="5"/>
      <c r="LM151" s="5"/>
      <c r="LN151" s="5"/>
      <c r="LO151" s="5" t="str">
        <f t="shared" si="566"/>
        <v>NO APLICA</v>
      </c>
      <c r="LP151" s="2"/>
      <c r="LQ151" s="6"/>
      <c r="LR151" s="4"/>
      <c r="LS151" s="8"/>
      <c r="LT151" s="5" t="str">
        <f t="shared" si="562"/>
        <v>NO APLICA</v>
      </c>
      <c r="LU151" s="6"/>
      <c r="LV151" s="6"/>
      <c r="LW151" s="4"/>
      <c r="LX151" s="8"/>
      <c r="LY151" s="5" t="str">
        <f t="shared" si="563"/>
        <v>NO APLICA</v>
      </c>
      <c r="LZ151" s="6"/>
      <c r="MA151" s="6"/>
      <c r="MB151" s="4"/>
      <c r="MC151" s="8"/>
      <c r="MD151" s="5" t="str">
        <f t="shared" si="564"/>
        <v>NO APLICA</v>
      </c>
      <c r="ME151" s="2"/>
      <c r="MF151" s="2"/>
      <c r="MG151" s="4"/>
      <c r="MH151" s="8"/>
      <c r="MI151" s="5" t="str">
        <f t="shared" si="537"/>
        <v>NO APLICA</v>
      </c>
      <c r="MJ151" s="2"/>
      <c r="MK151" s="2"/>
      <c r="ML151" s="4"/>
      <c r="MM151" s="8"/>
      <c r="MN151" s="5" t="str">
        <f t="shared" si="538"/>
        <v>NO APLICA</v>
      </c>
      <c r="MO151" s="5"/>
      <c r="MP151" s="2"/>
      <c r="MQ151" s="4"/>
      <c r="MR151" s="8"/>
      <c r="MS151" s="5" t="str">
        <f t="shared" si="539"/>
        <v>NO APLICA</v>
      </c>
      <c r="MT151" s="5"/>
      <c r="MU151" s="2"/>
      <c r="MV151" s="4"/>
      <c r="MW151" s="2"/>
      <c r="MX151" s="5" t="str">
        <f t="shared" si="540"/>
        <v>NO APLICA</v>
      </c>
      <c r="MY151" s="2"/>
      <c r="MZ151" s="6"/>
      <c r="NA151" s="4"/>
      <c r="NB151" s="8"/>
      <c r="NC151" s="5" t="str">
        <f t="shared" si="541"/>
        <v>NO APLICA</v>
      </c>
      <c r="ND151" s="2"/>
      <c r="NE151" s="6"/>
      <c r="NF151" s="4"/>
      <c r="NG151" s="8"/>
      <c r="NH151" s="5" t="str">
        <f t="shared" si="542"/>
        <v>NO APLICA</v>
      </c>
      <c r="NI151" s="2"/>
      <c r="NJ151" s="6"/>
      <c r="NK151" s="4"/>
      <c r="NL151" s="8"/>
      <c r="NM151" s="5" t="str">
        <f t="shared" si="543"/>
        <v>NO APLICA</v>
      </c>
      <c r="NN151" s="2"/>
      <c r="NO151" s="2"/>
      <c r="NP151" s="4"/>
      <c r="NQ151" s="2"/>
      <c r="NR151" s="5" t="str">
        <f t="shared" si="544"/>
        <v>NO APLICA</v>
      </c>
      <c r="NS151" s="2"/>
      <c r="NT151" s="2"/>
      <c r="NU151" s="2"/>
      <c r="NV151" s="2"/>
      <c r="NW151" s="5" t="str">
        <f t="shared" si="545"/>
        <v>NO APLICA</v>
      </c>
      <c r="NX151" s="6"/>
      <c r="NY151" s="6"/>
      <c r="NZ151" s="4"/>
      <c r="OA151" s="8"/>
      <c r="OB151" s="5" t="str">
        <f t="shared" si="546"/>
        <v>NO APLICA</v>
      </c>
      <c r="OC151" s="6"/>
      <c r="OD151" s="6"/>
      <c r="OE151" s="6"/>
      <c r="OF151" s="6"/>
      <c r="OG151" s="5" t="str">
        <f t="shared" si="547"/>
        <v>NO APLICA</v>
      </c>
      <c r="OH151" s="6"/>
      <c r="OI151" s="6"/>
      <c r="OJ151" s="4"/>
      <c r="OK151" s="8"/>
      <c r="OL151" s="5" t="str">
        <f t="shared" si="548"/>
        <v>NO APLICA</v>
      </c>
      <c r="OM151" s="6"/>
      <c r="ON151" s="6"/>
      <c r="OO151" s="6"/>
      <c r="OP151" s="6"/>
      <c r="OQ151" s="5" t="str">
        <f t="shared" si="549"/>
        <v>NO APLICA</v>
      </c>
      <c r="OR151" s="6"/>
      <c r="OS151" s="6"/>
      <c r="OT151" s="6"/>
      <c r="OU151" s="6"/>
      <c r="OV151" s="5" t="str">
        <f t="shared" si="550"/>
        <v>NO APLICA</v>
      </c>
      <c r="OW151" s="6"/>
      <c r="OX151" s="6"/>
      <c r="OY151" s="6"/>
      <c r="OZ151" s="6"/>
      <c r="PA151" s="5" t="str">
        <f t="shared" si="551"/>
        <v>NO APLICA</v>
      </c>
      <c r="PB151" s="6"/>
      <c r="PC151" s="6"/>
      <c r="PD151" s="6"/>
      <c r="PE151" s="6"/>
      <c r="PF151" s="5" t="str">
        <f t="shared" si="552"/>
        <v>NO APLICA</v>
      </c>
      <c r="PG151" s="6"/>
      <c r="PH151" s="6"/>
      <c r="PI151" s="6"/>
      <c r="PJ151" s="6"/>
      <c r="PK151" s="5" t="str">
        <f t="shared" si="553"/>
        <v>NO APLICA</v>
      </c>
      <c r="PL151" s="5"/>
      <c r="PM151" s="6"/>
      <c r="PN151" s="4"/>
      <c r="PO151" s="8"/>
      <c r="PP151" s="5" t="str">
        <f t="shared" si="554"/>
        <v>NO APLICA</v>
      </c>
      <c r="PQ151" s="6"/>
      <c r="PR151" s="6"/>
      <c r="PS151" s="6"/>
      <c r="PT151" s="6"/>
      <c r="PU151" s="5" t="str">
        <f t="shared" si="555"/>
        <v>NO APLICA</v>
      </c>
      <c r="PV151" s="5"/>
      <c r="PW151" s="6"/>
      <c r="PX151" s="6"/>
      <c r="PY151" s="6"/>
      <c r="PZ151" s="5" t="str">
        <f t="shared" si="556"/>
        <v>NO APLICA</v>
      </c>
    </row>
    <row r="152" spans="1:442" ht="15.6" hidden="1" thickTop="1" thickBot="1" x14ac:dyDescent="0.35">
      <c r="A152" s="26">
        <v>149</v>
      </c>
      <c r="B152" s="27">
        <v>302</v>
      </c>
      <c r="C152" s="28" t="s">
        <v>490</v>
      </c>
      <c r="D152" s="29" t="s">
        <v>68</v>
      </c>
      <c r="E152" s="30" t="s">
        <v>93</v>
      </c>
      <c r="F152" s="5"/>
      <c r="G152" s="6"/>
      <c r="H152" s="4"/>
      <c r="I152" s="8"/>
      <c r="J152" s="5" t="str">
        <f t="shared" si="455"/>
        <v>NO APLICA</v>
      </c>
      <c r="K152" s="5"/>
      <c r="L152" s="6"/>
      <c r="M152" s="6"/>
      <c r="N152" s="8"/>
      <c r="O152" s="5" t="str">
        <f t="shared" si="456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7"/>
        <v>VIGENTE</v>
      </c>
      <c r="U152" s="5"/>
      <c r="V152" s="2" t="s">
        <v>491</v>
      </c>
      <c r="W152" s="4">
        <v>45309</v>
      </c>
      <c r="X152" s="4">
        <f t="shared" si="410"/>
        <v>47136</v>
      </c>
      <c r="Y152" s="8">
        <f t="shared" ca="1" si="411"/>
        <v>991</v>
      </c>
      <c r="Z152" s="5" t="str">
        <f t="shared" ca="1" si="412"/>
        <v>VIGENTE</v>
      </c>
      <c r="AA152" s="5"/>
      <c r="AB152" s="2" t="s">
        <v>492</v>
      </c>
      <c r="AC152" s="4">
        <v>44579</v>
      </c>
      <c r="AD152" s="4">
        <f t="shared" si="578"/>
        <v>46405</v>
      </c>
      <c r="AE152" s="8">
        <f t="shared" ca="1" si="579"/>
        <v>260</v>
      </c>
      <c r="AF152" s="5" t="str">
        <f t="shared" ca="1" si="457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8"/>
        <v>173</v>
      </c>
      <c r="AK152" s="5" t="str">
        <f t="shared" ca="1" si="408"/>
        <v>VIGENTE</v>
      </c>
      <c r="AL152" s="3"/>
      <c r="AM152" s="4">
        <v>45937</v>
      </c>
      <c r="AN152" s="4">
        <f t="shared" si="572"/>
        <v>46667</v>
      </c>
      <c r="AO152" s="8">
        <f t="shared" ca="1" si="459"/>
        <v>522</v>
      </c>
      <c r="AP152" s="5" t="str">
        <f t="shared" ca="1" si="460"/>
        <v>VIGENTE</v>
      </c>
      <c r="AQ152" s="3"/>
      <c r="AR152" s="4">
        <v>45904</v>
      </c>
      <c r="AS152" s="4">
        <f t="shared" si="568"/>
        <v>46634</v>
      </c>
      <c r="AT152" s="8">
        <f t="shared" ca="1" si="461"/>
        <v>489</v>
      </c>
      <c r="AU152" s="5" t="str">
        <f t="shared" ca="1" si="462"/>
        <v>VIGENTE</v>
      </c>
      <c r="AV152" s="3"/>
      <c r="AW152" s="4">
        <v>45972</v>
      </c>
      <c r="AX152" s="4">
        <f t="shared" si="569"/>
        <v>46702</v>
      </c>
      <c r="AY152" s="8">
        <f t="shared" ca="1" si="463"/>
        <v>557</v>
      </c>
      <c r="AZ152" s="5" t="str">
        <f t="shared" ca="1" si="464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5"/>
        <v>626</v>
      </c>
      <c r="BE152" s="5" t="str">
        <f t="shared" ca="1" si="466"/>
        <v>VIGENTE</v>
      </c>
      <c r="BF152" s="3"/>
      <c r="BG152" s="4">
        <v>46027</v>
      </c>
      <c r="BH152" s="4">
        <f t="shared" ref="BH152:BH157" si="582">DATE(YEAR(BG152)+2,MONTH(BG152),DAY(BG152))</f>
        <v>46757</v>
      </c>
      <c r="BI152" s="8">
        <f t="shared" ca="1" si="467"/>
        <v>612</v>
      </c>
      <c r="BJ152" s="5" t="str">
        <f t="shared" ca="1" si="468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9"/>
        <v>636</v>
      </c>
      <c r="BO152" s="5" t="str">
        <f t="shared" ca="1" si="470"/>
        <v>VIGENTE</v>
      </c>
      <c r="BP152" s="3"/>
      <c r="BQ152" s="39">
        <v>46069</v>
      </c>
      <c r="BR152" s="4">
        <f>DATE(YEAR(BQ152)+2,MONTH(BQ152),DAY(BQ152))</f>
        <v>46799</v>
      </c>
      <c r="BS152" s="8">
        <f t="shared" ca="1" si="471"/>
        <v>654</v>
      </c>
      <c r="BT152" s="5" t="str">
        <f t="shared" ca="1" si="472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3"/>
        <v>648</v>
      </c>
      <c r="BY152" s="5" t="str">
        <f t="shared" ca="1" si="474"/>
        <v>VIGENTE</v>
      </c>
      <c r="BZ152" s="3"/>
      <c r="CA152" s="4">
        <v>45944</v>
      </c>
      <c r="CB152" s="4">
        <f t="shared" si="574"/>
        <v>46674</v>
      </c>
      <c r="CC152" s="8">
        <f t="shared" ca="1" si="475"/>
        <v>529</v>
      </c>
      <c r="CD152" s="5" t="str">
        <f t="shared" ca="1" si="476"/>
        <v>VIGENTE</v>
      </c>
      <c r="CE152" s="6"/>
      <c r="CF152" s="4">
        <v>45247</v>
      </c>
      <c r="CG152" s="4">
        <f t="shared" si="416"/>
        <v>46708</v>
      </c>
      <c r="CH152" s="8">
        <f t="shared" ca="1" si="417"/>
        <v>563</v>
      </c>
      <c r="CI152" s="5" t="str">
        <f t="shared" ca="1" si="573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7"/>
        <v>480</v>
      </c>
      <c r="CN152" s="5" t="str">
        <f t="shared" ca="1" si="478"/>
        <v>VIGENTE</v>
      </c>
      <c r="CO152" s="3"/>
      <c r="CP152" s="39">
        <v>45517</v>
      </c>
      <c r="CQ152" s="4">
        <f>DATE(YEAR(CP152)+2,MONTH(CP152),DAY(CP152)-1)</f>
        <v>46246</v>
      </c>
      <c r="CR152" s="8">
        <f t="shared" ca="1" si="479"/>
        <v>101</v>
      </c>
      <c r="CS152" s="5" t="str">
        <f t="shared" ca="1" si="480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1"/>
        <v>215</v>
      </c>
      <c r="CX152" s="5" t="str">
        <f t="shared" ca="1" si="482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3"/>
        <v>328</v>
      </c>
      <c r="DC152" s="5" t="str">
        <f t="shared" ca="1" si="484"/>
        <v>VIGENTE</v>
      </c>
      <c r="DD152" s="3"/>
      <c r="DE152" s="39">
        <v>45689</v>
      </c>
      <c r="DF152" s="4">
        <f>DATE(YEAR(DE152)+2,MONTH(DE152),DAY(DE152)-1)</f>
        <v>46418</v>
      </c>
      <c r="DG152" s="8">
        <f t="shared" ca="1" si="485"/>
        <v>273</v>
      </c>
      <c r="DH152" s="5" t="str">
        <f t="shared" ca="1" si="486"/>
        <v>VIGENTE</v>
      </c>
      <c r="DI152" s="3"/>
      <c r="DJ152" s="39">
        <v>45696</v>
      </c>
      <c r="DK152" s="4">
        <f>DATE(YEAR(DJ152)+2,MONTH(DJ152),DAY(DJ152)-1)</f>
        <v>46425</v>
      </c>
      <c r="DL152" s="8">
        <f t="shared" ca="1" si="487"/>
        <v>280</v>
      </c>
      <c r="DM152" s="5" t="str">
        <f t="shared" ca="1" si="488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9"/>
        <v>567</v>
      </c>
      <c r="DR152" s="5" t="str">
        <f t="shared" ca="1" si="490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1"/>
        <v>657</v>
      </c>
      <c r="DW152" s="5" t="str">
        <f t="shared" ca="1" si="492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3"/>
        <v>266</v>
      </c>
      <c r="EB152" s="5" t="str">
        <f t="shared" ca="1" si="494"/>
        <v>VIGENTE</v>
      </c>
      <c r="EC152" s="3"/>
      <c r="ED152" s="39">
        <v>45674</v>
      </c>
      <c r="EE152" s="4">
        <f>DATE(YEAR(ED152)+2,MONTH(ED152),DAY(ED152)-1)</f>
        <v>46403</v>
      </c>
      <c r="EF152" s="8">
        <f t="shared" ca="1" si="495"/>
        <v>258</v>
      </c>
      <c r="EG152" s="5" t="str">
        <f t="shared" ca="1" si="496"/>
        <v>VIGENTE</v>
      </c>
      <c r="EH152" s="3"/>
      <c r="EI152" s="4">
        <v>46123</v>
      </c>
      <c r="EJ152" s="4">
        <f t="shared" si="558"/>
        <v>46488</v>
      </c>
      <c r="EK152" s="8">
        <f t="shared" ca="1" si="497"/>
        <v>343</v>
      </c>
      <c r="EL152" s="5" t="str">
        <f t="shared" ca="1" si="498"/>
        <v>VIGENTE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9"/>
        <v>255</v>
      </c>
      <c r="EQ152" s="5" t="str">
        <f t="shared" ca="1" si="500"/>
        <v>VIGENTE</v>
      </c>
      <c r="ER152" s="3"/>
      <c r="ES152" s="39">
        <v>46042</v>
      </c>
      <c r="ET152" s="4">
        <f>DATE(YEAR(ES152)+2,MONTH(ES152),DAY(ES152))</f>
        <v>46772</v>
      </c>
      <c r="EU152" s="8">
        <f t="shared" ca="1" si="501"/>
        <v>627</v>
      </c>
      <c r="EV152" s="5" t="str">
        <f t="shared" ca="1" si="502"/>
        <v>VIGENTE</v>
      </c>
      <c r="EW152" s="3"/>
      <c r="EX152" s="4">
        <v>45953</v>
      </c>
      <c r="EY152" s="4">
        <f t="shared" si="575"/>
        <v>46683</v>
      </c>
      <c r="EZ152" s="8">
        <f t="shared" ca="1" si="503"/>
        <v>538</v>
      </c>
      <c r="FA152" s="5" t="str">
        <f t="shared" ca="1" si="504"/>
        <v>VIGENTE</v>
      </c>
      <c r="FB152" s="3"/>
      <c r="FC152" s="4">
        <v>45922</v>
      </c>
      <c r="FD152" s="4">
        <f t="shared" si="576"/>
        <v>46652</v>
      </c>
      <c r="FE152" s="8">
        <f t="shared" ca="1" si="505"/>
        <v>507</v>
      </c>
      <c r="FF152" s="5" t="str">
        <f t="shared" ca="1" si="506"/>
        <v>VIGENTE</v>
      </c>
      <c r="FG152" s="3"/>
      <c r="FH152" s="4">
        <v>45919</v>
      </c>
      <c r="FI152" s="4">
        <f t="shared" si="577"/>
        <v>46649</v>
      </c>
      <c r="FJ152" s="8">
        <f t="shared" ca="1" si="507"/>
        <v>504</v>
      </c>
      <c r="FK152" s="5" t="str">
        <f t="shared" ca="1" si="508"/>
        <v>VIGENTE</v>
      </c>
      <c r="FL152" s="3"/>
      <c r="FM152" s="39">
        <v>45670</v>
      </c>
      <c r="FN152" s="4">
        <f>DATE(YEAR(FM152)+2,MONTH(FM152),DAY(FM152)-1)</f>
        <v>46399</v>
      </c>
      <c r="FO152" s="8">
        <f t="shared" ca="1" si="509"/>
        <v>254</v>
      </c>
      <c r="FP152" s="5" t="str">
        <f t="shared" ca="1" si="510"/>
        <v>VIGENTE</v>
      </c>
      <c r="FQ152" s="3"/>
      <c r="FR152" s="39">
        <v>45678</v>
      </c>
      <c r="FS152" s="4">
        <f>DATE(YEAR(FR152)+2,MONTH(FR152),DAY(FR152)-1)</f>
        <v>46407</v>
      </c>
      <c r="FT152" s="8">
        <f t="shared" ca="1" si="511"/>
        <v>262</v>
      </c>
      <c r="FU152" s="5" t="str">
        <f t="shared" ca="1" si="512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3"/>
        <v>158</v>
      </c>
      <c r="FZ152" s="5" t="str">
        <f t="shared" ca="1" si="514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5"/>
        <v>615</v>
      </c>
      <c r="GE152" s="5" t="str">
        <f t="shared" ca="1" si="516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7"/>
        <v>256</v>
      </c>
      <c r="GJ152" s="5" t="str">
        <f t="shared" ca="1" si="518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9"/>
        <v>433</v>
      </c>
      <c r="GO152" s="5" t="str">
        <f t="shared" ca="1" si="520"/>
        <v>VIGENTE</v>
      </c>
      <c r="GP152" s="4"/>
      <c r="GQ152" s="4">
        <v>45219</v>
      </c>
      <c r="GR152" s="4">
        <f t="shared" si="521"/>
        <v>47046</v>
      </c>
      <c r="GS152" s="8">
        <f t="shared" ca="1" si="405"/>
        <v>901</v>
      </c>
      <c r="GT152" s="5" t="str">
        <f t="shared" ca="1" si="419"/>
        <v>VIGENTE</v>
      </c>
      <c r="GU152" s="3"/>
      <c r="GV152" s="4">
        <v>45200</v>
      </c>
      <c r="GW152" s="4">
        <f t="shared" si="522"/>
        <v>47027</v>
      </c>
      <c r="GX152" s="8">
        <f t="shared" ca="1" si="523"/>
        <v>882</v>
      </c>
      <c r="GY152" s="5" t="str">
        <f t="shared" ca="1" si="426"/>
        <v>VIGENTE</v>
      </c>
      <c r="GZ152" s="3"/>
      <c r="HA152" s="4">
        <v>45251</v>
      </c>
      <c r="HB152" s="4">
        <f t="shared" si="524"/>
        <v>47078</v>
      </c>
      <c r="HC152" s="8">
        <f t="shared" ca="1" si="525"/>
        <v>933</v>
      </c>
      <c r="HD152" s="5" t="str">
        <f t="shared" ca="1" si="421"/>
        <v>VIGENTE</v>
      </c>
      <c r="HE152" s="6"/>
      <c r="HF152" s="4">
        <v>45020</v>
      </c>
      <c r="HG152" s="4">
        <f t="shared" si="580"/>
        <v>46847</v>
      </c>
      <c r="HH152" s="8">
        <f t="shared" ca="1" si="581"/>
        <v>702</v>
      </c>
      <c r="HI152" s="5" t="str">
        <f t="shared" ca="1" si="427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4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6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7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8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9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30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1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2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3"/>
        <v>VIGENTE</v>
      </c>
      <c r="JC152" s="3" t="s">
        <v>780</v>
      </c>
      <c r="JD152" s="3"/>
      <c r="JE152" s="4"/>
      <c r="JF152" s="8"/>
      <c r="JG152" s="5"/>
      <c r="JH152" s="3" t="s">
        <v>780</v>
      </c>
      <c r="JI152" s="6"/>
      <c r="JJ152" s="6"/>
      <c r="JK152" s="6"/>
      <c r="JL152" s="5"/>
      <c r="JM152" s="6" t="s">
        <v>780</v>
      </c>
      <c r="JN152" s="6"/>
      <c r="JO152" s="6"/>
      <c r="JP152" s="6"/>
      <c r="JQ152" s="5"/>
      <c r="JR152" s="6" t="s">
        <v>780</v>
      </c>
      <c r="JS152" s="6"/>
      <c r="JT152" s="6"/>
      <c r="JU152" s="6"/>
      <c r="JV152" s="5"/>
      <c r="JW152" s="6" t="s">
        <v>780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4"/>
        <v>NO APLICA</v>
      </c>
      <c r="KG152" s="5"/>
      <c r="KH152" s="5"/>
      <c r="KI152" s="4"/>
      <c r="KJ152" s="8"/>
      <c r="KK152" s="5" t="str">
        <f t="shared" si="559"/>
        <v>NO APLICA</v>
      </c>
      <c r="KL152" s="5"/>
      <c r="KM152" s="5"/>
      <c r="KN152" s="4"/>
      <c r="KO152" s="8"/>
      <c r="KP152" s="5" t="str">
        <f t="shared" si="535"/>
        <v>NO APLICA</v>
      </c>
      <c r="KQ152" s="5"/>
      <c r="KR152" s="2"/>
      <c r="KS152" s="4"/>
      <c r="KT152" s="8"/>
      <c r="KU152" s="5" t="str">
        <f t="shared" si="560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5"/>
        <v>VIGENTE</v>
      </c>
      <c r="LA152" s="5"/>
      <c r="LB152" s="6"/>
      <c r="LC152" s="4"/>
      <c r="LD152" s="8"/>
      <c r="LE152" s="5" t="str">
        <f t="shared" si="561"/>
        <v>NO APLICA</v>
      </c>
      <c r="LF152" s="6"/>
      <c r="LG152" s="6"/>
      <c r="LH152" s="4"/>
      <c r="LI152" s="8"/>
      <c r="LJ152" s="5" t="str">
        <f t="shared" si="567"/>
        <v>NO APLICA</v>
      </c>
      <c r="LK152" s="5"/>
      <c r="LL152" s="5"/>
      <c r="LM152" s="4"/>
      <c r="LN152" s="8"/>
      <c r="LO152" s="5" t="str">
        <f t="shared" si="566"/>
        <v>NO APLICA</v>
      </c>
      <c r="LP152" s="5"/>
      <c r="LQ152" s="6"/>
      <c r="LR152" s="4"/>
      <c r="LS152" s="8"/>
      <c r="LT152" s="5" t="str">
        <f t="shared" si="562"/>
        <v>NO APLICA</v>
      </c>
      <c r="LU152" s="6"/>
      <c r="LV152" s="6"/>
      <c r="LW152" s="4"/>
      <c r="LX152" s="8"/>
      <c r="LY152" s="5" t="str">
        <f t="shared" si="563"/>
        <v>NO APLICA</v>
      </c>
      <c r="LZ152" s="6"/>
      <c r="MA152" s="6"/>
      <c r="MB152" s="4"/>
      <c r="MC152" s="8"/>
      <c r="MD152" s="5" t="str">
        <f t="shared" si="564"/>
        <v>NO APLICA</v>
      </c>
      <c r="ME152" s="5"/>
      <c r="MF152" s="5"/>
      <c r="MG152" s="4"/>
      <c r="MH152" s="8"/>
      <c r="MI152" s="5" t="str">
        <f t="shared" si="537"/>
        <v>NO APLICA</v>
      </c>
      <c r="MJ152" s="5"/>
      <c r="MK152" s="5"/>
      <c r="ML152" s="4"/>
      <c r="MM152" s="8"/>
      <c r="MN152" s="5" t="str">
        <f t="shared" si="538"/>
        <v>NO APLICA</v>
      </c>
      <c r="MO152" s="5"/>
      <c r="MP152" s="5"/>
      <c r="MQ152" s="4"/>
      <c r="MR152" s="8"/>
      <c r="MS152" s="5" t="str">
        <f t="shared" si="539"/>
        <v>NO APLICA</v>
      </c>
      <c r="MT152" s="5"/>
      <c r="MU152" s="5"/>
      <c r="MV152" s="4"/>
      <c r="MW152" s="5"/>
      <c r="MX152" s="5" t="str">
        <f t="shared" si="540"/>
        <v>NO APLICA</v>
      </c>
      <c r="MY152" s="5"/>
      <c r="MZ152" s="6"/>
      <c r="NA152" s="4"/>
      <c r="NB152" s="8"/>
      <c r="NC152" s="5" t="str">
        <f t="shared" si="541"/>
        <v>NO APLICA</v>
      </c>
      <c r="ND152" s="5"/>
      <c r="NE152" s="6"/>
      <c r="NF152" s="4"/>
      <c r="NG152" s="8"/>
      <c r="NH152" s="5" t="str">
        <f t="shared" si="542"/>
        <v>NO APLICA</v>
      </c>
      <c r="NI152" s="5"/>
      <c r="NJ152" s="6"/>
      <c r="NK152" s="4"/>
      <c r="NL152" s="8"/>
      <c r="NM152" s="5" t="str">
        <f t="shared" si="543"/>
        <v>NO APLICA</v>
      </c>
      <c r="NN152" s="5"/>
      <c r="NO152" s="5"/>
      <c r="NP152" s="4"/>
      <c r="NQ152" s="8"/>
      <c r="NR152" s="5" t="str">
        <f t="shared" si="544"/>
        <v>NO APLICA</v>
      </c>
      <c r="NS152" s="5"/>
      <c r="NT152" s="5"/>
      <c r="NU152" s="5"/>
      <c r="NV152" s="5"/>
      <c r="NW152" s="5" t="str">
        <f t="shared" si="545"/>
        <v>NO APLICA</v>
      </c>
      <c r="NX152" s="6"/>
      <c r="NY152" s="6"/>
      <c r="NZ152" s="6"/>
      <c r="OA152" s="6"/>
      <c r="OB152" s="5" t="str">
        <f t="shared" si="546"/>
        <v>NO APLICA</v>
      </c>
      <c r="OC152" s="6"/>
      <c r="OD152" s="6"/>
      <c r="OE152" s="6"/>
      <c r="OF152" s="6"/>
      <c r="OG152" s="5" t="str">
        <f t="shared" si="547"/>
        <v>NO APLICA</v>
      </c>
      <c r="OH152" s="5"/>
      <c r="OI152" s="5"/>
      <c r="OJ152" s="4"/>
      <c r="OK152" s="8"/>
      <c r="OL152" s="5" t="str">
        <f t="shared" si="548"/>
        <v>NO APLICA</v>
      </c>
      <c r="OM152" s="6"/>
      <c r="ON152" s="6"/>
      <c r="OO152" s="6"/>
      <c r="OP152" s="6"/>
      <c r="OQ152" s="5" t="str">
        <f t="shared" si="549"/>
        <v>NO APLICA</v>
      </c>
      <c r="OR152" s="6"/>
      <c r="OS152" s="6"/>
      <c r="OT152" s="6"/>
      <c r="OU152" s="6"/>
      <c r="OV152" s="5" t="str">
        <f t="shared" si="550"/>
        <v>NO APLICA</v>
      </c>
      <c r="OW152" s="6"/>
      <c r="OX152" s="6"/>
      <c r="OY152" s="6"/>
      <c r="OZ152" s="6"/>
      <c r="PA152" s="5" t="str">
        <f t="shared" si="551"/>
        <v>NO APLICA</v>
      </c>
      <c r="PB152" s="6"/>
      <c r="PC152" s="6"/>
      <c r="PD152" s="6"/>
      <c r="PE152" s="6"/>
      <c r="PF152" s="5" t="str">
        <f t="shared" si="552"/>
        <v>NO APLICA</v>
      </c>
      <c r="PG152" s="6"/>
      <c r="PH152" s="6"/>
      <c r="PI152" s="6"/>
      <c r="PJ152" s="6"/>
      <c r="PK152" s="5" t="str">
        <f t="shared" si="553"/>
        <v>NO APLICA</v>
      </c>
      <c r="PL152" s="5"/>
      <c r="PM152" s="6"/>
      <c r="PN152" s="4"/>
      <c r="PO152" s="8"/>
      <c r="PP152" s="5" t="str">
        <f t="shared" si="554"/>
        <v>NO APLICA</v>
      </c>
      <c r="PQ152" s="6"/>
      <c r="PR152" s="6"/>
      <c r="PS152" s="6"/>
      <c r="PT152" s="6"/>
      <c r="PU152" s="5" t="str">
        <f t="shared" si="555"/>
        <v>NO APLICA</v>
      </c>
      <c r="PV152" s="5"/>
      <c r="PW152" s="6"/>
      <c r="PX152" s="6"/>
      <c r="PY152" s="6"/>
      <c r="PZ152" s="5" t="str">
        <f t="shared" si="556"/>
        <v>NO APLICA</v>
      </c>
    </row>
    <row r="153" spans="1:442" ht="15.6" hidden="1" thickTop="1" thickBot="1" x14ac:dyDescent="0.35">
      <c r="A153" s="26">
        <v>150</v>
      </c>
      <c r="B153" s="27">
        <v>787</v>
      </c>
      <c r="C153" s="28" t="s">
        <v>765</v>
      </c>
      <c r="D153" s="29" t="s">
        <v>113</v>
      </c>
      <c r="E153" s="30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5"/>
        <v>VIGENTE</v>
      </c>
      <c r="K153" s="2"/>
      <c r="L153" s="6"/>
      <c r="M153" s="6"/>
      <c r="N153" s="8"/>
      <c r="O153" s="5" t="str">
        <f t="shared" si="456"/>
        <v>NO APLICA</v>
      </c>
      <c r="P153" s="6"/>
      <c r="Q153" s="6"/>
      <c r="R153" s="4"/>
      <c r="S153" s="8"/>
      <c r="T153" s="5" t="str">
        <f t="shared" si="557"/>
        <v>NO APLICA</v>
      </c>
      <c r="U153" s="5"/>
      <c r="V153" s="2" t="s">
        <v>493</v>
      </c>
      <c r="W153" s="4">
        <v>45078</v>
      </c>
      <c r="X153" s="4">
        <f t="shared" si="410"/>
        <v>46905</v>
      </c>
      <c r="Y153" s="8">
        <f t="shared" ca="1" si="411"/>
        <v>760</v>
      </c>
      <c r="Z153" s="5" t="str">
        <f t="shared" ca="1" si="412"/>
        <v>VIGENTE</v>
      </c>
      <c r="AA153" s="5"/>
      <c r="AB153" s="2"/>
      <c r="AC153" s="6"/>
      <c r="AD153" s="4"/>
      <c r="AE153" s="8"/>
      <c r="AF153" s="5" t="str">
        <f t="shared" si="457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8"/>
        <v>487</v>
      </c>
      <c r="AK153" s="5" t="str">
        <f t="shared" ca="1" si="408"/>
        <v>VIGENTE</v>
      </c>
      <c r="AL153" s="3"/>
      <c r="AM153" s="4">
        <v>45903</v>
      </c>
      <c r="AN153" s="4">
        <f t="shared" si="572"/>
        <v>46633</v>
      </c>
      <c r="AO153" s="8">
        <f t="shared" ca="1" si="459"/>
        <v>488</v>
      </c>
      <c r="AP153" s="5" t="str">
        <f t="shared" ca="1" si="460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1"/>
        <v>324</v>
      </c>
      <c r="AU153" s="5" t="str">
        <f t="shared" ca="1" si="462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3"/>
        <v>286</v>
      </c>
      <c r="AZ153" s="5" t="str">
        <f t="shared" ca="1" si="464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5"/>
        <v>326</v>
      </c>
      <c r="BE153" s="5" t="str">
        <f t="shared" ca="1" si="466"/>
        <v>VIGENTE</v>
      </c>
      <c r="BF153" s="3"/>
      <c r="BG153" s="4">
        <v>45997</v>
      </c>
      <c r="BH153" s="4">
        <f t="shared" si="582"/>
        <v>46727</v>
      </c>
      <c r="BI153" s="8">
        <f t="shared" ca="1" si="467"/>
        <v>582</v>
      </c>
      <c r="BJ153" s="5" t="str">
        <f t="shared" ca="1" si="468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9"/>
        <v>636</v>
      </c>
      <c r="BO153" s="5" t="str">
        <f t="shared" ca="1" si="470"/>
        <v>VIGENTE</v>
      </c>
      <c r="BP153" s="3"/>
      <c r="BQ153" s="39">
        <v>46050</v>
      </c>
      <c r="BR153" s="4">
        <f>DATE(YEAR(BQ153)+2,MONTH(BQ153),DAY(BQ153))</f>
        <v>46780</v>
      </c>
      <c r="BS153" s="8">
        <f t="shared" ca="1" si="471"/>
        <v>635</v>
      </c>
      <c r="BT153" s="5" t="str">
        <f t="shared" ca="1" si="472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3"/>
        <v>156</v>
      </c>
      <c r="BY153" s="5" t="str">
        <f t="shared" ca="1" si="474"/>
        <v>VIGENTE</v>
      </c>
      <c r="BZ153" s="3"/>
      <c r="CA153" s="4">
        <v>45944</v>
      </c>
      <c r="CB153" s="4">
        <f t="shared" si="574"/>
        <v>46674</v>
      </c>
      <c r="CC153" s="8">
        <f t="shared" ca="1" si="475"/>
        <v>529</v>
      </c>
      <c r="CD153" s="5" t="str">
        <f t="shared" ca="1" si="476"/>
        <v>VIGENTE</v>
      </c>
      <c r="CE153" s="6"/>
      <c r="CF153" s="4">
        <v>45828</v>
      </c>
      <c r="CG153" s="4">
        <f t="shared" si="416"/>
        <v>47289</v>
      </c>
      <c r="CH153" s="8">
        <f t="shared" ca="1" si="417"/>
        <v>1144</v>
      </c>
      <c r="CI153" s="5" t="str">
        <f t="shared" ca="1" si="573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7"/>
        <v>272</v>
      </c>
      <c r="CN153" s="5" t="str">
        <f t="shared" ca="1" si="478"/>
        <v>VIGENTE</v>
      </c>
      <c r="CO153" s="3"/>
      <c r="CP153" s="39">
        <v>45769</v>
      </c>
      <c r="CQ153" s="4">
        <f>DATE(YEAR(CP153)+2,MONTH(CP153),DAY(CP153))</f>
        <v>46499</v>
      </c>
      <c r="CR153" s="8">
        <f t="shared" ca="1" si="479"/>
        <v>354</v>
      </c>
      <c r="CS153" s="5" t="str">
        <f t="shared" ca="1" si="480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1"/>
        <v>628</v>
      </c>
      <c r="CX153" s="5" t="str">
        <f t="shared" ca="1" si="482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3"/>
        <v>574</v>
      </c>
      <c r="DC153" s="5" t="str">
        <f t="shared" ca="1" si="484"/>
        <v>VIGENTE</v>
      </c>
      <c r="DD153" s="3"/>
      <c r="DE153" s="39">
        <v>45723</v>
      </c>
      <c r="DF153" s="4">
        <f>DATE(YEAR(DE153)+2,MONTH(DE153),DAY(DE153)-1)</f>
        <v>46452</v>
      </c>
      <c r="DG153" s="8">
        <f t="shared" ca="1" si="485"/>
        <v>307</v>
      </c>
      <c r="DH153" s="5" t="str">
        <f t="shared" ca="1" si="486"/>
        <v>VIGENTE</v>
      </c>
      <c r="DI153" s="2"/>
      <c r="DJ153" s="39">
        <v>45734</v>
      </c>
      <c r="DK153" s="4">
        <f>DATE(YEAR(DJ153)+2,MONTH(DJ153),DAY(DJ153)-1)</f>
        <v>46463</v>
      </c>
      <c r="DL153" s="8">
        <f t="shared" ca="1" si="487"/>
        <v>318</v>
      </c>
      <c r="DM153" s="5" t="str">
        <f t="shared" ca="1" si="488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9"/>
        <v>315</v>
      </c>
      <c r="DR153" s="5" t="str">
        <f t="shared" ca="1" si="490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1"/>
        <v>327</v>
      </c>
      <c r="DW153" s="5" t="str">
        <f t="shared" ca="1" si="492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3"/>
        <v>247</v>
      </c>
      <c r="EB153" s="5" t="str">
        <f t="shared" ca="1" si="494"/>
        <v>VIGENTE</v>
      </c>
      <c r="EC153" s="3"/>
      <c r="ED153" s="39">
        <v>45674</v>
      </c>
      <c r="EE153" s="4">
        <f>DATE(YEAR(ED153)+2,MONTH(ED153),DAY(ED153)-1)</f>
        <v>46403</v>
      </c>
      <c r="EF153" s="8">
        <f t="shared" ca="1" si="495"/>
        <v>258</v>
      </c>
      <c r="EG153" s="5" t="str">
        <f t="shared" ca="1" si="496"/>
        <v>VIGENTE</v>
      </c>
      <c r="EH153" s="3"/>
      <c r="EI153" s="3">
        <v>46060</v>
      </c>
      <c r="EJ153" s="4">
        <f t="shared" si="558"/>
        <v>46425</v>
      </c>
      <c r="EK153" s="8">
        <f t="shared" ca="1" si="497"/>
        <v>280</v>
      </c>
      <c r="EL153" s="5" t="str">
        <f t="shared" ca="1" si="498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9"/>
        <v>289</v>
      </c>
      <c r="EQ153" s="5" t="str">
        <f t="shared" ca="1" si="500"/>
        <v>VIGENTE</v>
      </c>
      <c r="ER153" s="3"/>
      <c r="ES153" s="39">
        <v>45623</v>
      </c>
      <c r="ET153" s="4">
        <f>DATE(YEAR(ES153)+2,MONTH(ES153),DAY(ES153)-1)</f>
        <v>46352</v>
      </c>
      <c r="EU153" s="8">
        <f t="shared" ca="1" si="501"/>
        <v>207</v>
      </c>
      <c r="EV153" s="5" t="str">
        <f t="shared" ca="1" si="502"/>
        <v>VIGENTE</v>
      </c>
      <c r="EW153" s="3"/>
      <c r="EX153" s="4">
        <v>45917</v>
      </c>
      <c r="EY153" s="4">
        <f t="shared" si="575"/>
        <v>46647</v>
      </c>
      <c r="EZ153" s="8">
        <f t="shared" ca="1" si="503"/>
        <v>502</v>
      </c>
      <c r="FA153" s="5" t="str">
        <f t="shared" ca="1" si="504"/>
        <v>VIGENTE</v>
      </c>
      <c r="FB153" s="3"/>
      <c r="FC153" s="4">
        <v>45988</v>
      </c>
      <c r="FD153" s="4">
        <f t="shared" si="576"/>
        <v>46718</v>
      </c>
      <c r="FE153" s="8">
        <f t="shared" ca="1" si="505"/>
        <v>573</v>
      </c>
      <c r="FF153" s="5" t="str">
        <f t="shared" ca="1" si="506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7"/>
        <v>252</v>
      </c>
      <c r="FK153" s="5" t="str">
        <f t="shared" ca="1" si="508"/>
        <v>VIGENTE</v>
      </c>
      <c r="FL153" s="3"/>
      <c r="FM153" s="39">
        <v>45670</v>
      </c>
      <c r="FN153" s="4">
        <f>DATE(YEAR(FM153)+2,MONTH(FM153),DAY(FM153)-1)</f>
        <v>46399</v>
      </c>
      <c r="FO153" s="8">
        <f t="shared" ca="1" si="509"/>
        <v>254</v>
      </c>
      <c r="FP153" s="5" t="str">
        <f t="shared" ca="1" si="510"/>
        <v>VIGENTE</v>
      </c>
      <c r="FQ153" s="3"/>
      <c r="FR153" s="39">
        <v>45664</v>
      </c>
      <c r="FS153" s="4">
        <f>DATE(YEAR(FR153)+2,MONTH(FR153),DAY(FR153)-1)</f>
        <v>46393</v>
      </c>
      <c r="FT153" s="8">
        <f t="shared" ca="1" si="511"/>
        <v>248</v>
      </c>
      <c r="FU153" s="5" t="str">
        <f t="shared" ca="1" si="512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3"/>
        <v>578</v>
      </c>
      <c r="FZ153" s="5" t="str">
        <f t="shared" ca="1" si="514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5"/>
        <v>325</v>
      </c>
      <c r="GE153" s="5" t="str">
        <f t="shared" ca="1" si="516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7"/>
        <v>336</v>
      </c>
      <c r="GJ153" s="5" t="str">
        <f t="shared" ca="1" si="518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9"/>
        <v>271</v>
      </c>
      <c r="GO153" s="5" t="str">
        <f t="shared" ca="1" si="520"/>
        <v>VIGENTE</v>
      </c>
      <c r="GP153" s="4"/>
      <c r="GQ153" s="4">
        <v>45048</v>
      </c>
      <c r="GR153" s="4">
        <f t="shared" si="521"/>
        <v>46875</v>
      </c>
      <c r="GS153" s="8">
        <f t="shared" ca="1" si="405"/>
        <v>730</v>
      </c>
      <c r="GT153" s="5" t="str">
        <f t="shared" ca="1" si="419"/>
        <v>VIGENTE</v>
      </c>
      <c r="GU153" s="3"/>
      <c r="GV153" s="4">
        <v>45010</v>
      </c>
      <c r="GW153" s="4">
        <f t="shared" si="522"/>
        <v>46837</v>
      </c>
      <c r="GX153" s="8">
        <f t="shared" ca="1" si="523"/>
        <v>692</v>
      </c>
      <c r="GY153" s="5" t="str">
        <f t="shared" ca="1" si="426"/>
        <v>VIGENTE</v>
      </c>
      <c r="GZ153" s="2"/>
      <c r="HA153" s="4">
        <v>45073</v>
      </c>
      <c r="HB153" s="4">
        <f t="shared" si="524"/>
        <v>46900</v>
      </c>
      <c r="HC153" s="8">
        <f t="shared" ca="1" si="525"/>
        <v>755</v>
      </c>
      <c r="HD153" s="5" t="str">
        <f t="shared" ca="1" si="421"/>
        <v>VIGENTE</v>
      </c>
      <c r="HE153" s="6"/>
      <c r="HF153" s="6"/>
      <c r="HG153" s="4"/>
      <c r="HH153" s="8"/>
      <c r="HI153" s="5" t="str">
        <f t="shared" si="427"/>
        <v>NO APLICA</v>
      </c>
      <c r="HJ153" s="2"/>
      <c r="HK153" s="6"/>
      <c r="HL153" s="4"/>
      <c r="HM153" s="8"/>
      <c r="HN153" s="5" t="str">
        <f t="shared" si="444"/>
        <v>NO APLICA</v>
      </c>
      <c r="HO153" s="2"/>
      <c r="HP153" s="2"/>
      <c r="HQ153" s="4"/>
      <c r="HR153" s="2"/>
      <c r="HS153" s="5" t="str">
        <f t="shared" si="526"/>
        <v>NO APLICA</v>
      </c>
      <c r="HT153" s="2"/>
      <c r="HU153" s="6"/>
      <c r="HV153" s="4"/>
      <c r="HW153" s="8"/>
      <c r="HX153" s="5" t="str">
        <f t="shared" si="527"/>
        <v>NO APLICA</v>
      </c>
      <c r="HY153" s="2"/>
      <c r="HZ153" s="6"/>
      <c r="IA153" s="4"/>
      <c r="IB153" s="8"/>
      <c r="IC153" s="5" t="str">
        <f t="shared" si="528"/>
        <v>NO APLICA</v>
      </c>
      <c r="ID153" s="2"/>
      <c r="IE153" s="6"/>
      <c r="IF153" s="4"/>
      <c r="IG153" s="8"/>
      <c r="IH153" s="5" t="str">
        <f t="shared" si="529"/>
        <v>NO APLICA</v>
      </c>
      <c r="II153" s="6"/>
      <c r="IJ153" s="6"/>
      <c r="IK153" s="4"/>
      <c r="IL153" s="8"/>
      <c r="IM153" s="5" t="str">
        <f t="shared" si="530"/>
        <v>NO APLICA</v>
      </c>
      <c r="IN153" s="2"/>
      <c r="IO153" s="6"/>
      <c r="IP153" s="4"/>
      <c r="IQ153" s="8"/>
      <c r="IR153" s="5" t="str">
        <f t="shared" si="531"/>
        <v>NO APLICA</v>
      </c>
      <c r="IS153" s="2"/>
      <c r="IT153" s="6"/>
      <c r="IU153" s="4"/>
      <c r="IV153" s="8"/>
      <c r="IW153" s="5" t="str">
        <f t="shared" si="532"/>
        <v>NO APLICA</v>
      </c>
      <c r="IX153" s="2"/>
      <c r="IY153" s="6"/>
      <c r="IZ153" s="4"/>
      <c r="JA153" s="8"/>
      <c r="JB153" s="5" t="str">
        <f t="shared" si="533"/>
        <v>NO APLICA</v>
      </c>
      <c r="JC153" s="3" t="s">
        <v>780</v>
      </c>
      <c r="JD153" s="3"/>
      <c r="JE153" s="4"/>
      <c r="JF153" s="8"/>
      <c r="JG153" s="5"/>
      <c r="JH153" s="3" t="s">
        <v>780</v>
      </c>
      <c r="JI153" s="6"/>
      <c r="JJ153" s="6"/>
      <c r="JK153" s="6"/>
      <c r="JL153" s="5"/>
      <c r="JM153" s="6" t="s">
        <v>780</v>
      </c>
      <c r="JN153" s="6"/>
      <c r="JO153" s="6"/>
      <c r="JP153" s="6"/>
      <c r="JQ153" s="5"/>
      <c r="JR153" s="6" t="s">
        <v>780</v>
      </c>
      <c r="JS153" s="6"/>
      <c r="JT153" s="6"/>
      <c r="JU153" s="6"/>
      <c r="JV153" s="5"/>
      <c r="JW153" s="6" t="s">
        <v>780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4"/>
        <v>NO APLICA</v>
      </c>
      <c r="KG153" s="5"/>
      <c r="KH153" s="2"/>
      <c r="KI153" s="4"/>
      <c r="KJ153" s="8"/>
      <c r="KK153" s="5" t="str">
        <f t="shared" si="559"/>
        <v>NO APLICA</v>
      </c>
      <c r="KL153" s="5"/>
      <c r="KM153" s="2"/>
      <c r="KN153" s="4"/>
      <c r="KO153" s="8"/>
      <c r="KP153" s="5" t="str">
        <f t="shared" si="535"/>
        <v>NO APLICA</v>
      </c>
      <c r="KQ153" s="5"/>
      <c r="KR153" s="2"/>
      <c r="KS153" s="4"/>
      <c r="KT153" s="8"/>
      <c r="KU153" s="5" t="str">
        <f t="shared" si="560"/>
        <v>NO APLICA</v>
      </c>
      <c r="KV153" s="2"/>
      <c r="KW153" s="6"/>
      <c r="KX153" s="4"/>
      <c r="KY153" s="8"/>
      <c r="KZ153" s="5" t="str">
        <f t="shared" si="565"/>
        <v>NO APLICA</v>
      </c>
      <c r="LA153" s="5"/>
      <c r="LB153" s="6"/>
      <c r="LC153" s="4"/>
      <c r="LD153" s="8"/>
      <c r="LE153" s="5" t="str">
        <f t="shared" si="561"/>
        <v>NO APLICA</v>
      </c>
      <c r="LF153" s="6"/>
      <c r="LG153" s="6"/>
      <c r="LH153" s="4"/>
      <c r="LI153" s="8"/>
      <c r="LJ153" s="5" t="str">
        <f t="shared" si="567"/>
        <v>NO APLICA</v>
      </c>
      <c r="LK153" s="5"/>
      <c r="LL153" s="5"/>
      <c r="LM153" s="4"/>
      <c r="LN153" s="8"/>
      <c r="LO153" s="5" t="str">
        <f t="shared" si="566"/>
        <v>NO APLICA</v>
      </c>
      <c r="LP153" s="2"/>
      <c r="LQ153" s="6"/>
      <c r="LR153" s="4"/>
      <c r="LS153" s="8"/>
      <c r="LT153" s="5" t="str">
        <f t="shared" si="562"/>
        <v>NO APLICA</v>
      </c>
      <c r="LU153" s="6"/>
      <c r="LV153" s="6"/>
      <c r="LW153" s="4"/>
      <c r="LX153" s="8"/>
      <c r="LY153" s="5" t="str">
        <f t="shared" si="563"/>
        <v>NO APLICA</v>
      </c>
      <c r="LZ153" s="6"/>
      <c r="MA153" s="6"/>
      <c r="MB153" s="4"/>
      <c r="MC153" s="8"/>
      <c r="MD153" s="5" t="str">
        <f t="shared" si="564"/>
        <v>NO APLICA</v>
      </c>
      <c r="ME153" s="2"/>
      <c r="MF153" s="2"/>
      <c r="MG153" s="4"/>
      <c r="MH153" s="8"/>
      <c r="MI153" s="5" t="str">
        <f t="shared" si="537"/>
        <v>NO APLICA</v>
      </c>
      <c r="MJ153" s="2"/>
      <c r="MK153" s="2"/>
      <c r="ML153" s="4"/>
      <c r="MM153" s="8"/>
      <c r="MN153" s="5" t="str">
        <f t="shared" si="538"/>
        <v>NO APLICA</v>
      </c>
      <c r="MO153" s="5"/>
      <c r="MP153" s="2"/>
      <c r="MQ153" s="4"/>
      <c r="MR153" s="8"/>
      <c r="MS153" s="5" t="str">
        <f t="shared" si="539"/>
        <v>NO APLICA</v>
      </c>
      <c r="MT153" s="5"/>
      <c r="MU153" s="2"/>
      <c r="MV153" s="4"/>
      <c r="MW153" s="2"/>
      <c r="MX153" s="5" t="str">
        <f t="shared" si="540"/>
        <v>NO APLICA</v>
      </c>
      <c r="MY153" s="2"/>
      <c r="MZ153" s="6"/>
      <c r="NA153" s="4"/>
      <c r="NB153" s="8"/>
      <c r="NC153" s="5" t="str">
        <f t="shared" si="541"/>
        <v>NO APLICA</v>
      </c>
      <c r="ND153" s="2"/>
      <c r="NE153" s="6"/>
      <c r="NF153" s="4"/>
      <c r="NG153" s="8"/>
      <c r="NH153" s="5" t="str">
        <f t="shared" si="542"/>
        <v>NO APLICA</v>
      </c>
      <c r="NI153" s="2"/>
      <c r="NJ153" s="6"/>
      <c r="NK153" s="4"/>
      <c r="NL153" s="8"/>
      <c r="NM153" s="5" t="str">
        <f t="shared" si="543"/>
        <v>NO APLICA</v>
      </c>
      <c r="NN153" s="2"/>
      <c r="NO153" s="2"/>
      <c r="NP153" s="4"/>
      <c r="NQ153" s="8"/>
      <c r="NR153" s="5" t="str">
        <f t="shared" si="544"/>
        <v>NO APLICA</v>
      </c>
      <c r="NS153" s="2"/>
      <c r="NT153" s="2"/>
      <c r="NU153" s="2"/>
      <c r="NV153" s="2"/>
      <c r="NW153" s="5" t="str">
        <f t="shared" si="545"/>
        <v>NO APLICA</v>
      </c>
      <c r="NX153" s="6"/>
      <c r="NY153" s="6"/>
      <c r="NZ153" s="4"/>
      <c r="OA153" s="8"/>
      <c r="OB153" s="5" t="str">
        <f t="shared" si="546"/>
        <v>NO APLICA</v>
      </c>
      <c r="OC153" s="6"/>
      <c r="OD153" s="6"/>
      <c r="OE153" s="6"/>
      <c r="OF153" s="6"/>
      <c r="OG153" s="5" t="str">
        <f t="shared" si="547"/>
        <v>NO APLICA</v>
      </c>
      <c r="OH153" s="2"/>
      <c r="OI153" s="2"/>
      <c r="OJ153" s="4"/>
      <c r="OK153" s="8"/>
      <c r="OL153" s="5" t="str">
        <f t="shared" si="548"/>
        <v>NO APLICA</v>
      </c>
      <c r="OM153" s="6"/>
      <c r="ON153" s="6"/>
      <c r="OO153" s="6"/>
      <c r="OP153" s="6"/>
      <c r="OQ153" s="5" t="str">
        <f t="shared" si="549"/>
        <v>NO APLICA</v>
      </c>
      <c r="OR153" s="6"/>
      <c r="OS153" s="6"/>
      <c r="OT153" s="6"/>
      <c r="OU153" s="6"/>
      <c r="OV153" s="5" t="str">
        <f t="shared" si="550"/>
        <v>NO APLICA</v>
      </c>
      <c r="OW153" s="6"/>
      <c r="OX153" s="6"/>
      <c r="OY153" s="6"/>
      <c r="OZ153" s="6"/>
      <c r="PA153" s="5" t="str">
        <f t="shared" si="551"/>
        <v>NO APLICA</v>
      </c>
      <c r="PB153" s="6"/>
      <c r="PC153" s="6"/>
      <c r="PD153" s="6"/>
      <c r="PE153" s="6"/>
      <c r="PF153" s="5" t="str">
        <f t="shared" si="552"/>
        <v>NO APLICA</v>
      </c>
      <c r="PG153" s="6"/>
      <c r="PH153" s="6"/>
      <c r="PI153" s="6"/>
      <c r="PJ153" s="6"/>
      <c r="PK153" s="5" t="str">
        <f t="shared" si="553"/>
        <v>NO APLICA</v>
      </c>
      <c r="PL153" s="5"/>
      <c r="PM153" s="6"/>
      <c r="PN153" s="4"/>
      <c r="PO153" s="8"/>
      <c r="PP153" s="5" t="str">
        <f t="shared" si="554"/>
        <v>NO APLICA</v>
      </c>
      <c r="PQ153" s="6"/>
      <c r="PR153" s="6"/>
      <c r="PS153" s="6"/>
      <c r="PT153" s="6"/>
      <c r="PU153" s="5" t="str">
        <f t="shared" si="555"/>
        <v>NO APLICA</v>
      </c>
      <c r="PV153" s="5"/>
      <c r="PW153" s="6"/>
      <c r="PX153" s="6"/>
      <c r="PY153" s="6"/>
      <c r="PZ153" s="5" t="str">
        <f t="shared" si="556"/>
        <v>NO APLICA</v>
      </c>
    </row>
    <row r="154" spans="1:442" ht="15.6" hidden="1" thickTop="1" thickBot="1" x14ac:dyDescent="0.35">
      <c r="A154" s="26">
        <v>151</v>
      </c>
      <c r="B154" s="31">
        <v>325</v>
      </c>
      <c r="C154" s="28" t="s">
        <v>494</v>
      </c>
      <c r="D154" s="29" t="s">
        <v>68</v>
      </c>
      <c r="E154" s="30" t="s">
        <v>129</v>
      </c>
      <c r="F154" s="5"/>
      <c r="G154" s="6"/>
      <c r="H154" s="4"/>
      <c r="I154" s="8"/>
      <c r="J154" s="5" t="str">
        <f t="shared" si="455"/>
        <v>NO APLICA</v>
      </c>
      <c r="K154" s="5"/>
      <c r="L154" s="6"/>
      <c r="M154" s="6"/>
      <c r="N154" s="8"/>
      <c r="O154" s="5" t="str">
        <f t="shared" si="456"/>
        <v>NO APLICA</v>
      </c>
      <c r="P154" s="6"/>
      <c r="Q154" s="6"/>
      <c r="R154" s="4"/>
      <c r="S154" s="8"/>
      <c r="T154" s="5" t="str">
        <f t="shared" si="557"/>
        <v>NO APLICA</v>
      </c>
      <c r="U154" s="5"/>
      <c r="V154" s="2" t="s">
        <v>495</v>
      </c>
      <c r="W154" s="4">
        <v>45216</v>
      </c>
      <c r="X154" s="4">
        <f t="shared" si="410"/>
        <v>47043</v>
      </c>
      <c r="Y154" s="8">
        <f t="shared" ca="1" si="411"/>
        <v>898</v>
      </c>
      <c r="Z154" s="5" t="str">
        <f t="shared" ca="1" si="412"/>
        <v>VIGENTE</v>
      </c>
      <c r="AA154" s="5"/>
      <c r="AB154" s="2" t="s">
        <v>496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7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8"/>
        <v>487</v>
      </c>
      <c r="AK154" s="5" t="str">
        <f t="shared" ca="1" si="408"/>
        <v>VIGENTE</v>
      </c>
      <c r="AL154" s="3"/>
      <c r="AM154" s="4">
        <v>45926</v>
      </c>
      <c r="AN154" s="4">
        <f t="shared" si="572"/>
        <v>46656</v>
      </c>
      <c r="AO154" s="8">
        <f t="shared" ca="1" si="459"/>
        <v>511</v>
      </c>
      <c r="AP154" s="5" t="str">
        <f t="shared" ca="1" si="460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1"/>
        <v>489</v>
      </c>
      <c r="AU154" s="5" t="str">
        <f t="shared" ca="1" si="462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3"/>
        <v>575</v>
      </c>
      <c r="AZ154" s="5" t="str">
        <f t="shared" ca="1" si="464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5"/>
        <v>486</v>
      </c>
      <c r="BE154" s="5" t="str">
        <f t="shared" ca="1" si="466"/>
        <v>VIGENTE</v>
      </c>
      <c r="BF154" s="3"/>
      <c r="BG154" s="4">
        <v>45880</v>
      </c>
      <c r="BH154" s="4">
        <f t="shared" si="582"/>
        <v>46610</v>
      </c>
      <c r="BI154" s="8">
        <f t="shared" ca="1" si="467"/>
        <v>465</v>
      </c>
      <c r="BJ154" s="5" t="str">
        <f t="shared" ca="1" si="468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9"/>
        <v>283</v>
      </c>
      <c r="BO154" s="5" t="str">
        <f t="shared" ca="1" si="470"/>
        <v>VIGENTE</v>
      </c>
      <c r="BP154" s="3"/>
      <c r="BQ154" s="39">
        <v>45981</v>
      </c>
      <c r="BR154" s="4">
        <f>DATE(YEAR(BQ154)+2,MONTH(BQ154),DAY(BQ154))</f>
        <v>46711</v>
      </c>
      <c r="BS154" s="8">
        <f t="shared" ca="1" si="471"/>
        <v>566</v>
      </c>
      <c r="BT154" s="5" t="str">
        <f t="shared" ca="1" si="472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3"/>
        <v>456</v>
      </c>
      <c r="BY154" s="5" t="str">
        <f t="shared" ca="1" si="474"/>
        <v>VIGENTE</v>
      </c>
      <c r="BZ154" s="3"/>
      <c r="CA154" s="4">
        <v>45944</v>
      </c>
      <c r="CB154" s="4">
        <f t="shared" si="574"/>
        <v>46674</v>
      </c>
      <c r="CC154" s="8">
        <f t="shared" ca="1" si="475"/>
        <v>529</v>
      </c>
      <c r="CD154" s="5" t="str">
        <f t="shared" ca="1" si="476"/>
        <v>VIGENTE</v>
      </c>
      <c r="CE154" s="6"/>
      <c r="CF154" s="4">
        <v>45241</v>
      </c>
      <c r="CG154" s="4">
        <f t="shared" si="416"/>
        <v>46702</v>
      </c>
      <c r="CH154" s="8">
        <f t="shared" ca="1" si="417"/>
        <v>557</v>
      </c>
      <c r="CI154" s="5" t="str">
        <f t="shared" ca="1" si="573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7"/>
        <v>480</v>
      </c>
      <c r="CN154" s="5" t="str">
        <f t="shared" ca="1" si="478"/>
        <v>VIGENTE</v>
      </c>
      <c r="CO154" s="3"/>
      <c r="CP154" s="39">
        <v>45898</v>
      </c>
      <c r="CQ154" s="4">
        <f>DATE(YEAR(CP154)+2,MONTH(CP154),DAY(CP154))</f>
        <v>46628</v>
      </c>
      <c r="CR154" s="8">
        <f t="shared" ca="1" si="479"/>
        <v>483</v>
      </c>
      <c r="CS154" s="5" t="str">
        <f t="shared" ca="1" si="480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1"/>
        <v>490</v>
      </c>
      <c r="CX154" s="5" t="str">
        <f t="shared" ca="1" si="482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3"/>
        <v>509</v>
      </c>
      <c r="DC154" s="5" t="str">
        <f t="shared" ca="1" si="484"/>
        <v>VIGENTE</v>
      </c>
      <c r="DD154" s="3"/>
      <c r="DE154" s="39">
        <v>45713</v>
      </c>
      <c r="DF154" s="4">
        <f>DATE(YEAR(DE154)+2,MONTH(DE154),DAY(DE154)-1)</f>
        <v>46442</v>
      </c>
      <c r="DG154" s="8">
        <f t="shared" ca="1" si="485"/>
        <v>297</v>
      </c>
      <c r="DH154" s="5" t="str">
        <f t="shared" ca="1" si="486"/>
        <v>VIGENTE</v>
      </c>
      <c r="DI154" s="3"/>
      <c r="DJ154" s="39">
        <v>45899</v>
      </c>
      <c r="DK154" s="4">
        <f>DATE(YEAR(DJ154)+2,MONTH(DJ154),DAY(DJ154))</f>
        <v>46629</v>
      </c>
      <c r="DL154" s="8">
        <f t="shared" ca="1" si="487"/>
        <v>484</v>
      </c>
      <c r="DM154" s="5" t="str">
        <f t="shared" ca="1" si="488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9"/>
        <v>592</v>
      </c>
      <c r="DR154" s="5" t="str">
        <f t="shared" ca="1" si="490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1"/>
        <v>503</v>
      </c>
      <c r="DW154" s="5" t="str">
        <f t="shared" ca="1" si="492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3"/>
        <v>605</v>
      </c>
      <c r="EB154" s="5" t="str">
        <f t="shared" ca="1" si="494"/>
        <v>VIGENTE</v>
      </c>
      <c r="EC154" s="3"/>
      <c r="ED154" s="39">
        <v>45913</v>
      </c>
      <c r="EE154" s="4">
        <f>DATE(YEAR(ED154)+2,MONTH(ED154),DAY(ED154))</f>
        <v>46643</v>
      </c>
      <c r="EF154" s="8">
        <f t="shared" ca="1" si="495"/>
        <v>498</v>
      </c>
      <c r="EG154" s="5" t="str">
        <f t="shared" ca="1" si="496"/>
        <v>VIGENTE</v>
      </c>
      <c r="EH154" s="3"/>
      <c r="EI154" s="4">
        <v>45948</v>
      </c>
      <c r="EJ154" s="4">
        <f t="shared" si="558"/>
        <v>46313</v>
      </c>
      <c r="EK154" s="8">
        <f t="shared" ca="1" si="497"/>
        <v>168</v>
      </c>
      <c r="EL154" s="5" t="str">
        <f t="shared" ca="1" si="498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9"/>
        <v>525</v>
      </c>
      <c r="EQ154" s="5" t="str">
        <f t="shared" ca="1" si="500"/>
        <v>VIGENTE</v>
      </c>
      <c r="ER154" s="3"/>
      <c r="ES154" s="39">
        <v>45824</v>
      </c>
      <c r="ET154" s="4">
        <f>DATE(YEAR(ES154)+2,MONTH(ES154),DAY(ES154))</f>
        <v>46554</v>
      </c>
      <c r="EU154" s="8">
        <f t="shared" ca="1" si="501"/>
        <v>409</v>
      </c>
      <c r="EV154" s="5" t="str">
        <f t="shared" ca="1" si="502"/>
        <v>VIGENTE</v>
      </c>
      <c r="EW154" s="3"/>
      <c r="EX154" s="4">
        <v>45917</v>
      </c>
      <c r="EY154" s="4">
        <f t="shared" si="575"/>
        <v>46647</v>
      </c>
      <c r="EZ154" s="8">
        <f t="shared" ca="1" si="503"/>
        <v>502</v>
      </c>
      <c r="FA154" s="5" t="str">
        <f t="shared" ca="1" si="504"/>
        <v>VIGENTE</v>
      </c>
      <c r="FB154" s="3"/>
      <c r="FC154" s="4">
        <v>45931</v>
      </c>
      <c r="FD154" s="4">
        <f t="shared" si="576"/>
        <v>46661</v>
      </c>
      <c r="FE154" s="8">
        <f t="shared" ca="1" si="505"/>
        <v>516</v>
      </c>
      <c r="FF154" s="5" t="str">
        <f t="shared" ca="1" si="506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7"/>
        <v>504</v>
      </c>
      <c r="FK154" s="5" t="str">
        <f t="shared" ca="1" si="508"/>
        <v>VIGENTE</v>
      </c>
      <c r="FL154" s="3"/>
      <c r="FM154" s="39">
        <v>45920</v>
      </c>
      <c r="FN154" s="4">
        <f>DATE(YEAR(FM154)+2,MONTH(FM154),DAY(FM154))</f>
        <v>46650</v>
      </c>
      <c r="FO154" s="8">
        <f t="shared" ca="1" si="509"/>
        <v>505</v>
      </c>
      <c r="FP154" s="5" t="str">
        <f t="shared" ca="1" si="510"/>
        <v>VIGENTE</v>
      </c>
      <c r="FQ154" s="3"/>
      <c r="FR154" s="39">
        <v>45957</v>
      </c>
      <c r="FS154" s="4">
        <f>DATE(YEAR(FR154)+2,MONTH(FR154),DAY(FR154))</f>
        <v>46687</v>
      </c>
      <c r="FT154" s="8">
        <f t="shared" ca="1" si="511"/>
        <v>542</v>
      </c>
      <c r="FU154" s="5" t="str">
        <f t="shared" ca="1" si="512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3"/>
        <v>284</v>
      </c>
      <c r="FZ154" s="5" t="str">
        <f t="shared" ca="1" si="514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5"/>
        <v>299</v>
      </c>
      <c r="GE154" s="5" t="str">
        <f t="shared" ca="1" si="516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7"/>
        <v>497</v>
      </c>
      <c r="GJ154" s="5" t="str">
        <f t="shared" ca="1" si="518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9"/>
        <v>530</v>
      </c>
      <c r="GO154" s="5" t="str">
        <f t="shared" ca="1" si="520"/>
        <v>VIGENTE</v>
      </c>
      <c r="GP154" s="4"/>
      <c r="GQ154" s="4">
        <v>45244</v>
      </c>
      <c r="GR154" s="4">
        <f t="shared" si="521"/>
        <v>47071</v>
      </c>
      <c r="GS154" s="8">
        <f t="shared" ca="1" si="405"/>
        <v>926</v>
      </c>
      <c r="GT154" s="5" t="str">
        <f t="shared" ca="1" si="419"/>
        <v>VIGENTE</v>
      </c>
      <c r="GU154" s="3"/>
      <c r="GV154" s="4">
        <v>45252</v>
      </c>
      <c r="GW154" s="4">
        <f t="shared" si="522"/>
        <v>47079</v>
      </c>
      <c r="GX154" s="8">
        <f t="shared" ca="1" si="523"/>
        <v>934</v>
      </c>
      <c r="GY154" s="5" t="str">
        <f t="shared" ca="1" si="426"/>
        <v>VIGENTE</v>
      </c>
      <c r="GZ154" s="3"/>
      <c r="HA154" s="4">
        <v>45251</v>
      </c>
      <c r="HB154" s="4">
        <f t="shared" si="524"/>
        <v>47078</v>
      </c>
      <c r="HC154" s="8">
        <f t="shared" ca="1" si="525"/>
        <v>933</v>
      </c>
      <c r="HD154" s="5" t="str">
        <f t="shared" ca="1" si="421"/>
        <v>VIGENTE</v>
      </c>
      <c r="HE154" s="6"/>
      <c r="HF154" s="4">
        <v>45121</v>
      </c>
      <c r="HG154" s="4">
        <f t="shared" ref="HG154:HG162" si="583">DATE(YEAR(HF154)+5,MONTH(HF154),DAY(HF154))</f>
        <v>46948</v>
      </c>
      <c r="HH154" s="8">
        <f t="shared" ref="HH154:HH162" ca="1" si="584">HG154-TODAY()</f>
        <v>803</v>
      </c>
      <c r="HI154" s="5" t="str">
        <f t="shared" ca="1" si="427"/>
        <v>VIGENTE</v>
      </c>
      <c r="HJ154" s="2"/>
      <c r="HK154" s="6"/>
      <c r="HL154" s="4"/>
      <c r="HM154" s="8"/>
      <c r="HN154" s="5" t="str">
        <f t="shared" si="444"/>
        <v>NO APLICA</v>
      </c>
      <c r="HO154" s="2"/>
      <c r="HP154" s="5"/>
      <c r="HQ154" s="4"/>
      <c r="HR154" s="5"/>
      <c r="HS154" s="5" t="str">
        <f t="shared" si="526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7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8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9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30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1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2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3"/>
        <v>VIGENTE</v>
      </c>
      <c r="JC154" s="3" t="s">
        <v>780</v>
      </c>
      <c r="JD154" s="3"/>
      <c r="JE154" s="4"/>
      <c r="JF154" s="8"/>
      <c r="JG154" s="5"/>
      <c r="JH154" s="3" t="s">
        <v>780</v>
      </c>
      <c r="JI154" s="6"/>
      <c r="JJ154" s="6"/>
      <c r="JK154" s="6"/>
      <c r="JL154" s="5"/>
      <c r="JM154" s="6" t="s">
        <v>780</v>
      </c>
      <c r="JN154" s="6"/>
      <c r="JO154" s="6"/>
      <c r="JP154" s="6"/>
      <c r="JQ154" s="5"/>
      <c r="JR154" s="6" t="s">
        <v>780</v>
      </c>
      <c r="JS154" s="6"/>
      <c r="JT154" s="6"/>
      <c r="JU154" s="6"/>
      <c r="JV154" s="5"/>
      <c r="JW154" s="6" t="s">
        <v>780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4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9"/>
        <v>VIGENTE</v>
      </c>
      <c r="KL154" s="5"/>
      <c r="KM154" s="5"/>
      <c r="KN154" s="4"/>
      <c r="KO154" s="8"/>
      <c r="KP154" s="5" t="str">
        <f t="shared" si="535"/>
        <v>NO APLICA</v>
      </c>
      <c r="KQ154" s="5"/>
      <c r="KR154" s="2"/>
      <c r="KS154" s="4"/>
      <c r="KT154" s="8"/>
      <c r="KU154" s="5" t="str">
        <f t="shared" si="560"/>
        <v>NO APLICA</v>
      </c>
      <c r="KV154" s="2"/>
      <c r="KW154" s="6"/>
      <c r="KX154" s="4"/>
      <c r="KY154" s="8"/>
      <c r="KZ154" s="5" t="str">
        <f t="shared" si="565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1"/>
        <v>VIGENTE</v>
      </c>
      <c r="LF154" s="4"/>
      <c r="LG154" s="4"/>
      <c r="LH154" s="4"/>
      <c r="LI154" s="8"/>
      <c r="LJ154" s="5" t="str">
        <f t="shared" si="567"/>
        <v>NO APLICA</v>
      </c>
      <c r="LK154" s="5"/>
      <c r="LL154" s="5"/>
      <c r="LM154" s="5"/>
      <c r="LN154" s="5"/>
      <c r="LO154" s="5" t="str">
        <f t="shared" si="566"/>
        <v>NO APLICA</v>
      </c>
      <c r="LP154" s="5"/>
      <c r="LQ154" s="6"/>
      <c r="LR154" s="4"/>
      <c r="LS154" s="8"/>
      <c r="LT154" s="5" t="str">
        <f t="shared" si="562"/>
        <v>NO APLICA</v>
      </c>
      <c r="LU154" s="6"/>
      <c r="LV154" s="6"/>
      <c r="LW154" s="4"/>
      <c r="LX154" s="8"/>
      <c r="LY154" s="5" t="str">
        <f t="shared" si="563"/>
        <v>NO APLICA</v>
      </c>
      <c r="LZ154" s="6"/>
      <c r="MA154" s="6"/>
      <c r="MB154" s="4"/>
      <c r="MC154" s="8"/>
      <c r="MD154" s="5" t="str">
        <f t="shared" si="564"/>
        <v>NO APLICA</v>
      </c>
      <c r="ME154" s="5"/>
      <c r="MF154" s="5"/>
      <c r="MG154" s="5"/>
      <c r="MH154" s="5"/>
      <c r="MI154" s="5" t="str">
        <f t="shared" si="537"/>
        <v>NO APLICA</v>
      </c>
      <c r="MJ154" s="5"/>
      <c r="MK154" s="5"/>
      <c r="ML154" s="4"/>
      <c r="MM154" s="8"/>
      <c r="MN154" s="5" t="str">
        <f t="shared" si="538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9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40"/>
        <v>VIGENTE</v>
      </c>
      <c r="MY154" s="5"/>
      <c r="MZ154" s="6"/>
      <c r="NA154" s="4"/>
      <c r="NB154" s="8"/>
      <c r="NC154" s="5" t="str">
        <f t="shared" si="541"/>
        <v>NO APLICA</v>
      </c>
      <c r="ND154" s="5"/>
      <c r="NE154" s="6"/>
      <c r="NF154" s="4"/>
      <c r="NG154" s="8"/>
      <c r="NH154" s="5" t="str">
        <f t="shared" si="542"/>
        <v>NO APLICA</v>
      </c>
      <c r="NI154" s="5"/>
      <c r="NJ154" s="6"/>
      <c r="NK154" s="4"/>
      <c r="NL154" s="8"/>
      <c r="NM154" s="5" t="str">
        <f t="shared" si="543"/>
        <v>NO APLICA</v>
      </c>
      <c r="NN154" s="5"/>
      <c r="NO154" s="5"/>
      <c r="NP154" s="5"/>
      <c r="NQ154" s="5"/>
      <c r="NR154" s="5" t="str">
        <f t="shared" si="544"/>
        <v>NO APLICA</v>
      </c>
      <c r="NS154" s="5"/>
      <c r="NT154" s="5"/>
      <c r="NU154" s="5"/>
      <c r="NV154" s="5"/>
      <c r="NW154" s="5" t="str">
        <f t="shared" si="545"/>
        <v>NO APLICA</v>
      </c>
      <c r="NX154" s="6"/>
      <c r="NY154" s="6"/>
      <c r="NZ154" s="6"/>
      <c r="OA154" s="6"/>
      <c r="OB154" s="5" t="str">
        <f t="shared" si="546"/>
        <v>NO APLICA</v>
      </c>
      <c r="OC154" s="6"/>
      <c r="OD154" s="6"/>
      <c r="OE154" s="6"/>
      <c r="OF154" s="6"/>
      <c r="OG154" s="5" t="str">
        <f t="shared" si="547"/>
        <v>NO APLICA</v>
      </c>
      <c r="OH154" s="6"/>
      <c r="OI154" s="6"/>
      <c r="OJ154" s="4"/>
      <c r="OK154" s="8"/>
      <c r="OL154" s="5" t="str">
        <f t="shared" si="548"/>
        <v>NO APLICA</v>
      </c>
      <c r="OM154" s="6"/>
      <c r="ON154" s="6"/>
      <c r="OO154" s="6"/>
      <c r="OP154" s="6"/>
      <c r="OQ154" s="5" t="str">
        <f t="shared" si="549"/>
        <v>NO APLICA</v>
      </c>
      <c r="OR154" s="6"/>
      <c r="OS154" s="6"/>
      <c r="OT154" s="6"/>
      <c r="OU154" s="6"/>
      <c r="OV154" s="5" t="str">
        <f t="shared" si="550"/>
        <v>NO APLICA</v>
      </c>
      <c r="OW154" s="6"/>
      <c r="OX154" s="6"/>
      <c r="OY154" s="6"/>
      <c r="OZ154" s="6"/>
      <c r="PA154" s="5" t="str">
        <f t="shared" si="551"/>
        <v>NO APLICA</v>
      </c>
      <c r="PB154" s="6"/>
      <c r="PC154" s="6"/>
      <c r="PD154" s="6"/>
      <c r="PE154" s="6"/>
      <c r="PF154" s="5" t="str">
        <f t="shared" si="552"/>
        <v>NO APLICA</v>
      </c>
      <c r="PG154" s="6"/>
      <c r="PH154" s="6"/>
      <c r="PI154" s="6"/>
      <c r="PJ154" s="6"/>
      <c r="PK154" s="5" t="str">
        <f t="shared" si="553"/>
        <v>NO APLICA</v>
      </c>
      <c r="PL154" s="5"/>
      <c r="PM154" s="6"/>
      <c r="PN154" s="4"/>
      <c r="PO154" s="8"/>
      <c r="PP154" s="5" t="str">
        <f t="shared" si="554"/>
        <v>NO APLICA</v>
      </c>
      <c r="PQ154" s="6"/>
      <c r="PR154" s="6"/>
      <c r="PS154" s="6"/>
      <c r="PT154" s="6"/>
      <c r="PU154" s="5" t="str">
        <f t="shared" si="555"/>
        <v>NO APLICA</v>
      </c>
      <c r="PV154" s="5"/>
      <c r="PW154" s="6"/>
      <c r="PX154" s="6"/>
      <c r="PY154" s="6"/>
      <c r="PZ154" s="5" t="str">
        <f t="shared" si="556"/>
        <v>NO APLICA</v>
      </c>
    </row>
    <row r="155" spans="1:442" ht="15.6" hidden="1" thickTop="1" thickBot="1" x14ac:dyDescent="0.35">
      <c r="A155" s="26">
        <v>152</v>
      </c>
      <c r="B155" s="31">
        <v>1722</v>
      </c>
      <c r="C155" s="28" t="s">
        <v>497</v>
      </c>
      <c r="D155" s="29" t="s">
        <v>64</v>
      </c>
      <c r="E155" s="30" t="s">
        <v>81</v>
      </c>
      <c r="F155" s="6"/>
      <c r="G155" s="6"/>
      <c r="H155" s="6"/>
      <c r="I155" s="6"/>
      <c r="J155" s="5" t="str">
        <f t="shared" si="455"/>
        <v>NO APLICA</v>
      </c>
      <c r="K155" s="6"/>
      <c r="L155" s="6"/>
      <c r="M155" s="6"/>
      <c r="N155" s="6"/>
      <c r="O155" s="5" t="str">
        <f t="shared" si="456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7"/>
        <v>VIGENTE</v>
      </c>
      <c r="U155" s="5"/>
      <c r="V155" s="6" t="s">
        <v>498</v>
      </c>
      <c r="W155" s="4">
        <v>45309</v>
      </c>
      <c r="X155" s="4">
        <f t="shared" si="410"/>
        <v>47136</v>
      </c>
      <c r="Y155" s="8">
        <f t="shared" ca="1" si="411"/>
        <v>991</v>
      </c>
      <c r="Z155" s="5" t="str">
        <f t="shared" ca="1" si="412"/>
        <v>VIGENTE</v>
      </c>
      <c r="AA155" s="5"/>
      <c r="AB155" s="6"/>
      <c r="AC155" s="6"/>
      <c r="AD155" s="4"/>
      <c r="AE155" s="8"/>
      <c r="AF155" s="5" t="str">
        <f t="shared" si="457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8"/>
        <v>521</v>
      </c>
      <c r="AK155" s="5" t="str">
        <f t="shared" ca="1" si="408"/>
        <v>VIGENTE</v>
      </c>
      <c r="AL155" s="6"/>
      <c r="AM155" s="4">
        <v>45937</v>
      </c>
      <c r="AN155" s="4">
        <f t="shared" si="572"/>
        <v>46667</v>
      </c>
      <c r="AO155" s="8">
        <f t="shared" ca="1" si="459"/>
        <v>522</v>
      </c>
      <c r="AP155" s="5" t="str">
        <f t="shared" ca="1" si="460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1"/>
        <v>574</v>
      </c>
      <c r="AU155" s="5" t="str">
        <f t="shared" ca="1" si="462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3"/>
        <v>557</v>
      </c>
      <c r="AZ155" s="5" t="str">
        <f t="shared" ca="1" si="464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5"/>
        <v>626</v>
      </c>
      <c r="BE155" s="5" t="str">
        <f t="shared" ca="1" si="466"/>
        <v>VIGENTE</v>
      </c>
      <c r="BF155" s="6"/>
      <c r="BG155" s="4">
        <v>45997</v>
      </c>
      <c r="BH155" s="4">
        <f t="shared" si="582"/>
        <v>46727</v>
      </c>
      <c r="BI155" s="8">
        <f t="shared" ca="1" si="467"/>
        <v>582</v>
      </c>
      <c r="BJ155" s="5" t="str">
        <f t="shared" ca="1" si="468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9"/>
        <v>602</v>
      </c>
      <c r="BO155" s="5" t="str">
        <f t="shared" ca="1" si="470"/>
        <v>VIGENTE</v>
      </c>
      <c r="BP155" s="4"/>
      <c r="BQ155" s="39">
        <v>46050</v>
      </c>
      <c r="BR155" s="4">
        <f>DATE(YEAR(BQ155)+2,MONTH(BQ155),DAY(BQ155))</f>
        <v>46780</v>
      </c>
      <c r="BS155" s="8">
        <f t="shared" ca="1" si="471"/>
        <v>635</v>
      </c>
      <c r="BT155" s="5" t="str">
        <f t="shared" ca="1" si="472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3"/>
        <v>616</v>
      </c>
      <c r="BY155" s="5" t="str">
        <f t="shared" ca="1" si="474"/>
        <v>VIGENTE</v>
      </c>
      <c r="BZ155" s="6"/>
      <c r="CA155" s="4">
        <v>45986</v>
      </c>
      <c r="CB155" s="4">
        <f t="shared" si="574"/>
        <v>46716</v>
      </c>
      <c r="CC155" s="8">
        <f t="shared" ca="1" si="475"/>
        <v>571</v>
      </c>
      <c r="CD155" s="5" t="str">
        <f t="shared" ca="1" si="476"/>
        <v>VIGENTE</v>
      </c>
      <c r="CE155" s="6"/>
      <c r="CF155" s="4">
        <v>45723</v>
      </c>
      <c r="CG155" s="4">
        <f t="shared" si="416"/>
        <v>47184</v>
      </c>
      <c r="CH155" s="8">
        <f t="shared" ca="1" si="417"/>
        <v>1039</v>
      </c>
      <c r="CI155" s="5" t="str">
        <f t="shared" ca="1" si="573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7"/>
        <v>603</v>
      </c>
      <c r="CN155" s="5" t="str">
        <f t="shared" ca="1" si="478"/>
        <v>VIGENTE</v>
      </c>
      <c r="CO155" s="4"/>
      <c r="CP155" s="39">
        <v>45979</v>
      </c>
      <c r="CQ155" s="4">
        <f>DATE(YEAR(CP155)+2,MONTH(CP155),DAY(CP155))</f>
        <v>46709</v>
      </c>
      <c r="CR155" s="8">
        <f t="shared" ca="1" si="479"/>
        <v>564</v>
      </c>
      <c r="CS155" s="5" t="str">
        <f t="shared" ca="1" si="480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1"/>
        <v>628</v>
      </c>
      <c r="CX155" s="5" t="str">
        <f t="shared" ca="1" si="482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3"/>
        <v>585</v>
      </c>
      <c r="DC155" s="5" t="str">
        <f t="shared" ca="1" si="484"/>
        <v>VIGENTE</v>
      </c>
      <c r="DD155" s="3"/>
      <c r="DE155" s="39">
        <v>45996</v>
      </c>
      <c r="DF155" s="4">
        <f>DATE(YEAR(DE155)+2,MONTH(DE155),DAY(DE155))</f>
        <v>46726</v>
      </c>
      <c r="DG155" s="8">
        <f t="shared" ca="1" si="485"/>
        <v>581</v>
      </c>
      <c r="DH155" s="5" t="str">
        <f t="shared" ca="1" si="486"/>
        <v>VIGENTE</v>
      </c>
      <c r="DI155" s="4"/>
      <c r="DJ155" s="39">
        <v>45975</v>
      </c>
      <c r="DK155" s="4">
        <f>DATE(YEAR(DJ155)+2,MONTH(DJ155),DAY(DJ155))</f>
        <v>46705</v>
      </c>
      <c r="DL155" s="8">
        <f t="shared" ca="1" si="487"/>
        <v>560</v>
      </c>
      <c r="DM155" s="5" t="str">
        <f t="shared" ca="1" si="488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9"/>
        <v>567</v>
      </c>
      <c r="DR155" s="5" t="str">
        <f t="shared" ca="1" si="490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1"/>
        <v>594</v>
      </c>
      <c r="DW155" s="5" t="str">
        <f t="shared" ca="1" si="492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3"/>
        <v>617</v>
      </c>
      <c r="EB155" s="5" t="str">
        <f t="shared" ca="1" si="494"/>
        <v>VIGENTE</v>
      </c>
      <c r="EC155" s="4"/>
      <c r="ED155" s="39">
        <v>45994</v>
      </c>
      <c r="EE155" s="4">
        <f>DATE(YEAR(ED155)+2,MONTH(ED155),DAY(ED155))</f>
        <v>46724</v>
      </c>
      <c r="EF155" s="8">
        <f t="shared" ca="1" si="495"/>
        <v>579</v>
      </c>
      <c r="EG155" s="5" t="str">
        <f t="shared" ca="1" si="496"/>
        <v>VIGENTE</v>
      </c>
      <c r="EH155" s="3"/>
      <c r="EI155" s="3">
        <v>46015</v>
      </c>
      <c r="EJ155" s="4">
        <f t="shared" si="558"/>
        <v>46380</v>
      </c>
      <c r="EK155" s="8">
        <f t="shared" ca="1" si="497"/>
        <v>235</v>
      </c>
      <c r="EL155" s="5" t="str">
        <f t="shared" ca="1" si="498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9"/>
        <v>568</v>
      </c>
      <c r="EQ155" s="5" t="str">
        <f t="shared" ca="1" si="500"/>
        <v>VIGENTE</v>
      </c>
      <c r="ER155" s="6"/>
      <c r="ES155" s="39">
        <v>45999</v>
      </c>
      <c r="ET155" s="4">
        <f>DATE(YEAR(ES155)+2,MONTH(ES155),DAY(ES155))</f>
        <v>46729</v>
      </c>
      <c r="EU155" s="8">
        <f t="shared" ca="1" si="501"/>
        <v>584</v>
      </c>
      <c r="EV155" s="5" t="str">
        <f t="shared" ca="1" si="502"/>
        <v>VIGENTE</v>
      </c>
      <c r="EW155" s="4"/>
      <c r="EX155" s="4">
        <v>45964</v>
      </c>
      <c r="EY155" s="4">
        <f t="shared" si="575"/>
        <v>46694</v>
      </c>
      <c r="EZ155" s="8">
        <f t="shared" ca="1" si="503"/>
        <v>549</v>
      </c>
      <c r="FA155" s="5" t="str">
        <f t="shared" ca="1" si="504"/>
        <v>VIGENTE</v>
      </c>
      <c r="FB155" s="6"/>
      <c r="FC155" s="4">
        <v>45988</v>
      </c>
      <c r="FD155" s="4">
        <f t="shared" si="576"/>
        <v>46718</v>
      </c>
      <c r="FE155" s="8">
        <f t="shared" ca="1" si="505"/>
        <v>573</v>
      </c>
      <c r="FF155" s="5" t="str">
        <f t="shared" ca="1" si="506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7"/>
        <v>547</v>
      </c>
      <c r="FK155" s="5" t="str">
        <f t="shared" ca="1" si="508"/>
        <v>VIGENTE</v>
      </c>
      <c r="FL155" s="4"/>
      <c r="FM155" s="39">
        <v>46039</v>
      </c>
      <c r="FN155" s="4">
        <f>DATE(YEAR(FM155)+2,MONTH(FM155),DAY(FM155))</f>
        <v>46769</v>
      </c>
      <c r="FO155" s="8">
        <f t="shared" ca="1" si="509"/>
        <v>624</v>
      </c>
      <c r="FP155" s="5" t="str">
        <f t="shared" ca="1" si="510"/>
        <v>VIGENTE</v>
      </c>
      <c r="FQ155" s="4"/>
      <c r="FR155" s="39">
        <v>46034</v>
      </c>
      <c r="FS155" s="4">
        <f>DATE(YEAR(FR155)+2,MONTH(FR155),DAY(FR155))</f>
        <v>46764</v>
      </c>
      <c r="FT155" s="8">
        <f t="shared" ca="1" si="511"/>
        <v>619</v>
      </c>
      <c r="FU155" s="5" t="str">
        <f t="shared" ca="1" si="512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3"/>
        <v>589</v>
      </c>
      <c r="FZ155" s="5" t="str">
        <f t="shared" ca="1" si="514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5"/>
        <v>510</v>
      </c>
      <c r="GE155" s="5" t="str">
        <f t="shared" ca="1" si="516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7"/>
        <v>545</v>
      </c>
      <c r="GJ155" s="5" t="str">
        <f t="shared" ca="1" si="518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9"/>
        <v>83</v>
      </c>
      <c r="GO155" s="5" t="str">
        <f t="shared" ca="1" si="520"/>
        <v>VIGENTE</v>
      </c>
      <c r="GP155" s="4"/>
      <c r="GQ155" s="4">
        <v>45299</v>
      </c>
      <c r="GR155" s="4">
        <f t="shared" si="521"/>
        <v>47126</v>
      </c>
      <c r="GS155" s="8">
        <f t="shared" ca="1" si="405"/>
        <v>981</v>
      </c>
      <c r="GT155" s="5" t="str">
        <f t="shared" ca="1" si="419"/>
        <v>VIGENTE</v>
      </c>
      <c r="GU155" s="4"/>
      <c r="GV155" s="4">
        <v>45329</v>
      </c>
      <c r="GW155" s="4">
        <f t="shared" si="522"/>
        <v>47156</v>
      </c>
      <c r="GX155" s="8">
        <f t="shared" ca="1" si="523"/>
        <v>1011</v>
      </c>
      <c r="GY155" s="5" t="str">
        <f t="shared" ca="1" si="426"/>
        <v>VIGENTE</v>
      </c>
      <c r="GZ155" s="6"/>
      <c r="HA155" s="4">
        <v>45343</v>
      </c>
      <c r="HB155" s="4">
        <f t="shared" si="524"/>
        <v>47170</v>
      </c>
      <c r="HC155" s="8">
        <f t="shared" ca="1" si="525"/>
        <v>1025</v>
      </c>
      <c r="HD155" s="5" t="str">
        <f t="shared" ca="1" si="421"/>
        <v>VIGENTE</v>
      </c>
      <c r="HE155" s="6"/>
      <c r="HF155" s="4">
        <v>45317</v>
      </c>
      <c r="HG155" s="4">
        <f t="shared" si="583"/>
        <v>47144</v>
      </c>
      <c r="HH155" s="8">
        <f t="shared" ca="1" si="584"/>
        <v>999</v>
      </c>
      <c r="HI155" s="5" t="str">
        <f t="shared" ca="1" si="427"/>
        <v>VIGENTE</v>
      </c>
      <c r="HJ155" s="6"/>
      <c r="HK155" s="6"/>
      <c r="HL155" s="4"/>
      <c r="HM155" s="8"/>
      <c r="HN155" s="5" t="str">
        <f t="shared" si="444"/>
        <v>NO APLICA</v>
      </c>
      <c r="HO155" s="2"/>
      <c r="HP155" s="2"/>
      <c r="HQ155" s="4"/>
      <c r="HR155" s="2"/>
      <c r="HS155" s="5" t="str">
        <f t="shared" si="526"/>
        <v>NO APLICA</v>
      </c>
      <c r="HT155" s="6"/>
      <c r="HU155" s="6"/>
      <c r="HV155" s="4"/>
      <c r="HW155" s="8"/>
      <c r="HX155" s="5" t="str">
        <f t="shared" si="527"/>
        <v>NO APLICA</v>
      </c>
      <c r="HY155" s="6"/>
      <c r="HZ155" s="6"/>
      <c r="IA155" s="4"/>
      <c r="IB155" s="8"/>
      <c r="IC155" s="5" t="str">
        <f t="shared" si="528"/>
        <v>NO APLICA</v>
      </c>
      <c r="ID155" s="6"/>
      <c r="IE155" s="6"/>
      <c r="IF155" s="4"/>
      <c r="IG155" s="8"/>
      <c r="IH155" s="5" t="str">
        <f t="shared" si="529"/>
        <v>NO APLICA</v>
      </c>
      <c r="II155" s="6"/>
      <c r="IJ155" s="6"/>
      <c r="IK155" s="4"/>
      <c r="IL155" s="6"/>
      <c r="IM155" s="5" t="str">
        <f t="shared" si="530"/>
        <v>NO APLICA</v>
      </c>
      <c r="IN155" s="6"/>
      <c r="IO155" s="6"/>
      <c r="IP155" s="4"/>
      <c r="IQ155" s="8"/>
      <c r="IR155" s="5" t="str">
        <f t="shared" si="531"/>
        <v>NO APLICA</v>
      </c>
      <c r="IS155" s="6"/>
      <c r="IT155" s="6"/>
      <c r="IU155" s="4"/>
      <c r="IV155" s="8"/>
      <c r="IW155" s="5" t="str">
        <f t="shared" si="532"/>
        <v>NO APLICA</v>
      </c>
      <c r="IX155" s="6"/>
      <c r="IY155" s="6"/>
      <c r="IZ155" s="4"/>
      <c r="JA155" s="8"/>
      <c r="JB155" s="5" t="str">
        <f t="shared" si="533"/>
        <v>NO APLICA</v>
      </c>
      <c r="JC155" s="3" t="s">
        <v>780</v>
      </c>
      <c r="JD155" s="3"/>
      <c r="JE155" s="4"/>
      <c r="JF155" s="8"/>
      <c r="JG155" s="5"/>
      <c r="JH155" s="3" t="s">
        <v>780</v>
      </c>
      <c r="JI155" s="6"/>
      <c r="JJ155" s="6"/>
      <c r="JK155" s="6"/>
      <c r="JL155" s="5"/>
      <c r="JM155" s="6" t="s">
        <v>780</v>
      </c>
      <c r="JN155" s="6"/>
      <c r="JO155" s="6"/>
      <c r="JP155" s="6"/>
      <c r="JQ155" s="5"/>
      <c r="JR155" s="6" t="s">
        <v>780</v>
      </c>
      <c r="JS155" s="6"/>
      <c r="JT155" s="6"/>
      <c r="JU155" s="6"/>
      <c r="JV155" s="5"/>
      <c r="JW155" s="6" t="s">
        <v>780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4"/>
        <v>NO APLICA</v>
      </c>
      <c r="KG155" s="5"/>
      <c r="KH155" s="2"/>
      <c r="KI155" s="4"/>
      <c r="KJ155" s="8"/>
      <c r="KK155" s="5" t="str">
        <f t="shared" si="559"/>
        <v>NO APLICA</v>
      </c>
      <c r="KL155" s="5"/>
      <c r="KM155" s="2"/>
      <c r="KN155" s="4"/>
      <c r="KO155" s="8"/>
      <c r="KP155" s="5" t="str">
        <f t="shared" si="535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60"/>
        <v>VIGENTE</v>
      </c>
      <c r="KV155" s="6"/>
      <c r="KW155" s="6"/>
      <c r="KX155" s="4"/>
      <c r="KY155" s="6"/>
      <c r="KZ155" s="5" t="str">
        <f t="shared" si="565"/>
        <v>NO APLICA</v>
      </c>
      <c r="LA155" s="5"/>
      <c r="LB155" s="6"/>
      <c r="LC155" s="4"/>
      <c r="LD155" s="6"/>
      <c r="LE155" s="5" t="str">
        <f t="shared" si="561"/>
        <v>NO APLICA</v>
      </c>
      <c r="LF155" s="6"/>
      <c r="LG155" s="6"/>
      <c r="LH155" s="6"/>
      <c r="LI155" s="6"/>
      <c r="LJ155" s="5" t="str">
        <f t="shared" si="567"/>
        <v>NO APLICA</v>
      </c>
      <c r="LK155" s="5"/>
      <c r="LL155" s="5"/>
      <c r="LM155" s="4"/>
      <c r="LN155" s="8"/>
      <c r="LO155" s="5" t="str">
        <f t="shared" si="566"/>
        <v>NO APLICA</v>
      </c>
      <c r="LP155" s="6"/>
      <c r="LQ155" s="6"/>
      <c r="LR155" s="4"/>
      <c r="LS155" s="8"/>
      <c r="LT155" s="5" t="str">
        <f t="shared" si="562"/>
        <v>NO APLICA</v>
      </c>
      <c r="LU155" s="6"/>
      <c r="LV155" s="6"/>
      <c r="LW155" s="4"/>
      <c r="LX155" s="6"/>
      <c r="LY155" s="5" t="str">
        <f t="shared" si="563"/>
        <v>NO APLICA</v>
      </c>
      <c r="LZ155" s="6"/>
      <c r="MA155" s="6"/>
      <c r="MB155" s="4"/>
      <c r="MC155" s="6"/>
      <c r="MD155" s="5" t="str">
        <f t="shared" si="564"/>
        <v>NO APLICA</v>
      </c>
      <c r="ME155" s="6"/>
      <c r="MF155" s="6"/>
      <c r="MG155" s="4"/>
      <c r="MH155" s="6"/>
      <c r="MI155" s="5" t="str">
        <f t="shared" si="537"/>
        <v>NO APLICA</v>
      </c>
      <c r="MJ155" s="6"/>
      <c r="MK155" s="6"/>
      <c r="ML155" s="4"/>
      <c r="MM155" s="6"/>
      <c r="MN155" s="5" t="str">
        <f t="shared" si="538"/>
        <v>NO APLICA</v>
      </c>
      <c r="MO155" s="5"/>
      <c r="MP155" s="6"/>
      <c r="MQ155" s="4"/>
      <c r="MR155" s="6"/>
      <c r="MS155" s="5" t="str">
        <f t="shared" si="539"/>
        <v>NO APLICA</v>
      </c>
      <c r="MT155" s="5"/>
      <c r="MU155" s="6"/>
      <c r="MV155" s="6"/>
      <c r="MW155" s="6"/>
      <c r="MX155" s="5" t="str">
        <f t="shared" si="540"/>
        <v>NO APLICA</v>
      </c>
      <c r="MY155" s="6"/>
      <c r="MZ155" s="6"/>
      <c r="NA155" s="4"/>
      <c r="NB155" s="6"/>
      <c r="NC155" s="5" t="str">
        <f t="shared" si="541"/>
        <v>NO APLICA</v>
      </c>
      <c r="ND155" s="6"/>
      <c r="NE155" s="6"/>
      <c r="NF155" s="4"/>
      <c r="NG155" s="6"/>
      <c r="NH155" s="5" t="str">
        <f t="shared" si="542"/>
        <v>NO APLICA</v>
      </c>
      <c r="NI155" s="6"/>
      <c r="NJ155" s="6"/>
      <c r="NK155" s="4"/>
      <c r="NL155" s="6"/>
      <c r="NM155" s="5" t="str">
        <f t="shared" si="543"/>
        <v>NO APLICA</v>
      </c>
      <c r="NN155" s="6"/>
      <c r="NO155" s="6"/>
      <c r="NP155" s="4"/>
      <c r="NQ155" s="6"/>
      <c r="NR155" s="5" t="str">
        <f t="shared" si="544"/>
        <v>NO APLICA</v>
      </c>
      <c r="NS155" s="6"/>
      <c r="NT155" s="6"/>
      <c r="NU155" s="4"/>
      <c r="NV155" s="6"/>
      <c r="NW155" s="5" t="str">
        <f t="shared" si="545"/>
        <v>NO APLICA</v>
      </c>
      <c r="NX155" s="6"/>
      <c r="NY155" s="4"/>
      <c r="NZ155" s="4"/>
      <c r="OA155" s="8"/>
      <c r="OB155" s="5" t="str">
        <f t="shared" si="546"/>
        <v>NO APLICA</v>
      </c>
      <c r="OC155" s="6"/>
      <c r="OD155" s="6"/>
      <c r="OE155" s="6"/>
      <c r="OF155" s="6"/>
      <c r="OG155" s="5" t="str">
        <f t="shared" si="547"/>
        <v>NO APLICA</v>
      </c>
      <c r="OH155" s="6"/>
      <c r="OI155" s="6"/>
      <c r="OJ155" s="6"/>
      <c r="OK155" s="6"/>
      <c r="OL155" s="5" t="str">
        <f t="shared" si="548"/>
        <v>NO APLICA</v>
      </c>
      <c r="OM155" s="6"/>
      <c r="ON155" s="6"/>
      <c r="OO155" s="6"/>
      <c r="OP155" s="6"/>
      <c r="OQ155" s="5" t="str">
        <f t="shared" si="549"/>
        <v>NO APLICA</v>
      </c>
      <c r="OR155" s="6"/>
      <c r="OS155" s="6"/>
      <c r="OT155" s="6"/>
      <c r="OU155" s="6"/>
      <c r="OV155" s="5" t="str">
        <f t="shared" si="550"/>
        <v>NO APLICA</v>
      </c>
      <c r="OW155" s="6"/>
      <c r="OX155" s="6"/>
      <c r="OY155" s="6"/>
      <c r="OZ155" s="6"/>
      <c r="PA155" s="5" t="str">
        <f t="shared" si="551"/>
        <v>NO APLICA</v>
      </c>
      <c r="PB155" s="6"/>
      <c r="PC155" s="6"/>
      <c r="PD155" s="6"/>
      <c r="PE155" s="6"/>
      <c r="PF155" s="5" t="str">
        <f t="shared" si="552"/>
        <v>NO APLICA</v>
      </c>
      <c r="PG155" s="6"/>
      <c r="PH155" s="6"/>
      <c r="PI155" s="6"/>
      <c r="PJ155" s="6"/>
      <c r="PK155" s="5" t="str">
        <f t="shared" si="553"/>
        <v>NO APLICA</v>
      </c>
      <c r="PL155" s="5"/>
      <c r="PM155" s="6"/>
      <c r="PN155" s="6"/>
      <c r="PO155" s="6"/>
      <c r="PP155" s="5" t="str">
        <f t="shared" si="554"/>
        <v>NO APLICA</v>
      </c>
      <c r="PQ155" s="6"/>
      <c r="PR155" s="6"/>
      <c r="PS155" s="6"/>
      <c r="PT155" s="6"/>
      <c r="PU155" s="5" t="str">
        <f t="shared" si="555"/>
        <v>NO APLICA</v>
      </c>
      <c r="PV155" s="5"/>
      <c r="PW155" s="6"/>
      <c r="PX155" s="6"/>
      <c r="PY155" s="6"/>
      <c r="PZ155" s="5" t="str">
        <f t="shared" si="556"/>
        <v>NO APLICA</v>
      </c>
    </row>
    <row r="156" spans="1:442" ht="15.6" hidden="1" thickTop="1" thickBot="1" x14ac:dyDescent="0.35">
      <c r="A156" s="26">
        <v>153</v>
      </c>
      <c r="B156" s="31">
        <v>1629</v>
      </c>
      <c r="C156" s="28" t="s">
        <v>499</v>
      </c>
      <c r="D156" s="29" t="s">
        <v>68</v>
      </c>
      <c r="E156" s="30" t="s">
        <v>73</v>
      </c>
      <c r="F156" s="5"/>
      <c r="G156" s="6"/>
      <c r="H156" s="4"/>
      <c r="I156" s="8"/>
      <c r="J156" s="5" t="str">
        <f t="shared" si="455"/>
        <v>NO APLICA</v>
      </c>
      <c r="K156" s="5"/>
      <c r="L156" s="6"/>
      <c r="M156" s="6"/>
      <c r="N156" s="8"/>
      <c r="O156" s="5" t="str">
        <f t="shared" si="456"/>
        <v>NO APLICA</v>
      </c>
      <c r="P156" s="6"/>
      <c r="Q156" s="6"/>
      <c r="R156" s="4"/>
      <c r="S156" s="8"/>
      <c r="T156" s="5" t="str">
        <f t="shared" si="557"/>
        <v>NO APLICA</v>
      </c>
      <c r="U156" s="5"/>
      <c r="V156" s="2" t="s">
        <v>500</v>
      </c>
      <c r="W156" s="4">
        <v>44764</v>
      </c>
      <c r="X156" s="4">
        <f t="shared" si="410"/>
        <v>46590</v>
      </c>
      <c r="Y156" s="8">
        <f t="shared" ca="1" si="411"/>
        <v>445</v>
      </c>
      <c r="Z156" s="5" t="str">
        <f t="shared" ca="1" si="412"/>
        <v>VIGENTE</v>
      </c>
      <c r="AA156" s="5"/>
      <c r="AB156" s="2" t="s">
        <v>501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7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8"/>
        <v>173</v>
      </c>
      <c r="AK156" s="5" t="str">
        <f t="shared" ca="1" si="408"/>
        <v>VIGENTE</v>
      </c>
      <c r="AL156" s="3"/>
      <c r="AM156" s="4">
        <v>46062</v>
      </c>
      <c r="AN156" s="4">
        <f t="shared" si="572"/>
        <v>46792</v>
      </c>
      <c r="AO156" s="8">
        <f t="shared" ca="1" si="459"/>
        <v>647</v>
      </c>
      <c r="AP156" s="5" t="str">
        <f t="shared" ca="1" si="460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1"/>
        <v>633</v>
      </c>
      <c r="AU156" s="5" t="str">
        <f t="shared" ca="1" si="462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3"/>
        <v>655</v>
      </c>
      <c r="AZ156" s="5" t="str">
        <f t="shared" ca="1" si="464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5"/>
        <v>626</v>
      </c>
      <c r="BE156" s="5" t="str">
        <f t="shared" ca="1" si="466"/>
        <v>VIGENTE</v>
      </c>
      <c r="BF156" s="3"/>
      <c r="BG156" s="4">
        <v>45987</v>
      </c>
      <c r="BH156" s="4">
        <f t="shared" si="582"/>
        <v>46717</v>
      </c>
      <c r="BI156" s="8">
        <f t="shared" ca="1" si="467"/>
        <v>572</v>
      </c>
      <c r="BJ156" s="5" t="str">
        <f t="shared" ca="1" si="468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9"/>
        <v>641</v>
      </c>
      <c r="BO156" s="5" t="str">
        <f t="shared" ca="1" si="470"/>
        <v>VIGENTE</v>
      </c>
      <c r="BP156" s="3"/>
      <c r="BQ156" s="39">
        <v>46069</v>
      </c>
      <c r="BR156" s="4">
        <f>DATE(YEAR(BQ156)+2,MONTH(BQ156),DAY(BQ156))</f>
        <v>46799</v>
      </c>
      <c r="BS156" s="8">
        <f t="shared" ca="1" si="471"/>
        <v>654</v>
      </c>
      <c r="BT156" s="5" t="str">
        <f t="shared" ca="1" si="472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3"/>
        <v>648</v>
      </c>
      <c r="BY156" s="5" t="str">
        <f t="shared" ca="1" si="474"/>
        <v>VIGENTE</v>
      </c>
      <c r="BZ156" s="3"/>
      <c r="CA156" s="4">
        <v>46065</v>
      </c>
      <c r="CB156" s="4">
        <f t="shared" si="574"/>
        <v>46795</v>
      </c>
      <c r="CC156" s="8">
        <f t="shared" ca="1" si="475"/>
        <v>650</v>
      </c>
      <c r="CD156" s="5" t="str">
        <f t="shared" ca="1" si="476"/>
        <v>VIGENTE</v>
      </c>
      <c r="CE156" s="6"/>
      <c r="CF156" s="4">
        <v>45241</v>
      </c>
      <c r="CG156" s="4">
        <f t="shared" si="416"/>
        <v>46702</v>
      </c>
      <c r="CH156" s="8">
        <f t="shared" ca="1" si="417"/>
        <v>557</v>
      </c>
      <c r="CI156" s="5" t="str">
        <f t="shared" ca="1" si="573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7"/>
        <v>649</v>
      </c>
      <c r="CN156" s="5" t="str">
        <f t="shared" ca="1" si="478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9"/>
        <v>687</v>
      </c>
      <c r="CS156" s="5" t="str">
        <f t="shared" ca="1" si="480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1"/>
        <v>628</v>
      </c>
      <c r="CX156" s="5" t="str">
        <f t="shared" ca="1" si="482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3"/>
        <v>245</v>
      </c>
      <c r="DC156" s="5" t="str">
        <f t="shared" ca="1" si="484"/>
        <v>VIGENTE</v>
      </c>
      <c r="DD156" s="3"/>
      <c r="DE156" s="39">
        <v>45689</v>
      </c>
      <c r="DF156" s="4">
        <f>DATE(YEAR(DE156)+2,MONTH(DE156),DAY(DE156)-1)</f>
        <v>46418</v>
      </c>
      <c r="DG156" s="8">
        <f t="shared" ca="1" si="485"/>
        <v>273</v>
      </c>
      <c r="DH156" s="5" t="str">
        <f t="shared" ca="1" si="486"/>
        <v>VIGENTE</v>
      </c>
      <c r="DI156" s="3"/>
      <c r="DJ156" s="39">
        <v>46029</v>
      </c>
      <c r="DK156" s="4">
        <f>DATE(YEAR(DJ156)+2,MONTH(DJ156),DAY(DJ156))</f>
        <v>46759</v>
      </c>
      <c r="DL156" s="8">
        <f t="shared" ca="1" si="487"/>
        <v>614</v>
      </c>
      <c r="DM156" s="5" t="str">
        <f t="shared" ca="1" si="488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9"/>
        <v>674</v>
      </c>
      <c r="DR156" s="5" t="str">
        <f t="shared" ca="1" si="490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1"/>
        <v>657</v>
      </c>
      <c r="DW156" s="5" t="str">
        <f t="shared" ca="1" si="492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3"/>
        <v>685</v>
      </c>
      <c r="EB156" s="5" t="str">
        <f t="shared" ca="1" si="494"/>
        <v>VIGENTE</v>
      </c>
      <c r="EC156" s="3"/>
      <c r="ED156" s="39">
        <v>46104</v>
      </c>
      <c r="EE156" s="4">
        <f>DATE(YEAR(ED156)+2,MONTH(ED156),DAY(ED156))</f>
        <v>46835</v>
      </c>
      <c r="EF156" s="8">
        <f t="shared" ca="1" si="495"/>
        <v>690</v>
      </c>
      <c r="EG156" s="5" t="str">
        <f t="shared" ca="1" si="496"/>
        <v>VIGENTE</v>
      </c>
      <c r="EH156" s="3"/>
      <c r="EI156" s="4">
        <v>46115</v>
      </c>
      <c r="EJ156" s="4">
        <f t="shared" si="558"/>
        <v>46480</v>
      </c>
      <c r="EK156" s="8">
        <f t="shared" ca="1" si="497"/>
        <v>335</v>
      </c>
      <c r="EL156" s="5" t="str">
        <f t="shared" ca="1" si="498"/>
        <v>VIGENTE</v>
      </c>
      <c r="EM156" s="3"/>
      <c r="EN156" s="4">
        <v>46135</v>
      </c>
      <c r="EO156" s="4">
        <f>DATE(YEAR(EN156)+2,MONTH(EN156),DAY(EN156)-1)</f>
        <v>46865</v>
      </c>
      <c r="EP156" s="8">
        <f t="shared" ca="1" si="499"/>
        <v>720</v>
      </c>
      <c r="EQ156" s="5" t="str">
        <f t="shared" ca="1" si="500"/>
        <v>VIGENTE</v>
      </c>
      <c r="ER156" s="3"/>
      <c r="ES156" s="39">
        <v>46094</v>
      </c>
      <c r="ET156" s="4">
        <f>DATE(YEAR(ES156)+2,MONTH(ES156),DAY(ES156))</f>
        <v>46825</v>
      </c>
      <c r="EU156" s="8">
        <f t="shared" ca="1" si="501"/>
        <v>680</v>
      </c>
      <c r="EV156" s="5" t="str">
        <f t="shared" ca="1" si="502"/>
        <v>VIGENTE</v>
      </c>
      <c r="EW156" s="3"/>
      <c r="EX156" s="4">
        <v>46086</v>
      </c>
      <c r="EY156" s="4">
        <f t="shared" si="575"/>
        <v>46817</v>
      </c>
      <c r="EZ156" s="8">
        <f t="shared" ca="1" si="503"/>
        <v>672</v>
      </c>
      <c r="FA156" s="5" t="str">
        <f t="shared" ca="1" si="504"/>
        <v>VIGENTE</v>
      </c>
      <c r="FB156" s="3"/>
      <c r="FC156" s="4">
        <v>46091</v>
      </c>
      <c r="FD156" s="4">
        <f t="shared" si="576"/>
        <v>46822</v>
      </c>
      <c r="FE156" s="8">
        <f t="shared" ca="1" si="505"/>
        <v>677</v>
      </c>
      <c r="FF156" s="5" t="str">
        <f t="shared" ca="1" si="506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7"/>
        <v>554</v>
      </c>
      <c r="FK156" s="5" t="str">
        <f t="shared" ca="1" si="508"/>
        <v>VIGENTE</v>
      </c>
      <c r="FL156" s="3"/>
      <c r="FM156" s="39">
        <v>46049</v>
      </c>
      <c r="FN156" s="4">
        <f>DATE(YEAR(FM156)+2,MONTH(FM156),DAY(FM156))</f>
        <v>46779</v>
      </c>
      <c r="FO156" s="8">
        <f t="shared" ca="1" si="509"/>
        <v>634</v>
      </c>
      <c r="FP156" s="5" t="str">
        <f t="shared" ca="1" si="510"/>
        <v>VIGENTE</v>
      </c>
      <c r="FQ156" s="3"/>
      <c r="FR156" s="39">
        <v>46132</v>
      </c>
      <c r="FS156" s="4">
        <f>DATE(YEAR(FR156)+2,MONTH(FR156),DAY(FR156)-1)</f>
        <v>46862</v>
      </c>
      <c r="FT156" s="8">
        <f t="shared" ca="1" si="511"/>
        <v>717</v>
      </c>
      <c r="FU156" s="5" t="str">
        <f t="shared" ca="1" si="512"/>
        <v>VIGENTE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3"/>
        <v>200</v>
      </c>
      <c r="FZ156" s="5" t="str">
        <f t="shared" ca="1" si="514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5"/>
        <v>615</v>
      </c>
      <c r="GE156" s="5" t="str">
        <f t="shared" ca="1" si="516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7"/>
        <v>82</v>
      </c>
      <c r="GJ156" s="5" t="str">
        <f t="shared" ca="1" si="518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9"/>
        <v>83</v>
      </c>
      <c r="GO156" s="5" t="str">
        <f t="shared" ca="1" si="520"/>
        <v>VIGENTE</v>
      </c>
      <c r="GP156" s="4"/>
      <c r="GQ156" s="4">
        <v>45468</v>
      </c>
      <c r="GR156" s="4">
        <f t="shared" si="521"/>
        <v>47294</v>
      </c>
      <c r="GS156" s="8">
        <f t="shared" ca="1" si="405"/>
        <v>1149</v>
      </c>
      <c r="GT156" s="5" t="str">
        <f t="shared" ca="1" si="419"/>
        <v>VIGENTE</v>
      </c>
      <c r="GU156" s="3"/>
      <c r="GV156" s="4">
        <v>45478</v>
      </c>
      <c r="GW156" s="4">
        <f t="shared" si="522"/>
        <v>47304</v>
      </c>
      <c r="GX156" s="8">
        <f t="shared" ca="1" si="523"/>
        <v>1159</v>
      </c>
      <c r="GY156" s="5" t="str">
        <f t="shared" ca="1" si="426"/>
        <v>VIGENTE</v>
      </c>
      <c r="GZ156" s="3"/>
      <c r="HA156" s="4">
        <v>45479</v>
      </c>
      <c r="HB156" s="4">
        <f t="shared" si="524"/>
        <v>47305</v>
      </c>
      <c r="HC156" s="8">
        <f t="shared" ca="1" si="525"/>
        <v>1160</v>
      </c>
      <c r="HD156" s="5" t="str">
        <f t="shared" ca="1" si="421"/>
        <v>VIGENTE</v>
      </c>
      <c r="HE156" s="6"/>
      <c r="HF156" s="4">
        <v>44900</v>
      </c>
      <c r="HG156" s="4">
        <f t="shared" si="583"/>
        <v>46726</v>
      </c>
      <c r="HH156" s="8">
        <f t="shared" ca="1" si="584"/>
        <v>581</v>
      </c>
      <c r="HI156" s="5" t="str">
        <f t="shared" ca="1" si="427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4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6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7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8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9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30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1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2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3"/>
        <v>VIGENTE</v>
      </c>
      <c r="JC156" s="3" t="s">
        <v>780</v>
      </c>
      <c r="JD156" s="3"/>
      <c r="JE156" s="4"/>
      <c r="JF156" s="8"/>
      <c r="JG156" s="5"/>
      <c r="JH156" s="3" t="s">
        <v>780</v>
      </c>
      <c r="JI156" s="6"/>
      <c r="JJ156" s="6"/>
      <c r="JK156" s="6"/>
      <c r="JL156" s="5"/>
      <c r="JM156" s="6" t="s">
        <v>780</v>
      </c>
      <c r="JN156" s="6"/>
      <c r="JO156" s="6"/>
      <c r="JP156" s="6"/>
      <c r="JQ156" s="5"/>
      <c r="JR156" s="6" t="s">
        <v>780</v>
      </c>
      <c r="JS156" s="6"/>
      <c r="JT156" s="6"/>
      <c r="JU156" s="6"/>
      <c r="JV156" s="5"/>
      <c r="JW156" s="6" t="s">
        <v>780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4"/>
        <v>NO APLICA</v>
      </c>
      <c r="KG156" s="5"/>
      <c r="KH156" s="2"/>
      <c r="KI156" s="4"/>
      <c r="KJ156" s="8"/>
      <c r="KK156" s="5" t="str">
        <f t="shared" si="559"/>
        <v>NO APLICA</v>
      </c>
      <c r="KL156" s="5"/>
      <c r="KM156" s="2"/>
      <c r="KN156" s="4"/>
      <c r="KO156" s="8"/>
      <c r="KP156" s="5" t="str">
        <f t="shared" si="535"/>
        <v>NO APLICA</v>
      </c>
      <c r="KQ156" s="5"/>
      <c r="KR156" s="2"/>
      <c r="KS156" s="4"/>
      <c r="KT156" s="8"/>
      <c r="KU156" s="5" t="str">
        <f t="shared" si="560"/>
        <v>NO APLICA</v>
      </c>
      <c r="KV156" s="2"/>
      <c r="KW156" s="6"/>
      <c r="KX156" s="4"/>
      <c r="KY156" s="8"/>
      <c r="KZ156" s="5" t="str">
        <f t="shared" si="565"/>
        <v>NO APLICA</v>
      </c>
      <c r="LA156" s="5"/>
      <c r="LB156" s="6"/>
      <c r="LC156" s="4"/>
      <c r="LD156" s="8"/>
      <c r="LE156" s="5" t="str">
        <f t="shared" si="561"/>
        <v>NO APLICA</v>
      </c>
      <c r="LF156" s="6"/>
      <c r="LG156" s="6"/>
      <c r="LH156" s="4"/>
      <c r="LI156" s="8"/>
      <c r="LJ156" s="5" t="str">
        <f t="shared" si="567"/>
        <v>NO APLICA</v>
      </c>
      <c r="LK156" s="5"/>
      <c r="LL156" s="5"/>
      <c r="LM156" s="5"/>
      <c r="LN156" s="5"/>
      <c r="LO156" s="5" t="str">
        <f t="shared" si="566"/>
        <v>NO APLICA</v>
      </c>
      <c r="LP156" s="2"/>
      <c r="LQ156" s="6"/>
      <c r="LR156" s="4"/>
      <c r="LS156" s="8"/>
      <c r="LT156" s="5" t="str">
        <f t="shared" si="562"/>
        <v>NO APLICA</v>
      </c>
      <c r="LU156" s="6"/>
      <c r="LV156" s="6"/>
      <c r="LW156" s="4"/>
      <c r="LX156" s="8"/>
      <c r="LY156" s="5" t="str">
        <f t="shared" si="563"/>
        <v>NO APLICA</v>
      </c>
      <c r="LZ156" s="6"/>
      <c r="MA156" s="6"/>
      <c r="MB156" s="4"/>
      <c r="MC156" s="8"/>
      <c r="MD156" s="5" t="str">
        <f t="shared" si="564"/>
        <v>NO APLICA</v>
      </c>
      <c r="ME156" s="2"/>
      <c r="MF156" s="2"/>
      <c r="MG156" s="4"/>
      <c r="MH156" s="8"/>
      <c r="MI156" s="5" t="str">
        <f t="shared" si="537"/>
        <v>NO APLICA</v>
      </c>
      <c r="MJ156" s="2"/>
      <c r="MK156" s="2"/>
      <c r="ML156" s="4"/>
      <c r="MM156" s="8"/>
      <c r="MN156" s="5" t="str">
        <f t="shared" si="538"/>
        <v>NO APLICA</v>
      </c>
      <c r="MO156" s="5"/>
      <c r="MP156" s="2"/>
      <c r="MQ156" s="4"/>
      <c r="MR156" s="8"/>
      <c r="MS156" s="5" t="str">
        <f t="shared" si="539"/>
        <v>NO APLICA</v>
      </c>
      <c r="MT156" s="5"/>
      <c r="MU156" s="2"/>
      <c r="MV156" s="4"/>
      <c r="MW156" s="2"/>
      <c r="MX156" s="5" t="str">
        <f t="shared" si="540"/>
        <v>NO APLICA</v>
      </c>
      <c r="MY156" s="2"/>
      <c r="MZ156" s="6"/>
      <c r="NA156" s="4"/>
      <c r="NB156" s="8"/>
      <c r="NC156" s="5" t="str">
        <f t="shared" si="541"/>
        <v>NO APLICA</v>
      </c>
      <c r="ND156" s="2"/>
      <c r="NE156" s="6"/>
      <c r="NF156" s="4"/>
      <c r="NG156" s="8"/>
      <c r="NH156" s="5" t="str">
        <f t="shared" si="542"/>
        <v>NO APLICA</v>
      </c>
      <c r="NI156" s="2"/>
      <c r="NJ156" s="6"/>
      <c r="NK156" s="4"/>
      <c r="NL156" s="8"/>
      <c r="NM156" s="5" t="str">
        <f t="shared" si="543"/>
        <v>NO APLICA</v>
      </c>
      <c r="NN156" s="2"/>
      <c r="NO156" s="2"/>
      <c r="NP156" s="4"/>
      <c r="NQ156" s="2"/>
      <c r="NR156" s="5" t="str">
        <f t="shared" si="544"/>
        <v>NO APLICA</v>
      </c>
      <c r="NS156" s="2"/>
      <c r="NT156" s="2"/>
      <c r="NU156" s="4"/>
      <c r="NV156" s="2"/>
      <c r="NW156" s="5" t="str">
        <f t="shared" si="545"/>
        <v>NO APLICA</v>
      </c>
      <c r="NX156" s="6"/>
      <c r="NY156" s="6"/>
      <c r="NZ156" s="4"/>
      <c r="OA156" s="8"/>
      <c r="OB156" s="5" t="str">
        <f t="shared" si="546"/>
        <v>NO APLICA</v>
      </c>
      <c r="OC156" s="6"/>
      <c r="OD156" s="6"/>
      <c r="OE156" s="6"/>
      <c r="OF156" s="6"/>
      <c r="OG156" s="5" t="str">
        <f t="shared" si="547"/>
        <v>NO APLICA</v>
      </c>
      <c r="OH156" s="6"/>
      <c r="OI156" s="6"/>
      <c r="OJ156" s="4"/>
      <c r="OK156" s="8"/>
      <c r="OL156" s="5" t="str">
        <f t="shared" si="548"/>
        <v>NO APLICA</v>
      </c>
      <c r="OM156" s="6"/>
      <c r="ON156" s="6"/>
      <c r="OO156" s="6"/>
      <c r="OP156" s="6"/>
      <c r="OQ156" s="5" t="str">
        <f t="shared" si="549"/>
        <v>NO APLICA</v>
      </c>
      <c r="OR156" s="6"/>
      <c r="OS156" s="6"/>
      <c r="OT156" s="6"/>
      <c r="OU156" s="6"/>
      <c r="OV156" s="5" t="str">
        <f t="shared" si="550"/>
        <v>NO APLICA</v>
      </c>
      <c r="OW156" s="6"/>
      <c r="OX156" s="6"/>
      <c r="OY156" s="6"/>
      <c r="OZ156" s="6"/>
      <c r="PA156" s="5" t="str">
        <f t="shared" si="551"/>
        <v>NO APLICA</v>
      </c>
      <c r="PB156" s="6"/>
      <c r="PC156" s="6"/>
      <c r="PD156" s="6"/>
      <c r="PE156" s="6"/>
      <c r="PF156" s="5" t="str">
        <f t="shared" si="552"/>
        <v>NO APLICA</v>
      </c>
      <c r="PG156" s="6"/>
      <c r="PH156" s="6"/>
      <c r="PI156" s="6"/>
      <c r="PJ156" s="6"/>
      <c r="PK156" s="5" t="str">
        <f t="shared" si="553"/>
        <v>NO APLICA</v>
      </c>
      <c r="PL156" s="5"/>
      <c r="PM156" s="6"/>
      <c r="PN156" s="4"/>
      <c r="PO156" s="8"/>
      <c r="PP156" s="5" t="str">
        <f t="shared" si="554"/>
        <v>NO APLICA</v>
      </c>
      <c r="PQ156" s="6"/>
      <c r="PR156" s="6"/>
      <c r="PS156" s="6"/>
      <c r="PT156" s="6"/>
      <c r="PU156" s="5" t="str">
        <f t="shared" si="555"/>
        <v>NO APLICA</v>
      </c>
      <c r="PV156" s="5"/>
      <c r="PW156" s="6"/>
      <c r="PX156" s="6"/>
      <c r="PY156" s="6"/>
      <c r="PZ156" s="5" t="str">
        <f t="shared" si="556"/>
        <v>NO APLICA</v>
      </c>
    </row>
    <row r="157" spans="1:442" ht="15.6" hidden="1" thickTop="1" thickBot="1" x14ac:dyDescent="0.35">
      <c r="A157" s="26">
        <v>154</v>
      </c>
      <c r="B157" s="31">
        <v>1438</v>
      </c>
      <c r="C157" s="28" t="s">
        <v>502</v>
      </c>
      <c r="D157" s="29" t="s">
        <v>68</v>
      </c>
      <c r="E157" s="30" t="s">
        <v>73</v>
      </c>
      <c r="F157" s="6"/>
      <c r="G157" s="6"/>
      <c r="H157" s="6"/>
      <c r="I157" s="6"/>
      <c r="J157" s="5" t="str">
        <f t="shared" si="455"/>
        <v>NO APLICA</v>
      </c>
      <c r="K157" s="6"/>
      <c r="L157" s="6"/>
      <c r="M157" s="6"/>
      <c r="N157" s="6"/>
      <c r="O157" s="5" t="str">
        <f t="shared" si="456"/>
        <v>NO APLICA</v>
      </c>
      <c r="P157" s="6"/>
      <c r="Q157" s="6"/>
      <c r="R157" s="6"/>
      <c r="S157" s="6"/>
      <c r="T157" s="5" t="str">
        <f t="shared" si="557"/>
        <v>NO APLICA</v>
      </c>
      <c r="U157" s="5"/>
      <c r="V157" s="6" t="s">
        <v>503</v>
      </c>
      <c r="W157" s="4">
        <v>45309</v>
      </c>
      <c r="X157" s="4">
        <f t="shared" si="410"/>
        <v>47136</v>
      </c>
      <c r="Y157" s="8">
        <f t="shared" ca="1" si="411"/>
        <v>991</v>
      </c>
      <c r="Z157" s="5" t="str">
        <f t="shared" ca="1" si="412"/>
        <v>VIGENTE</v>
      </c>
      <c r="AA157" s="5"/>
      <c r="AB157" s="6" t="s">
        <v>504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7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8"/>
        <v>591</v>
      </c>
      <c r="AK157" s="5" t="str">
        <f t="shared" ca="1" si="408"/>
        <v>VIGENTE</v>
      </c>
      <c r="AL157" s="4"/>
      <c r="AM157" s="4">
        <v>45959</v>
      </c>
      <c r="AN157" s="4">
        <f t="shared" si="572"/>
        <v>46689</v>
      </c>
      <c r="AO157" s="8">
        <f t="shared" ca="1" si="459"/>
        <v>544</v>
      </c>
      <c r="AP157" s="5" t="str">
        <f t="shared" ca="1" si="460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1"/>
        <v>574</v>
      </c>
      <c r="AU157" s="5" t="str">
        <f t="shared" ca="1" si="462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3"/>
        <v>575</v>
      </c>
      <c r="AZ157" s="5" t="str">
        <f t="shared" ca="1" si="464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5"/>
        <v>626</v>
      </c>
      <c r="BE157" s="5" t="str">
        <f t="shared" ca="1" si="466"/>
        <v>VIGENTE</v>
      </c>
      <c r="BF157" s="6"/>
      <c r="BG157" s="4">
        <v>45987</v>
      </c>
      <c r="BH157" s="4">
        <f t="shared" si="582"/>
        <v>46717</v>
      </c>
      <c r="BI157" s="8">
        <f t="shared" ca="1" si="467"/>
        <v>572</v>
      </c>
      <c r="BJ157" s="5" t="str">
        <f t="shared" ca="1" si="468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9"/>
        <v>620</v>
      </c>
      <c r="BO157" s="5" t="str">
        <f t="shared" ca="1" si="470"/>
        <v>VIGENTE</v>
      </c>
      <c r="BP157" s="4"/>
      <c r="BQ157" s="39">
        <v>46120</v>
      </c>
      <c r="BR157" s="4">
        <f>DATE(YEAR(BQ157)+2,MONTH(BQ157),DAY(BQ157)-1)</f>
        <v>46850</v>
      </c>
      <c r="BS157" s="8">
        <f t="shared" ca="1" si="471"/>
        <v>705</v>
      </c>
      <c r="BT157" s="5" t="str">
        <f t="shared" ca="1" si="472"/>
        <v>VIGENTE</v>
      </c>
      <c r="BU157" s="4"/>
      <c r="BV157" s="4">
        <v>46074</v>
      </c>
      <c r="BW157" s="4">
        <f>DATE(YEAR(BV157)+2,MONTH(BV157),DAY(BV157))</f>
        <v>46804</v>
      </c>
      <c r="BX157" s="8">
        <f t="shared" ca="1" si="473"/>
        <v>659</v>
      </c>
      <c r="BY157" s="5" t="str">
        <f t="shared" ca="1" si="474"/>
        <v>VIGENTE</v>
      </c>
      <c r="BZ157" s="6"/>
      <c r="CA157" s="4">
        <v>45986</v>
      </c>
      <c r="CB157" s="4">
        <f t="shared" si="574"/>
        <v>46716</v>
      </c>
      <c r="CC157" s="8">
        <f t="shared" ca="1" si="475"/>
        <v>571</v>
      </c>
      <c r="CD157" s="5" t="str">
        <f t="shared" ca="1" si="476"/>
        <v>VIGENTE</v>
      </c>
      <c r="CE157" s="6"/>
      <c r="CF157" s="4">
        <v>45301</v>
      </c>
      <c r="CG157" s="4">
        <f t="shared" si="416"/>
        <v>46762</v>
      </c>
      <c r="CH157" s="8">
        <f t="shared" ca="1" si="417"/>
        <v>617</v>
      </c>
      <c r="CI157" s="5" t="str">
        <f t="shared" ca="1" si="573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7"/>
        <v>603</v>
      </c>
      <c r="CN157" s="5" t="str">
        <f t="shared" ca="1" si="478"/>
        <v>VIGENTE</v>
      </c>
      <c r="CO157" s="4"/>
      <c r="CP157" s="39">
        <v>45979</v>
      </c>
      <c r="CQ157" s="4">
        <f>DATE(YEAR(CP157)+2,MONTH(CP157),DAY(CP157))</f>
        <v>46709</v>
      </c>
      <c r="CR157" s="8">
        <f t="shared" ca="1" si="479"/>
        <v>564</v>
      </c>
      <c r="CS157" s="5" t="str">
        <f t="shared" ca="1" si="480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1"/>
        <v>666</v>
      </c>
      <c r="CX157" s="5" t="str">
        <f t="shared" ca="1" si="482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3"/>
        <v>684</v>
      </c>
      <c r="DC157" s="5" t="str">
        <f t="shared" ca="1" si="484"/>
        <v>VIGENTE</v>
      </c>
      <c r="DD157" s="4"/>
      <c r="DE157" s="39">
        <v>46045</v>
      </c>
      <c r="DF157" s="4">
        <f>DATE(YEAR(DE157)+2,MONTH(DE157),DAY(DE157))</f>
        <v>46775</v>
      </c>
      <c r="DG157" s="8">
        <f t="shared" ca="1" si="485"/>
        <v>630</v>
      </c>
      <c r="DH157" s="5" t="str">
        <f t="shared" ca="1" si="486"/>
        <v>VIGENTE</v>
      </c>
      <c r="DI157" s="4"/>
      <c r="DJ157" s="39">
        <v>46029</v>
      </c>
      <c r="DK157" s="4">
        <f>DATE(YEAR(DJ157)+2,MONTH(DJ157),DAY(DJ157))</f>
        <v>46759</v>
      </c>
      <c r="DL157" s="8">
        <f t="shared" ca="1" si="487"/>
        <v>614</v>
      </c>
      <c r="DM157" s="5" t="str">
        <f t="shared" ca="1" si="488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9"/>
        <v>674</v>
      </c>
      <c r="DR157" s="5" t="str">
        <f t="shared" ca="1" si="490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1"/>
        <v>657</v>
      </c>
      <c r="DW157" s="5" t="str">
        <f t="shared" ca="1" si="492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3"/>
        <v>685</v>
      </c>
      <c r="EB157" s="5" t="str">
        <f t="shared" ca="1" si="494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5"/>
        <v>698</v>
      </c>
      <c r="EG157" s="5" t="str">
        <f t="shared" ca="1" si="496"/>
        <v>VIGENTE</v>
      </c>
      <c r="EH157" s="4"/>
      <c r="EI157" s="4">
        <v>46115</v>
      </c>
      <c r="EJ157" s="4">
        <f t="shared" si="558"/>
        <v>46480</v>
      </c>
      <c r="EK157" s="8">
        <f t="shared" ca="1" si="497"/>
        <v>335</v>
      </c>
      <c r="EL157" s="5" t="str">
        <f t="shared" ca="1" si="498"/>
        <v>VIGENTE</v>
      </c>
      <c r="EM157" s="4"/>
      <c r="EN157" s="4">
        <v>46100</v>
      </c>
      <c r="EO157" s="4">
        <f>DATE(YEAR(EN157)+2,MONTH(EN157),DAY(EN157))</f>
        <v>46831</v>
      </c>
      <c r="EP157" s="8">
        <f t="shared" ca="1" si="499"/>
        <v>686</v>
      </c>
      <c r="EQ157" s="5" t="str">
        <f t="shared" ca="1" si="500"/>
        <v>VIGENTE</v>
      </c>
      <c r="ER157" s="4"/>
      <c r="ES157" s="39">
        <v>45993</v>
      </c>
      <c r="ET157" s="4">
        <f>DATE(YEAR(ES157)+2,MONTH(ES157),DAY(ES157))</f>
        <v>46723</v>
      </c>
      <c r="EU157" s="8">
        <f t="shared" ca="1" si="501"/>
        <v>578</v>
      </c>
      <c r="EV157" s="5" t="str">
        <f t="shared" ca="1" si="502"/>
        <v>VIGENTE</v>
      </c>
      <c r="EW157" s="4"/>
      <c r="EX157" s="4">
        <v>46037</v>
      </c>
      <c r="EY157" s="4">
        <f t="shared" si="575"/>
        <v>46767</v>
      </c>
      <c r="EZ157" s="8">
        <f t="shared" ca="1" si="503"/>
        <v>622</v>
      </c>
      <c r="FA157" s="5" t="str">
        <f t="shared" ca="1" si="504"/>
        <v>VIGENTE</v>
      </c>
      <c r="FB157" s="6"/>
      <c r="FC157" s="4">
        <v>45988</v>
      </c>
      <c r="FD157" s="4">
        <f t="shared" si="576"/>
        <v>46718</v>
      </c>
      <c r="FE157" s="8">
        <f t="shared" ca="1" si="505"/>
        <v>573</v>
      </c>
      <c r="FF157" s="5" t="str">
        <f t="shared" ca="1" si="506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7"/>
        <v>577</v>
      </c>
      <c r="FK157" s="5" t="str">
        <f t="shared" ca="1" si="508"/>
        <v>VIGENTE</v>
      </c>
      <c r="FL157" s="4"/>
      <c r="FM157" s="39">
        <v>46039</v>
      </c>
      <c r="FN157" s="4">
        <f>DATE(YEAR(FM157)+2,MONTH(FM157),DAY(FM157))</f>
        <v>46769</v>
      </c>
      <c r="FO157" s="8">
        <f t="shared" ca="1" si="509"/>
        <v>624</v>
      </c>
      <c r="FP157" s="5" t="str">
        <f t="shared" ca="1" si="510"/>
        <v>VIGENTE</v>
      </c>
      <c r="FQ157" s="4"/>
      <c r="FR157" s="39">
        <v>45957</v>
      </c>
      <c r="FS157" s="4">
        <f>DATE(YEAR(FR157)+2,MONTH(FR157),DAY(FR157))</f>
        <v>46687</v>
      </c>
      <c r="FT157" s="8">
        <f t="shared" ca="1" si="511"/>
        <v>542</v>
      </c>
      <c r="FU157" s="5" t="str">
        <f t="shared" ca="1" si="512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3"/>
        <v>599</v>
      </c>
      <c r="FZ157" s="5" t="str">
        <f t="shared" ca="1" si="514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5"/>
        <v>588</v>
      </c>
      <c r="GE157" s="5" t="str">
        <f t="shared" ca="1" si="516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7"/>
        <v>621</v>
      </c>
      <c r="GJ157" s="5" t="str">
        <f t="shared" ca="1" si="518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9"/>
        <v>629</v>
      </c>
      <c r="GO157" s="5" t="str">
        <f t="shared" ca="1" si="520"/>
        <v>VIGENTE</v>
      </c>
      <c r="GP157" s="4"/>
      <c r="GQ157" s="4">
        <v>45367</v>
      </c>
      <c r="GR157" s="4">
        <f t="shared" si="521"/>
        <v>47193</v>
      </c>
      <c r="GS157" s="8">
        <f t="shared" ca="1" si="405"/>
        <v>1048</v>
      </c>
      <c r="GT157" s="5" t="str">
        <f t="shared" ca="1" si="419"/>
        <v>VIGENTE</v>
      </c>
      <c r="GU157" s="4"/>
      <c r="GV157" s="4">
        <v>45329</v>
      </c>
      <c r="GW157" s="4">
        <f t="shared" si="522"/>
        <v>47156</v>
      </c>
      <c r="GX157" s="8">
        <f t="shared" ca="1" si="523"/>
        <v>1011</v>
      </c>
      <c r="GY157" s="5" t="str">
        <f t="shared" ca="1" si="426"/>
        <v>VIGENTE</v>
      </c>
      <c r="GZ157" s="6"/>
      <c r="HA157" s="4">
        <v>45348</v>
      </c>
      <c r="HB157" s="4">
        <f t="shared" si="524"/>
        <v>47175</v>
      </c>
      <c r="HC157" s="8">
        <f t="shared" ca="1" si="525"/>
        <v>1030</v>
      </c>
      <c r="HD157" s="5" t="str">
        <f t="shared" ca="1" si="421"/>
        <v>VIGENTE</v>
      </c>
      <c r="HE157" s="6"/>
      <c r="HF157" s="4">
        <v>45401</v>
      </c>
      <c r="HG157" s="4">
        <f t="shared" si="583"/>
        <v>47227</v>
      </c>
      <c r="HH157" s="8">
        <f t="shared" ca="1" si="584"/>
        <v>1082</v>
      </c>
      <c r="HI157" s="5" t="str">
        <f t="shared" ca="1" si="427"/>
        <v>VIGENTE</v>
      </c>
      <c r="HJ157" s="6"/>
      <c r="HK157" s="4"/>
      <c r="HL157" s="4"/>
      <c r="HM157" s="8"/>
      <c r="HN157" s="5" t="str">
        <f t="shared" si="444"/>
        <v>NO APLICA</v>
      </c>
      <c r="HO157" s="2"/>
      <c r="HP157" s="2"/>
      <c r="HQ157" s="4"/>
      <c r="HR157" s="2"/>
      <c r="HS157" s="5" t="str">
        <f t="shared" si="526"/>
        <v>NO APLICA</v>
      </c>
      <c r="HT157" s="6"/>
      <c r="HU157" s="6"/>
      <c r="HV157" s="4"/>
      <c r="HW157" s="8"/>
      <c r="HX157" s="5" t="str">
        <f t="shared" si="527"/>
        <v>NO APLICA</v>
      </c>
      <c r="HY157" s="6"/>
      <c r="HZ157" s="6"/>
      <c r="IA157" s="4"/>
      <c r="IB157" s="8"/>
      <c r="IC157" s="5" t="str">
        <f t="shared" si="528"/>
        <v>NO APLICA</v>
      </c>
      <c r="ID157" s="6"/>
      <c r="IE157" s="6"/>
      <c r="IF157" s="4"/>
      <c r="IG157" s="8"/>
      <c r="IH157" s="5" t="str">
        <f t="shared" si="529"/>
        <v>NO APLICA</v>
      </c>
      <c r="II157" s="6"/>
      <c r="IJ157" s="6"/>
      <c r="IK157" s="4"/>
      <c r="IL157" s="6"/>
      <c r="IM157" s="5" t="str">
        <f t="shared" si="530"/>
        <v>NO APLICA</v>
      </c>
      <c r="IN157" s="6"/>
      <c r="IO157" s="6"/>
      <c r="IP157" s="4"/>
      <c r="IQ157" s="8"/>
      <c r="IR157" s="5" t="str">
        <f t="shared" si="531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2"/>
        <v>VIGENTE</v>
      </c>
      <c r="IX157" s="6"/>
      <c r="IY157" s="6"/>
      <c r="IZ157" s="4"/>
      <c r="JA157" s="8"/>
      <c r="JB157" s="5" t="str">
        <f t="shared" si="533"/>
        <v>NO APLICA</v>
      </c>
      <c r="JC157" s="3" t="s">
        <v>780</v>
      </c>
      <c r="JD157" s="3"/>
      <c r="JE157" s="4"/>
      <c r="JF157" s="8"/>
      <c r="JG157" s="5"/>
      <c r="JH157" s="3" t="s">
        <v>780</v>
      </c>
      <c r="JI157" s="6"/>
      <c r="JJ157" s="6"/>
      <c r="JK157" s="6"/>
      <c r="JL157" s="5"/>
      <c r="JM157" s="6" t="s">
        <v>780</v>
      </c>
      <c r="JN157" s="6"/>
      <c r="JO157" s="6"/>
      <c r="JP157" s="6"/>
      <c r="JQ157" s="5"/>
      <c r="JR157" s="6" t="s">
        <v>780</v>
      </c>
      <c r="JS157" s="6"/>
      <c r="JT157" s="6"/>
      <c r="JU157" s="6"/>
      <c r="JV157" s="5"/>
      <c r="JW157" s="6" t="s">
        <v>780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4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9"/>
        <v>VIGENTE</v>
      </c>
      <c r="KL157" s="5"/>
      <c r="KM157" s="2"/>
      <c r="KN157" s="4"/>
      <c r="KO157" s="8"/>
      <c r="KP157" s="5" t="str">
        <f t="shared" si="535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60"/>
        <v>VIGENTE</v>
      </c>
      <c r="KV157" s="6"/>
      <c r="KW157" s="6"/>
      <c r="KX157" s="4"/>
      <c r="KY157" s="6"/>
      <c r="KZ157" s="5" t="str">
        <f t="shared" si="565"/>
        <v>NO APLICA</v>
      </c>
      <c r="LA157" s="5"/>
      <c r="LB157" s="6"/>
      <c r="LC157" s="4"/>
      <c r="LD157" s="6"/>
      <c r="LE157" s="5" t="str">
        <f t="shared" si="561"/>
        <v>NO APLICA</v>
      </c>
      <c r="LF157" s="6"/>
      <c r="LG157" s="6"/>
      <c r="LH157" s="6"/>
      <c r="LI157" s="6"/>
      <c r="LJ157" s="5" t="str">
        <f t="shared" si="567"/>
        <v>NO APLICA</v>
      </c>
      <c r="LK157" s="5"/>
      <c r="LL157" s="5"/>
      <c r="LM157" s="4"/>
      <c r="LN157" s="8"/>
      <c r="LO157" s="5" t="str">
        <f t="shared" si="566"/>
        <v>NO APLICA</v>
      </c>
      <c r="LP157" s="6"/>
      <c r="LQ157" s="6"/>
      <c r="LR157" s="4"/>
      <c r="LS157" s="8"/>
      <c r="LT157" s="5" t="str">
        <f t="shared" si="562"/>
        <v>NO APLICA</v>
      </c>
      <c r="LU157" s="6"/>
      <c r="LV157" s="6"/>
      <c r="LW157" s="4"/>
      <c r="LX157" s="6"/>
      <c r="LY157" s="5" t="str">
        <f t="shared" si="563"/>
        <v>NO APLICA</v>
      </c>
      <c r="LZ157" s="6"/>
      <c r="MA157" s="6"/>
      <c r="MB157" s="4"/>
      <c r="MC157" s="6"/>
      <c r="MD157" s="5" t="str">
        <f t="shared" si="564"/>
        <v>NO APLICA</v>
      </c>
      <c r="ME157" s="6"/>
      <c r="MF157" s="6"/>
      <c r="MG157" s="4"/>
      <c r="MH157" s="6"/>
      <c r="MI157" s="5" t="str">
        <f t="shared" si="537"/>
        <v>NO APLICA</v>
      </c>
      <c r="MJ157" s="6"/>
      <c r="MK157" s="6"/>
      <c r="ML157" s="4"/>
      <c r="MM157" s="6"/>
      <c r="MN157" s="5" t="str">
        <f t="shared" si="538"/>
        <v>NO APLICA</v>
      </c>
      <c r="MO157" s="5"/>
      <c r="MP157" s="6"/>
      <c r="MQ157" s="4"/>
      <c r="MR157" s="6"/>
      <c r="MS157" s="5" t="str">
        <f t="shared" si="539"/>
        <v>NO APLICA</v>
      </c>
      <c r="MT157" s="5"/>
      <c r="MU157" s="6"/>
      <c r="MV157" s="6"/>
      <c r="MW157" s="6"/>
      <c r="MX157" s="5" t="str">
        <f t="shared" si="540"/>
        <v>NO APLICA</v>
      </c>
      <c r="MY157" s="6"/>
      <c r="MZ157" s="6"/>
      <c r="NA157" s="4"/>
      <c r="NB157" s="6"/>
      <c r="NC157" s="5" t="str">
        <f t="shared" si="541"/>
        <v>NO APLICA</v>
      </c>
      <c r="ND157" s="6"/>
      <c r="NE157" s="6"/>
      <c r="NF157" s="4"/>
      <c r="NG157" s="6"/>
      <c r="NH157" s="5" t="str">
        <f t="shared" si="542"/>
        <v>NO APLICA</v>
      </c>
      <c r="NI157" s="6"/>
      <c r="NJ157" s="6"/>
      <c r="NK157" s="4"/>
      <c r="NL157" s="6"/>
      <c r="NM157" s="5" t="str">
        <f t="shared" si="543"/>
        <v>NO APLICA</v>
      </c>
      <c r="NN157" s="6"/>
      <c r="NO157" s="6"/>
      <c r="NP157" s="4"/>
      <c r="NQ157" s="6"/>
      <c r="NR157" s="5" t="str">
        <f t="shared" si="544"/>
        <v>NO APLICA</v>
      </c>
      <c r="NS157" s="6"/>
      <c r="NT157" s="6"/>
      <c r="NU157" s="4"/>
      <c r="NV157" s="6"/>
      <c r="NW157" s="5" t="str">
        <f t="shared" si="545"/>
        <v>NO APLICA</v>
      </c>
      <c r="NX157" s="6"/>
      <c r="NY157" s="6"/>
      <c r="NZ157" s="4"/>
      <c r="OA157" s="8"/>
      <c r="OB157" s="5" t="str">
        <f t="shared" si="546"/>
        <v>NO APLICA</v>
      </c>
      <c r="OC157" s="6"/>
      <c r="OD157" s="6"/>
      <c r="OE157" s="6"/>
      <c r="OF157" s="6"/>
      <c r="OG157" s="5" t="str">
        <f t="shared" si="547"/>
        <v>NO APLICA</v>
      </c>
      <c r="OH157" s="6"/>
      <c r="OI157" s="6"/>
      <c r="OJ157" s="6"/>
      <c r="OK157" s="6"/>
      <c r="OL157" s="5" t="str">
        <f t="shared" si="548"/>
        <v>NO APLICA</v>
      </c>
      <c r="OM157" s="6"/>
      <c r="ON157" s="6"/>
      <c r="OO157" s="6"/>
      <c r="OP157" s="6"/>
      <c r="OQ157" s="5" t="str">
        <f t="shared" si="549"/>
        <v>NO APLICA</v>
      </c>
      <c r="OR157" s="6"/>
      <c r="OS157" s="6"/>
      <c r="OT157" s="6"/>
      <c r="OU157" s="6"/>
      <c r="OV157" s="5" t="str">
        <f t="shared" si="550"/>
        <v>NO APLICA</v>
      </c>
      <c r="OW157" s="6"/>
      <c r="OX157" s="6"/>
      <c r="OY157" s="6"/>
      <c r="OZ157" s="6"/>
      <c r="PA157" s="5" t="str">
        <f t="shared" si="551"/>
        <v>NO APLICA</v>
      </c>
      <c r="PB157" s="6"/>
      <c r="PC157" s="6"/>
      <c r="PD157" s="6"/>
      <c r="PE157" s="6"/>
      <c r="PF157" s="5" t="str">
        <f t="shared" si="552"/>
        <v>NO APLICA</v>
      </c>
      <c r="PG157" s="6"/>
      <c r="PH157" s="6"/>
      <c r="PI157" s="6"/>
      <c r="PJ157" s="6"/>
      <c r="PK157" s="5" t="str">
        <f t="shared" si="553"/>
        <v>NO APLICA</v>
      </c>
      <c r="PL157" s="5"/>
      <c r="PM157" s="6"/>
      <c r="PN157" s="6"/>
      <c r="PO157" s="6"/>
      <c r="PP157" s="5" t="str">
        <f t="shared" si="554"/>
        <v>NO APLICA</v>
      </c>
      <c r="PQ157" s="6"/>
      <c r="PR157" s="6"/>
      <c r="PS157" s="6"/>
      <c r="PT157" s="6"/>
      <c r="PU157" s="5" t="str">
        <f t="shared" si="555"/>
        <v>NO APLICA</v>
      </c>
      <c r="PV157" s="5"/>
      <c r="PW157" s="6"/>
      <c r="PX157" s="6"/>
      <c r="PY157" s="6"/>
      <c r="PZ157" s="5" t="str">
        <f t="shared" si="556"/>
        <v>NO APLICA</v>
      </c>
    </row>
    <row r="158" spans="1:442" ht="15.6" hidden="1" thickTop="1" thickBot="1" x14ac:dyDescent="0.35">
      <c r="A158" s="26">
        <v>155</v>
      </c>
      <c r="B158" s="32" t="s">
        <v>505</v>
      </c>
      <c r="C158" s="28" t="s">
        <v>506</v>
      </c>
      <c r="D158" s="29" t="s">
        <v>507</v>
      </c>
      <c r="E158" s="30" t="s">
        <v>508</v>
      </c>
      <c r="F158" s="6"/>
      <c r="G158" s="6"/>
      <c r="H158" s="6"/>
      <c r="I158" s="8"/>
      <c r="J158" s="5" t="str">
        <f t="shared" si="455"/>
        <v>NO APLICA</v>
      </c>
      <c r="K158" s="6"/>
      <c r="L158" s="6"/>
      <c r="M158" s="6"/>
      <c r="N158" s="8"/>
      <c r="O158" s="5" t="str">
        <f t="shared" si="456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7"/>
        <v>VIGENTE</v>
      </c>
      <c r="U158" s="5"/>
      <c r="V158" s="5"/>
      <c r="W158" s="4"/>
      <c r="X158" s="4"/>
      <c r="Y158" s="8"/>
      <c r="Z158" s="5" t="str">
        <f t="shared" si="412"/>
        <v>NO APLICA</v>
      </c>
      <c r="AA158" s="5"/>
      <c r="AB158" s="2"/>
      <c r="AC158" s="6"/>
      <c r="AD158" s="4"/>
      <c r="AE158" s="8"/>
      <c r="AF158" s="5" t="str">
        <f t="shared" si="457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8"/>
        <v>305</v>
      </c>
      <c r="AK158" s="5" t="str">
        <f t="shared" ca="1" si="408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9"/>
        <v>294</v>
      </c>
      <c r="AP158" s="5" t="str">
        <f t="shared" ca="1" si="460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1"/>
        <v>287</v>
      </c>
      <c r="AU158" s="5" t="str">
        <f t="shared" ca="1" si="462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3"/>
        <v>286</v>
      </c>
      <c r="AZ158" s="5" t="str">
        <f t="shared" ca="1" si="464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5"/>
        <v>187</v>
      </c>
      <c r="BE158" s="5" t="str">
        <f t="shared" ca="1" si="466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7"/>
        <v>189</v>
      </c>
      <c r="BJ158" s="5" t="str">
        <f t="shared" ca="1" si="468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9"/>
        <v>184</v>
      </c>
      <c r="BO158" s="5" t="str">
        <f t="shared" ca="1" si="470"/>
        <v>VIGENTE</v>
      </c>
      <c r="BP158" s="4"/>
      <c r="BQ158" s="39">
        <v>45701</v>
      </c>
      <c r="BR158" s="4">
        <f>DATE(YEAR(BQ158)+2,MONTH(BQ158),DAY(BQ158)-1)</f>
        <v>46430</v>
      </c>
      <c r="BS158" s="8">
        <f t="shared" ca="1" si="471"/>
        <v>285</v>
      </c>
      <c r="BT158" s="5" t="str">
        <f t="shared" ca="1" si="472"/>
        <v>VIGENTE</v>
      </c>
      <c r="BU158" s="4"/>
      <c r="BV158" s="4">
        <v>45568</v>
      </c>
      <c r="BW158" s="4">
        <f t="shared" ref="BW158:BW163" si="585">DATE(YEAR(BV158)+2,MONTH(BV158),DAY(BV158)-1)</f>
        <v>46297</v>
      </c>
      <c r="BX158" s="8">
        <f t="shared" ca="1" si="473"/>
        <v>152</v>
      </c>
      <c r="BY158" s="5" t="str">
        <f t="shared" ca="1" si="474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5"/>
        <v>213</v>
      </c>
      <c r="CD158" s="5" t="str">
        <f t="shared" ca="1" si="476"/>
        <v>VIGENTE</v>
      </c>
      <c r="CE158" s="6"/>
      <c r="CF158" s="24"/>
      <c r="CG158" s="4"/>
      <c r="CH158" s="8"/>
      <c r="CI158" s="5" t="str">
        <f t="shared" si="573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7"/>
        <v>185</v>
      </c>
      <c r="CN158" s="5" t="str">
        <f t="shared" ca="1" si="478"/>
        <v>VIGENTE</v>
      </c>
      <c r="CO158" s="4"/>
      <c r="CP158" s="39">
        <v>45618</v>
      </c>
      <c r="CQ158" s="4">
        <f t="shared" ref="CQ158:CQ163" si="586">DATE(YEAR(CP158)+2,MONTH(CP158),DAY(CP158)-1)</f>
        <v>46347</v>
      </c>
      <c r="CR158" s="8">
        <f t="shared" ca="1" si="479"/>
        <v>202</v>
      </c>
      <c r="CS158" s="5" t="str">
        <f t="shared" ca="1" si="480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1"/>
        <v>311</v>
      </c>
      <c r="CX158" s="5" t="str">
        <f t="shared" ca="1" si="482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3"/>
        <v>265</v>
      </c>
      <c r="DC158" s="5" t="str">
        <f t="shared" ca="1" si="484"/>
        <v>VIGENTE</v>
      </c>
      <c r="DD158" s="4"/>
      <c r="DE158" s="39">
        <v>45596</v>
      </c>
      <c r="DF158" s="4">
        <f>DATE(YEAR(DE158)+2,MONTH(DE158),DAY(DE158)-1)</f>
        <v>46325</v>
      </c>
      <c r="DG158" s="8">
        <f t="shared" ca="1" si="485"/>
        <v>180</v>
      </c>
      <c r="DH158" s="5" t="str">
        <f t="shared" ca="1" si="486"/>
        <v>VIGENTE</v>
      </c>
      <c r="DI158" s="4"/>
      <c r="DJ158" s="39">
        <v>45696</v>
      </c>
      <c r="DK158" s="4">
        <f>DATE(YEAR(DJ158)+2,MONTH(DJ158),DAY(DJ158)-1)</f>
        <v>46425</v>
      </c>
      <c r="DL158" s="8">
        <f t="shared" ca="1" si="487"/>
        <v>280</v>
      </c>
      <c r="DM158" s="5" t="str">
        <f t="shared" ca="1" si="488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9"/>
        <v>161</v>
      </c>
      <c r="DR158" s="5" t="str">
        <f t="shared" ca="1" si="490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1"/>
        <v>269</v>
      </c>
      <c r="DW158" s="5" t="str">
        <f t="shared" ca="1" si="492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3"/>
        <v>247</v>
      </c>
      <c r="EB158" s="5" t="str">
        <f t="shared" ca="1" si="494"/>
        <v>VIGENTE</v>
      </c>
      <c r="EC158" s="4"/>
      <c r="ED158" s="39">
        <v>45602</v>
      </c>
      <c r="EE158" s="4">
        <f>DATE(YEAR(ED158)+2,MONTH(ED158),DAY(ED158)-1)</f>
        <v>46331</v>
      </c>
      <c r="EF158" s="8">
        <f t="shared" ca="1" si="495"/>
        <v>186</v>
      </c>
      <c r="EG158" s="5" t="str">
        <f t="shared" ca="1" si="496"/>
        <v>VIGENTE</v>
      </c>
      <c r="EH158" s="3"/>
      <c r="EI158" s="3">
        <v>46107</v>
      </c>
      <c r="EJ158" s="4">
        <f t="shared" si="558"/>
        <v>46472</v>
      </c>
      <c r="EK158" s="8">
        <f t="shared" ca="1" si="497"/>
        <v>327</v>
      </c>
      <c r="EL158" s="5" t="str">
        <f t="shared" ca="1" si="498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9"/>
        <v>220</v>
      </c>
      <c r="EQ158" s="5" t="str">
        <f t="shared" ca="1" si="500"/>
        <v>VIGENTE</v>
      </c>
      <c r="ER158" s="4"/>
      <c r="ES158" s="39">
        <v>45623</v>
      </c>
      <c r="ET158" s="4">
        <f>DATE(YEAR(ES158)+2,MONTH(ES158),DAY(ES158)-1)</f>
        <v>46352</v>
      </c>
      <c r="EU158" s="8">
        <f t="shared" ca="1" si="501"/>
        <v>207</v>
      </c>
      <c r="EV158" s="5" t="str">
        <f t="shared" ca="1" si="502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3"/>
        <v>194</v>
      </c>
      <c r="FA158" s="5" t="str">
        <f t="shared" ca="1" si="504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5"/>
        <v>250</v>
      </c>
      <c r="FF158" s="5" t="str">
        <f t="shared" ca="1" si="506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7"/>
        <v>252</v>
      </c>
      <c r="FK158" s="5" t="str">
        <f t="shared" ca="1" si="508"/>
        <v>VIGENTE</v>
      </c>
      <c r="FL158" s="4"/>
      <c r="FM158" s="39">
        <v>45588</v>
      </c>
      <c r="FN158" s="4">
        <f>DATE(YEAR(FM158)+2,MONTH(FM158),DAY(FM158)-1)</f>
        <v>46317</v>
      </c>
      <c r="FO158" s="8">
        <f t="shared" ca="1" si="509"/>
        <v>172</v>
      </c>
      <c r="FP158" s="5" t="str">
        <f t="shared" ca="1" si="510"/>
        <v>VIGENTE</v>
      </c>
      <c r="FQ158" s="4"/>
      <c r="FR158" s="39">
        <v>45664</v>
      </c>
      <c r="FS158" s="4">
        <f>DATE(YEAR(FR158)+2,MONTH(FR158),DAY(FR158)-1)</f>
        <v>46393</v>
      </c>
      <c r="FT158" s="8">
        <f t="shared" ca="1" si="511"/>
        <v>248</v>
      </c>
      <c r="FU158" s="5" t="str">
        <f t="shared" ca="1" si="512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3"/>
        <v>284</v>
      </c>
      <c r="FZ158" s="5" t="str">
        <f t="shared" ca="1" si="514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5"/>
        <v>251</v>
      </c>
      <c r="GE158" s="5" t="str">
        <f t="shared" ca="1" si="516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7"/>
        <v>256</v>
      </c>
      <c r="GJ158" s="5" t="str">
        <f t="shared" ca="1" si="518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9"/>
        <v>192</v>
      </c>
      <c r="GO158" s="5" t="str">
        <f t="shared" ca="1" si="520"/>
        <v>VIGENTE</v>
      </c>
      <c r="GP158" s="4"/>
      <c r="GQ158" s="4">
        <v>44966</v>
      </c>
      <c r="GR158" s="4">
        <f t="shared" si="521"/>
        <v>46792</v>
      </c>
      <c r="GS158" s="8">
        <f t="shared" ca="1" si="405"/>
        <v>647</v>
      </c>
      <c r="GT158" s="5" t="str">
        <f t="shared" ca="1" si="419"/>
        <v>VIGENTE</v>
      </c>
      <c r="GU158" s="4"/>
      <c r="GV158" s="4">
        <v>44952</v>
      </c>
      <c r="GW158" s="4">
        <f t="shared" si="522"/>
        <v>46778</v>
      </c>
      <c r="GX158" s="8">
        <f t="shared" ca="1" si="523"/>
        <v>633</v>
      </c>
      <c r="GY158" s="5" t="str">
        <f t="shared" ca="1" si="426"/>
        <v>VIGENTE</v>
      </c>
      <c r="GZ158" s="6"/>
      <c r="HA158" s="4">
        <v>44980</v>
      </c>
      <c r="HB158" s="4">
        <f t="shared" si="524"/>
        <v>46806</v>
      </c>
      <c r="HC158" s="8">
        <f t="shared" ca="1" si="525"/>
        <v>661</v>
      </c>
      <c r="HD158" s="5" t="str">
        <f t="shared" ca="1" si="421"/>
        <v>VIGENTE</v>
      </c>
      <c r="HE158" s="6"/>
      <c r="HF158" s="4">
        <v>44956</v>
      </c>
      <c r="HG158" s="4">
        <f t="shared" si="583"/>
        <v>46782</v>
      </c>
      <c r="HH158" s="8">
        <f t="shared" ca="1" si="584"/>
        <v>637</v>
      </c>
      <c r="HI158" s="5" t="str">
        <f t="shared" ca="1" si="427"/>
        <v>VIGENTE</v>
      </c>
      <c r="HJ158" s="6"/>
      <c r="HK158" s="6"/>
      <c r="HL158" s="4"/>
      <c r="HM158" s="8"/>
      <c r="HN158" s="5" t="str">
        <f t="shared" si="444"/>
        <v>NO APLICA</v>
      </c>
      <c r="HO158" s="2"/>
      <c r="HP158" s="5"/>
      <c r="HQ158" s="4"/>
      <c r="HR158" s="5"/>
      <c r="HS158" s="5" t="str">
        <f t="shared" si="526"/>
        <v>NO APLICA</v>
      </c>
      <c r="HT158" s="2"/>
      <c r="HU158" s="6"/>
      <c r="HV158" s="4"/>
      <c r="HW158" s="8"/>
      <c r="HX158" s="5" t="str">
        <f t="shared" si="527"/>
        <v>NO APLICA</v>
      </c>
      <c r="HY158" s="2"/>
      <c r="HZ158" s="6"/>
      <c r="IA158" s="4"/>
      <c r="IB158" s="8"/>
      <c r="IC158" s="5" t="str">
        <f t="shared" si="528"/>
        <v>NO APLICA</v>
      </c>
      <c r="ID158" s="2"/>
      <c r="IE158" s="6"/>
      <c r="IF158" s="4"/>
      <c r="IG158" s="8"/>
      <c r="IH158" s="5" t="str">
        <f t="shared" si="529"/>
        <v>NO APLICA</v>
      </c>
      <c r="II158" s="6"/>
      <c r="IJ158" s="6"/>
      <c r="IK158" s="4"/>
      <c r="IL158" s="8"/>
      <c r="IM158" s="5" t="str">
        <f t="shared" si="530"/>
        <v>NO APLICA</v>
      </c>
      <c r="IN158" s="6"/>
      <c r="IO158" s="6"/>
      <c r="IP158" s="4"/>
      <c r="IQ158" s="8"/>
      <c r="IR158" s="5" t="str">
        <f t="shared" si="531"/>
        <v>NO APLICA</v>
      </c>
      <c r="IS158" s="2"/>
      <c r="IT158" s="6"/>
      <c r="IU158" s="4"/>
      <c r="IV158" s="8"/>
      <c r="IW158" s="5" t="str">
        <f t="shared" si="532"/>
        <v>NO APLICA</v>
      </c>
      <c r="IX158" s="2"/>
      <c r="IY158" s="6"/>
      <c r="IZ158" s="4"/>
      <c r="JA158" s="8"/>
      <c r="JB158" s="5" t="str">
        <f t="shared" si="533"/>
        <v>NO APLICA</v>
      </c>
      <c r="JC158" s="3" t="s">
        <v>780</v>
      </c>
      <c r="JD158" s="3"/>
      <c r="JE158" s="4"/>
      <c r="JF158" s="8"/>
      <c r="JG158" s="5"/>
      <c r="JH158" s="3" t="s">
        <v>780</v>
      </c>
      <c r="JI158" s="6"/>
      <c r="JJ158" s="6"/>
      <c r="JK158" s="6"/>
      <c r="JL158" s="5"/>
      <c r="JM158" s="6" t="s">
        <v>780</v>
      </c>
      <c r="JN158" s="6"/>
      <c r="JO158" s="6"/>
      <c r="JP158" s="6"/>
      <c r="JQ158" s="5"/>
      <c r="JR158" s="6" t="s">
        <v>780</v>
      </c>
      <c r="JS158" s="6"/>
      <c r="JT158" s="6"/>
      <c r="JU158" s="6"/>
      <c r="JV158" s="5"/>
      <c r="JW158" s="6" t="s">
        <v>780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4"/>
        <v>NO APLICA</v>
      </c>
      <c r="KG158" s="5"/>
      <c r="KH158" s="5"/>
      <c r="KI158" s="4"/>
      <c r="KJ158" s="8"/>
      <c r="KK158" s="5" t="str">
        <f t="shared" si="559"/>
        <v>NO APLICA</v>
      </c>
      <c r="KL158" s="5"/>
      <c r="KM158" s="5"/>
      <c r="KN158" s="4"/>
      <c r="KO158" s="8"/>
      <c r="KP158" s="5" t="str">
        <f t="shared" si="535"/>
        <v>NO APLICA</v>
      </c>
      <c r="KQ158" s="5"/>
      <c r="KR158" s="2"/>
      <c r="KS158" s="4"/>
      <c r="KT158" s="8"/>
      <c r="KU158" s="5" t="str">
        <f t="shared" si="560"/>
        <v>NO APLICA</v>
      </c>
      <c r="KV158" s="6"/>
      <c r="KW158" s="6"/>
      <c r="KX158" s="4"/>
      <c r="KY158" s="8"/>
      <c r="KZ158" s="5" t="str">
        <f t="shared" si="565"/>
        <v>NO APLICA</v>
      </c>
      <c r="LA158" s="5"/>
      <c r="LB158" s="6"/>
      <c r="LC158" s="4"/>
      <c r="LD158" s="8"/>
      <c r="LE158" s="5" t="str">
        <f t="shared" si="561"/>
        <v>NO APLICA</v>
      </c>
      <c r="LF158" s="6"/>
      <c r="LG158" s="6"/>
      <c r="LH158" s="4"/>
      <c r="LI158" s="8"/>
      <c r="LJ158" s="5" t="str">
        <f t="shared" si="567"/>
        <v>NO APLICA</v>
      </c>
      <c r="LK158" s="5"/>
      <c r="LL158" s="5"/>
      <c r="LM158" s="4"/>
      <c r="LN158" s="8"/>
      <c r="LO158" s="5" t="str">
        <f t="shared" si="566"/>
        <v>NO APLICA</v>
      </c>
      <c r="LP158" s="5"/>
      <c r="LQ158" s="6"/>
      <c r="LR158" s="4"/>
      <c r="LS158" s="8"/>
      <c r="LT158" s="5" t="str">
        <f t="shared" si="562"/>
        <v>NO APLICA</v>
      </c>
      <c r="LU158" s="6"/>
      <c r="LV158" s="6"/>
      <c r="LW158" s="4"/>
      <c r="LX158" s="8"/>
      <c r="LY158" s="5" t="str">
        <f t="shared" si="563"/>
        <v>NO APLICA</v>
      </c>
      <c r="LZ158" s="6"/>
      <c r="MA158" s="6"/>
      <c r="MB158" s="4"/>
      <c r="MC158" s="8"/>
      <c r="MD158" s="5" t="str">
        <f t="shared" si="564"/>
        <v>NO APLICA</v>
      </c>
      <c r="ME158" s="5"/>
      <c r="MF158" s="5"/>
      <c r="MG158" s="4"/>
      <c r="MH158" s="8"/>
      <c r="MI158" s="5" t="str">
        <f t="shared" si="537"/>
        <v>NO APLICA</v>
      </c>
      <c r="MJ158" s="5"/>
      <c r="MK158" s="5"/>
      <c r="ML158" s="4"/>
      <c r="MM158" s="8"/>
      <c r="MN158" s="5" t="str">
        <f t="shared" si="538"/>
        <v>NO APLICA</v>
      </c>
      <c r="MO158" s="5"/>
      <c r="MP158" s="5"/>
      <c r="MQ158" s="4"/>
      <c r="MR158" s="8"/>
      <c r="MS158" s="5" t="str">
        <f t="shared" si="539"/>
        <v>NO APLICA</v>
      </c>
      <c r="MT158" s="5"/>
      <c r="MU158" s="5"/>
      <c r="MV158" s="5"/>
      <c r="MW158" s="5"/>
      <c r="MX158" s="5" t="str">
        <f t="shared" si="540"/>
        <v>NO APLICA</v>
      </c>
      <c r="MY158" s="5"/>
      <c r="MZ158" s="6"/>
      <c r="NA158" s="4"/>
      <c r="NB158" s="8"/>
      <c r="NC158" s="5" t="str">
        <f t="shared" si="541"/>
        <v>NO APLICA</v>
      </c>
      <c r="ND158" s="5"/>
      <c r="NE158" s="6"/>
      <c r="NF158" s="4"/>
      <c r="NG158" s="8"/>
      <c r="NH158" s="5" t="str">
        <f t="shared" si="542"/>
        <v>NO APLICA</v>
      </c>
      <c r="NI158" s="5"/>
      <c r="NJ158" s="6"/>
      <c r="NK158" s="4"/>
      <c r="NL158" s="8"/>
      <c r="NM158" s="5" t="str">
        <f t="shared" si="543"/>
        <v>NO APLICA</v>
      </c>
      <c r="NN158" s="5"/>
      <c r="NO158" s="5"/>
      <c r="NP158" s="4"/>
      <c r="NQ158" s="8"/>
      <c r="NR158" s="5" t="str">
        <f t="shared" si="544"/>
        <v>NO APLICA</v>
      </c>
      <c r="NS158" s="5"/>
      <c r="NT158" s="5"/>
      <c r="NU158" s="4"/>
      <c r="NV158" s="5"/>
      <c r="NW158" s="5" t="str">
        <f t="shared" si="545"/>
        <v>NO APLICA</v>
      </c>
      <c r="NX158" s="6"/>
      <c r="NY158" s="6"/>
      <c r="NZ158" s="4"/>
      <c r="OA158" s="8"/>
      <c r="OB158" s="5" t="str">
        <f t="shared" si="546"/>
        <v>NO APLICA</v>
      </c>
      <c r="OC158" s="6"/>
      <c r="OD158" s="6"/>
      <c r="OE158" s="6"/>
      <c r="OF158" s="6"/>
      <c r="OG158" s="5" t="str">
        <f t="shared" si="547"/>
        <v>NO APLICA</v>
      </c>
      <c r="OH158" s="6"/>
      <c r="OI158" s="6"/>
      <c r="OJ158" s="4"/>
      <c r="OK158" s="8"/>
      <c r="OL158" s="5" t="str">
        <f t="shared" si="548"/>
        <v>NO APLICA</v>
      </c>
      <c r="OM158" s="6"/>
      <c r="ON158" s="6"/>
      <c r="OO158" s="6"/>
      <c r="OP158" s="6"/>
      <c r="OQ158" s="5" t="str">
        <f t="shared" si="549"/>
        <v>NO APLICA</v>
      </c>
      <c r="OR158" s="6"/>
      <c r="OS158" s="6"/>
      <c r="OT158" s="6"/>
      <c r="OU158" s="6"/>
      <c r="OV158" s="5" t="str">
        <f t="shared" si="550"/>
        <v>NO APLICA</v>
      </c>
      <c r="OW158" s="6"/>
      <c r="OX158" s="6"/>
      <c r="OY158" s="6"/>
      <c r="OZ158" s="6"/>
      <c r="PA158" s="5" t="str">
        <f t="shared" si="551"/>
        <v>NO APLICA</v>
      </c>
      <c r="PB158" s="6"/>
      <c r="PC158" s="6"/>
      <c r="PD158" s="6"/>
      <c r="PE158" s="6"/>
      <c r="PF158" s="5" t="str">
        <f t="shared" si="552"/>
        <v>NO APLICA</v>
      </c>
      <c r="PG158" s="6"/>
      <c r="PH158" s="6"/>
      <c r="PI158" s="6"/>
      <c r="PJ158" s="6"/>
      <c r="PK158" s="5" t="str">
        <f t="shared" si="553"/>
        <v>NO APLICA</v>
      </c>
      <c r="PL158" s="5"/>
      <c r="PM158" s="6"/>
      <c r="PN158" s="4"/>
      <c r="PO158" s="8"/>
      <c r="PP158" s="5" t="str">
        <f t="shared" si="554"/>
        <v>NO APLICA</v>
      </c>
      <c r="PQ158" s="6"/>
      <c r="PR158" s="6"/>
      <c r="PS158" s="6"/>
      <c r="PT158" s="6"/>
      <c r="PU158" s="5" t="str">
        <f t="shared" si="555"/>
        <v>NO APLICA</v>
      </c>
      <c r="PV158" s="5"/>
      <c r="PW158" s="6"/>
      <c r="PX158" s="6"/>
      <c r="PY158" s="6"/>
      <c r="PZ158" s="5" t="str">
        <f t="shared" si="556"/>
        <v>NO APLICA</v>
      </c>
    </row>
    <row r="159" spans="1:442" ht="15.6" hidden="1" thickTop="1" thickBot="1" x14ac:dyDescent="0.35">
      <c r="A159" s="26">
        <v>156</v>
      </c>
      <c r="B159" s="27">
        <v>816</v>
      </c>
      <c r="C159" s="28" t="s">
        <v>509</v>
      </c>
      <c r="D159" s="29" t="s">
        <v>68</v>
      </c>
      <c r="E159" s="30" t="s">
        <v>69</v>
      </c>
      <c r="F159" s="2"/>
      <c r="G159" s="6"/>
      <c r="H159" s="4"/>
      <c r="I159" s="8"/>
      <c r="J159" s="5" t="str">
        <f t="shared" si="455"/>
        <v>NO APLICA</v>
      </c>
      <c r="K159" s="5"/>
      <c r="L159" s="6"/>
      <c r="M159" s="6"/>
      <c r="N159" s="8"/>
      <c r="O159" s="5" t="str">
        <f t="shared" si="456"/>
        <v>NO APLICA</v>
      </c>
      <c r="P159" s="6"/>
      <c r="Q159" s="6"/>
      <c r="R159" s="4"/>
      <c r="S159" s="8"/>
      <c r="T159" s="5" t="str">
        <f t="shared" si="557"/>
        <v>NO APLICA</v>
      </c>
      <c r="U159" s="5"/>
      <c r="V159" s="2" t="s">
        <v>510</v>
      </c>
      <c r="W159" s="4">
        <v>45426</v>
      </c>
      <c r="X159" s="4">
        <f t="shared" ref="X159:X191" si="587">DATE(YEAR(W159)+5,MONTH(W159),DAY(W159))</f>
        <v>47252</v>
      </c>
      <c r="Y159" s="8">
        <f t="shared" ref="Y159:Y191" ca="1" si="588">X159-TODAY()</f>
        <v>1107</v>
      </c>
      <c r="Z159" s="5" t="str">
        <f t="shared" ca="1" si="412"/>
        <v>VIGENTE</v>
      </c>
      <c r="AA159" s="5"/>
      <c r="AB159" s="2" t="s">
        <v>511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7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8"/>
        <v>201</v>
      </c>
      <c r="AK159" s="5" t="str">
        <f t="shared" ca="1" si="408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9"/>
        <v>511</v>
      </c>
      <c r="AP159" s="5" t="str">
        <f t="shared" ca="1" si="460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1"/>
        <v>287</v>
      </c>
      <c r="AU159" s="5" t="str">
        <f t="shared" ca="1" si="462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3"/>
        <v>286</v>
      </c>
      <c r="AZ159" s="5" t="str">
        <f t="shared" ca="1" si="464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5"/>
        <v>301</v>
      </c>
      <c r="BE159" s="5" t="str">
        <f t="shared" ca="1" si="466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7"/>
        <v>282</v>
      </c>
      <c r="BJ159" s="5" t="str">
        <f t="shared" ca="1" si="468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9"/>
        <v>620</v>
      </c>
      <c r="BO159" s="5" t="str">
        <f t="shared" ca="1" si="470"/>
        <v>VIGENTE</v>
      </c>
      <c r="BP159" s="3"/>
      <c r="BQ159" s="39">
        <v>45701</v>
      </c>
      <c r="BR159" s="4">
        <f>DATE(YEAR(BQ159)+2,MONTH(BQ159),DAY(BQ159)-1)</f>
        <v>46430</v>
      </c>
      <c r="BS159" s="8">
        <f t="shared" ca="1" si="471"/>
        <v>285</v>
      </c>
      <c r="BT159" s="5" t="str">
        <f t="shared" ca="1" si="472"/>
        <v>VIGENTE</v>
      </c>
      <c r="BU159" s="3"/>
      <c r="BV159" s="4">
        <v>45695</v>
      </c>
      <c r="BW159" s="4">
        <f t="shared" si="585"/>
        <v>46424</v>
      </c>
      <c r="BX159" s="8">
        <f t="shared" ca="1" si="473"/>
        <v>279</v>
      </c>
      <c r="BY159" s="5" t="str">
        <f t="shared" ca="1" si="474"/>
        <v>VIGENTE</v>
      </c>
      <c r="BZ159" s="3"/>
      <c r="CA159" s="4">
        <v>45954</v>
      </c>
      <c r="CB159" s="4">
        <f t="shared" ref="CB159:CB166" si="589">DATE(YEAR(CA159)+2,MONTH(CA159),DAY(CA159))</f>
        <v>46684</v>
      </c>
      <c r="CC159" s="8">
        <f t="shared" ca="1" si="475"/>
        <v>539</v>
      </c>
      <c r="CD159" s="5" t="str">
        <f t="shared" ca="1" si="476"/>
        <v>VIGENTE</v>
      </c>
      <c r="CE159" s="6"/>
      <c r="CF159" s="4">
        <v>45227</v>
      </c>
      <c r="CG159" s="4">
        <f t="shared" ref="CG159:CG191" si="590">DATE(YEAR(CF159)+4,MONTH(CF159),DAY(CF159))</f>
        <v>46688</v>
      </c>
      <c r="CH159" s="8">
        <f t="shared" ref="CH159:CH191" ca="1" si="591">CG159-TODAY()</f>
        <v>543</v>
      </c>
      <c r="CI159" s="5" t="str">
        <f t="shared" ca="1" si="573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7"/>
        <v>307</v>
      </c>
      <c r="CN159" s="5" t="str">
        <f t="shared" ca="1" si="478"/>
        <v>VIGENTE</v>
      </c>
      <c r="CO159" s="4"/>
      <c r="CP159" s="39">
        <v>45726</v>
      </c>
      <c r="CQ159" s="4">
        <f t="shared" si="586"/>
        <v>46455</v>
      </c>
      <c r="CR159" s="8">
        <f t="shared" ca="1" si="479"/>
        <v>310</v>
      </c>
      <c r="CS159" s="5" t="str">
        <f t="shared" ca="1" si="480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1"/>
        <v>223</v>
      </c>
      <c r="CX159" s="5" t="str">
        <f t="shared" ca="1" si="482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3"/>
        <v>245</v>
      </c>
      <c r="DC159" s="5" t="str">
        <f t="shared" ca="1" si="484"/>
        <v>VIGENTE</v>
      </c>
      <c r="DD159" s="3"/>
      <c r="DE159" s="39">
        <v>45689</v>
      </c>
      <c r="DF159" s="4">
        <f>DATE(YEAR(DE159)+2,MONTH(DE159),DAY(DE159)-1)</f>
        <v>46418</v>
      </c>
      <c r="DG159" s="8">
        <f t="shared" ca="1" si="485"/>
        <v>273</v>
      </c>
      <c r="DH159" s="5" t="str">
        <f t="shared" ca="1" si="486"/>
        <v>VIGENTE</v>
      </c>
      <c r="DI159" s="3"/>
      <c r="DJ159" s="39">
        <v>45696</v>
      </c>
      <c r="DK159" s="4">
        <f>DATE(YEAR(DJ159)+2,MONTH(DJ159),DAY(DJ159)-1)</f>
        <v>46425</v>
      </c>
      <c r="DL159" s="8">
        <f t="shared" ca="1" si="487"/>
        <v>280</v>
      </c>
      <c r="DM159" s="5" t="str">
        <f t="shared" ca="1" si="488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9"/>
        <v>592</v>
      </c>
      <c r="DR159" s="5" t="str">
        <f t="shared" ca="1" si="490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1"/>
        <v>269</v>
      </c>
      <c r="DW159" s="5" t="str">
        <f t="shared" ca="1" si="492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3"/>
        <v>293</v>
      </c>
      <c r="EB159" s="5" t="str">
        <f t="shared" ca="1" si="494"/>
        <v>VIGENTE</v>
      </c>
      <c r="EC159" s="3"/>
      <c r="ED159" s="39">
        <v>45674</v>
      </c>
      <c r="EE159" s="4">
        <f>DATE(YEAR(ED159)+2,MONTH(ED159),DAY(ED159)-1)</f>
        <v>46403</v>
      </c>
      <c r="EF159" s="8">
        <f t="shared" ca="1" si="495"/>
        <v>258</v>
      </c>
      <c r="EG159" s="5" t="str">
        <f t="shared" ca="1" si="496"/>
        <v>VIGENTE</v>
      </c>
      <c r="EH159" s="3"/>
      <c r="EI159" s="4">
        <v>45948</v>
      </c>
      <c r="EJ159" s="4">
        <f t="shared" si="558"/>
        <v>46313</v>
      </c>
      <c r="EK159" s="8">
        <f t="shared" ca="1" si="497"/>
        <v>168</v>
      </c>
      <c r="EL159" s="5" t="str">
        <f t="shared" ca="1" si="498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9"/>
        <v>244</v>
      </c>
      <c r="EQ159" s="5" t="str">
        <f t="shared" ca="1" si="500"/>
        <v>VIGENTE</v>
      </c>
      <c r="ER159" s="3"/>
      <c r="ES159" s="39">
        <v>45677</v>
      </c>
      <c r="ET159" s="4">
        <f>DATE(YEAR(ES159)+2,MONTH(ES159),DAY(ES159)-1)</f>
        <v>46406</v>
      </c>
      <c r="EU159" s="8">
        <f t="shared" ca="1" si="501"/>
        <v>261</v>
      </c>
      <c r="EV159" s="5" t="str">
        <f t="shared" ca="1" si="502"/>
        <v>VIGENTE</v>
      </c>
      <c r="EW159" s="3"/>
      <c r="EX159" s="4">
        <v>45953</v>
      </c>
      <c r="EY159" s="4">
        <f t="shared" ref="EY159:EY166" si="592">DATE(YEAR(EX159)+2,MONTH(EX159),DAY(EX159))</f>
        <v>46683</v>
      </c>
      <c r="EZ159" s="8">
        <f t="shared" ca="1" si="503"/>
        <v>538</v>
      </c>
      <c r="FA159" s="5" t="str">
        <f t="shared" ca="1" si="504"/>
        <v>VIGENTE</v>
      </c>
      <c r="FB159" s="3"/>
      <c r="FC159" s="4">
        <v>45951</v>
      </c>
      <c r="FD159" s="4">
        <f t="shared" ref="FD159:FD166" si="593">DATE(YEAR(FC159)+2,MONTH(FC159),DAY(FC159))</f>
        <v>46681</v>
      </c>
      <c r="FE159" s="8">
        <f t="shared" ca="1" si="505"/>
        <v>536</v>
      </c>
      <c r="FF159" s="5" t="str">
        <f t="shared" ca="1" si="506"/>
        <v>VIGENTE</v>
      </c>
      <c r="FG159" s="3"/>
      <c r="FH159" s="4">
        <v>45962</v>
      </c>
      <c r="FI159" s="4">
        <f t="shared" ref="FI159:FI166" si="594">DATE(YEAR(FH159)+2,MONTH(FH159),DAY(FH159))</f>
        <v>46692</v>
      </c>
      <c r="FJ159" s="8">
        <f t="shared" ca="1" si="507"/>
        <v>547</v>
      </c>
      <c r="FK159" s="5" t="str">
        <f t="shared" ca="1" si="508"/>
        <v>VIGENTE</v>
      </c>
      <c r="FL159" s="3"/>
      <c r="FM159" s="39">
        <v>45738</v>
      </c>
      <c r="FN159" s="4">
        <f>DATE(YEAR(FM159)+2,MONTH(FM159),DAY(FM159)-1)</f>
        <v>46467</v>
      </c>
      <c r="FO159" s="8">
        <f t="shared" ca="1" si="509"/>
        <v>322</v>
      </c>
      <c r="FP159" s="5" t="str">
        <f t="shared" ca="1" si="510"/>
        <v>VIGENTE</v>
      </c>
      <c r="FQ159" s="3"/>
      <c r="FR159" s="39">
        <v>45678</v>
      </c>
      <c r="FS159" s="4">
        <f>DATE(YEAR(FR159)+2,MONTH(FR159),DAY(FR159)-1)</f>
        <v>46407</v>
      </c>
      <c r="FT159" s="8">
        <f t="shared" ca="1" si="511"/>
        <v>262</v>
      </c>
      <c r="FU159" s="5" t="str">
        <f t="shared" ca="1" si="512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3"/>
        <v>165</v>
      </c>
      <c r="FZ159" s="5" t="str">
        <f t="shared" ca="1" si="514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5"/>
        <v>251</v>
      </c>
      <c r="GE159" s="5" t="str">
        <f t="shared" ca="1" si="516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7"/>
        <v>336</v>
      </c>
      <c r="GJ159" s="5" t="str">
        <f t="shared" ca="1" si="518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9"/>
        <v>271</v>
      </c>
      <c r="GO159" s="5" t="str">
        <f t="shared" ca="1" si="520"/>
        <v>VIGENTE</v>
      </c>
      <c r="GP159" s="4"/>
      <c r="GQ159" s="4">
        <v>45017</v>
      </c>
      <c r="GR159" s="4">
        <f t="shared" si="521"/>
        <v>46844</v>
      </c>
      <c r="GS159" s="8">
        <f t="shared" ca="1" si="405"/>
        <v>699</v>
      </c>
      <c r="GT159" s="5" t="str">
        <f t="shared" ca="1" si="419"/>
        <v>VIGENTE</v>
      </c>
      <c r="GU159" s="3"/>
      <c r="GV159" s="4">
        <v>45245</v>
      </c>
      <c r="GW159" s="4">
        <f t="shared" si="522"/>
        <v>47072</v>
      </c>
      <c r="GX159" s="8">
        <f t="shared" ca="1" si="523"/>
        <v>927</v>
      </c>
      <c r="GY159" s="5" t="str">
        <f t="shared" ca="1" si="426"/>
        <v>VIGENTE</v>
      </c>
      <c r="GZ159" s="3"/>
      <c r="HA159" s="4">
        <v>44980</v>
      </c>
      <c r="HB159" s="4">
        <f t="shared" si="524"/>
        <v>46806</v>
      </c>
      <c r="HC159" s="8">
        <f t="shared" ca="1" si="525"/>
        <v>661</v>
      </c>
      <c r="HD159" s="5" t="str">
        <f t="shared" ca="1" si="421"/>
        <v>VIGENTE</v>
      </c>
      <c r="HE159" s="6"/>
      <c r="HF159" s="4">
        <v>44879</v>
      </c>
      <c r="HG159" s="4">
        <f t="shared" si="583"/>
        <v>46705</v>
      </c>
      <c r="HH159" s="8">
        <f t="shared" ca="1" si="584"/>
        <v>560</v>
      </c>
      <c r="HI159" s="5" t="str">
        <f t="shared" ca="1" si="427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4"/>
        <v>VIGENTE</v>
      </c>
      <c r="HO159" s="2"/>
      <c r="HP159" s="2"/>
      <c r="HQ159" s="4"/>
      <c r="HR159" s="2"/>
      <c r="HS159" s="5" t="str">
        <f t="shared" si="526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7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8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9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30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1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2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3"/>
        <v>VIGENTE</v>
      </c>
      <c r="JC159" s="3" t="s">
        <v>780</v>
      </c>
      <c r="JD159" s="3"/>
      <c r="JE159" s="4"/>
      <c r="JF159" s="8"/>
      <c r="JG159" s="5"/>
      <c r="JH159" s="3" t="s">
        <v>780</v>
      </c>
      <c r="JI159" s="6"/>
      <c r="JJ159" s="6"/>
      <c r="JK159" s="6"/>
      <c r="JL159" s="5"/>
      <c r="JM159" s="6" t="s">
        <v>780</v>
      </c>
      <c r="JN159" s="6"/>
      <c r="JO159" s="6"/>
      <c r="JP159" s="6"/>
      <c r="JQ159" s="5"/>
      <c r="JR159" s="6" t="s">
        <v>780</v>
      </c>
      <c r="JS159" s="6"/>
      <c r="JT159" s="6"/>
      <c r="JU159" s="6"/>
      <c r="JV159" s="5"/>
      <c r="JW159" s="6" t="s">
        <v>780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4"/>
        <v>NO APLICA</v>
      </c>
      <c r="KG159" s="5"/>
      <c r="KH159" s="2"/>
      <c r="KI159" s="4"/>
      <c r="KJ159" s="8"/>
      <c r="KK159" s="5" t="str">
        <f t="shared" si="559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5"/>
        <v>VIGENTE</v>
      </c>
      <c r="KQ159" s="5"/>
      <c r="KR159" s="2"/>
      <c r="KS159" s="4"/>
      <c r="KT159" s="8"/>
      <c r="KU159" s="5" t="str">
        <f t="shared" si="560"/>
        <v>NO APLICA</v>
      </c>
      <c r="KV159" s="2"/>
      <c r="KW159" s="6"/>
      <c r="KX159" s="4"/>
      <c r="KY159" s="8"/>
      <c r="KZ159" s="5" t="str">
        <f t="shared" si="565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1"/>
        <v>VIGENTE</v>
      </c>
      <c r="LF159" s="4"/>
      <c r="LG159" s="4"/>
      <c r="LH159" s="4"/>
      <c r="LI159" s="8"/>
      <c r="LJ159" s="5" t="str">
        <f t="shared" si="567"/>
        <v>NO APLICA</v>
      </c>
      <c r="LK159" s="5"/>
      <c r="LL159" s="21"/>
      <c r="LM159" s="4"/>
      <c r="LN159" s="8"/>
      <c r="LO159" s="5" t="str">
        <f t="shared" si="566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2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3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4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7"/>
        <v>VIGENTE</v>
      </c>
      <c r="MJ159" s="2"/>
      <c r="MK159" s="2"/>
      <c r="ML159" s="4"/>
      <c r="MM159" s="8"/>
      <c r="MN159" s="5" t="str">
        <f t="shared" si="538"/>
        <v>NO APLICA</v>
      </c>
      <c r="MO159" s="5"/>
      <c r="MP159" s="2"/>
      <c r="MQ159" s="4"/>
      <c r="MR159" s="8"/>
      <c r="MS159" s="5" t="str">
        <f t="shared" si="539"/>
        <v>NO APLICA</v>
      </c>
      <c r="MT159" s="5"/>
      <c r="MU159" s="2"/>
      <c r="MV159" s="4"/>
      <c r="MW159" s="2"/>
      <c r="MX159" s="5" t="str">
        <f t="shared" si="540"/>
        <v>NO APLICA</v>
      </c>
      <c r="MY159" s="2"/>
      <c r="MZ159" s="6"/>
      <c r="NA159" s="4"/>
      <c r="NB159" s="8"/>
      <c r="NC159" s="5" t="str">
        <f t="shared" si="541"/>
        <v>NO APLICA</v>
      </c>
      <c r="ND159" s="2"/>
      <c r="NE159" s="6"/>
      <c r="NF159" s="4"/>
      <c r="NG159" s="8"/>
      <c r="NH159" s="5" t="str">
        <f t="shared" si="542"/>
        <v>NO APLICA</v>
      </c>
      <c r="NI159" s="2"/>
      <c r="NJ159" s="6"/>
      <c r="NK159" s="4"/>
      <c r="NL159" s="8"/>
      <c r="NM159" s="5" t="str">
        <f t="shared" si="543"/>
        <v>NO APLICA</v>
      </c>
      <c r="NN159" s="2"/>
      <c r="NO159" s="2"/>
      <c r="NP159" s="4"/>
      <c r="NQ159" s="2"/>
      <c r="NR159" s="5" t="str">
        <f t="shared" si="544"/>
        <v>NO APLICA</v>
      </c>
      <c r="NS159" s="2"/>
      <c r="NT159" s="2"/>
      <c r="NU159" s="2"/>
      <c r="NV159" s="2"/>
      <c r="NW159" s="5" t="str">
        <f t="shared" si="545"/>
        <v>NO APLICA</v>
      </c>
      <c r="NX159" s="6"/>
      <c r="NY159" s="6"/>
      <c r="NZ159" s="4"/>
      <c r="OA159" s="8"/>
      <c r="OB159" s="5" t="str">
        <f t="shared" si="546"/>
        <v>NO APLICA</v>
      </c>
      <c r="OC159" s="6"/>
      <c r="OD159" s="6"/>
      <c r="OE159" s="6"/>
      <c r="OF159" s="6"/>
      <c r="OG159" s="5" t="str">
        <f t="shared" si="547"/>
        <v>NO APLICA</v>
      </c>
      <c r="OH159" s="6"/>
      <c r="OI159" s="6"/>
      <c r="OJ159" s="4"/>
      <c r="OK159" s="8"/>
      <c r="OL159" s="5" t="str">
        <f t="shared" si="548"/>
        <v>NO APLICA</v>
      </c>
      <c r="OM159" s="6"/>
      <c r="ON159" s="6"/>
      <c r="OO159" s="6"/>
      <c r="OP159" s="6"/>
      <c r="OQ159" s="5" t="str">
        <f t="shared" si="549"/>
        <v>NO APLICA</v>
      </c>
      <c r="OR159" s="6"/>
      <c r="OS159" s="6"/>
      <c r="OT159" s="6"/>
      <c r="OU159" s="6"/>
      <c r="OV159" s="5" t="str">
        <f t="shared" si="550"/>
        <v>NO APLICA</v>
      </c>
      <c r="OW159" s="6"/>
      <c r="OX159" s="6"/>
      <c r="OY159" s="6"/>
      <c r="OZ159" s="6"/>
      <c r="PA159" s="5" t="str">
        <f t="shared" si="551"/>
        <v>NO APLICA</v>
      </c>
      <c r="PB159" s="6"/>
      <c r="PC159" s="6"/>
      <c r="PD159" s="6"/>
      <c r="PE159" s="6"/>
      <c r="PF159" s="5" t="str">
        <f t="shared" si="552"/>
        <v>NO APLICA</v>
      </c>
      <c r="PG159" s="6"/>
      <c r="PH159" s="6"/>
      <c r="PI159" s="6"/>
      <c r="PJ159" s="6"/>
      <c r="PK159" s="5" t="str">
        <f t="shared" si="553"/>
        <v>NO APLICA</v>
      </c>
      <c r="PL159" s="5"/>
      <c r="PM159" s="6"/>
      <c r="PN159" s="4"/>
      <c r="PO159" s="8"/>
      <c r="PP159" s="5" t="str">
        <f t="shared" si="554"/>
        <v>NO APLICA</v>
      </c>
      <c r="PQ159" s="6"/>
      <c r="PR159" s="6"/>
      <c r="PS159" s="6"/>
      <c r="PT159" s="6"/>
      <c r="PU159" s="5" t="str">
        <f t="shared" si="555"/>
        <v>NO APLICA</v>
      </c>
      <c r="PV159" s="5"/>
      <c r="PW159" s="6"/>
      <c r="PX159" s="6"/>
      <c r="PY159" s="6"/>
      <c r="PZ159" s="5" t="str">
        <f t="shared" si="556"/>
        <v>NO APLICA</v>
      </c>
    </row>
    <row r="160" spans="1:442" ht="15.6" hidden="1" thickTop="1" thickBot="1" x14ac:dyDescent="0.35">
      <c r="A160" s="26">
        <v>157</v>
      </c>
      <c r="B160" s="27">
        <v>1412</v>
      </c>
      <c r="C160" s="28" t="s">
        <v>512</v>
      </c>
      <c r="D160" s="29" t="s">
        <v>157</v>
      </c>
      <c r="E160" s="30" t="s">
        <v>513</v>
      </c>
      <c r="F160" s="5"/>
      <c r="G160" s="6"/>
      <c r="H160" s="4"/>
      <c r="I160" s="8"/>
      <c r="J160" s="5" t="str">
        <f t="shared" si="455"/>
        <v>NO APLICA</v>
      </c>
      <c r="K160" s="5"/>
      <c r="L160" s="6"/>
      <c r="M160" s="6"/>
      <c r="N160" s="8"/>
      <c r="O160" s="5" t="str">
        <f t="shared" si="456"/>
        <v>NO APLICA</v>
      </c>
      <c r="P160" s="6"/>
      <c r="Q160" s="6"/>
      <c r="R160" s="4"/>
      <c r="S160" s="8"/>
      <c r="T160" s="5" t="str">
        <f t="shared" si="557"/>
        <v>NO APLICA</v>
      </c>
      <c r="U160" s="5"/>
      <c r="V160" s="2" t="s">
        <v>514</v>
      </c>
      <c r="W160" s="4">
        <v>45078</v>
      </c>
      <c r="X160" s="4">
        <f t="shared" si="587"/>
        <v>46905</v>
      </c>
      <c r="Y160" s="8">
        <f t="shared" ca="1" si="588"/>
        <v>760</v>
      </c>
      <c r="Z160" s="5" t="str">
        <f t="shared" ca="1" si="412"/>
        <v>VIGENTE</v>
      </c>
      <c r="AA160" s="5"/>
      <c r="AB160" s="2" t="s">
        <v>515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7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8"/>
        <v>487</v>
      </c>
      <c r="AK160" s="5" t="str">
        <f t="shared" ca="1" si="408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9"/>
        <v>522</v>
      </c>
      <c r="AP160" s="5" t="str">
        <f t="shared" ca="1" si="460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1"/>
        <v>472</v>
      </c>
      <c r="AU160" s="5" t="str">
        <f t="shared" ca="1" si="462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3"/>
        <v>512</v>
      </c>
      <c r="AZ160" s="5" t="str">
        <f t="shared" ca="1" si="464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5"/>
        <v>486</v>
      </c>
      <c r="BE160" s="5" t="str">
        <f t="shared" ca="1" si="466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7"/>
        <v>582</v>
      </c>
      <c r="BJ160" s="5" t="str">
        <f t="shared" ca="1" si="468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9"/>
        <v>283</v>
      </c>
      <c r="BO160" s="5" t="str">
        <f t="shared" ca="1" si="470"/>
        <v>VIGENTE</v>
      </c>
      <c r="BP160" s="3"/>
      <c r="BQ160" s="39">
        <v>45701</v>
      </c>
      <c r="BR160" s="4">
        <f>DATE(YEAR(BQ160)+2,MONTH(BQ160),DAY(BQ160)-1)</f>
        <v>46430</v>
      </c>
      <c r="BS160" s="8">
        <f t="shared" ca="1" si="471"/>
        <v>285</v>
      </c>
      <c r="BT160" s="5" t="str">
        <f t="shared" ca="1" si="472"/>
        <v>VIGENTE</v>
      </c>
      <c r="BU160" s="3"/>
      <c r="BV160" s="4">
        <v>45695</v>
      </c>
      <c r="BW160" s="4">
        <f t="shared" si="585"/>
        <v>46424</v>
      </c>
      <c r="BX160" s="8">
        <f t="shared" ca="1" si="473"/>
        <v>279</v>
      </c>
      <c r="BY160" s="5" t="str">
        <f t="shared" ca="1" si="474"/>
        <v>VIGENTE</v>
      </c>
      <c r="BZ160" s="3"/>
      <c r="CA160" s="4">
        <v>45944</v>
      </c>
      <c r="CB160" s="4">
        <f t="shared" si="589"/>
        <v>46674</v>
      </c>
      <c r="CC160" s="8">
        <f t="shared" ca="1" si="475"/>
        <v>529</v>
      </c>
      <c r="CD160" s="5" t="str">
        <f t="shared" ca="1" si="476"/>
        <v>VIGENTE</v>
      </c>
      <c r="CE160" s="6"/>
      <c r="CF160" s="4">
        <v>45616</v>
      </c>
      <c r="CG160" s="4">
        <f t="shared" si="590"/>
        <v>47077</v>
      </c>
      <c r="CH160" s="8">
        <f t="shared" ca="1" si="591"/>
        <v>932</v>
      </c>
      <c r="CI160" s="5" t="str">
        <f t="shared" ca="1" si="573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7"/>
        <v>514</v>
      </c>
      <c r="CN160" s="5" t="str">
        <f t="shared" ca="1" si="478"/>
        <v>VIGENTE</v>
      </c>
      <c r="CO160" s="3"/>
      <c r="CP160" s="39">
        <v>45684</v>
      </c>
      <c r="CQ160" s="4">
        <f t="shared" si="586"/>
        <v>46413</v>
      </c>
      <c r="CR160" s="8">
        <f t="shared" ca="1" si="479"/>
        <v>268</v>
      </c>
      <c r="CS160" s="5" t="str">
        <f t="shared" ca="1" si="480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1"/>
        <v>490</v>
      </c>
      <c r="CX160" s="5" t="str">
        <f t="shared" ca="1" si="482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3"/>
        <v>265</v>
      </c>
      <c r="DC160" s="5" t="str">
        <f t="shared" ca="1" si="484"/>
        <v>VIGENTE</v>
      </c>
      <c r="DD160" s="3"/>
      <c r="DE160" s="39">
        <v>45896</v>
      </c>
      <c r="DF160" s="4">
        <f>DATE(YEAR(DE160)+2,MONTH(DE160),DAY(DE160))</f>
        <v>46626</v>
      </c>
      <c r="DG160" s="8">
        <f t="shared" ca="1" si="485"/>
        <v>481</v>
      </c>
      <c r="DH160" s="5" t="str">
        <f t="shared" ca="1" si="486"/>
        <v>VIGENTE</v>
      </c>
      <c r="DI160" s="3"/>
      <c r="DJ160" s="39">
        <v>45899</v>
      </c>
      <c r="DK160" s="4">
        <f>DATE(YEAR(DJ160)+2,MONTH(DJ160),DAY(DJ160))</f>
        <v>46629</v>
      </c>
      <c r="DL160" s="8">
        <f t="shared" ca="1" si="487"/>
        <v>484</v>
      </c>
      <c r="DM160" s="5" t="str">
        <f t="shared" ca="1" si="488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9"/>
        <v>315</v>
      </c>
      <c r="DR160" s="5" t="str">
        <f t="shared" ca="1" si="490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1"/>
        <v>470</v>
      </c>
      <c r="DW160" s="5" t="str">
        <f t="shared" ca="1" si="492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3"/>
        <v>519</v>
      </c>
      <c r="EB160" s="5" t="str">
        <f t="shared" ca="1" si="494"/>
        <v>VIGENTE</v>
      </c>
      <c r="EC160" s="3"/>
      <c r="ED160" s="39">
        <v>45913</v>
      </c>
      <c r="EE160" s="4">
        <f>DATE(YEAR(ED160)+2,MONTH(ED160),DAY(ED160))</f>
        <v>46643</v>
      </c>
      <c r="EF160" s="8">
        <f t="shared" ca="1" si="495"/>
        <v>498</v>
      </c>
      <c r="EG160" s="5" t="str">
        <f t="shared" ca="1" si="496"/>
        <v>VIGENTE</v>
      </c>
      <c r="EH160" s="3"/>
      <c r="EI160" s="3">
        <v>45911</v>
      </c>
      <c r="EJ160" s="4">
        <f t="shared" si="558"/>
        <v>46276</v>
      </c>
      <c r="EK160" s="8">
        <f t="shared" ca="1" si="497"/>
        <v>131</v>
      </c>
      <c r="EL160" s="5" t="str">
        <f t="shared" ca="1" si="498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9"/>
        <v>525</v>
      </c>
      <c r="EQ160" s="5" t="str">
        <f t="shared" ca="1" si="500"/>
        <v>VIGENTE</v>
      </c>
      <c r="ER160" s="3"/>
      <c r="ES160" s="39">
        <v>45922</v>
      </c>
      <c r="ET160" s="4">
        <f>DATE(YEAR(ES160)+2,MONTH(ES160),DAY(ES160))</f>
        <v>46652</v>
      </c>
      <c r="EU160" s="8">
        <f t="shared" ca="1" si="501"/>
        <v>507</v>
      </c>
      <c r="EV160" s="5" t="str">
        <f t="shared" ca="1" si="502"/>
        <v>VIGENTE</v>
      </c>
      <c r="EW160" s="3"/>
      <c r="EX160" s="4">
        <v>45917</v>
      </c>
      <c r="EY160" s="4">
        <f t="shared" si="592"/>
        <v>46647</v>
      </c>
      <c r="EZ160" s="8">
        <f t="shared" ca="1" si="503"/>
        <v>502</v>
      </c>
      <c r="FA160" s="5" t="str">
        <f t="shared" ca="1" si="504"/>
        <v>VIGENTE</v>
      </c>
      <c r="FB160" s="3"/>
      <c r="FC160" s="4">
        <v>45931</v>
      </c>
      <c r="FD160" s="4">
        <f t="shared" si="593"/>
        <v>46661</v>
      </c>
      <c r="FE160" s="8">
        <f t="shared" ca="1" si="505"/>
        <v>516</v>
      </c>
      <c r="FF160" s="5" t="str">
        <f t="shared" ca="1" si="506"/>
        <v>VIGENTE</v>
      </c>
      <c r="FG160" s="3"/>
      <c r="FH160" s="4">
        <v>45919</v>
      </c>
      <c r="FI160" s="4">
        <f t="shared" si="594"/>
        <v>46649</v>
      </c>
      <c r="FJ160" s="8">
        <f t="shared" ca="1" si="507"/>
        <v>504</v>
      </c>
      <c r="FK160" s="5" t="str">
        <f t="shared" ca="1" si="508"/>
        <v>VIGENTE</v>
      </c>
      <c r="FL160" s="3"/>
      <c r="FM160" s="39">
        <v>45933</v>
      </c>
      <c r="FN160" s="4">
        <f>DATE(YEAR(FM160)+2,MONTH(FM160),DAY(FM160))</f>
        <v>46663</v>
      </c>
      <c r="FO160" s="8">
        <f t="shared" ca="1" si="509"/>
        <v>518</v>
      </c>
      <c r="FP160" s="5" t="str">
        <f t="shared" ca="1" si="510"/>
        <v>VIGENTE</v>
      </c>
      <c r="FQ160" s="3"/>
      <c r="FR160" s="39">
        <v>45957</v>
      </c>
      <c r="FS160" s="4">
        <f>DATE(YEAR(FR160)+2,MONTH(FR160),DAY(FR160))</f>
        <v>46687</v>
      </c>
      <c r="FT160" s="8">
        <f t="shared" ca="1" si="511"/>
        <v>542</v>
      </c>
      <c r="FU160" s="5" t="str">
        <f t="shared" ca="1" si="512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3"/>
        <v>526</v>
      </c>
      <c r="FZ160" s="5" t="str">
        <f t="shared" ca="1" si="514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5"/>
        <v>510</v>
      </c>
      <c r="GE160" s="5" t="str">
        <f t="shared" ca="1" si="516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7"/>
        <v>497</v>
      </c>
      <c r="GJ160" s="5" t="str">
        <f t="shared" ca="1" si="518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9"/>
        <v>271</v>
      </c>
      <c r="GO160" s="5" t="str">
        <f t="shared" ca="1" si="520"/>
        <v>VIGENTE</v>
      </c>
      <c r="GP160" s="4"/>
      <c r="GQ160" s="4">
        <v>45017</v>
      </c>
      <c r="GR160" s="4">
        <f t="shared" si="521"/>
        <v>46844</v>
      </c>
      <c r="GS160" s="8">
        <f t="shared" ca="1" si="405"/>
        <v>699</v>
      </c>
      <c r="GT160" s="5" t="str">
        <f t="shared" ca="1" si="419"/>
        <v>VIGENTE</v>
      </c>
      <c r="GU160" s="3"/>
      <c r="GV160" s="4">
        <v>45010</v>
      </c>
      <c r="GW160" s="4">
        <f t="shared" si="522"/>
        <v>46837</v>
      </c>
      <c r="GX160" s="8">
        <f t="shared" ca="1" si="523"/>
        <v>692</v>
      </c>
      <c r="GY160" s="5" t="str">
        <f t="shared" ca="1" si="426"/>
        <v>VIGENTE</v>
      </c>
      <c r="GZ160" s="3"/>
      <c r="HA160" s="4">
        <v>45268</v>
      </c>
      <c r="HB160" s="4">
        <f t="shared" si="524"/>
        <v>47095</v>
      </c>
      <c r="HC160" s="8">
        <f t="shared" ca="1" si="525"/>
        <v>950</v>
      </c>
      <c r="HD160" s="5" t="str">
        <f t="shared" ca="1" si="421"/>
        <v>VIGENTE</v>
      </c>
      <c r="HE160" s="6"/>
      <c r="HF160" s="4">
        <v>45094</v>
      </c>
      <c r="HG160" s="4">
        <f t="shared" si="583"/>
        <v>46921</v>
      </c>
      <c r="HH160" s="8">
        <f t="shared" ca="1" si="584"/>
        <v>776</v>
      </c>
      <c r="HI160" s="5" t="str">
        <f t="shared" ca="1" si="427"/>
        <v>VIGENTE</v>
      </c>
      <c r="HJ160" s="2"/>
      <c r="HK160" s="6"/>
      <c r="HL160" s="4"/>
      <c r="HM160" s="8"/>
      <c r="HN160" s="5" t="str">
        <f t="shared" si="444"/>
        <v>NO APLICA</v>
      </c>
      <c r="HO160" s="2"/>
      <c r="HP160" s="2"/>
      <c r="HQ160" s="4"/>
      <c r="HR160" s="2"/>
      <c r="HS160" s="5" t="str">
        <f t="shared" si="526"/>
        <v>NO APLICA</v>
      </c>
      <c r="HT160" s="2"/>
      <c r="HU160" s="6"/>
      <c r="HV160" s="4"/>
      <c r="HW160" s="8"/>
      <c r="HX160" s="5" t="str">
        <f t="shared" si="527"/>
        <v>NO APLICA</v>
      </c>
      <c r="HY160" s="2"/>
      <c r="HZ160" s="6"/>
      <c r="IA160" s="4"/>
      <c r="IB160" s="8"/>
      <c r="IC160" s="5" t="str">
        <f t="shared" si="528"/>
        <v>NO APLICA</v>
      </c>
      <c r="ID160" s="2"/>
      <c r="IE160" s="6"/>
      <c r="IF160" s="4"/>
      <c r="IG160" s="8"/>
      <c r="IH160" s="5" t="str">
        <f t="shared" si="529"/>
        <v>NO APLICA</v>
      </c>
      <c r="II160" s="6"/>
      <c r="IJ160" s="6"/>
      <c r="IK160" s="4"/>
      <c r="IL160" s="8"/>
      <c r="IM160" s="5" t="str">
        <f t="shared" si="530"/>
        <v>NO APLICA</v>
      </c>
      <c r="IN160" s="2"/>
      <c r="IO160" s="6"/>
      <c r="IP160" s="4"/>
      <c r="IQ160" s="8"/>
      <c r="IR160" s="5" t="str">
        <f t="shared" si="531"/>
        <v>NO APLICA</v>
      </c>
      <c r="IS160" s="2"/>
      <c r="IT160" s="6"/>
      <c r="IU160" s="4"/>
      <c r="IV160" s="8"/>
      <c r="IW160" s="5" t="str">
        <f t="shared" si="532"/>
        <v>NO APLICA</v>
      </c>
      <c r="IX160" s="2"/>
      <c r="IY160" s="6"/>
      <c r="IZ160" s="4"/>
      <c r="JA160" s="8"/>
      <c r="JB160" s="5" t="str">
        <f t="shared" si="533"/>
        <v>NO APLICA</v>
      </c>
      <c r="JC160" s="3" t="s">
        <v>780</v>
      </c>
      <c r="JD160" s="3"/>
      <c r="JE160" s="4"/>
      <c r="JF160" s="8"/>
      <c r="JG160" s="5"/>
      <c r="JH160" s="3" t="s">
        <v>780</v>
      </c>
      <c r="JI160" s="6"/>
      <c r="JJ160" s="6"/>
      <c r="JK160" s="6"/>
      <c r="JL160" s="5"/>
      <c r="JM160" s="6" t="s">
        <v>780</v>
      </c>
      <c r="JN160" s="6"/>
      <c r="JO160" s="6"/>
      <c r="JP160" s="6"/>
      <c r="JQ160" s="5"/>
      <c r="JR160" s="6" t="s">
        <v>780</v>
      </c>
      <c r="JS160" s="6"/>
      <c r="JT160" s="6"/>
      <c r="JU160" s="6"/>
      <c r="JV160" s="5"/>
      <c r="JW160" s="6" t="s">
        <v>780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4"/>
        <v>VIGENTE</v>
      </c>
      <c r="KG160" s="5"/>
      <c r="KH160" s="2"/>
      <c r="KI160" s="4"/>
      <c r="KJ160" s="8"/>
      <c r="KK160" s="5" t="str">
        <f t="shared" si="559"/>
        <v>NO APLICA</v>
      </c>
      <c r="KL160" s="5"/>
      <c r="KM160" s="2"/>
      <c r="KN160" s="4"/>
      <c r="KO160" s="8"/>
      <c r="KP160" s="5" t="str">
        <f t="shared" si="535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60"/>
        <v>VIGENTE</v>
      </c>
      <c r="KV160" s="2"/>
      <c r="KW160" s="6"/>
      <c r="KX160" s="4"/>
      <c r="KY160" s="8"/>
      <c r="KZ160" s="5" t="str">
        <f t="shared" si="565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1"/>
        <v>VIGENTE</v>
      </c>
      <c r="LF160" s="6"/>
      <c r="LG160" s="6"/>
      <c r="LH160" s="4"/>
      <c r="LI160" s="8"/>
      <c r="LJ160" s="5" t="str">
        <f t="shared" si="567"/>
        <v>NO APLICA</v>
      </c>
      <c r="LK160" s="5"/>
      <c r="LL160" s="5"/>
      <c r="LM160" s="4"/>
      <c r="LN160" s="8"/>
      <c r="LO160" s="5" t="str">
        <f t="shared" si="566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2"/>
        <v>POR VENCER</v>
      </c>
      <c r="LU160" s="6"/>
      <c r="LV160" s="6"/>
      <c r="LW160" s="4"/>
      <c r="LX160" s="8"/>
      <c r="LY160" s="5" t="str">
        <f t="shared" si="563"/>
        <v>NO APLICA</v>
      </c>
      <c r="LZ160" s="6"/>
      <c r="MA160" s="6"/>
      <c r="MB160" s="4"/>
      <c r="MC160" s="8"/>
      <c r="MD160" s="5" t="str">
        <f t="shared" si="564"/>
        <v>NO APLICA</v>
      </c>
      <c r="ME160" s="2"/>
      <c r="MF160" s="2"/>
      <c r="MG160" s="4"/>
      <c r="MH160" s="8"/>
      <c r="MI160" s="5" t="str">
        <f t="shared" si="537"/>
        <v>NO APLICA</v>
      </c>
      <c r="MJ160" s="2"/>
      <c r="MK160" s="2"/>
      <c r="ML160" s="4"/>
      <c r="MM160" s="8"/>
      <c r="MN160" s="5" t="str">
        <f t="shared" si="538"/>
        <v>NO APLICA</v>
      </c>
      <c r="MO160" s="5"/>
      <c r="MP160" s="2"/>
      <c r="MQ160" s="4"/>
      <c r="MR160" s="8"/>
      <c r="MS160" s="5" t="str">
        <f t="shared" si="539"/>
        <v>NO APLICA</v>
      </c>
      <c r="MT160" s="5"/>
      <c r="MU160" s="2"/>
      <c r="MV160" s="4"/>
      <c r="MW160" s="2"/>
      <c r="MX160" s="5" t="str">
        <f t="shared" si="540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1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2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3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4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5"/>
        <v>VIGENTE</v>
      </c>
      <c r="NX160" s="6"/>
      <c r="NY160" s="6"/>
      <c r="NZ160" s="4"/>
      <c r="OA160" s="8"/>
      <c r="OB160" s="5" t="str">
        <f t="shared" si="546"/>
        <v>NO APLICA</v>
      </c>
      <c r="OC160" s="6"/>
      <c r="OD160" s="6"/>
      <c r="OE160" s="6"/>
      <c r="OF160" s="6"/>
      <c r="OG160" s="5" t="str">
        <f t="shared" si="547"/>
        <v>NO APLICA</v>
      </c>
      <c r="OH160" s="2"/>
      <c r="OI160" s="2"/>
      <c r="OJ160" s="4"/>
      <c r="OK160" s="8"/>
      <c r="OL160" s="5" t="str">
        <f t="shared" si="548"/>
        <v>NO APLICA</v>
      </c>
      <c r="OM160" s="6"/>
      <c r="ON160" s="6"/>
      <c r="OO160" s="6"/>
      <c r="OP160" s="6"/>
      <c r="OQ160" s="5" t="str">
        <f t="shared" si="549"/>
        <v>NO APLICA</v>
      </c>
      <c r="OR160" s="6"/>
      <c r="OS160" s="6"/>
      <c r="OT160" s="6"/>
      <c r="OU160" s="6"/>
      <c r="OV160" s="5" t="str">
        <f t="shared" si="550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1"/>
        <v>VIGENTE</v>
      </c>
      <c r="PB160" s="6"/>
      <c r="PC160" s="6"/>
      <c r="PD160" s="6"/>
      <c r="PE160" s="6"/>
      <c r="PF160" s="5" t="str">
        <f t="shared" si="552"/>
        <v>NO APLICA</v>
      </c>
      <c r="PG160" s="6"/>
      <c r="PH160" s="6"/>
      <c r="PI160" s="6"/>
      <c r="PJ160" s="6"/>
      <c r="PK160" s="5" t="str">
        <f t="shared" si="553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4"/>
        <v>VIGENTE</v>
      </c>
      <c r="PQ160" s="6"/>
      <c r="PR160" s="6"/>
      <c r="PS160" s="6"/>
      <c r="PT160" s="6"/>
      <c r="PU160" s="5" t="str">
        <f t="shared" si="555"/>
        <v>NO APLICA</v>
      </c>
      <c r="PV160" s="5"/>
      <c r="PW160" s="6"/>
      <c r="PX160" s="6"/>
      <c r="PY160" s="6"/>
      <c r="PZ160" s="5" t="str">
        <f t="shared" si="556"/>
        <v>NO APLICA</v>
      </c>
    </row>
    <row r="161" spans="1:442" ht="15.6" hidden="1" thickTop="1" thickBot="1" x14ac:dyDescent="0.35">
      <c r="A161" s="26">
        <v>158</v>
      </c>
      <c r="B161" s="27">
        <v>1077</v>
      </c>
      <c r="C161" s="28" t="s">
        <v>516</v>
      </c>
      <c r="D161" s="29" t="s">
        <v>68</v>
      </c>
      <c r="E161" s="30" t="s">
        <v>164</v>
      </c>
      <c r="F161" s="5"/>
      <c r="G161" s="6"/>
      <c r="H161" s="4"/>
      <c r="I161" s="8"/>
      <c r="J161" s="5" t="str">
        <f t="shared" si="455"/>
        <v>NO APLICA</v>
      </c>
      <c r="K161" s="2"/>
      <c r="L161" s="6"/>
      <c r="M161" s="6"/>
      <c r="N161" s="8"/>
      <c r="O161" s="5" t="str">
        <f t="shared" si="456"/>
        <v>NO APLICA</v>
      </c>
      <c r="P161" s="6"/>
      <c r="Q161" s="6"/>
      <c r="R161" s="4"/>
      <c r="S161" s="8"/>
      <c r="T161" s="5" t="str">
        <f t="shared" si="557"/>
        <v>NO APLICA</v>
      </c>
      <c r="U161" s="5"/>
      <c r="V161" s="2" t="s">
        <v>517</v>
      </c>
      <c r="W161" s="4">
        <v>44829</v>
      </c>
      <c r="X161" s="4">
        <f t="shared" si="587"/>
        <v>46655</v>
      </c>
      <c r="Y161" s="8">
        <f t="shared" ca="1" si="588"/>
        <v>510</v>
      </c>
      <c r="Z161" s="5" t="str">
        <f t="shared" ca="1" si="412"/>
        <v>VIGENTE</v>
      </c>
      <c r="AA161" s="5"/>
      <c r="AB161" s="2" t="s">
        <v>518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7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8"/>
        <v>173</v>
      </c>
      <c r="AK161" s="5" t="str">
        <f t="shared" ca="1" si="408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9"/>
        <v>565</v>
      </c>
      <c r="AP161" s="5" t="str">
        <f t="shared" ca="1" si="460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1"/>
        <v>489</v>
      </c>
      <c r="AU161" s="5" t="str">
        <f t="shared" ca="1" si="462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3"/>
        <v>655</v>
      </c>
      <c r="AZ161" s="5" t="str">
        <f t="shared" ca="1" si="464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5"/>
        <v>301</v>
      </c>
      <c r="BE161" s="5" t="str">
        <f t="shared" ca="1" si="466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7"/>
        <v>553</v>
      </c>
      <c r="BJ161" s="5" t="str">
        <f t="shared" ca="1" si="468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9"/>
        <v>620</v>
      </c>
      <c r="BO161" s="5" t="str">
        <f t="shared" ca="1" si="470"/>
        <v>VIGENTE</v>
      </c>
      <c r="BP161" s="3"/>
      <c r="BQ161" s="39">
        <v>46069</v>
      </c>
      <c r="BR161" s="4">
        <f>DATE(YEAR(BQ161)+2,MONTH(BQ161),DAY(BQ161))</f>
        <v>46799</v>
      </c>
      <c r="BS161" s="8">
        <f t="shared" ca="1" si="471"/>
        <v>654</v>
      </c>
      <c r="BT161" s="5" t="str">
        <f t="shared" ca="1" si="472"/>
        <v>VIGENTE</v>
      </c>
      <c r="BU161" s="3"/>
      <c r="BV161" s="4">
        <v>46116</v>
      </c>
      <c r="BW161" s="4">
        <f t="shared" si="585"/>
        <v>46846</v>
      </c>
      <c r="BX161" s="8">
        <f t="shared" ca="1" si="473"/>
        <v>701</v>
      </c>
      <c r="BY161" s="5" t="str">
        <f t="shared" ca="1" si="474"/>
        <v>VIGENTE</v>
      </c>
      <c r="BZ161" s="3"/>
      <c r="CA161" s="4">
        <v>45954</v>
      </c>
      <c r="CB161" s="4">
        <f t="shared" si="589"/>
        <v>46684</v>
      </c>
      <c r="CC161" s="8">
        <f t="shared" ca="1" si="475"/>
        <v>539</v>
      </c>
      <c r="CD161" s="5" t="str">
        <f t="shared" ca="1" si="476"/>
        <v>VIGENTE</v>
      </c>
      <c r="CE161" s="6"/>
      <c r="CF161" s="4">
        <v>45262</v>
      </c>
      <c r="CG161" s="4">
        <f t="shared" si="590"/>
        <v>46723</v>
      </c>
      <c r="CH161" s="8">
        <f t="shared" ca="1" si="591"/>
        <v>578</v>
      </c>
      <c r="CI161" s="5" t="str">
        <f t="shared" ca="1" si="573"/>
        <v>VIGENTE</v>
      </c>
      <c r="CJ161" s="4"/>
      <c r="CK161" s="4">
        <v>46134</v>
      </c>
      <c r="CL161" s="4">
        <f>DATE(YEAR(CK161)+2,MONTH(CK161),DAY(CK161)-1)</f>
        <v>46864</v>
      </c>
      <c r="CM161" s="8">
        <f t="shared" ca="1" si="477"/>
        <v>719</v>
      </c>
      <c r="CN161" s="5" t="str">
        <f t="shared" ca="1" si="478"/>
        <v>VIGENTE</v>
      </c>
      <c r="CO161" s="3"/>
      <c r="CP161" s="39">
        <v>45517</v>
      </c>
      <c r="CQ161" s="4">
        <f t="shared" si="586"/>
        <v>46246</v>
      </c>
      <c r="CR161" s="8">
        <f t="shared" ca="1" si="479"/>
        <v>101</v>
      </c>
      <c r="CS161" s="5" t="str">
        <f t="shared" ca="1" si="480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1"/>
        <v>215</v>
      </c>
      <c r="CX161" s="5" t="str">
        <f t="shared" ca="1" si="482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3"/>
        <v>249</v>
      </c>
      <c r="DC161" s="5" t="str">
        <f t="shared" ca="1" si="484"/>
        <v>VIGENTE</v>
      </c>
      <c r="DD161" s="3"/>
      <c r="DE161" s="39">
        <v>45689</v>
      </c>
      <c r="DF161" s="4">
        <f>DATE(YEAR(DE161)+2,MONTH(DE161),DAY(DE161)-1)</f>
        <v>46418</v>
      </c>
      <c r="DG161" s="8">
        <f t="shared" ca="1" si="485"/>
        <v>273</v>
      </c>
      <c r="DH161" s="5" t="str">
        <f t="shared" ca="1" si="486"/>
        <v>VIGENTE</v>
      </c>
      <c r="DI161" s="3"/>
      <c r="DJ161" s="39">
        <v>45734</v>
      </c>
      <c r="DK161" s="4">
        <f>DATE(YEAR(DJ161)+2,MONTH(DJ161),DAY(DJ161)-1)</f>
        <v>46463</v>
      </c>
      <c r="DL161" s="8">
        <f t="shared" ca="1" si="487"/>
        <v>318</v>
      </c>
      <c r="DM161" s="5" t="str">
        <f t="shared" ca="1" si="488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9"/>
        <v>567</v>
      </c>
      <c r="DR161" s="5" t="str">
        <f t="shared" ca="1" si="490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1"/>
        <v>312</v>
      </c>
      <c r="DW161" s="5" t="str">
        <f t="shared" ca="1" si="492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3"/>
        <v>335</v>
      </c>
      <c r="EB161" s="5" t="str">
        <f t="shared" ca="1" si="494"/>
        <v>VIGENTE</v>
      </c>
      <c r="EC161" s="4"/>
      <c r="ED161" s="39">
        <v>45674</v>
      </c>
      <c r="EE161" s="4">
        <f>DATE(YEAR(ED161)+2,MONTH(ED161),DAY(ED161)-1)</f>
        <v>46403</v>
      </c>
      <c r="EF161" s="8">
        <f t="shared" ca="1" si="495"/>
        <v>258</v>
      </c>
      <c r="EG161" s="5" t="str">
        <f t="shared" ca="1" si="496"/>
        <v>VIGENTE</v>
      </c>
      <c r="EH161" s="4"/>
      <c r="EI161" s="4">
        <v>46115</v>
      </c>
      <c r="EJ161" s="4">
        <f t="shared" si="558"/>
        <v>46480</v>
      </c>
      <c r="EK161" s="8">
        <f t="shared" ca="1" si="497"/>
        <v>335</v>
      </c>
      <c r="EL161" s="5" t="str">
        <f t="shared" ca="1" si="498"/>
        <v>VIGENTE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9"/>
        <v>321</v>
      </c>
      <c r="EQ161" s="5" t="str">
        <f t="shared" ca="1" si="500"/>
        <v>VIGENTE</v>
      </c>
      <c r="ER161" s="4"/>
      <c r="ES161" s="39">
        <v>45677</v>
      </c>
      <c r="ET161" s="4">
        <f>DATE(YEAR(ES161)+2,MONTH(ES161),DAY(ES161)-1)</f>
        <v>46406</v>
      </c>
      <c r="EU161" s="8">
        <f t="shared" ca="1" si="501"/>
        <v>261</v>
      </c>
      <c r="EV161" s="5" t="str">
        <f t="shared" ca="1" si="502"/>
        <v>VIGENTE</v>
      </c>
      <c r="EW161" s="3"/>
      <c r="EX161" s="4">
        <v>45964</v>
      </c>
      <c r="EY161" s="4">
        <f t="shared" si="592"/>
        <v>46694</v>
      </c>
      <c r="EZ161" s="8">
        <f t="shared" ca="1" si="503"/>
        <v>549</v>
      </c>
      <c r="FA161" s="5" t="str">
        <f t="shared" ca="1" si="504"/>
        <v>VIGENTE</v>
      </c>
      <c r="FB161" s="3"/>
      <c r="FC161" s="4">
        <v>45931</v>
      </c>
      <c r="FD161" s="4">
        <f t="shared" si="593"/>
        <v>46661</v>
      </c>
      <c r="FE161" s="8">
        <f t="shared" ca="1" si="505"/>
        <v>516</v>
      </c>
      <c r="FF161" s="5" t="str">
        <f t="shared" ca="1" si="506"/>
        <v>VIGENTE</v>
      </c>
      <c r="FG161" s="3"/>
      <c r="FH161" s="4">
        <v>45969</v>
      </c>
      <c r="FI161" s="4">
        <f t="shared" si="594"/>
        <v>46699</v>
      </c>
      <c r="FJ161" s="8">
        <f t="shared" ca="1" si="507"/>
        <v>554</v>
      </c>
      <c r="FK161" s="5" t="str">
        <f t="shared" ca="1" si="508"/>
        <v>VIGENTE</v>
      </c>
      <c r="FL161" s="3"/>
      <c r="FM161" s="39">
        <v>45670</v>
      </c>
      <c r="FN161" s="4">
        <f>DATE(YEAR(FM161)+2,MONTH(FM161),DAY(FM161)-1)</f>
        <v>46399</v>
      </c>
      <c r="FO161" s="8">
        <f t="shared" ca="1" si="509"/>
        <v>254</v>
      </c>
      <c r="FP161" s="5" t="str">
        <f t="shared" ca="1" si="510"/>
        <v>VIGENTE</v>
      </c>
      <c r="FQ161" s="4"/>
      <c r="FR161" s="39">
        <v>45724</v>
      </c>
      <c r="FS161" s="4">
        <f>DATE(YEAR(FR161)+2,MONTH(FR161),DAY(FR161)-1)</f>
        <v>46453</v>
      </c>
      <c r="FT161" s="8">
        <f t="shared" ca="1" si="511"/>
        <v>308</v>
      </c>
      <c r="FU161" s="5" t="str">
        <f t="shared" ca="1" si="512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3"/>
        <v>599</v>
      </c>
      <c r="FZ161" s="5" t="str">
        <f t="shared" ca="1" si="514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5"/>
        <v>144</v>
      </c>
      <c r="GE161" s="5" t="str">
        <f t="shared" ca="1" si="516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7"/>
        <v>336</v>
      </c>
      <c r="GJ161" s="5" t="str">
        <f t="shared" ca="1" si="518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9"/>
        <v>543</v>
      </c>
      <c r="GO161" s="5" t="str">
        <f t="shared" ca="1" si="520"/>
        <v>VIGENTE</v>
      </c>
      <c r="GP161" s="4"/>
      <c r="GQ161" s="4">
        <v>44912</v>
      </c>
      <c r="GR161" s="4">
        <f t="shared" si="521"/>
        <v>46738</v>
      </c>
      <c r="GS161" s="8">
        <f t="shared" ca="1" si="405"/>
        <v>593</v>
      </c>
      <c r="GT161" s="5" t="str">
        <f t="shared" ca="1" si="419"/>
        <v>VIGENTE</v>
      </c>
      <c r="GU161" s="3"/>
      <c r="GV161" s="4">
        <v>44910</v>
      </c>
      <c r="GW161" s="4">
        <f t="shared" si="522"/>
        <v>46736</v>
      </c>
      <c r="GX161" s="8">
        <f t="shared" ca="1" si="523"/>
        <v>591</v>
      </c>
      <c r="GY161" s="5" t="str">
        <f t="shared" ca="1" si="426"/>
        <v>VIGENTE</v>
      </c>
      <c r="GZ161" s="2"/>
      <c r="HA161" s="4">
        <v>44911</v>
      </c>
      <c r="HB161" s="4">
        <f t="shared" si="524"/>
        <v>46737</v>
      </c>
      <c r="HC161" s="8">
        <f t="shared" ca="1" si="525"/>
        <v>592</v>
      </c>
      <c r="HD161" s="5" t="str">
        <f t="shared" ca="1" si="421"/>
        <v>VIGENTE</v>
      </c>
      <c r="HE161" s="6"/>
      <c r="HF161" s="4">
        <v>45020</v>
      </c>
      <c r="HG161" s="4">
        <f t="shared" si="583"/>
        <v>46847</v>
      </c>
      <c r="HH161" s="8">
        <f t="shared" ca="1" si="584"/>
        <v>702</v>
      </c>
      <c r="HI161" s="5" t="str">
        <f t="shared" ca="1" si="427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4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6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7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8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9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30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1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2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3"/>
        <v>VIGENTE</v>
      </c>
      <c r="JC161" s="3" t="s">
        <v>780</v>
      </c>
      <c r="JD161" s="3"/>
      <c r="JE161" s="4"/>
      <c r="JF161" s="8"/>
      <c r="JG161" s="5"/>
      <c r="JH161" s="3" t="s">
        <v>780</v>
      </c>
      <c r="JI161" s="6"/>
      <c r="JJ161" s="6"/>
      <c r="JK161" s="6"/>
      <c r="JL161" s="5"/>
      <c r="JM161" s="6" t="s">
        <v>780</v>
      </c>
      <c r="JN161" s="6"/>
      <c r="JO161" s="6"/>
      <c r="JP161" s="6"/>
      <c r="JQ161" s="5"/>
      <c r="JR161" s="6" t="s">
        <v>780</v>
      </c>
      <c r="JS161" s="6"/>
      <c r="JT161" s="6"/>
      <c r="JU161" s="6"/>
      <c r="JV161" s="5"/>
      <c r="JW161" s="6" t="s">
        <v>780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4"/>
        <v>NO APLICA</v>
      </c>
      <c r="KG161" s="5"/>
      <c r="KH161" s="2"/>
      <c r="KI161" s="4"/>
      <c r="KJ161" s="8"/>
      <c r="KK161" s="5" t="str">
        <f t="shared" si="559"/>
        <v>NO APLICA</v>
      </c>
      <c r="KL161" s="5"/>
      <c r="KM161" s="2"/>
      <c r="KN161" s="4"/>
      <c r="KO161" s="8"/>
      <c r="KP161" s="5" t="str">
        <f t="shared" si="535"/>
        <v>NO APLICA</v>
      </c>
      <c r="KQ161" s="5"/>
      <c r="KR161" s="2"/>
      <c r="KS161" s="4"/>
      <c r="KT161" s="8"/>
      <c r="KU161" s="5" t="str">
        <f t="shared" si="560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5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1"/>
        <v>VIGENTE</v>
      </c>
      <c r="LF161" s="4"/>
      <c r="LG161" s="4"/>
      <c r="LH161" s="4"/>
      <c r="LI161" s="8"/>
      <c r="LJ161" s="5" t="str">
        <f t="shared" si="567"/>
        <v>NO APLICA</v>
      </c>
      <c r="LK161" s="5"/>
      <c r="LL161" s="5"/>
      <c r="LM161" s="4"/>
      <c r="LN161" s="8"/>
      <c r="LO161" s="5" t="str">
        <f t="shared" si="566"/>
        <v>NO APLICA</v>
      </c>
      <c r="LP161" s="2"/>
      <c r="LQ161" s="6"/>
      <c r="LR161" s="4"/>
      <c r="LS161" s="8"/>
      <c r="LT161" s="5" t="str">
        <f t="shared" si="562"/>
        <v>NO APLICA</v>
      </c>
      <c r="LU161" s="6"/>
      <c r="LV161" s="6"/>
      <c r="LW161" s="4"/>
      <c r="LX161" s="8"/>
      <c r="LY161" s="5" t="str">
        <f t="shared" si="563"/>
        <v>NO APLICA</v>
      </c>
      <c r="LZ161" s="6"/>
      <c r="MA161" s="6"/>
      <c r="MB161" s="4"/>
      <c r="MC161" s="8"/>
      <c r="MD161" s="5" t="str">
        <f t="shared" si="564"/>
        <v>NO APLICA</v>
      </c>
      <c r="ME161" s="2"/>
      <c r="MF161" s="2"/>
      <c r="MG161" s="4"/>
      <c r="MH161" s="8"/>
      <c r="MI161" s="5" t="str">
        <f t="shared" si="537"/>
        <v>NO APLICA</v>
      </c>
      <c r="MJ161" s="2"/>
      <c r="MK161" s="2"/>
      <c r="ML161" s="4"/>
      <c r="MM161" s="8"/>
      <c r="MN161" s="5" t="str">
        <f t="shared" si="538"/>
        <v>NO APLICA</v>
      </c>
      <c r="MO161" s="5"/>
      <c r="MP161" s="2"/>
      <c r="MQ161" s="4"/>
      <c r="MR161" s="8"/>
      <c r="MS161" s="5" t="str">
        <f t="shared" si="539"/>
        <v>NO APLICA</v>
      </c>
      <c r="MT161" s="5"/>
      <c r="MU161" s="2"/>
      <c r="MV161" s="4"/>
      <c r="MW161" s="2"/>
      <c r="MX161" s="5" t="str">
        <f t="shared" si="540"/>
        <v>NO APLICA</v>
      </c>
      <c r="MY161" s="2"/>
      <c r="MZ161" s="6"/>
      <c r="NA161" s="4"/>
      <c r="NB161" s="8"/>
      <c r="NC161" s="5" t="str">
        <f t="shared" si="541"/>
        <v>NO APLICA</v>
      </c>
      <c r="ND161" s="2"/>
      <c r="NE161" s="6"/>
      <c r="NF161" s="4"/>
      <c r="NG161" s="8"/>
      <c r="NH161" s="5" t="str">
        <f t="shared" si="542"/>
        <v>NO APLICA</v>
      </c>
      <c r="NI161" s="2"/>
      <c r="NJ161" s="6"/>
      <c r="NK161" s="4"/>
      <c r="NL161" s="8"/>
      <c r="NM161" s="5" t="str">
        <f t="shared" si="543"/>
        <v>NO APLICA</v>
      </c>
      <c r="NN161" s="2"/>
      <c r="NO161" s="2"/>
      <c r="NP161" s="4"/>
      <c r="NQ161" s="8"/>
      <c r="NR161" s="5" t="str">
        <f t="shared" si="544"/>
        <v>NO APLICA</v>
      </c>
      <c r="NS161" s="2"/>
      <c r="NT161" s="2"/>
      <c r="NU161" s="4"/>
      <c r="NV161" s="2"/>
      <c r="NW161" s="5" t="str">
        <f t="shared" si="545"/>
        <v>NO APLICA</v>
      </c>
      <c r="NX161" s="6"/>
      <c r="NY161" s="6"/>
      <c r="NZ161" s="4"/>
      <c r="OA161" s="8"/>
      <c r="OB161" s="5" t="str">
        <f t="shared" si="546"/>
        <v>NO APLICA</v>
      </c>
      <c r="OC161" s="6"/>
      <c r="OD161" s="6"/>
      <c r="OE161" s="6"/>
      <c r="OF161" s="6"/>
      <c r="OG161" s="5" t="str">
        <f t="shared" si="547"/>
        <v>NO APLICA</v>
      </c>
      <c r="OH161" s="2"/>
      <c r="OI161" s="2"/>
      <c r="OJ161" s="4"/>
      <c r="OK161" s="8"/>
      <c r="OL161" s="5" t="str">
        <f t="shared" si="548"/>
        <v>NO APLICA</v>
      </c>
      <c r="OM161" s="6"/>
      <c r="ON161" s="6"/>
      <c r="OO161" s="6"/>
      <c r="OP161" s="6"/>
      <c r="OQ161" s="5" t="str">
        <f t="shared" si="549"/>
        <v>NO APLICA</v>
      </c>
      <c r="OR161" s="6"/>
      <c r="OS161" s="6"/>
      <c r="OT161" s="6"/>
      <c r="OU161" s="6"/>
      <c r="OV161" s="5" t="str">
        <f t="shared" si="550"/>
        <v>NO APLICA</v>
      </c>
      <c r="OW161" s="6"/>
      <c r="OX161" s="6"/>
      <c r="OY161" s="6"/>
      <c r="OZ161" s="6"/>
      <c r="PA161" s="5" t="str">
        <f t="shared" si="551"/>
        <v>NO APLICA</v>
      </c>
      <c r="PB161" s="6"/>
      <c r="PC161" s="6"/>
      <c r="PD161" s="6"/>
      <c r="PE161" s="6"/>
      <c r="PF161" s="5" t="str">
        <f t="shared" si="552"/>
        <v>NO APLICA</v>
      </c>
      <c r="PG161" s="6"/>
      <c r="PH161" s="6"/>
      <c r="PI161" s="6"/>
      <c r="PJ161" s="6"/>
      <c r="PK161" s="5" t="str">
        <f t="shared" si="553"/>
        <v>NO APLICA</v>
      </c>
      <c r="PL161" s="5"/>
      <c r="PM161" s="6"/>
      <c r="PN161" s="4"/>
      <c r="PO161" s="8"/>
      <c r="PP161" s="5" t="str">
        <f t="shared" si="554"/>
        <v>NO APLICA</v>
      </c>
      <c r="PQ161" s="6"/>
      <c r="PR161" s="6"/>
      <c r="PS161" s="6"/>
      <c r="PT161" s="6"/>
      <c r="PU161" s="5" t="str">
        <f t="shared" si="555"/>
        <v>NO APLICA</v>
      </c>
      <c r="PV161" s="5"/>
      <c r="PW161" s="6"/>
      <c r="PX161" s="6"/>
      <c r="PY161" s="6"/>
      <c r="PZ161" s="5" t="str">
        <f t="shared" si="556"/>
        <v>NO APLICA</v>
      </c>
    </row>
    <row r="162" spans="1:442" ht="15.6" hidden="1" thickTop="1" thickBot="1" x14ac:dyDescent="0.35">
      <c r="A162" s="26">
        <v>159</v>
      </c>
      <c r="B162" s="27">
        <v>562</v>
      </c>
      <c r="C162" s="28" t="s">
        <v>766</v>
      </c>
      <c r="D162" s="29" t="s">
        <v>64</v>
      </c>
      <c r="E162" s="30" t="s">
        <v>519</v>
      </c>
      <c r="F162" s="5"/>
      <c r="G162" s="6"/>
      <c r="H162" s="4"/>
      <c r="I162" s="8"/>
      <c r="J162" s="5" t="str">
        <f t="shared" si="455"/>
        <v>NO APLICA</v>
      </c>
      <c r="K162" s="5"/>
      <c r="L162" s="6"/>
      <c r="M162" s="6"/>
      <c r="N162" s="8"/>
      <c r="O162" s="5" t="str">
        <f t="shared" si="456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7"/>
        <v>VIGENTE</v>
      </c>
      <c r="U162" s="5"/>
      <c r="V162" s="2" t="s">
        <v>520</v>
      </c>
      <c r="W162" s="4">
        <v>45309</v>
      </c>
      <c r="X162" s="4">
        <f t="shared" si="587"/>
        <v>47136</v>
      </c>
      <c r="Y162" s="8">
        <f t="shared" ca="1" si="588"/>
        <v>991</v>
      </c>
      <c r="Z162" s="5" t="str">
        <f t="shared" ca="1" si="412"/>
        <v>VIGENTE</v>
      </c>
      <c r="AA162" s="5"/>
      <c r="AB162" s="22" t="s">
        <v>521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7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8"/>
        <v>487</v>
      </c>
      <c r="AK162" s="5" t="str">
        <f t="shared" ca="1" si="408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9"/>
        <v>294</v>
      </c>
      <c r="AP162" s="5" t="str">
        <f t="shared" ca="1" si="460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1"/>
        <v>175</v>
      </c>
      <c r="AU162" s="5" t="str">
        <f t="shared" ca="1" si="462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3"/>
        <v>286</v>
      </c>
      <c r="AZ162" s="5" t="str">
        <f t="shared" ca="1" si="464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5"/>
        <v>187</v>
      </c>
      <c r="BE162" s="5" t="str">
        <f t="shared" ca="1" si="466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7"/>
        <v>282</v>
      </c>
      <c r="BJ162" s="5" t="str">
        <f t="shared" ca="1" si="468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9"/>
        <v>184</v>
      </c>
      <c r="BO162" s="5" t="str">
        <f t="shared" ca="1" si="470"/>
        <v>VIGENTE</v>
      </c>
      <c r="BP162" s="3"/>
      <c r="BQ162" s="39">
        <v>45701</v>
      </c>
      <c r="BR162" s="4">
        <f>DATE(YEAR(BQ162)+2,MONTH(BQ162),DAY(BQ162)-1)</f>
        <v>46430</v>
      </c>
      <c r="BS162" s="8">
        <f t="shared" ca="1" si="471"/>
        <v>285</v>
      </c>
      <c r="BT162" s="5" t="str">
        <f t="shared" ca="1" si="472"/>
        <v>VIGENTE</v>
      </c>
      <c r="BU162" s="3"/>
      <c r="BV162" s="4">
        <v>45695</v>
      </c>
      <c r="BW162" s="4">
        <f t="shared" si="585"/>
        <v>46424</v>
      </c>
      <c r="BX162" s="8">
        <f t="shared" ca="1" si="473"/>
        <v>279</v>
      </c>
      <c r="BY162" s="5" t="str">
        <f t="shared" ca="1" si="474"/>
        <v>VIGENTE</v>
      </c>
      <c r="BZ162" s="3"/>
      <c r="CA162" s="4">
        <v>45944</v>
      </c>
      <c r="CB162" s="4">
        <f t="shared" si="589"/>
        <v>46674</v>
      </c>
      <c r="CC162" s="8">
        <f t="shared" ca="1" si="475"/>
        <v>529</v>
      </c>
      <c r="CD162" s="5" t="str">
        <f t="shared" ca="1" si="476"/>
        <v>VIGENTE</v>
      </c>
      <c r="CE162" s="6"/>
      <c r="CF162" s="4">
        <v>45533</v>
      </c>
      <c r="CG162" s="4">
        <f t="shared" si="590"/>
        <v>46994</v>
      </c>
      <c r="CH162" s="8">
        <f t="shared" ca="1" si="591"/>
        <v>849</v>
      </c>
      <c r="CI162" s="5" t="str">
        <f t="shared" ca="1" si="573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7"/>
        <v>185</v>
      </c>
      <c r="CN162" s="5" t="str">
        <f t="shared" ca="1" si="478"/>
        <v>VIGENTE</v>
      </c>
      <c r="CO162" s="3"/>
      <c r="CP162" s="39">
        <v>45684</v>
      </c>
      <c r="CQ162" s="4">
        <f t="shared" si="586"/>
        <v>46413</v>
      </c>
      <c r="CR162" s="8">
        <f t="shared" ca="1" si="479"/>
        <v>268</v>
      </c>
      <c r="CS162" s="5" t="str">
        <f t="shared" ca="1" si="480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1"/>
        <v>311</v>
      </c>
      <c r="CX162" s="5" t="str">
        <f t="shared" ca="1" si="482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3"/>
        <v>249</v>
      </c>
      <c r="DC162" s="5" t="str">
        <f t="shared" ca="1" si="484"/>
        <v>VIGENTE</v>
      </c>
      <c r="DD162" s="3"/>
      <c r="DE162" s="39">
        <v>45596</v>
      </c>
      <c r="DF162" s="4">
        <f>DATE(YEAR(DE162)+2,MONTH(DE162),DAY(DE162)-1)</f>
        <v>46325</v>
      </c>
      <c r="DG162" s="8">
        <f t="shared" ca="1" si="485"/>
        <v>180</v>
      </c>
      <c r="DH162" s="5" t="str">
        <f t="shared" ca="1" si="486"/>
        <v>VIGENTE</v>
      </c>
      <c r="DI162" s="3"/>
      <c r="DJ162" s="39">
        <v>45696</v>
      </c>
      <c r="DK162" s="4">
        <f>DATE(YEAR(DJ162)+2,MONTH(DJ162),DAY(DJ162)-1)</f>
        <v>46425</v>
      </c>
      <c r="DL162" s="8">
        <f t="shared" ca="1" si="487"/>
        <v>280</v>
      </c>
      <c r="DM162" s="5" t="str">
        <f t="shared" ca="1" si="488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9"/>
        <v>161</v>
      </c>
      <c r="DR162" s="5" t="str">
        <f t="shared" ca="1" si="490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1"/>
        <v>269</v>
      </c>
      <c r="DW162" s="5" t="str">
        <f t="shared" ca="1" si="492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3"/>
        <v>247</v>
      </c>
      <c r="EB162" s="5" t="str">
        <f t="shared" ca="1" si="494"/>
        <v>VIGENTE</v>
      </c>
      <c r="EC162" s="3"/>
      <c r="ED162" s="39">
        <v>45583</v>
      </c>
      <c r="EE162" s="4">
        <f>DATE(YEAR(ED162)+2,MONTH(ED162),DAY(ED162)-1)</f>
        <v>46312</v>
      </c>
      <c r="EF162" s="8">
        <f t="shared" ca="1" si="495"/>
        <v>167</v>
      </c>
      <c r="EG162" s="5" t="str">
        <f t="shared" ca="1" si="496"/>
        <v>VIGENTE</v>
      </c>
      <c r="EH162" s="3"/>
      <c r="EI162" s="3">
        <v>46107</v>
      </c>
      <c r="EJ162" s="4">
        <f t="shared" si="558"/>
        <v>46472</v>
      </c>
      <c r="EK162" s="8">
        <f t="shared" ca="1" si="497"/>
        <v>327</v>
      </c>
      <c r="EL162" s="5" t="str">
        <f t="shared" ca="1" si="498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9"/>
        <v>220</v>
      </c>
      <c r="EQ162" s="5" t="str">
        <f t="shared" ca="1" si="500"/>
        <v>VIGENTE</v>
      </c>
      <c r="ER162" s="3"/>
      <c r="ES162" s="39">
        <v>45623</v>
      </c>
      <c r="ET162" s="4">
        <f>DATE(YEAR(ES162)+2,MONTH(ES162),DAY(ES162)-1)</f>
        <v>46352</v>
      </c>
      <c r="EU162" s="8">
        <f t="shared" ca="1" si="501"/>
        <v>207</v>
      </c>
      <c r="EV162" s="5" t="str">
        <f t="shared" ca="1" si="502"/>
        <v>VIGENTE</v>
      </c>
      <c r="EW162" s="3"/>
      <c r="EX162" s="4">
        <v>45917</v>
      </c>
      <c r="EY162" s="4">
        <f t="shared" si="592"/>
        <v>46647</v>
      </c>
      <c r="EZ162" s="8">
        <f t="shared" ca="1" si="503"/>
        <v>502</v>
      </c>
      <c r="FA162" s="5" t="str">
        <f t="shared" ca="1" si="504"/>
        <v>VIGENTE</v>
      </c>
      <c r="FB162" s="3"/>
      <c r="FC162" s="4">
        <v>45931</v>
      </c>
      <c r="FD162" s="4">
        <f t="shared" si="593"/>
        <v>46661</v>
      </c>
      <c r="FE162" s="8">
        <f t="shared" ca="1" si="505"/>
        <v>516</v>
      </c>
      <c r="FF162" s="5" t="str">
        <f t="shared" ca="1" si="506"/>
        <v>VIGENTE</v>
      </c>
      <c r="FG162" s="3"/>
      <c r="FH162" s="4">
        <v>45919</v>
      </c>
      <c r="FI162" s="4">
        <f t="shared" si="594"/>
        <v>46649</v>
      </c>
      <c r="FJ162" s="8">
        <f t="shared" ca="1" si="507"/>
        <v>504</v>
      </c>
      <c r="FK162" s="5" t="str">
        <f t="shared" ca="1" si="508"/>
        <v>VIGENTE</v>
      </c>
      <c r="FL162" s="3"/>
      <c r="FM162" s="39">
        <v>45588</v>
      </c>
      <c r="FN162" s="4">
        <f>DATE(YEAR(FM162)+2,MONTH(FM162),DAY(FM162)-1)</f>
        <v>46317</v>
      </c>
      <c r="FO162" s="8">
        <f t="shared" ca="1" si="509"/>
        <v>172</v>
      </c>
      <c r="FP162" s="5" t="str">
        <f t="shared" ca="1" si="510"/>
        <v>VIGENTE</v>
      </c>
      <c r="FQ162" s="3"/>
      <c r="FR162" s="39">
        <v>45586</v>
      </c>
      <c r="FS162" s="4">
        <f>DATE(YEAR(FR162)+2,MONTH(FR162),DAY(FR162)-1)</f>
        <v>46315</v>
      </c>
      <c r="FT162" s="8">
        <f t="shared" ca="1" si="511"/>
        <v>170</v>
      </c>
      <c r="FU162" s="5" t="str">
        <f t="shared" ca="1" si="512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3"/>
        <v>526</v>
      </c>
      <c r="FZ162" s="5" t="str">
        <f t="shared" ca="1" si="514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5"/>
        <v>251</v>
      </c>
      <c r="GE162" s="5" t="str">
        <f t="shared" ca="1" si="516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7"/>
        <v>163</v>
      </c>
      <c r="GJ162" s="5" t="str">
        <f t="shared" ca="1" si="518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9"/>
        <v>192</v>
      </c>
      <c r="GO162" s="5" t="str">
        <f t="shared" ca="1" si="520"/>
        <v>VIGENTE</v>
      </c>
      <c r="GP162" s="4"/>
      <c r="GQ162" s="4">
        <v>45017</v>
      </c>
      <c r="GR162" s="4">
        <f t="shared" si="521"/>
        <v>46844</v>
      </c>
      <c r="GS162" s="8">
        <f t="shared" ca="1" si="405"/>
        <v>699</v>
      </c>
      <c r="GT162" s="5" t="str">
        <f t="shared" ca="1" si="419"/>
        <v>VIGENTE</v>
      </c>
      <c r="GU162" s="3"/>
      <c r="GV162" s="4">
        <v>44952</v>
      </c>
      <c r="GW162" s="4">
        <f t="shared" si="522"/>
        <v>46778</v>
      </c>
      <c r="GX162" s="8">
        <f t="shared" ca="1" si="523"/>
        <v>633</v>
      </c>
      <c r="GY162" s="5" t="str">
        <f t="shared" ca="1" si="426"/>
        <v>VIGENTE</v>
      </c>
      <c r="GZ162" s="3"/>
      <c r="HA162" s="4">
        <v>45294</v>
      </c>
      <c r="HB162" s="4">
        <f t="shared" si="524"/>
        <v>47121</v>
      </c>
      <c r="HC162" s="8">
        <f t="shared" ca="1" si="525"/>
        <v>976</v>
      </c>
      <c r="HD162" s="5" t="str">
        <f t="shared" ca="1" si="421"/>
        <v>VIGENTE</v>
      </c>
      <c r="HE162" s="6"/>
      <c r="HF162" s="4">
        <v>45020</v>
      </c>
      <c r="HG162" s="4">
        <f t="shared" si="583"/>
        <v>46847</v>
      </c>
      <c r="HH162" s="8">
        <f t="shared" ca="1" si="584"/>
        <v>702</v>
      </c>
      <c r="HI162" s="5" t="str">
        <f t="shared" ca="1" si="427"/>
        <v>VIGENTE</v>
      </c>
      <c r="HJ162" s="2"/>
      <c r="HK162" s="6"/>
      <c r="HL162" s="4"/>
      <c r="HM162" s="8"/>
      <c r="HN162" s="5" t="str">
        <f t="shared" si="444"/>
        <v>NO APLICA</v>
      </c>
      <c r="HO162" s="2"/>
      <c r="HP162" s="5"/>
      <c r="HQ162" s="4"/>
      <c r="HR162" s="5"/>
      <c r="HS162" s="5" t="str">
        <f t="shared" si="526"/>
        <v>NO APLICA</v>
      </c>
      <c r="HT162" s="2"/>
      <c r="HU162" s="6"/>
      <c r="HV162" s="4"/>
      <c r="HW162" s="8"/>
      <c r="HX162" s="5" t="str">
        <f t="shared" si="527"/>
        <v>NO APLICA</v>
      </c>
      <c r="HY162" s="2"/>
      <c r="HZ162" s="6"/>
      <c r="IA162" s="4"/>
      <c r="IB162" s="8"/>
      <c r="IC162" s="5" t="str">
        <f t="shared" si="528"/>
        <v>NO APLICA</v>
      </c>
      <c r="ID162" s="2"/>
      <c r="IE162" s="6"/>
      <c r="IF162" s="4"/>
      <c r="IG162" s="8"/>
      <c r="IH162" s="5" t="str">
        <f t="shared" si="529"/>
        <v>NO APLICA</v>
      </c>
      <c r="II162" s="6"/>
      <c r="IJ162" s="6"/>
      <c r="IK162" s="4"/>
      <c r="IL162" s="8"/>
      <c r="IM162" s="5" t="str">
        <f t="shared" si="530"/>
        <v>NO APLICA</v>
      </c>
      <c r="IN162" s="2"/>
      <c r="IO162" s="6"/>
      <c r="IP162" s="4"/>
      <c r="IQ162" s="8"/>
      <c r="IR162" s="5" t="str">
        <f t="shared" si="531"/>
        <v>NO APLICA</v>
      </c>
      <c r="IS162" s="2"/>
      <c r="IT162" s="6"/>
      <c r="IU162" s="4"/>
      <c r="IV162" s="8"/>
      <c r="IW162" s="5" t="str">
        <f t="shared" si="532"/>
        <v>NO APLICA</v>
      </c>
      <c r="IX162" s="2"/>
      <c r="IY162" s="6"/>
      <c r="IZ162" s="4"/>
      <c r="JA162" s="8"/>
      <c r="JB162" s="5" t="str">
        <f t="shared" si="533"/>
        <v>NO APLICA</v>
      </c>
      <c r="JC162" s="3" t="s">
        <v>780</v>
      </c>
      <c r="JD162" s="3"/>
      <c r="JE162" s="4"/>
      <c r="JF162" s="8"/>
      <c r="JG162" s="5"/>
      <c r="JH162" s="3" t="s">
        <v>780</v>
      </c>
      <c r="JI162" s="6"/>
      <c r="JJ162" s="6"/>
      <c r="JK162" s="6"/>
      <c r="JL162" s="5"/>
      <c r="JM162" s="6" t="s">
        <v>780</v>
      </c>
      <c r="JN162" s="6"/>
      <c r="JO162" s="6"/>
      <c r="JP162" s="6"/>
      <c r="JQ162" s="5"/>
      <c r="JR162" s="6" t="s">
        <v>780</v>
      </c>
      <c r="JS162" s="6"/>
      <c r="JT162" s="6"/>
      <c r="JU162" s="6"/>
      <c r="JV162" s="5"/>
      <c r="JW162" s="6" t="s">
        <v>780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4"/>
        <v>NO APLICA</v>
      </c>
      <c r="KG162" s="5"/>
      <c r="KH162" s="5"/>
      <c r="KI162" s="4"/>
      <c r="KJ162" s="8"/>
      <c r="KK162" s="5" t="str">
        <f t="shared" si="559"/>
        <v>NO APLICA</v>
      </c>
      <c r="KL162" s="5"/>
      <c r="KM162" s="5"/>
      <c r="KN162" s="4"/>
      <c r="KO162" s="8"/>
      <c r="KP162" s="5" t="str">
        <f t="shared" si="535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60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5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1"/>
        <v>VIGENTE</v>
      </c>
      <c r="LF162" s="6"/>
      <c r="LG162" s="6"/>
      <c r="LH162" s="4"/>
      <c r="LI162" s="8"/>
      <c r="LJ162" s="5" t="str">
        <f t="shared" si="567"/>
        <v>NO APLICA</v>
      </c>
      <c r="LK162" s="5"/>
      <c r="LL162" s="5"/>
      <c r="LM162" s="5"/>
      <c r="LN162" s="5"/>
      <c r="LO162" s="5" t="str">
        <f t="shared" si="566"/>
        <v>NO APLICA</v>
      </c>
      <c r="LP162" s="5"/>
      <c r="LQ162" s="6"/>
      <c r="LR162" s="4"/>
      <c r="LS162" s="8"/>
      <c r="LT162" s="5" t="str">
        <f t="shared" si="562"/>
        <v>NO APLICA</v>
      </c>
      <c r="LU162" s="6"/>
      <c r="LV162" s="6"/>
      <c r="LW162" s="4"/>
      <c r="LX162" s="8"/>
      <c r="LY162" s="5" t="str">
        <f t="shared" si="563"/>
        <v>NO APLICA</v>
      </c>
      <c r="LZ162" s="6"/>
      <c r="MA162" s="6"/>
      <c r="MB162" s="4"/>
      <c r="MC162" s="8"/>
      <c r="MD162" s="5" t="str">
        <f t="shared" si="564"/>
        <v>NO APLICA</v>
      </c>
      <c r="ME162" s="5"/>
      <c r="MF162" s="5"/>
      <c r="MG162" s="4"/>
      <c r="MH162" s="8"/>
      <c r="MI162" s="5" t="str">
        <f t="shared" si="537"/>
        <v>NO APLICA</v>
      </c>
      <c r="MJ162" s="5"/>
      <c r="MK162" s="5"/>
      <c r="ML162" s="4"/>
      <c r="MM162" s="8"/>
      <c r="MN162" s="5" t="str">
        <f t="shared" si="538"/>
        <v>NO APLICA</v>
      </c>
      <c r="MO162" s="5"/>
      <c r="MP162" s="5"/>
      <c r="MQ162" s="4"/>
      <c r="MR162" s="8"/>
      <c r="MS162" s="5" t="str">
        <f t="shared" si="539"/>
        <v>NO APLICA</v>
      </c>
      <c r="MT162" s="5"/>
      <c r="MU162" s="5"/>
      <c r="MV162" s="4"/>
      <c r="MW162" s="5"/>
      <c r="MX162" s="5" t="str">
        <f t="shared" si="540"/>
        <v>NO APLICA</v>
      </c>
      <c r="MY162" s="5"/>
      <c r="MZ162" s="6"/>
      <c r="NA162" s="4"/>
      <c r="NB162" s="8"/>
      <c r="NC162" s="5" t="str">
        <f t="shared" si="541"/>
        <v>NO APLICA</v>
      </c>
      <c r="ND162" s="5"/>
      <c r="NE162" s="6"/>
      <c r="NF162" s="4"/>
      <c r="NG162" s="8"/>
      <c r="NH162" s="5" t="str">
        <f t="shared" si="542"/>
        <v>NO APLICA</v>
      </c>
      <c r="NI162" s="5"/>
      <c r="NJ162" s="6"/>
      <c r="NK162" s="4"/>
      <c r="NL162" s="8"/>
      <c r="NM162" s="5" t="str">
        <f t="shared" si="543"/>
        <v>NO APLICA</v>
      </c>
      <c r="NN162" s="5"/>
      <c r="NO162" s="5"/>
      <c r="NP162" s="5"/>
      <c r="NQ162" s="5"/>
      <c r="NR162" s="5" t="str">
        <f t="shared" si="544"/>
        <v>NO APLICA</v>
      </c>
      <c r="NS162" s="5"/>
      <c r="NT162" s="5"/>
      <c r="NU162" s="5"/>
      <c r="NV162" s="5"/>
      <c r="NW162" s="5" t="str">
        <f t="shared" si="545"/>
        <v>NO APLICA</v>
      </c>
      <c r="NX162" s="6"/>
      <c r="NY162" s="6"/>
      <c r="NZ162" s="4"/>
      <c r="OA162" s="8"/>
      <c r="OB162" s="5" t="str">
        <f t="shared" si="546"/>
        <v>NO APLICA</v>
      </c>
      <c r="OC162" s="6"/>
      <c r="OD162" s="6"/>
      <c r="OE162" s="6"/>
      <c r="OF162" s="6"/>
      <c r="OG162" s="5" t="str">
        <f t="shared" si="547"/>
        <v>NO APLICA</v>
      </c>
      <c r="OH162" s="6"/>
      <c r="OI162" s="6"/>
      <c r="OJ162" s="4"/>
      <c r="OK162" s="8"/>
      <c r="OL162" s="5" t="str">
        <f t="shared" si="548"/>
        <v>NO APLICA</v>
      </c>
      <c r="OM162" s="6"/>
      <c r="ON162" s="6"/>
      <c r="OO162" s="6"/>
      <c r="OP162" s="6"/>
      <c r="OQ162" s="5" t="str">
        <f t="shared" si="549"/>
        <v>NO APLICA</v>
      </c>
      <c r="OR162" s="6"/>
      <c r="OS162" s="6"/>
      <c r="OT162" s="6"/>
      <c r="OU162" s="6"/>
      <c r="OV162" s="5" t="str">
        <f t="shared" si="550"/>
        <v>NO APLICA</v>
      </c>
      <c r="OW162" s="6"/>
      <c r="OX162" s="6"/>
      <c r="OY162" s="6"/>
      <c r="OZ162" s="6"/>
      <c r="PA162" s="5" t="str">
        <f t="shared" si="551"/>
        <v>NO APLICA</v>
      </c>
      <c r="PB162" s="6"/>
      <c r="PC162" s="6"/>
      <c r="PD162" s="6"/>
      <c r="PE162" s="6"/>
      <c r="PF162" s="5" t="str">
        <f t="shared" si="552"/>
        <v>NO APLICA</v>
      </c>
      <c r="PG162" s="6"/>
      <c r="PH162" s="6"/>
      <c r="PI162" s="6"/>
      <c r="PJ162" s="6"/>
      <c r="PK162" s="5" t="str">
        <f t="shared" si="553"/>
        <v>NO APLICA</v>
      </c>
      <c r="PL162" s="5"/>
      <c r="PM162" s="6"/>
      <c r="PN162" s="4"/>
      <c r="PO162" s="8"/>
      <c r="PP162" s="5" t="str">
        <f t="shared" si="554"/>
        <v>NO APLICA</v>
      </c>
      <c r="PQ162" s="6"/>
      <c r="PR162" s="6"/>
      <c r="PS162" s="6"/>
      <c r="PT162" s="6"/>
      <c r="PU162" s="5" t="str">
        <f t="shared" si="555"/>
        <v>NO APLICA</v>
      </c>
      <c r="PV162" s="5"/>
      <c r="PW162" s="6"/>
      <c r="PX162" s="6"/>
      <c r="PY162" s="6"/>
      <c r="PZ162" s="5" t="str">
        <f t="shared" si="556"/>
        <v>NO APLICA</v>
      </c>
    </row>
    <row r="163" spans="1:442" ht="15.6" hidden="1" thickTop="1" thickBot="1" x14ac:dyDescent="0.35">
      <c r="A163" s="26">
        <v>160</v>
      </c>
      <c r="B163" s="27">
        <v>1108</v>
      </c>
      <c r="C163" s="28" t="s">
        <v>522</v>
      </c>
      <c r="D163" s="29" t="s">
        <v>113</v>
      </c>
      <c r="E163" s="30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5"/>
        <v>VIGENTE</v>
      </c>
      <c r="K163" s="5"/>
      <c r="L163" s="6"/>
      <c r="M163" s="6"/>
      <c r="N163" s="8"/>
      <c r="O163" s="5" t="str">
        <f t="shared" si="456"/>
        <v>NO APLICA</v>
      </c>
      <c r="P163" s="6"/>
      <c r="Q163" s="6"/>
      <c r="R163" s="4"/>
      <c r="S163" s="8"/>
      <c r="T163" s="5" t="str">
        <f t="shared" si="557"/>
        <v>NO APLICA</v>
      </c>
      <c r="U163" s="5"/>
      <c r="V163" s="2" t="s">
        <v>523</v>
      </c>
      <c r="W163" s="4">
        <v>44786</v>
      </c>
      <c r="X163" s="4">
        <f t="shared" si="587"/>
        <v>46612</v>
      </c>
      <c r="Y163" s="8">
        <f t="shared" ca="1" si="588"/>
        <v>467</v>
      </c>
      <c r="Z163" s="5" t="str">
        <f t="shared" ca="1" si="412"/>
        <v>VIGENTE</v>
      </c>
      <c r="AA163" s="5"/>
      <c r="AB163" s="2"/>
      <c r="AC163" s="6"/>
      <c r="AD163" s="4"/>
      <c r="AE163" s="8"/>
      <c r="AF163" s="5" t="str">
        <f t="shared" si="457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8"/>
        <v>487</v>
      </c>
      <c r="AK163" s="5" t="str">
        <f t="shared" ca="1" si="408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9"/>
        <v>488</v>
      </c>
      <c r="AP163" s="5" t="str">
        <f t="shared" ca="1" si="460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1"/>
        <v>552</v>
      </c>
      <c r="AU163" s="5" t="str">
        <f t="shared" ca="1" si="462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3"/>
        <v>512</v>
      </c>
      <c r="AZ163" s="5" t="str">
        <f t="shared" ca="1" si="464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5"/>
        <v>301</v>
      </c>
      <c r="BE163" s="5" t="str">
        <f t="shared" ca="1" si="466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7"/>
        <v>282</v>
      </c>
      <c r="BJ163" s="5" t="str">
        <f t="shared" ca="1" si="468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9"/>
        <v>283</v>
      </c>
      <c r="BO163" s="5" t="str">
        <f t="shared" ca="1" si="470"/>
        <v>VIGENTE</v>
      </c>
      <c r="BP163" s="3"/>
      <c r="BQ163" s="39">
        <v>45701</v>
      </c>
      <c r="BR163" s="4">
        <f>DATE(YEAR(BQ163)+2,MONTH(BQ163),DAY(BQ163)-1)</f>
        <v>46430</v>
      </c>
      <c r="BS163" s="8">
        <f t="shared" ca="1" si="471"/>
        <v>285</v>
      </c>
      <c r="BT163" s="5" t="str">
        <f t="shared" ca="1" si="472"/>
        <v>VIGENTE</v>
      </c>
      <c r="BU163" s="3"/>
      <c r="BV163" s="4">
        <v>46126</v>
      </c>
      <c r="BW163" s="4">
        <f t="shared" si="585"/>
        <v>46856</v>
      </c>
      <c r="BX163" s="8">
        <f t="shared" ca="1" si="473"/>
        <v>711</v>
      </c>
      <c r="BY163" s="5" t="str">
        <f t="shared" ca="1" si="474"/>
        <v>VIGENTE</v>
      </c>
      <c r="BZ163" s="3"/>
      <c r="CA163" s="4">
        <v>45911</v>
      </c>
      <c r="CB163" s="4">
        <f t="shared" si="589"/>
        <v>46641</v>
      </c>
      <c r="CC163" s="8">
        <f t="shared" ca="1" si="475"/>
        <v>496</v>
      </c>
      <c r="CD163" s="5" t="str">
        <f t="shared" ca="1" si="476"/>
        <v>VIGENTE</v>
      </c>
      <c r="CE163" s="6"/>
      <c r="CF163" s="4">
        <v>45616</v>
      </c>
      <c r="CG163" s="4">
        <f t="shared" si="590"/>
        <v>47077</v>
      </c>
      <c r="CH163" s="8">
        <f t="shared" ca="1" si="591"/>
        <v>932</v>
      </c>
      <c r="CI163" s="5" t="str">
        <f t="shared" ca="1" si="573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7"/>
        <v>88</v>
      </c>
      <c r="CN163" s="5" t="str">
        <f t="shared" ca="1" si="478"/>
        <v>POR VENCER</v>
      </c>
      <c r="CO163" s="3"/>
      <c r="CP163" s="39">
        <v>45513</v>
      </c>
      <c r="CQ163" s="4">
        <f t="shared" si="586"/>
        <v>46242</v>
      </c>
      <c r="CR163" s="8">
        <f t="shared" ca="1" si="479"/>
        <v>97</v>
      </c>
      <c r="CS163" s="5" t="str">
        <f t="shared" ca="1" si="480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1"/>
        <v>628</v>
      </c>
      <c r="CX163" s="5" t="str">
        <f t="shared" ca="1" si="482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3"/>
        <v>585</v>
      </c>
      <c r="DC163" s="5" t="str">
        <f t="shared" ca="1" si="484"/>
        <v>VIGENTE</v>
      </c>
      <c r="DD163" s="3"/>
      <c r="DE163" s="39">
        <v>45689</v>
      </c>
      <c r="DF163" s="4">
        <f>DATE(YEAR(DE163)+2,MONTH(DE163),DAY(DE163)-1)</f>
        <v>46418</v>
      </c>
      <c r="DG163" s="8">
        <f t="shared" ca="1" si="485"/>
        <v>273</v>
      </c>
      <c r="DH163" s="5" t="str">
        <f t="shared" ca="1" si="486"/>
        <v>VIGENTE</v>
      </c>
      <c r="DI163" s="3"/>
      <c r="DJ163" s="39">
        <v>45834</v>
      </c>
      <c r="DK163" s="4">
        <f>DATE(YEAR(DJ163)+2,MONTH(DJ163),DAY(DJ163))</f>
        <v>46564</v>
      </c>
      <c r="DL163" s="8">
        <f t="shared" ca="1" si="487"/>
        <v>419</v>
      </c>
      <c r="DM163" s="5" t="str">
        <f t="shared" ca="1" si="488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9"/>
        <v>567</v>
      </c>
      <c r="DR163" s="5" t="str">
        <f t="shared" ca="1" si="490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1"/>
        <v>269</v>
      </c>
      <c r="DW163" s="5" t="str">
        <f t="shared" ca="1" si="492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3"/>
        <v>335</v>
      </c>
      <c r="EB163" s="5" t="str">
        <f t="shared" ca="1" si="494"/>
        <v>VIGENTE</v>
      </c>
      <c r="EC163" s="3"/>
      <c r="ED163" s="39">
        <v>45715</v>
      </c>
      <c r="EE163" s="4">
        <f>DATE(YEAR(ED163)+2,MONTH(ED163),DAY(ED163)-1)</f>
        <v>46444</v>
      </c>
      <c r="EF163" s="8">
        <f t="shared" ca="1" si="495"/>
        <v>299</v>
      </c>
      <c r="EG163" s="5" t="str">
        <f t="shared" ca="1" si="496"/>
        <v>VIGENTE</v>
      </c>
      <c r="EH163" s="3"/>
      <c r="EI163" s="3">
        <v>46085</v>
      </c>
      <c r="EJ163" s="4">
        <f t="shared" si="558"/>
        <v>46450</v>
      </c>
      <c r="EK163" s="8">
        <f t="shared" ca="1" si="497"/>
        <v>305</v>
      </c>
      <c r="EL163" s="5" t="str">
        <f t="shared" ca="1" si="498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9"/>
        <v>338</v>
      </c>
      <c r="EQ163" s="5" t="str">
        <f t="shared" ca="1" si="500"/>
        <v>VIGENTE</v>
      </c>
      <c r="ER163" s="2"/>
      <c r="ES163" s="39">
        <v>45755</v>
      </c>
      <c r="ET163" s="4">
        <f>DATE(YEAR(ES163)+2,MONTH(ES163),DAY(ES163)-1)</f>
        <v>46484</v>
      </c>
      <c r="EU163" s="8">
        <f t="shared" ca="1" si="501"/>
        <v>339</v>
      </c>
      <c r="EV163" s="5" t="str">
        <f t="shared" ca="1" si="502"/>
        <v>VIGENTE</v>
      </c>
      <c r="EW163" s="3"/>
      <c r="EX163" s="4">
        <v>45917</v>
      </c>
      <c r="EY163" s="4">
        <f t="shared" si="592"/>
        <v>46647</v>
      </c>
      <c r="EZ163" s="8">
        <f t="shared" ca="1" si="503"/>
        <v>502</v>
      </c>
      <c r="FA163" s="5" t="str">
        <f t="shared" ca="1" si="504"/>
        <v>VIGENTE</v>
      </c>
      <c r="FB163" s="3"/>
      <c r="FC163" s="4">
        <v>45951</v>
      </c>
      <c r="FD163" s="4">
        <f t="shared" si="593"/>
        <v>46681</v>
      </c>
      <c r="FE163" s="8">
        <f t="shared" ca="1" si="505"/>
        <v>536</v>
      </c>
      <c r="FF163" s="5" t="str">
        <f t="shared" ca="1" si="506"/>
        <v>VIGENTE</v>
      </c>
      <c r="FG163" s="3"/>
      <c r="FH163" s="4">
        <v>45832</v>
      </c>
      <c r="FI163" s="4">
        <f t="shared" si="594"/>
        <v>46562</v>
      </c>
      <c r="FJ163" s="8">
        <f t="shared" ca="1" si="507"/>
        <v>417</v>
      </c>
      <c r="FK163" s="5" t="str">
        <f t="shared" ca="1" si="508"/>
        <v>VIGENTE</v>
      </c>
      <c r="FL163" s="3"/>
      <c r="FM163" s="39">
        <v>45670</v>
      </c>
      <c r="FN163" s="4">
        <f>DATE(YEAR(FM163)+2,MONTH(FM163),DAY(FM163)-1)</f>
        <v>46399</v>
      </c>
      <c r="FO163" s="8">
        <f t="shared" ca="1" si="509"/>
        <v>254</v>
      </c>
      <c r="FP163" s="5" t="str">
        <f t="shared" ca="1" si="510"/>
        <v>VIGENTE</v>
      </c>
      <c r="FQ163" s="3"/>
      <c r="FR163" s="39">
        <v>45747</v>
      </c>
      <c r="FS163" s="4">
        <f>DATE(YEAR(FR163)+2,MONTH(FR163),DAY(FR163)-1)</f>
        <v>46476</v>
      </c>
      <c r="FT163" s="8">
        <f t="shared" ca="1" si="511"/>
        <v>331</v>
      </c>
      <c r="FU163" s="5" t="str">
        <f t="shared" ca="1" si="512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3"/>
        <v>158</v>
      </c>
      <c r="FZ163" s="5" t="str">
        <f t="shared" ca="1" si="514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5"/>
        <v>306</v>
      </c>
      <c r="GE163" s="5" t="str">
        <f t="shared" ca="1" si="516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7"/>
        <v>313</v>
      </c>
      <c r="GJ163" s="5" t="str">
        <f t="shared" ca="1" si="518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9"/>
        <v>433</v>
      </c>
      <c r="GO163" s="5" t="str">
        <f t="shared" ca="1" si="520"/>
        <v>VIGENTE</v>
      </c>
      <c r="GP163" s="4"/>
      <c r="GQ163" s="4">
        <v>45468</v>
      </c>
      <c r="GR163" s="4">
        <f t="shared" si="521"/>
        <v>47294</v>
      </c>
      <c r="GS163" s="8">
        <f t="shared" ca="1" si="405"/>
        <v>1149</v>
      </c>
      <c r="GT163" s="5" t="str">
        <f t="shared" ca="1" si="419"/>
        <v>VIGENTE</v>
      </c>
      <c r="GU163" s="3"/>
      <c r="GV163" s="4">
        <v>45010</v>
      </c>
      <c r="GW163" s="4">
        <f t="shared" si="522"/>
        <v>46837</v>
      </c>
      <c r="GX163" s="8">
        <f t="shared" ca="1" si="523"/>
        <v>692</v>
      </c>
      <c r="GY163" s="5" t="str">
        <f t="shared" ca="1" si="426"/>
        <v>VIGENTE</v>
      </c>
      <c r="GZ163" s="3"/>
      <c r="HA163" s="4">
        <v>45251</v>
      </c>
      <c r="HB163" s="4">
        <f t="shared" si="524"/>
        <v>47078</v>
      </c>
      <c r="HC163" s="8">
        <f t="shared" ca="1" si="525"/>
        <v>933</v>
      </c>
      <c r="HD163" s="5" t="str">
        <f t="shared" ca="1" si="421"/>
        <v>VIGENTE</v>
      </c>
      <c r="HE163" s="6"/>
      <c r="HF163" s="6"/>
      <c r="HG163" s="4"/>
      <c r="HH163" s="8"/>
      <c r="HI163" s="5" t="str">
        <f t="shared" si="427"/>
        <v>NO APLICA</v>
      </c>
      <c r="HJ163" s="2"/>
      <c r="HK163" s="6"/>
      <c r="HL163" s="4"/>
      <c r="HM163" s="8"/>
      <c r="HN163" s="5" t="str">
        <f t="shared" si="444"/>
        <v>NO APLICA</v>
      </c>
      <c r="HO163" s="2"/>
      <c r="HP163" s="2"/>
      <c r="HQ163" s="4"/>
      <c r="HR163" s="2"/>
      <c r="HS163" s="5" t="str">
        <f t="shared" si="526"/>
        <v>NO APLICA</v>
      </c>
      <c r="HT163" s="2"/>
      <c r="HU163" s="6"/>
      <c r="HV163" s="4"/>
      <c r="HW163" s="8"/>
      <c r="HX163" s="5" t="str">
        <f t="shared" si="527"/>
        <v>NO APLICA</v>
      </c>
      <c r="HY163" s="2"/>
      <c r="HZ163" s="6"/>
      <c r="IA163" s="4"/>
      <c r="IB163" s="8"/>
      <c r="IC163" s="5" t="str">
        <f t="shared" si="528"/>
        <v>NO APLICA</v>
      </c>
      <c r="ID163" s="2"/>
      <c r="IE163" s="6"/>
      <c r="IF163" s="4"/>
      <c r="IG163" s="8"/>
      <c r="IH163" s="5" t="str">
        <f t="shared" si="529"/>
        <v>NO APLICA</v>
      </c>
      <c r="II163" s="6"/>
      <c r="IJ163" s="6"/>
      <c r="IK163" s="4"/>
      <c r="IL163" s="8"/>
      <c r="IM163" s="5" t="str">
        <f t="shared" si="530"/>
        <v>NO APLICA</v>
      </c>
      <c r="IN163" s="2"/>
      <c r="IO163" s="6"/>
      <c r="IP163" s="4"/>
      <c r="IQ163" s="8"/>
      <c r="IR163" s="5" t="str">
        <f t="shared" si="531"/>
        <v>NO APLICA</v>
      </c>
      <c r="IS163" s="2"/>
      <c r="IT163" s="6"/>
      <c r="IU163" s="4"/>
      <c r="IV163" s="8"/>
      <c r="IW163" s="5" t="str">
        <f t="shared" si="532"/>
        <v>NO APLICA</v>
      </c>
      <c r="IX163" s="2"/>
      <c r="IY163" s="6"/>
      <c r="IZ163" s="4"/>
      <c r="JA163" s="8"/>
      <c r="JB163" s="5" t="str">
        <f t="shared" si="533"/>
        <v>NO APLICA</v>
      </c>
      <c r="JC163" s="3" t="s">
        <v>780</v>
      </c>
      <c r="JD163" s="3"/>
      <c r="JE163" s="4"/>
      <c r="JF163" s="8"/>
      <c r="JG163" s="5"/>
      <c r="JH163" s="3" t="s">
        <v>780</v>
      </c>
      <c r="JI163" s="6"/>
      <c r="JJ163" s="6"/>
      <c r="JK163" s="6"/>
      <c r="JL163" s="5"/>
      <c r="JM163" s="6" t="s">
        <v>780</v>
      </c>
      <c r="JN163" s="6"/>
      <c r="JO163" s="6"/>
      <c r="JP163" s="6"/>
      <c r="JQ163" s="5"/>
      <c r="JR163" s="6" t="s">
        <v>780</v>
      </c>
      <c r="JS163" s="6"/>
      <c r="JT163" s="6"/>
      <c r="JU163" s="6"/>
      <c r="JV163" s="5"/>
      <c r="JW163" s="6" t="s">
        <v>780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4"/>
        <v>NO APLICA</v>
      </c>
      <c r="KG163" s="5"/>
      <c r="KH163" s="2"/>
      <c r="KI163" s="4"/>
      <c r="KJ163" s="8"/>
      <c r="KK163" s="5" t="str">
        <f t="shared" si="559"/>
        <v>NO APLICA</v>
      </c>
      <c r="KL163" s="5"/>
      <c r="KM163" s="2"/>
      <c r="KN163" s="4"/>
      <c r="KO163" s="8"/>
      <c r="KP163" s="5" t="str">
        <f t="shared" si="535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60"/>
        <v>VIGENTE</v>
      </c>
      <c r="KV163" s="2"/>
      <c r="KW163" s="6"/>
      <c r="KX163" s="4"/>
      <c r="KY163" s="8"/>
      <c r="KZ163" s="5" t="str">
        <f t="shared" si="565"/>
        <v>NO APLICA</v>
      </c>
      <c r="LA163" s="5"/>
      <c r="LB163" s="6"/>
      <c r="LC163" s="4"/>
      <c r="LD163" s="8"/>
      <c r="LE163" s="5" t="str">
        <f t="shared" si="561"/>
        <v>NO APLICA</v>
      </c>
      <c r="LF163" s="6"/>
      <c r="LG163" s="6"/>
      <c r="LH163" s="4"/>
      <c r="LI163" s="8"/>
      <c r="LJ163" s="5" t="str">
        <f t="shared" si="567"/>
        <v>NO APLICA</v>
      </c>
      <c r="LK163" s="5"/>
      <c r="LL163" s="5"/>
      <c r="LM163" s="4"/>
      <c r="LN163" s="8"/>
      <c r="LO163" s="5" t="str">
        <f t="shared" si="566"/>
        <v>NO APLICA</v>
      </c>
      <c r="LP163" s="2"/>
      <c r="LQ163" s="6"/>
      <c r="LR163" s="4"/>
      <c r="LS163" s="8"/>
      <c r="LT163" s="5" t="str">
        <f t="shared" si="562"/>
        <v>NO APLICA</v>
      </c>
      <c r="LU163" s="6"/>
      <c r="LV163" s="6"/>
      <c r="LW163" s="4"/>
      <c r="LX163" s="8"/>
      <c r="LY163" s="5" t="str">
        <f t="shared" si="563"/>
        <v>NO APLICA</v>
      </c>
      <c r="LZ163" s="6"/>
      <c r="MA163" s="6"/>
      <c r="MB163" s="4"/>
      <c r="MC163" s="8"/>
      <c r="MD163" s="5" t="str">
        <f t="shared" si="564"/>
        <v>NO APLICA</v>
      </c>
      <c r="ME163" s="2"/>
      <c r="MF163" s="2"/>
      <c r="MG163" s="4"/>
      <c r="MH163" s="8"/>
      <c r="MI163" s="5" t="str">
        <f t="shared" si="537"/>
        <v>NO APLICA</v>
      </c>
      <c r="MJ163" s="2"/>
      <c r="MK163" s="2"/>
      <c r="ML163" s="4"/>
      <c r="MM163" s="8"/>
      <c r="MN163" s="5" t="str">
        <f t="shared" si="538"/>
        <v>NO APLICA</v>
      </c>
      <c r="MO163" s="5"/>
      <c r="MP163" s="2"/>
      <c r="MQ163" s="4"/>
      <c r="MR163" s="8"/>
      <c r="MS163" s="5" t="str">
        <f t="shared" si="539"/>
        <v>NO APLICA</v>
      </c>
      <c r="MT163" s="5"/>
      <c r="MU163" s="2"/>
      <c r="MV163" s="4"/>
      <c r="MW163" s="2"/>
      <c r="MX163" s="5" t="str">
        <f t="shared" si="540"/>
        <v>NO APLICA</v>
      </c>
      <c r="MY163" s="2"/>
      <c r="MZ163" s="6"/>
      <c r="NA163" s="4"/>
      <c r="NB163" s="8"/>
      <c r="NC163" s="5" t="str">
        <f t="shared" si="541"/>
        <v>NO APLICA</v>
      </c>
      <c r="ND163" s="2"/>
      <c r="NE163" s="6"/>
      <c r="NF163" s="4"/>
      <c r="NG163" s="8"/>
      <c r="NH163" s="5" t="str">
        <f t="shared" si="542"/>
        <v>NO APLICA</v>
      </c>
      <c r="NI163" s="2"/>
      <c r="NJ163" s="6"/>
      <c r="NK163" s="4"/>
      <c r="NL163" s="8"/>
      <c r="NM163" s="5" t="str">
        <f t="shared" si="543"/>
        <v>NO APLICA</v>
      </c>
      <c r="NN163" s="2"/>
      <c r="NO163" s="2"/>
      <c r="NP163" s="4"/>
      <c r="NQ163" s="8"/>
      <c r="NR163" s="5" t="str">
        <f t="shared" si="544"/>
        <v>NO APLICA</v>
      </c>
      <c r="NS163" s="2"/>
      <c r="NT163" s="2"/>
      <c r="NU163" s="4"/>
      <c r="NV163" s="2"/>
      <c r="NW163" s="5" t="str">
        <f t="shared" si="545"/>
        <v>NO APLICA</v>
      </c>
      <c r="NX163" s="6"/>
      <c r="NY163" s="6"/>
      <c r="NZ163" s="4"/>
      <c r="OA163" s="8"/>
      <c r="OB163" s="5" t="str">
        <f t="shared" si="546"/>
        <v>NO APLICA</v>
      </c>
      <c r="OC163" s="6"/>
      <c r="OD163" s="6"/>
      <c r="OE163" s="6"/>
      <c r="OF163" s="6"/>
      <c r="OG163" s="5" t="str">
        <f t="shared" si="547"/>
        <v>NO APLICA</v>
      </c>
      <c r="OH163" s="2"/>
      <c r="OI163" s="2"/>
      <c r="OJ163" s="4"/>
      <c r="OK163" s="8"/>
      <c r="OL163" s="5" t="str">
        <f t="shared" si="548"/>
        <v>NO APLICA</v>
      </c>
      <c r="OM163" s="6"/>
      <c r="ON163" s="6"/>
      <c r="OO163" s="6"/>
      <c r="OP163" s="6"/>
      <c r="OQ163" s="5" t="str">
        <f t="shared" si="549"/>
        <v>NO APLICA</v>
      </c>
      <c r="OR163" s="6"/>
      <c r="OS163" s="6"/>
      <c r="OT163" s="6"/>
      <c r="OU163" s="6"/>
      <c r="OV163" s="5" t="str">
        <f t="shared" si="550"/>
        <v>NO APLICA</v>
      </c>
      <c r="OW163" s="6"/>
      <c r="OX163" s="6"/>
      <c r="OY163" s="6"/>
      <c r="OZ163" s="6"/>
      <c r="PA163" s="5" t="str">
        <f t="shared" si="551"/>
        <v>NO APLICA</v>
      </c>
      <c r="PB163" s="6"/>
      <c r="PC163" s="6"/>
      <c r="PD163" s="6"/>
      <c r="PE163" s="6"/>
      <c r="PF163" s="5" t="str">
        <f t="shared" si="552"/>
        <v>NO APLICA</v>
      </c>
      <c r="PG163" s="6"/>
      <c r="PH163" s="6"/>
      <c r="PI163" s="6"/>
      <c r="PJ163" s="6"/>
      <c r="PK163" s="5" t="str">
        <f t="shared" si="553"/>
        <v>NO APLICA</v>
      </c>
      <c r="PL163" s="5"/>
      <c r="PM163" s="6"/>
      <c r="PN163" s="4"/>
      <c r="PO163" s="8"/>
      <c r="PP163" s="5" t="str">
        <f t="shared" si="554"/>
        <v>NO APLICA</v>
      </c>
      <c r="PQ163" s="6"/>
      <c r="PR163" s="6"/>
      <c r="PS163" s="6"/>
      <c r="PT163" s="6"/>
      <c r="PU163" s="5" t="str">
        <f t="shared" si="555"/>
        <v>NO APLICA</v>
      </c>
      <c r="PV163" s="5"/>
      <c r="PW163" s="6"/>
      <c r="PX163" s="6"/>
      <c r="PY163" s="6"/>
      <c r="PZ163" s="5" t="str">
        <f t="shared" si="556"/>
        <v>NO APLICA</v>
      </c>
    </row>
    <row r="164" spans="1:442" ht="15.6" hidden="1" thickTop="1" thickBot="1" x14ac:dyDescent="0.35">
      <c r="A164" s="26">
        <v>161</v>
      </c>
      <c r="B164" s="31">
        <v>1698</v>
      </c>
      <c r="C164" s="28" t="s">
        <v>767</v>
      </c>
      <c r="D164" s="29" t="s">
        <v>68</v>
      </c>
      <c r="E164" s="30" t="s">
        <v>73</v>
      </c>
      <c r="F164" s="5"/>
      <c r="G164" s="6"/>
      <c r="H164" s="4"/>
      <c r="I164" s="8"/>
      <c r="J164" s="5" t="str">
        <f t="shared" si="455"/>
        <v>NO APLICA</v>
      </c>
      <c r="K164" s="5"/>
      <c r="L164" s="6"/>
      <c r="M164" s="6"/>
      <c r="N164" s="8"/>
      <c r="O164" s="5" t="str">
        <f t="shared" si="456"/>
        <v>NO APLICA</v>
      </c>
      <c r="P164" s="4"/>
      <c r="Q164" s="4"/>
      <c r="R164" s="4"/>
      <c r="S164" s="8"/>
      <c r="T164" s="5" t="str">
        <f t="shared" si="557"/>
        <v>NO APLICA</v>
      </c>
      <c r="U164" s="5"/>
      <c r="V164" s="2" t="s">
        <v>524</v>
      </c>
      <c r="W164" s="4">
        <v>45156</v>
      </c>
      <c r="X164" s="4">
        <f t="shared" si="587"/>
        <v>46983</v>
      </c>
      <c r="Y164" s="8">
        <f t="shared" ca="1" si="588"/>
        <v>838</v>
      </c>
      <c r="Z164" s="5" t="str">
        <f t="shared" ca="1" si="412"/>
        <v>VIGENTE</v>
      </c>
      <c r="AA164" s="5"/>
      <c r="AB164" s="2" t="s">
        <v>525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7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8"/>
        <v>591</v>
      </c>
      <c r="AK164" s="5" t="str">
        <f t="shared" ca="1" si="408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9"/>
        <v>511</v>
      </c>
      <c r="AP164" s="5" t="str">
        <f t="shared" ca="1" si="460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1"/>
        <v>489</v>
      </c>
      <c r="AU164" s="5" t="str">
        <f t="shared" ca="1" si="462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3"/>
        <v>557</v>
      </c>
      <c r="AZ164" s="5" t="str">
        <f t="shared" ca="1" si="464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5"/>
        <v>528</v>
      </c>
      <c r="BE164" s="5" t="str">
        <f t="shared" ca="1" si="466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7"/>
        <v>427</v>
      </c>
      <c r="BJ164" s="5" t="str">
        <f t="shared" ca="1" si="468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9"/>
        <v>561</v>
      </c>
      <c r="BO164" s="5" t="str">
        <f t="shared" ca="1" si="470"/>
        <v>VIGENTE</v>
      </c>
      <c r="BP164" s="3"/>
      <c r="BQ164" s="39">
        <v>45841</v>
      </c>
      <c r="BR164" s="4">
        <f>DATE(YEAR(BQ164)+2,MONTH(BQ164),DAY(BQ164))</f>
        <v>46571</v>
      </c>
      <c r="BS164" s="8">
        <f t="shared" ca="1" si="471"/>
        <v>426</v>
      </c>
      <c r="BT164" s="5" t="str">
        <f t="shared" ca="1" si="472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3"/>
        <v>535</v>
      </c>
      <c r="BY164" s="5" t="str">
        <f t="shared" ca="1" si="474"/>
        <v>VIGENTE</v>
      </c>
      <c r="BZ164" s="3"/>
      <c r="CA164" s="4">
        <v>45894</v>
      </c>
      <c r="CB164" s="4">
        <f t="shared" si="589"/>
        <v>46624</v>
      </c>
      <c r="CC164" s="8">
        <f t="shared" ca="1" si="475"/>
        <v>479</v>
      </c>
      <c r="CD164" s="5" t="str">
        <f t="shared" ca="1" si="476"/>
        <v>VIGENTE</v>
      </c>
      <c r="CE164" s="6"/>
      <c r="CF164" s="4">
        <v>45164</v>
      </c>
      <c r="CG164" s="4">
        <f t="shared" si="590"/>
        <v>46625</v>
      </c>
      <c r="CH164" s="8">
        <f t="shared" ca="1" si="591"/>
        <v>480</v>
      </c>
      <c r="CI164" s="5" t="str">
        <f t="shared" ca="1" si="573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7"/>
        <v>514</v>
      </c>
      <c r="CN164" s="5" t="str">
        <f t="shared" ca="1" si="478"/>
        <v>VIGENTE</v>
      </c>
      <c r="CO164" s="3"/>
      <c r="CP164" s="39">
        <v>45898</v>
      </c>
      <c r="CQ164" s="4">
        <f>DATE(YEAR(CP164)+2,MONTH(CP164),DAY(CP164))</f>
        <v>46628</v>
      </c>
      <c r="CR164" s="8">
        <f t="shared" ca="1" si="479"/>
        <v>483</v>
      </c>
      <c r="CS164" s="5" t="str">
        <f t="shared" ca="1" si="480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1"/>
        <v>550</v>
      </c>
      <c r="CX164" s="5" t="str">
        <f t="shared" ca="1" si="482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3"/>
        <v>585</v>
      </c>
      <c r="DC164" s="5" t="str">
        <f t="shared" ca="1" si="484"/>
        <v>VIGENTE</v>
      </c>
      <c r="DD164" s="3"/>
      <c r="DE164" s="39">
        <v>45836</v>
      </c>
      <c r="DF164" s="4">
        <f>DATE(YEAR(DE164)+2,MONTH(DE164),DAY(DE164))</f>
        <v>46566</v>
      </c>
      <c r="DG164" s="8">
        <f t="shared" ca="1" si="485"/>
        <v>421</v>
      </c>
      <c r="DH164" s="5" t="str">
        <f t="shared" ca="1" si="486"/>
        <v>VIGENTE</v>
      </c>
      <c r="DI164" s="3"/>
      <c r="DJ164" s="39">
        <v>45779</v>
      </c>
      <c r="DK164" s="4">
        <f>DATE(YEAR(DJ164)+2,MONTH(DJ164),DAY(DJ164))</f>
        <v>46509</v>
      </c>
      <c r="DL164" s="8">
        <f t="shared" ca="1" si="487"/>
        <v>364</v>
      </c>
      <c r="DM164" s="5" t="str">
        <f t="shared" ca="1" si="488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9"/>
        <v>567</v>
      </c>
      <c r="DR164" s="5" t="str">
        <f t="shared" ca="1" si="490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1"/>
        <v>603</v>
      </c>
      <c r="DW164" s="5" t="str">
        <f t="shared" ca="1" si="492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3"/>
        <v>500</v>
      </c>
      <c r="EB164" s="5" t="str">
        <f t="shared" ca="1" si="494"/>
        <v>VIGENTE</v>
      </c>
      <c r="EC164" s="3"/>
      <c r="ED164" s="39">
        <v>45913</v>
      </c>
      <c r="EE164" s="4">
        <f>DATE(YEAR(ED164)+2,MONTH(ED164),DAY(ED164))</f>
        <v>46643</v>
      </c>
      <c r="EF164" s="8">
        <f t="shared" ca="1" si="495"/>
        <v>498</v>
      </c>
      <c r="EG164" s="5" t="str">
        <f t="shared" ca="1" si="496"/>
        <v>VIGENTE</v>
      </c>
      <c r="EH164" s="3"/>
      <c r="EI164" s="4">
        <v>46123</v>
      </c>
      <c r="EJ164" s="4">
        <f t="shared" si="558"/>
        <v>46488</v>
      </c>
      <c r="EK164" s="8">
        <f t="shared" ca="1" si="497"/>
        <v>343</v>
      </c>
      <c r="EL164" s="5" t="str">
        <f t="shared" ca="1" si="498"/>
        <v>VIGENTE</v>
      </c>
      <c r="EM164" s="3"/>
      <c r="EN164" s="4">
        <v>45940</v>
      </c>
      <c r="EO164" s="4">
        <f>DATE(YEAR(EN164)+2,MONTH(EN164),DAY(EN164))</f>
        <v>46670</v>
      </c>
      <c r="EP164" s="8">
        <f t="shared" ca="1" si="499"/>
        <v>525</v>
      </c>
      <c r="EQ164" s="5" t="str">
        <f t="shared" ca="1" si="500"/>
        <v>VIGENTE</v>
      </c>
      <c r="ER164" s="3"/>
      <c r="ES164" s="39">
        <v>45824</v>
      </c>
      <c r="ET164" s="4">
        <f>DATE(YEAR(ES164)+2,MONTH(ES164),DAY(ES164))</f>
        <v>46554</v>
      </c>
      <c r="EU164" s="8">
        <f t="shared" ca="1" si="501"/>
        <v>409</v>
      </c>
      <c r="EV164" s="5" t="str">
        <f t="shared" ca="1" si="502"/>
        <v>VIGENTE</v>
      </c>
      <c r="EW164" s="2"/>
      <c r="EX164" s="4">
        <v>45953</v>
      </c>
      <c r="EY164" s="4">
        <f t="shared" si="592"/>
        <v>46683</v>
      </c>
      <c r="EZ164" s="8">
        <f t="shared" ca="1" si="503"/>
        <v>538</v>
      </c>
      <c r="FA164" s="5" t="str">
        <f t="shared" ca="1" si="504"/>
        <v>VIGENTE</v>
      </c>
      <c r="FB164" s="3"/>
      <c r="FC164" s="4">
        <v>45931</v>
      </c>
      <c r="FD164" s="4">
        <f t="shared" si="593"/>
        <v>46661</v>
      </c>
      <c r="FE164" s="8">
        <f t="shared" ca="1" si="505"/>
        <v>516</v>
      </c>
      <c r="FF164" s="5" t="str">
        <f t="shared" ca="1" si="506"/>
        <v>VIGENTE</v>
      </c>
      <c r="FG164" s="3"/>
      <c r="FH164" s="4">
        <v>45969</v>
      </c>
      <c r="FI164" s="4">
        <f t="shared" si="594"/>
        <v>46699</v>
      </c>
      <c r="FJ164" s="8">
        <f t="shared" ca="1" si="507"/>
        <v>554</v>
      </c>
      <c r="FK164" s="5" t="str">
        <f t="shared" ca="1" si="508"/>
        <v>VIGENTE</v>
      </c>
      <c r="FL164" s="3"/>
      <c r="FM164" s="39">
        <v>45933</v>
      </c>
      <c r="FN164" s="4">
        <f>DATE(YEAR(FM164)+2,MONTH(FM164),DAY(FM164))</f>
        <v>46663</v>
      </c>
      <c r="FO164" s="8">
        <f t="shared" ca="1" si="509"/>
        <v>518</v>
      </c>
      <c r="FP164" s="5" t="str">
        <f t="shared" ca="1" si="510"/>
        <v>VIGENTE</v>
      </c>
      <c r="FQ164" s="3"/>
      <c r="FR164" s="39">
        <v>45957</v>
      </c>
      <c r="FS164" s="4">
        <f>DATE(YEAR(FR164)+2,MONTH(FR164),DAY(FR164))</f>
        <v>46687</v>
      </c>
      <c r="FT164" s="8">
        <f t="shared" ca="1" si="511"/>
        <v>542</v>
      </c>
      <c r="FU164" s="5" t="str">
        <f t="shared" ca="1" si="512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3"/>
        <v>578</v>
      </c>
      <c r="FZ164" s="5" t="str">
        <f t="shared" ca="1" si="514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5"/>
        <v>510</v>
      </c>
      <c r="GE164" s="5" t="str">
        <f t="shared" ca="1" si="516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7"/>
        <v>545</v>
      </c>
      <c r="GJ164" s="5" t="str">
        <f t="shared" ca="1" si="518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9"/>
        <v>508</v>
      </c>
      <c r="GO164" s="5" t="str">
        <f t="shared" ca="1" si="520"/>
        <v>VIGENTE</v>
      </c>
      <c r="GP164" s="4"/>
      <c r="GQ164" s="4">
        <v>45265</v>
      </c>
      <c r="GR164" s="4">
        <f t="shared" si="521"/>
        <v>47092</v>
      </c>
      <c r="GS164" s="8">
        <f t="shared" ca="1" si="405"/>
        <v>947</v>
      </c>
      <c r="GT164" s="5" t="str">
        <f t="shared" ca="1" si="419"/>
        <v>VIGENTE</v>
      </c>
      <c r="GU164" s="3"/>
      <c r="GV164" s="4">
        <v>45245</v>
      </c>
      <c r="GW164" s="4">
        <f t="shared" si="522"/>
        <v>47072</v>
      </c>
      <c r="GX164" s="8">
        <f t="shared" ca="1" si="523"/>
        <v>927</v>
      </c>
      <c r="GY164" s="5" t="str">
        <f t="shared" ca="1" si="426"/>
        <v>VIGENTE</v>
      </c>
      <c r="GZ164" s="2"/>
      <c r="HA164" s="4">
        <v>45249</v>
      </c>
      <c r="HB164" s="4">
        <f t="shared" si="524"/>
        <v>47076</v>
      </c>
      <c r="HC164" s="8">
        <f t="shared" ca="1" si="525"/>
        <v>931</v>
      </c>
      <c r="HD164" s="5" t="str">
        <f t="shared" ca="1" si="421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7"/>
        <v>VIGENTE</v>
      </c>
      <c r="HJ164" s="2"/>
      <c r="HK164" s="6"/>
      <c r="HL164" s="4"/>
      <c r="HM164" s="8"/>
      <c r="HN164" s="5" t="str">
        <f t="shared" si="444"/>
        <v>NO APLICA</v>
      </c>
      <c r="HO164" s="2"/>
      <c r="HP164" s="2"/>
      <c r="HQ164" s="4"/>
      <c r="HR164" s="2"/>
      <c r="HS164" s="5" t="str">
        <f t="shared" si="526"/>
        <v>NO APLICA</v>
      </c>
      <c r="HT164" s="2"/>
      <c r="HU164" s="6"/>
      <c r="HV164" s="4"/>
      <c r="HW164" s="8"/>
      <c r="HX164" s="5" t="str">
        <f t="shared" si="527"/>
        <v>NO APLICA</v>
      </c>
      <c r="HY164" s="2"/>
      <c r="HZ164" s="6"/>
      <c r="IA164" s="4"/>
      <c r="IB164" s="8"/>
      <c r="IC164" s="5" t="str">
        <f t="shared" si="528"/>
        <v>NO APLICA</v>
      </c>
      <c r="ID164" s="2"/>
      <c r="IE164" s="6"/>
      <c r="IF164" s="4"/>
      <c r="IG164" s="8"/>
      <c r="IH164" s="5" t="str">
        <f t="shared" si="529"/>
        <v>NO APLICA</v>
      </c>
      <c r="II164" s="6"/>
      <c r="IJ164" s="6"/>
      <c r="IK164" s="4"/>
      <c r="IL164" s="8"/>
      <c r="IM164" s="5" t="str">
        <f t="shared" si="530"/>
        <v>NO APLICA</v>
      </c>
      <c r="IN164" s="2"/>
      <c r="IO164" s="6"/>
      <c r="IP164" s="4"/>
      <c r="IQ164" s="8"/>
      <c r="IR164" s="5" t="str">
        <f t="shared" si="531"/>
        <v>NO APLICA</v>
      </c>
      <c r="IS164" s="2"/>
      <c r="IT164" s="6"/>
      <c r="IU164" s="4"/>
      <c r="IV164" s="8"/>
      <c r="IW164" s="5" t="str">
        <f t="shared" si="532"/>
        <v>NO APLICA</v>
      </c>
      <c r="IX164" s="2"/>
      <c r="IY164" s="6"/>
      <c r="IZ164" s="4"/>
      <c r="JA164" s="8"/>
      <c r="JB164" s="5" t="str">
        <f t="shared" si="533"/>
        <v>NO APLICA</v>
      </c>
      <c r="JC164" s="3" t="s">
        <v>780</v>
      </c>
      <c r="JD164" s="3"/>
      <c r="JE164" s="4"/>
      <c r="JF164" s="8"/>
      <c r="JG164" s="5"/>
      <c r="JH164" s="3" t="s">
        <v>780</v>
      </c>
      <c r="JI164" s="6"/>
      <c r="JJ164" s="6"/>
      <c r="JK164" s="6"/>
      <c r="JL164" s="5"/>
      <c r="JM164" s="6" t="s">
        <v>780</v>
      </c>
      <c r="JN164" s="6"/>
      <c r="JO164" s="6"/>
      <c r="JP164" s="6"/>
      <c r="JQ164" s="5"/>
      <c r="JR164" s="6" t="s">
        <v>780</v>
      </c>
      <c r="JS164" s="6"/>
      <c r="JT164" s="6"/>
      <c r="JU164" s="6"/>
      <c r="JV164" s="5"/>
      <c r="JW164" s="6" t="s">
        <v>780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4"/>
        <v>NO APLICA</v>
      </c>
      <c r="KG164" s="5"/>
      <c r="KH164" s="2"/>
      <c r="KI164" s="4"/>
      <c r="KJ164" s="8"/>
      <c r="KK164" s="5" t="str">
        <f t="shared" si="559"/>
        <v>NO APLICA</v>
      </c>
      <c r="KL164" s="5"/>
      <c r="KM164" s="2"/>
      <c r="KN164" s="4"/>
      <c r="KO164" s="8"/>
      <c r="KP164" s="5" t="str">
        <f t="shared" si="535"/>
        <v>NO APLICA</v>
      </c>
      <c r="KQ164" s="5"/>
      <c r="KR164" s="2"/>
      <c r="KS164" s="4"/>
      <c r="KT164" s="8"/>
      <c r="KU164" s="5" t="str">
        <f t="shared" si="560"/>
        <v>NO APLICA</v>
      </c>
      <c r="KV164" s="2"/>
      <c r="KW164" s="6"/>
      <c r="KX164" s="4"/>
      <c r="KY164" s="8"/>
      <c r="KZ164" s="5" t="str">
        <f t="shared" si="565"/>
        <v>NO APLICA</v>
      </c>
      <c r="LA164" s="5"/>
      <c r="LB164" s="6"/>
      <c r="LC164" s="4"/>
      <c r="LD164" s="8"/>
      <c r="LE164" s="5" t="str">
        <f t="shared" si="561"/>
        <v>NO APLICA</v>
      </c>
      <c r="LF164" s="6"/>
      <c r="LG164" s="4"/>
      <c r="LH164" s="4"/>
      <c r="LI164" s="8"/>
      <c r="LJ164" s="5" t="str">
        <f t="shared" si="567"/>
        <v>NO APLICA</v>
      </c>
      <c r="LK164" s="5"/>
      <c r="LL164" s="5"/>
      <c r="LM164" s="5"/>
      <c r="LN164" s="5"/>
      <c r="LO164" s="5" t="str">
        <f t="shared" si="566"/>
        <v>NO APLICA</v>
      </c>
      <c r="LP164" s="2"/>
      <c r="LQ164" s="6"/>
      <c r="LR164" s="4"/>
      <c r="LS164" s="8"/>
      <c r="LT164" s="5" t="str">
        <f t="shared" si="562"/>
        <v>NO APLICA</v>
      </c>
      <c r="LU164" s="6"/>
      <c r="LV164" s="6"/>
      <c r="LW164" s="4"/>
      <c r="LX164" s="8"/>
      <c r="LY164" s="5" t="str">
        <f t="shared" si="563"/>
        <v>NO APLICA</v>
      </c>
      <c r="LZ164" s="6"/>
      <c r="MA164" s="6"/>
      <c r="MB164" s="4"/>
      <c r="MC164" s="8"/>
      <c r="MD164" s="5" t="str">
        <f t="shared" si="564"/>
        <v>NO APLICA</v>
      </c>
      <c r="ME164" s="2"/>
      <c r="MF164" s="2"/>
      <c r="MG164" s="4"/>
      <c r="MH164" s="8"/>
      <c r="MI164" s="5" t="str">
        <f t="shared" si="537"/>
        <v>NO APLICA</v>
      </c>
      <c r="MJ164" s="2"/>
      <c r="MK164" s="2"/>
      <c r="ML164" s="4"/>
      <c r="MM164" s="8"/>
      <c r="MN164" s="5" t="str">
        <f t="shared" si="538"/>
        <v>NO APLICA</v>
      </c>
      <c r="MO164" s="5"/>
      <c r="MP164" s="2"/>
      <c r="MQ164" s="4"/>
      <c r="MR164" s="8"/>
      <c r="MS164" s="5" t="str">
        <f t="shared" si="539"/>
        <v>NO APLICA</v>
      </c>
      <c r="MT164" s="5"/>
      <c r="MU164" s="2"/>
      <c r="MV164" s="4"/>
      <c r="MW164" s="2"/>
      <c r="MX164" s="5" t="str">
        <f t="shared" si="540"/>
        <v>NO APLICA</v>
      </c>
      <c r="MY164" s="2"/>
      <c r="MZ164" s="6"/>
      <c r="NA164" s="4"/>
      <c r="NB164" s="8"/>
      <c r="NC164" s="5" t="str">
        <f t="shared" si="541"/>
        <v>NO APLICA</v>
      </c>
      <c r="ND164" s="2"/>
      <c r="NE164" s="6"/>
      <c r="NF164" s="4"/>
      <c r="NG164" s="8"/>
      <c r="NH164" s="5" t="str">
        <f t="shared" si="542"/>
        <v>NO APLICA</v>
      </c>
      <c r="NI164" s="2"/>
      <c r="NJ164" s="6"/>
      <c r="NK164" s="4"/>
      <c r="NL164" s="8"/>
      <c r="NM164" s="5" t="str">
        <f t="shared" si="543"/>
        <v>NO APLICA</v>
      </c>
      <c r="NN164" s="2"/>
      <c r="NO164" s="2"/>
      <c r="NP164" s="4"/>
      <c r="NQ164" s="8"/>
      <c r="NR164" s="5" t="str">
        <f t="shared" si="544"/>
        <v>NO APLICA</v>
      </c>
      <c r="NS164" s="2"/>
      <c r="NT164" s="2"/>
      <c r="NU164" s="4"/>
      <c r="NV164" s="2"/>
      <c r="NW164" s="5" t="str">
        <f t="shared" si="545"/>
        <v>NO APLICA</v>
      </c>
      <c r="NX164" s="6"/>
      <c r="NY164" s="6"/>
      <c r="NZ164" s="4"/>
      <c r="OA164" s="8"/>
      <c r="OB164" s="5" t="str">
        <f t="shared" si="546"/>
        <v>NO APLICA</v>
      </c>
      <c r="OC164" s="6"/>
      <c r="OD164" s="6"/>
      <c r="OE164" s="6"/>
      <c r="OF164" s="6"/>
      <c r="OG164" s="5" t="str">
        <f t="shared" si="547"/>
        <v>NO APLICA</v>
      </c>
      <c r="OH164" s="6"/>
      <c r="OI164" s="6"/>
      <c r="OJ164" s="4"/>
      <c r="OK164" s="8"/>
      <c r="OL164" s="5" t="str">
        <f t="shared" si="548"/>
        <v>NO APLICA</v>
      </c>
      <c r="OM164" s="6"/>
      <c r="ON164" s="6"/>
      <c r="OO164" s="6"/>
      <c r="OP164" s="6"/>
      <c r="OQ164" s="5" t="str">
        <f t="shared" si="549"/>
        <v>NO APLICA</v>
      </c>
      <c r="OR164" s="6"/>
      <c r="OS164" s="6"/>
      <c r="OT164" s="6"/>
      <c r="OU164" s="6"/>
      <c r="OV164" s="5" t="str">
        <f t="shared" si="550"/>
        <v>NO APLICA</v>
      </c>
      <c r="OW164" s="6"/>
      <c r="OX164" s="6"/>
      <c r="OY164" s="6"/>
      <c r="OZ164" s="6"/>
      <c r="PA164" s="5" t="str">
        <f t="shared" si="551"/>
        <v>NO APLICA</v>
      </c>
      <c r="PB164" s="6"/>
      <c r="PC164" s="6"/>
      <c r="PD164" s="6"/>
      <c r="PE164" s="6"/>
      <c r="PF164" s="5" t="str">
        <f t="shared" si="552"/>
        <v>NO APLICA</v>
      </c>
      <c r="PG164" s="6"/>
      <c r="PH164" s="6"/>
      <c r="PI164" s="6"/>
      <c r="PJ164" s="6"/>
      <c r="PK164" s="5" t="str">
        <f t="shared" si="553"/>
        <v>NO APLICA</v>
      </c>
      <c r="PL164" s="5"/>
      <c r="PM164" s="6"/>
      <c r="PN164" s="4"/>
      <c r="PO164" s="8"/>
      <c r="PP164" s="5" t="str">
        <f t="shared" si="554"/>
        <v>NO APLICA</v>
      </c>
      <c r="PQ164" s="6"/>
      <c r="PR164" s="6"/>
      <c r="PS164" s="6"/>
      <c r="PT164" s="6"/>
      <c r="PU164" s="5" t="str">
        <f t="shared" si="555"/>
        <v>NO APLICA</v>
      </c>
      <c r="PV164" s="5"/>
      <c r="PW164" s="6"/>
      <c r="PX164" s="6"/>
      <c r="PY164" s="6"/>
      <c r="PZ164" s="5" t="str">
        <f t="shared" si="556"/>
        <v>NO APLICA</v>
      </c>
    </row>
    <row r="165" spans="1:442" ht="15.6" hidden="1" thickTop="1" thickBot="1" x14ac:dyDescent="0.35">
      <c r="A165" s="26">
        <v>162</v>
      </c>
      <c r="B165" s="27">
        <v>1300</v>
      </c>
      <c r="C165" s="28" t="s">
        <v>526</v>
      </c>
      <c r="D165" s="29" t="s">
        <v>113</v>
      </c>
      <c r="E165" s="30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5"/>
        <v>VIGENTE</v>
      </c>
      <c r="K165" s="3"/>
      <c r="L165" s="4"/>
      <c r="M165" s="6"/>
      <c r="N165" s="8"/>
      <c r="O165" s="5" t="str">
        <f t="shared" si="456"/>
        <v>NO APLICA</v>
      </c>
      <c r="P165" s="4"/>
      <c r="Q165" s="4"/>
      <c r="R165" s="4"/>
      <c r="S165" s="8"/>
      <c r="T165" s="5" t="str">
        <f t="shared" si="557"/>
        <v>NO APLICA</v>
      </c>
      <c r="U165" s="5"/>
      <c r="V165" s="2" t="s">
        <v>527</v>
      </c>
      <c r="W165" s="4">
        <v>46069</v>
      </c>
      <c r="X165" s="4">
        <f t="shared" si="587"/>
        <v>47895</v>
      </c>
      <c r="Y165" s="8">
        <f t="shared" ca="1" si="588"/>
        <v>1750</v>
      </c>
      <c r="Z165" s="5" t="str">
        <f t="shared" ca="1" si="412"/>
        <v>VIGENTE</v>
      </c>
      <c r="AA165" s="5"/>
      <c r="AB165" s="2"/>
      <c r="AC165" s="6"/>
      <c r="AD165" s="4"/>
      <c r="AE165" s="8"/>
      <c r="AF165" s="5" t="str">
        <f t="shared" si="457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8"/>
        <v>587</v>
      </c>
      <c r="AK165" s="5" t="str">
        <f t="shared" ca="1" si="408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9"/>
        <v>488</v>
      </c>
      <c r="AP165" s="5" t="str">
        <f t="shared" ca="1" si="460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1"/>
        <v>472</v>
      </c>
      <c r="AU165" s="5" t="str">
        <f t="shared" ca="1" si="462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3"/>
        <v>512</v>
      </c>
      <c r="AZ165" s="5" t="str">
        <f t="shared" ca="1" si="464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5"/>
        <v>358</v>
      </c>
      <c r="BE165" s="5" t="str">
        <f t="shared" ca="1" si="466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7"/>
        <v>282</v>
      </c>
      <c r="BJ165" s="5" t="str">
        <f t="shared" ca="1" si="468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9"/>
        <v>184</v>
      </c>
      <c r="BO165" s="5" t="str">
        <f t="shared" ca="1" si="470"/>
        <v>VIGENTE</v>
      </c>
      <c r="BP165" s="3"/>
      <c r="BQ165" s="39">
        <v>45701</v>
      </c>
      <c r="BR165" s="4">
        <f>DATE(YEAR(BQ165)+2,MONTH(BQ165),DAY(BQ165)-1)</f>
        <v>46430</v>
      </c>
      <c r="BS165" s="8">
        <f t="shared" ca="1" si="471"/>
        <v>285</v>
      </c>
      <c r="BT165" s="5" t="str">
        <f t="shared" ca="1" si="472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3"/>
        <v>152</v>
      </c>
      <c r="BY165" s="5" t="str">
        <f t="shared" ca="1" si="474"/>
        <v>VIGENTE</v>
      </c>
      <c r="BZ165" s="3"/>
      <c r="CA165" s="4">
        <v>45979</v>
      </c>
      <c r="CB165" s="4">
        <f t="shared" si="589"/>
        <v>46709</v>
      </c>
      <c r="CC165" s="8">
        <f t="shared" ca="1" si="475"/>
        <v>564</v>
      </c>
      <c r="CD165" s="5" t="str">
        <f t="shared" ca="1" si="476"/>
        <v>VIGENTE</v>
      </c>
      <c r="CE165" s="6"/>
      <c r="CF165" s="4">
        <v>45723</v>
      </c>
      <c r="CG165" s="4">
        <f t="shared" si="590"/>
        <v>47184</v>
      </c>
      <c r="CH165" s="8">
        <f t="shared" ca="1" si="591"/>
        <v>1039</v>
      </c>
      <c r="CI165" s="5" t="str">
        <f t="shared" ca="1" si="573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7"/>
        <v>272</v>
      </c>
      <c r="CN165" s="5" t="str">
        <f t="shared" ca="1" si="478"/>
        <v>VIGENTE</v>
      </c>
      <c r="CO165" s="3"/>
      <c r="CP165" s="39">
        <v>45684</v>
      </c>
      <c r="CQ165" s="4">
        <f>DATE(YEAR(CP165)+2,MONTH(CP165),DAY(CP165)-1)</f>
        <v>46413</v>
      </c>
      <c r="CR165" s="8">
        <f t="shared" ca="1" si="479"/>
        <v>268</v>
      </c>
      <c r="CS165" s="5" t="str">
        <f t="shared" ca="1" si="480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1"/>
        <v>490</v>
      </c>
      <c r="CX165" s="5" t="str">
        <f t="shared" ca="1" si="482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3"/>
        <v>420</v>
      </c>
      <c r="DC165" s="5" t="str">
        <f t="shared" ca="1" si="484"/>
        <v>VIGENTE</v>
      </c>
      <c r="DD165" s="3"/>
      <c r="DE165" s="39">
        <v>45761</v>
      </c>
      <c r="DF165" s="4">
        <f>DATE(YEAR(DE165)+2,MONTH(DE165),DAY(DE165))</f>
        <v>46491</v>
      </c>
      <c r="DG165" s="8">
        <f t="shared" ca="1" si="485"/>
        <v>346</v>
      </c>
      <c r="DH165" s="5" t="str">
        <f t="shared" ca="1" si="486"/>
        <v>VIGENTE</v>
      </c>
      <c r="DI165" s="3"/>
      <c r="DJ165" s="39">
        <v>45955</v>
      </c>
      <c r="DK165" s="4">
        <f>DATE(YEAR(DJ165)+2,MONTH(DJ165),DAY(DJ165))</f>
        <v>46685</v>
      </c>
      <c r="DL165" s="8">
        <f t="shared" ca="1" si="487"/>
        <v>540</v>
      </c>
      <c r="DM165" s="5" t="str">
        <f t="shared" ca="1" si="488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9"/>
        <v>567</v>
      </c>
      <c r="DR165" s="5" t="str">
        <f t="shared" ca="1" si="490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1"/>
        <v>355</v>
      </c>
      <c r="DW165" s="5" t="str">
        <f t="shared" ca="1" si="492"/>
        <v>VIGENTE</v>
      </c>
      <c r="DX165" s="3"/>
      <c r="DY165" s="4">
        <v>45751</v>
      </c>
      <c r="DZ165" s="4">
        <f t="shared" ref="DZ165:DZ171" si="595">DATE(YEAR(DY165)+2,MONTH(DY165),DAY(DY165)-1)</f>
        <v>46480</v>
      </c>
      <c r="EA165" s="8">
        <f t="shared" ca="1" si="493"/>
        <v>335</v>
      </c>
      <c r="EB165" s="5" t="str">
        <f t="shared" ca="1" si="494"/>
        <v>VIGENTE</v>
      </c>
      <c r="EC165" s="3"/>
      <c r="ED165" s="39">
        <v>45674</v>
      </c>
      <c r="EE165" s="4">
        <f>DATE(YEAR(ED165)+2,MONTH(ED165),DAY(ED165)-1)</f>
        <v>46403</v>
      </c>
      <c r="EF165" s="8">
        <f t="shared" ca="1" si="495"/>
        <v>258</v>
      </c>
      <c r="EG165" s="5" t="str">
        <f t="shared" ca="1" si="496"/>
        <v>VIGENTE</v>
      </c>
      <c r="EH165" s="3"/>
      <c r="EI165" s="3">
        <v>46085</v>
      </c>
      <c r="EJ165" s="4">
        <f t="shared" si="558"/>
        <v>46450</v>
      </c>
      <c r="EK165" s="8">
        <f t="shared" ca="1" si="497"/>
        <v>305</v>
      </c>
      <c r="EL165" s="5" t="str">
        <f t="shared" ca="1" si="498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9"/>
        <v>255</v>
      </c>
      <c r="EQ165" s="5" t="str">
        <f t="shared" ca="1" si="500"/>
        <v>VIGENTE</v>
      </c>
      <c r="ER165" s="3"/>
      <c r="ES165" s="39">
        <v>45677</v>
      </c>
      <c r="ET165" s="4">
        <f>DATE(YEAR(ES165)+2,MONTH(ES165),DAY(ES165)-1)</f>
        <v>46406</v>
      </c>
      <c r="EU165" s="8">
        <f t="shared" ca="1" si="501"/>
        <v>261</v>
      </c>
      <c r="EV165" s="5" t="str">
        <f t="shared" ca="1" si="502"/>
        <v>VIGENTE</v>
      </c>
      <c r="EW165" s="3"/>
      <c r="EX165" s="4">
        <v>45917</v>
      </c>
      <c r="EY165" s="4">
        <f t="shared" si="592"/>
        <v>46647</v>
      </c>
      <c r="EZ165" s="8">
        <f t="shared" ca="1" si="503"/>
        <v>502</v>
      </c>
      <c r="FA165" s="5" t="str">
        <f t="shared" ca="1" si="504"/>
        <v>VIGENTE</v>
      </c>
      <c r="FB165" s="3"/>
      <c r="FC165" s="4">
        <v>45931</v>
      </c>
      <c r="FD165" s="4">
        <f t="shared" si="593"/>
        <v>46661</v>
      </c>
      <c r="FE165" s="8">
        <f t="shared" ca="1" si="505"/>
        <v>516</v>
      </c>
      <c r="FF165" s="5" t="str">
        <f t="shared" ca="1" si="506"/>
        <v>VIGENTE</v>
      </c>
      <c r="FG165" s="3"/>
      <c r="FH165" s="4">
        <v>45962</v>
      </c>
      <c r="FI165" s="4">
        <f t="shared" si="594"/>
        <v>46692</v>
      </c>
      <c r="FJ165" s="8">
        <f t="shared" ca="1" si="507"/>
        <v>547</v>
      </c>
      <c r="FK165" s="5" t="str">
        <f t="shared" ca="1" si="508"/>
        <v>VIGENTE</v>
      </c>
      <c r="FL165" s="3"/>
      <c r="FM165" s="39">
        <v>45738</v>
      </c>
      <c r="FN165" s="4">
        <f>DATE(YEAR(FM165)+2,MONTH(FM165),DAY(FM165)-1)</f>
        <v>46467</v>
      </c>
      <c r="FO165" s="8">
        <f t="shared" ca="1" si="509"/>
        <v>322</v>
      </c>
      <c r="FP165" s="5" t="str">
        <f t="shared" ca="1" si="510"/>
        <v>VIGENTE</v>
      </c>
      <c r="FQ165" s="3"/>
      <c r="FR165" s="39">
        <v>45747</v>
      </c>
      <c r="FS165" s="4">
        <f>DATE(YEAR(FR165)+2,MONTH(FR165),DAY(FR165)-1)</f>
        <v>46476</v>
      </c>
      <c r="FT165" s="8">
        <f t="shared" ca="1" si="511"/>
        <v>331</v>
      </c>
      <c r="FU165" s="5" t="str">
        <f t="shared" ca="1" si="512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3"/>
        <v>578</v>
      </c>
      <c r="FZ165" s="5" t="str">
        <f t="shared" ca="1" si="514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5"/>
        <v>299</v>
      </c>
      <c r="GE165" s="5" t="str">
        <f t="shared" ca="1" si="516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7"/>
        <v>315</v>
      </c>
      <c r="GJ165" s="5" t="str">
        <f t="shared" ca="1" si="518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9"/>
        <v>271</v>
      </c>
      <c r="GO165" s="5" t="str">
        <f t="shared" ca="1" si="520"/>
        <v>VIGENTE</v>
      </c>
      <c r="GP165" s="4"/>
      <c r="GQ165" s="4">
        <v>45072</v>
      </c>
      <c r="GR165" s="4">
        <f t="shared" si="521"/>
        <v>46899</v>
      </c>
      <c r="GS165" s="8">
        <f t="shared" ca="1" si="405"/>
        <v>754</v>
      </c>
      <c r="GT165" s="5" t="str">
        <f t="shared" ca="1" si="419"/>
        <v>VIGENTE</v>
      </c>
      <c r="GU165" s="3"/>
      <c r="GV165" s="4">
        <v>45010</v>
      </c>
      <c r="GW165" s="4">
        <f t="shared" si="522"/>
        <v>46837</v>
      </c>
      <c r="GX165" s="8">
        <f t="shared" ca="1" si="523"/>
        <v>692</v>
      </c>
      <c r="GY165" s="5" t="str">
        <f t="shared" ca="1" si="426"/>
        <v>VIGENTE</v>
      </c>
      <c r="GZ165" s="2"/>
      <c r="HA165" s="4">
        <v>45073</v>
      </c>
      <c r="HB165" s="4">
        <f t="shared" si="524"/>
        <v>46900</v>
      </c>
      <c r="HC165" s="8">
        <f t="shared" ca="1" si="525"/>
        <v>755</v>
      </c>
      <c r="HD165" s="5" t="str">
        <f t="shared" ca="1" si="421"/>
        <v>VIGENTE</v>
      </c>
      <c r="HE165" s="6"/>
      <c r="HF165" s="6"/>
      <c r="HG165" s="4"/>
      <c r="HH165" s="8"/>
      <c r="HI165" s="5" t="str">
        <f t="shared" si="427"/>
        <v>NO APLICA</v>
      </c>
      <c r="HJ165" s="2"/>
      <c r="HK165" s="6"/>
      <c r="HL165" s="4"/>
      <c r="HM165" s="8"/>
      <c r="HN165" s="5" t="str">
        <f t="shared" si="444"/>
        <v>NO APLICA</v>
      </c>
      <c r="HO165" s="2"/>
      <c r="HP165" s="2"/>
      <c r="HQ165" s="4"/>
      <c r="HR165" s="2"/>
      <c r="HS165" s="5" t="str">
        <f t="shared" si="526"/>
        <v>NO APLICA</v>
      </c>
      <c r="HT165" s="2"/>
      <c r="HU165" s="6"/>
      <c r="HV165" s="4"/>
      <c r="HW165" s="8"/>
      <c r="HX165" s="5" t="str">
        <f t="shared" si="527"/>
        <v>NO APLICA</v>
      </c>
      <c r="HY165" s="2"/>
      <c r="HZ165" s="6"/>
      <c r="IA165" s="4"/>
      <c r="IB165" s="8"/>
      <c r="IC165" s="5" t="str">
        <f t="shared" si="528"/>
        <v>NO APLICA</v>
      </c>
      <c r="ID165" s="2"/>
      <c r="IE165" s="6"/>
      <c r="IF165" s="4"/>
      <c r="IG165" s="8"/>
      <c r="IH165" s="5" t="str">
        <f t="shared" si="529"/>
        <v>NO APLICA</v>
      </c>
      <c r="II165" s="6"/>
      <c r="IJ165" s="6"/>
      <c r="IK165" s="4"/>
      <c r="IL165" s="8"/>
      <c r="IM165" s="5" t="str">
        <f t="shared" si="530"/>
        <v>NO APLICA</v>
      </c>
      <c r="IN165" s="2"/>
      <c r="IO165" s="6"/>
      <c r="IP165" s="4"/>
      <c r="IQ165" s="8"/>
      <c r="IR165" s="5" t="str">
        <f t="shared" si="531"/>
        <v>NO APLICA</v>
      </c>
      <c r="IS165" s="2"/>
      <c r="IT165" s="6"/>
      <c r="IU165" s="4"/>
      <c r="IV165" s="8"/>
      <c r="IW165" s="5" t="str">
        <f t="shared" si="532"/>
        <v>NO APLICA</v>
      </c>
      <c r="IX165" s="2"/>
      <c r="IY165" s="6"/>
      <c r="IZ165" s="4"/>
      <c r="JA165" s="8"/>
      <c r="JB165" s="5" t="str">
        <f t="shared" si="533"/>
        <v>NO APLICA</v>
      </c>
      <c r="JC165" s="3" t="s">
        <v>780</v>
      </c>
      <c r="JD165" s="3"/>
      <c r="JE165" s="4"/>
      <c r="JF165" s="8"/>
      <c r="JG165" s="5"/>
      <c r="JH165" s="3" t="s">
        <v>780</v>
      </c>
      <c r="JI165" s="6"/>
      <c r="JJ165" s="6"/>
      <c r="JK165" s="6"/>
      <c r="JL165" s="5"/>
      <c r="JM165" s="6" t="s">
        <v>780</v>
      </c>
      <c r="JN165" s="6"/>
      <c r="JO165" s="6"/>
      <c r="JP165" s="6"/>
      <c r="JQ165" s="5"/>
      <c r="JR165" s="6" t="s">
        <v>780</v>
      </c>
      <c r="JS165" s="6"/>
      <c r="JT165" s="6"/>
      <c r="JU165" s="6"/>
      <c r="JV165" s="5"/>
      <c r="JW165" s="6" t="s">
        <v>780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4"/>
        <v>NO APLICA</v>
      </c>
      <c r="KG165" s="5"/>
      <c r="KH165" s="2"/>
      <c r="KI165" s="4"/>
      <c r="KJ165" s="8"/>
      <c r="KK165" s="5" t="str">
        <f t="shared" si="559"/>
        <v>NO APLICA</v>
      </c>
      <c r="KL165" s="5"/>
      <c r="KM165" s="2"/>
      <c r="KN165" s="4"/>
      <c r="KO165" s="8"/>
      <c r="KP165" s="5" t="str">
        <f t="shared" si="535"/>
        <v>NO APLICA</v>
      </c>
      <c r="KQ165" s="5"/>
      <c r="KR165" s="2"/>
      <c r="KS165" s="4"/>
      <c r="KT165" s="8"/>
      <c r="KU165" s="5" t="str">
        <f t="shared" si="560"/>
        <v>NO APLICA</v>
      </c>
      <c r="KV165" s="2"/>
      <c r="KW165" s="6"/>
      <c r="KX165" s="4"/>
      <c r="KY165" s="8"/>
      <c r="KZ165" s="5" t="str">
        <f t="shared" si="565"/>
        <v>NO APLICA</v>
      </c>
      <c r="LA165" s="5"/>
      <c r="LB165" s="6"/>
      <c r="LC165" s="4"/>
      <c r="LD165" s="8"/>
      <c r="LE165" s="5" t="str">
        <f t="shared" si="561"/>
        <v>NO APLICA</v>
      </c>
      <c r="LF165" s="6"/>
      <c r="LG165" s="6"/>
      <c r="LH165" s="4"/>
      <c r="LI165" s="8"/>
      <c r="LJ165" s="5" t="str">
        <f t="shared" si="567"/>
        <v>NO APLICA</v>
      </c>
      <c r="LK165" s="5"/>
      <c r="LL165" s="5"/>
      <c r="LM165" s="5"/>
      <c r="LN165" s="5"/>
      <c r="LO165" s="5" t="str">
        <f t="shared" si="566"/>
        <v>NO APLICA</v>
      </c>
      <c r="LP165" s="2"/>
      <c r="LQ165" s="6"/>
      <c r="LR165" s="4"/>
      <c r="LS165" s="8"/>
      <c r="LT165" s="5" t="str">
        <f t="shared" si="562"/>
        <v>NO APLICA</v>
      </c>
      <c r="LU165" s="6"/>
      <c r="LV165" s="6"/>
      <c r="LW165" s="4"/>
      <c r="LX165" s="8"/>
      <c r="LY165" s="5" t="str">
        <f t="shared" si="563"/>
        <v>NO APLICA</v>
      </c>
      <c r="LZ165" s="6"/>
      <c r="MA165" s="6"/>
      <c r="MB165" s="4"/>
      <c r="MC165" s="8"/>
      <c r="MD165" s="5" t="str">
        <f t="shared" si="564"/>
        <v>NO APLICA</v>
      </c>
      <c r="ME165" s="2"/>
      <c r="MF165" s="2"/>
      <c r="MG165" s="4"/>
      <c r="MH165" s="2"/>
      <c r="MI165" s="5" t="str">
        <f t="shared" si="537"/>
        <v>NO APLICA</v>
      </c>
      <c r="MJ165" s="2"/>
      <c r="MK165" s="2"/>
      <c r="ML165" s="4"/>
      <c r="MM165" s="8"/>
      <c r="MN165" s="5" t="str">
        <f t="shared" si="538"/>
        <v>NO APLICA</v>
      </c>
      <c r="MO165" s="5"/>
      <c r="MP165" s="2"/>
      <c r="MQ165" s="4"/>
      <c r="MR165" s="8"/>
      <c r="MS165" s="5" t="str">
        <f t="shared" si="539"/>
        <v>NO APLICA</v>
      </c>
      <c r="MT165" s="5"/>
      <c r="MU165" s="2"/>
      <c r="MV165" s="4"/>
      <c r="MW165" s="2"/>
      <c r="MX165" s="5" t="str">
        <f t="shared" si="540"/>
        <v>NO APLICA</v>
      </c>
      <c r="MY165" s="2"/>
      <c r="MZ165" s="6"/>
      <c r="NA165" s="4"/>
      <c r="NB165" s="8"/>
      <c r="NC165" s="5" t="str">
        <f t="shared" si="541"/>
        <v>NO APLICA</v>
      </c>
      <c r="ND165" s="2"/>
      <c r="NE165" s="6"/>
      <c r="NF165" s="4"/>
      <c r="NG165" s="8"/>
      <c r="NH165" s="5" t="str">
        <f t="shared" si="542"/>
        <v>NO APLICA</v>
      </c>
      <c r="NI165" s="2"/>
      <c r="NJ165" s="6"/>
      <c r="NK165" s="4"/>
      <c r="NL165" s="8"/>
      <c r="NM165" s="5" t="str">
        <f t="shared" si="543"/>
        <v>NO APLICA</v>
      </c>
      <c r="NN165" s="2"/>
      <c r="NO165" s="2"/>
      <c r="NP165" s="4"/>
      <c r="NQ165" s="2"/>
      <c r="NR165" s="5" t="str">
        <f t="shared" si="544"/>
        <v>NO APLICA</v>
      </c>
      <c r="NS165" s="2"/>
      <c r="NT165" s="2"/>
      <c r="NU165" s="4"/>
      <c r="NV165" s="2"/>
      <c r="NW165" s="5" t="str">
        <f t="shared" si="545"/>
        <v>NO APLICA</v>
      </c>
      <c r="NX165" s="6"/>
      <c r="NY165" s="6"/>
      <c r="NZ165" s="4"/>
      <c r="OA165" s="8"/>
      <c r="OB165" s="5" t="str">
        <f t="shared" si="546"/>
        <v>NO APLICA</v>
      </c>
      <c r="OC165" s="6"/>
      <c r="OD165" s="6"/>
      <c r="OE165" s="6"/>
      <c r="OF165" s="6"/>
      <c r="OG165" s="5" t="str">
        <f t="shared" si="547"/>
        <v>NO APLICA</v>
      </c>
      <c r="OH165" s="6"/>
      <c r="OI165" s="6"/>
      <c r="OJ165" s="4"/>
      <c r="OK165" s="8"/>
      <c r="OL165" s="5" t="str">
        <f t="shared" si="548"/>
        <v>NO APLICA</v>
      </c>
      <c r="OM165" s="6"/>
      <c r="ON165" s="6"/>
      <c r="OO165" s="6"/>
      <c r="OP165" s="6"/>
      <c r="OQ165" s="5" t="str">
        <f t="shared" si="549"/>
        <v>NO APLICA</v>
      </c>
      <c r="OR165" s="6"/>
      <c r="OS165" s="6"/>
      <c r="OT165" s="6"/>
      <c r="OU165" s="6"/>
      <c r="OV165" s="5" t="str">
        <f t="shared" si="550"/>
        <v>NO APLICA</v>
      </c>
      <c r="OW165" s="6"/>
      <c r="OX165" s="6"/>
      <c r="OY165" s="6"/>
      <c r="OZ165" s="6"/>
      <c r="PA165" s="5" t="str">
        <f t="shared" si="551"/>
        <v>NO APLICA</v>
      </c>
      <c r="PB165" s="6"/>
      <c r="PC165" s="6"/>
      <c r="PD165" s="6"/>
      <c r="PE165" s="6"/>
      <c r="PF165" s="5" t="str">
        <f t="shared" si="552"/>
        <v>NO APLICA</v>
      </c>
      <c r="PG165" s="6"/>
      <c r="PH165" s="6"/>
      <c r="PI165" s="6"/>
      <c r="PJ165" s="6"/>
      <c r="PK165" s="5" t="str">
        <f t="shared" si="553"/>
        <v>NO APLICA</v>
      </c>
      <c r="PL165" s="5"/>
      <c r="PM165" s="6"/>
      <c r="PN165" s="4"/>
      <c r="PO165" s="8"/>
      <c r="PP165" s="5" t="str">
        <f t="shared" si="554"/>
        <v>NO APLICA</v>
      </c>
      <c r="PQ165" s="6"/>
      <c r="PR165" s="6"/>
      <c r="PS165" s="6"/>
      <c r="PT165" s="6"/>
      <c r="PU165" s="5" t="str">
        <f t="shared" si="555"/>
        <v>NO APLICA</v>
      </c>
      <c r="PV165" s="5"/>
      <c r="PW165" s="6"/>
      <c r="PX165" s="6"/>
      <c r="PY165" s="6"/>
      <c r="PZ165" s="5" t="str">
        <f t="shared" si="556"/>
        <v>NO APLICA</v>
      </c>
    </row>
    <row r="166" spans="1:442" ht="15.6" hidden="1" thickTop="1" thickBot="1" x14ac:dyDescent="0.35">
      <c r="A166" s="26">
        <v>163</v>
      </c>
      <c r="B166" s="27">
        <v>321</v>
      </c>
      <c r="C166" s="28" t="s">
        <v>528</v>
      </c>
      <c r="D166" s="29" t="s">
        <v>68</v>
      </c>
      <c r="E166" s="30" t="s">
        <v>73</v>
      </c>
      <c r="F166" s="5"/>
      <c r="G166" s="6"/>
      <c r="H166" s="4"/>
      <c r="I166" s="8"/>
      <c r="J166" s="5" t="str">
        <f t="shared" si="455"/>
        <v>NO APLICA</v>
      </c>
      <c r="K166" s="5"/>
      <c r="L166" s="6"/>
      <c r="M166" s="6"/>
      <c r="N166" s="8"/>
      <c r="O166" s="5" t="str">
        <f t="shared" si="456"/>
        <v>NO APLICA</v>
      </c>
      <c r="P166" s="6"/>
      <c r="Q166" s="6"/>
      <c r="R166" s="4"/>
      <c r="S166" s="8"/>
      <c r="T166" s="5" t="str">
        <f t="shared" si="557"/>
        <v>NO APLICA</v>
      </c>
      <c r="U166" s="5"/>
      <c r="V166" s="2" t="s">
        <v>529</v>
      </c>
      <c r="W166" s="4">
        <v>45500</v>
      </c>
      <c r="X166" s="4">
        <f t="shared" si="587"/>
        <v>47326</v>
      </c>
      <c r="Y166" s="8">
        <f t="shared" ca="1" si="588"/>
        <v>1181</v>
      </c>
      <c r="Z166" s="5" t="str">
        <f t="shared" ca="1" si="412"/>
        <v>VIGENTE</v>
      </c>
      <c r="AA166" s="5"/>
      <c r="AB166" s="2" t="s">
        <v>530</v>
      </c>
      <c r="AC166" s="4">
        <v>44579</v>
      </c>
      <c r="AD166" s="4">
        <f t="shared" ref="AD166:AD171" si="596">DATE(YEAR(AC166)+5,MONTH(AC166),DAY(AC166))</f>
        <v>46405</v>
      </c>
      <c r="AE166" s="8">
        <f t="shared" ref="AE166:AE171" ca="1" si="597">AD166-TODAY()</f>
        <v>260</v>
      </c>
      <c r="AF166" s="5" t="str">
        <f t="shared" ca="1" si="457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8"/>
        <v>178</v>
      </c>
      <c r="AK166" s="5" t="str">
        <f t="shared" ca="1" si="408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9"/>
        <v>511</v>
      </c>
      <c r="AP166" s="5" t="str">
        <f t="shared" ca="1" si="460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1"/>
        <v>489</v>
      </c>
      <c r="AU166" s="5" t="str">
        <f t="shared" ca="1" si="462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3"/>
        <v>537</v>
      </c>
      <c r="AZ166" s="5" t="str">
        <f t="shared" ca="1" si="464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5"/>
        <v>626</v>
      </c>
      <c r="BE166" s="5" t="str">
        <f t="shared" ca="1" si="466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7"/>
        <v>572</v>
      </c>
      <c r="BJ166" s="5" t="str">
        <f t="shared" ca="1" si="468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9"/>
        <v>602</v>
      </c>
      <c r="BO166" s="5" t="str">
        <f t="shared" ca="1" si="470"/>
        <v>VIGENTE</v>
      </c>
      <c r="BP166" s="3"/>
      <c r="BQ166" s="39">
        <v>46069</v>
      </c>
      <c r="BR166" s="4">
        <f>DATE(YEAR(BQ166)+2,MONTH(BQ166),DAY(BQ166))</f>
        <v>46799</v>
      </c>
      <c r="BS166" s="8">
        <f t="shared" ca="1" si="471"/>
        <v>654</v>
      </c>
      <c r="BT166" s="5" t="str">
        <f t="shared" ca="1" si="472"/>
        <v>VIGENTE</v>
      </c>
      <c r="BU166" s="3"/>
      <c r="BV166" s="4">
        <v>46116</v>
      </c>
      <c r="BW166" s="4">
        <f>DATE(YEAR(BV166)+2,MONTH(BV166),DAY(BV166)-1)</f>
        <v>46846</v>
      </c>
      <c r="BX166" s="8">
        <f t="shared" ca="1" si="473"/>
        <v>701</v>
      </c>
      <c r="BY166" s="5" t="str">
        <f t="shared" ca="1" si="474"/>
        <v>VIGENTE</v>
      </c>
      <c r="BZ166" s="3"/>
      <c r="CA166" s="4">
        <v>45944</v>
      </c>
      <c r="CB166" s="4">
        <f t="shared" si="589"/>
        <v>46674</v>
      </c>
      <c r="CC166" s="8">
        <f t="shared" ca="1" si="475"/>
        <v>529</v>
      </c>
      <c r="CD166" s="5" t="str">
        <f t="shared" ca="1" si="476"/>
        <v>VIGENTE</v>
      </c>
      <c r="CE166" s="6"/>
      <c r="CF166" s="4">
        <v>45301</v>
      </c>
      <c r="CG166" s="4">
        <f t="shared" si="590"/>
        <v>46762</v>
      </c>
      <c r="CH166" s="8">
        <f t="shared" ca="1" si="591"/>
        <v>617</v>
      </c>
      <c r="CI166" s="5" t="str">
        <f t="shared" ca="1" si="573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7"/>
        <v>480</v>
      </c>
      <c r="CN166" s="5" t="str">
        <f t="shared" ca="1" si="478"/>
        <v>VIGENTE</v>
      </c>
      <c r="CO166" s="3"/>
      <c r="CP166" s="39">
        <v>46038</v>
      </c>
      <c r="CQ166" s="4">
        <f>DATE(YEAR(CP166)+2,MONTH(CP166),DAY(CP166))</f>
        <v>46768</v>
      </c>
      <c r="CR166" s="8">
        <f t="shared" ca="1" si="479"/>
        <v>623</v>
      </c>
      <c r="CS166" s="5" t="str">
        <f t="shared" ca="1" si="480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1"/>
        <v>223</v>
      </c>
      <c r="CX166" s="5" t="str">
        <f t="shared" ca="1" si="482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3"/>
        <v>245</v>
      </c>
      <c r="DC166" s="5" t="str">
        <f t="shared" ca="1" si="484"/>
        <v>VIGENTE</v>
      </c>
      <c r="DD166" s="3"/>
      <c r="DE166" s="39">
        <v>45689</v>
      </c>
      <c r="DF166" s="4">
        <f>DATE(YEAR(DE166)+2,MONTH(DE166),DAY(DE166)-1)</f>
        <v>46418</v>
      </c>
      <c r="DG166" s="8">
        <f t="shared" ca="1" si="485"/>
        <v>273</v>
      </c>
      <c r="DH166" s="5" t="str">
        <f t="shared" ca="1" si="486"/>
        <v>VIGENTE</v>
      </c>
      <c r="DI166" s="3"/>
      <c r="DJ166" s="39">
        <v>46029</v>
      </c>
      <c r="DK166" s="4">
        <f>DATE(YEAR(DJ166)+2,MONTH(DJ166),DAY(DJ166))</f>
        <v>46759</v>
      </c>
      <c r="DL166" s="8">
        <f t="shared" ca="1" si="487"/>
        <v>614</v>
      </c>
      <c r="DM166" s="5" t="str">
        <f t="shared" ca="1" si="488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9"/>
        <v>593</v>
      </c>
      <c r="DR166" s="5" t="str">
        <f t="shared" ca="1" si="490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1"/>
        <v>638</v>
      </c>
      <c r="DW166" s="5" t="str">
        <f t="shared" ca="1" si="492"/>
        <v>VIGENTE</v>
      </c>
      <c r="DX166" s="3"/>
      <c r="DY166" s="4">
        <v>45663</v>
      </c>
      <c r="DZ166" s="4">
        <f t="shared" si="595"/>
        <v>46392</v>
      </c>
      <c r="EA166" s="8">
        <f t="shared" ca="1" si="493"/>
        <v>247</v>
      </c>
      <c r="EB166" s="5" t="str">
        <f t="shared" ca="1" si="494"/>
        <v>VIGENTE</v>
      </c>
      <c r="EC166" s="3"/>
      <c r="ED166" s="39">
        <v>45674</v>
      </c>
      <c r="EE166" s="4">
        <f>DATE(YEAR(ED166)+2,MONTH(ED166),DAY(ED166)-1)</f>
        <v>46403</v>
      </c>
      <c r="EF166" s="8">
        <f t="shared" ca="1" si="495"/>
        <v>258</v>
      </c>
      <c r="EG166" s="5" t="str">
        <f t="shared" ca="1" si="496"/>
        <v>VIGENTE</v>
      </c>
      <c r="EH166" s="3"/>
      <c r="EI166" s="4">
        <v>46115</v>
      </c>
      <c r="EJ166" s="4">
        <f t="shared" si="558"/>
        <v>46480</v>
      </c>
      <c r="EK166" s="8">
        <f t="shared" ca="1" si="497"/>
        <v>335</v>
      </c>
      <c r="EL166" s="5" t="str">
        <f t="shared" ca="1" si="498"/>
        <v>VIGENTE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9"/>
        <v>244</v>
      </c>
      <c r="EQ166" s="5" t="str">
        <f t="shared" ca="1" si="500"/>
        <v>VIGENTE</v>
      </c>
      <c r="ER166" s="3"/>
      <c r="ES166" s="39">
        <v>46042</v>
      </c>
      <c r="ET166" s="4">
        <f>DATE(YEAR(ES166)+2,MONTH(ES166),DAY(ES166))</f>
        <v>46772</v>
      </c>
      <c r="EU166" s="8">
        <f t="shared" ca="1" si="501"/>
        <v>627</v>
      </c>
      <c r="EV166" s="5" t="str">
        <f t="shared" ca="1" si="502"/>
        <v>VIGENTE</v>
      </c>
      <c r="EW166" s="3"/>
      <c r="EX166" s="4">
        <v>45953</v>
      </c>
      <c r="EY166" s="4">
        <f t="shared" si="592"/>
        <v>46683</v>
      </c>
      <c r="EZ166" s="8">
        <f t="shared" ca="1" si="503"/>
        <v>538</v>
      </c>
      <c r="FA166" s="5" t="str">
        <f t="shared" ca="1" si="504"/>
        <v>VIGENTE</v>
      </c>
      <c r="FB166" s="3"/>
      <c r="FC166" s="4">
        <v>45988</v>
      </c>
      <c r="FD166" s="4">
        <f t="shared" si="593"/>
        <v>46718</v>
      </c>
      <c r="FE166" s="8">
        <f t="shared" ca="1" si="505"/>
        <v>573</v>
      </c>
      <c r="FF166" s="5" t="str">
        <f t="shared" ca="1" si="506"/>
        <v>VIGENTE</v>
      </c>
      <c r="FG166" s="3"/>
      <c r="FH166" s="4">
        <v>45992</v>
      </c>
      <c r="FI166" s="4">
        <f t="shared" si="594"/>
        <v>46722</v>
      </c>
      <c r="FJ166" s="8">
        <f t="shared" ca="1" si="507"/>
        <v>577</v>
      </c>
      <c r="FK166" s="5" t="str">
        <f t="shared" ca="1" si="508"/>
        <v>VIGENTE</v>
      </c>
      <c r="FL166" s="3"/>
      <c r="FM166" s="39">
        <v>45670</v>
      </c>
      <c r="FN166" s="4">
        <f>DATE(YEAR(FM166)+2,MONTH(FM166),DAY(FM166)-1)</f>
        <v>46399</v>
      </c>
      <c r="FO166" s="8">
        <f t="shared" ca="1" si="509"/>
        <v>254</v>
      </c>
      <c r="FP166" s="5" t="str">
        <f t="shared" ca="1" si="510"/>
        <v>VIGENTE</v>
      </c>
      <c r="FQ166" s="3"/>
      <c r="FR166" s="39">
        <v>45664</v>
      </c>
      <c r="FS166" s="4">
        <f>DATE(YEAR(FR166)+2,MONTH(FR166),DAY(FR166)-1)</f>
        <v>46393</v>
      </c>
      <c r="FT166" s="8">
        <f t="shared" ca="1" si="511"/>
        <v>248</v>
      </c>
      <c r="FU166" s="5" t="str">
        <f t="shared" ca="1" si="512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3"/>
        <v>599</v>
      </c>
      <c r="FZ166" s="5" t="str">
        <f t="shared" ca="1" si="514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5"/>
        <v>658</v>
      </c>
      <c r="GE166" s="5" t="str">
        <f t="shared" ca="1" si="516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7"/>
        <v>163</v>
      </c>
      <c r="GJ166" s="5" t="str">
        <f t="shared" ca="1" si="518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9"/>
        <v>530</v>
      </c>
      <c r="GO166" s="5" t="str">
        <f t="shared" ca="1" si="520"/>
        <v>VIGENTE</v>
      </c>
      <c r="GP166" s="4"/>
      <c r="GQ166" s="4">
        <v>45283</v>
      </c>
      <c r="GR166" s="4">
        <f t="shared" si="521"/>
        <v>47110</v>
      </c>
      <c r="GS166" s="8">
        <f t="shared" ca="1" si="405"/>
        <v>965</v>
      </c>
      <c r="GT166" s="5" t="str">
        <f t="shared" ca="1" si="419"/>
        <v>VIGENTE</v>
      </c>
      <c r="GU166" s="3"/>
      <c r="GV166" s="4">
        <v>45252</v>
      </c>
      <c r="GW166" s="4">
        <f t="shared" si="522"/>
        <v>47079</v>
      </c>
      <c r="GX166" s="8">
        <f t="shared" ca="1" si="523"/>
        <v>934</v>
      </c>
      <c r="GY166" s="5" t="str">
        <f t="shared" ca="1" si="426"/>
        <v>VIGENTE</v>
      </c>
      <c r="GZ166" s="3"/>
      <c r="HA166" s="4">
        <v>45185</v>
      </c>
      <c r="HB166" s="4">
        <f t="shared" si="524"/>
        <v>47012</v>
      </c>
      <c r="HC166" s="8">
        <f t="shared" ca="1" si="525"/>
        <v>867</v>
      </c>
      <c r="HD166" s="5" t="str">
        <f t="shared" ca="1" si="421"/>
        <v>VIGENTE</v>
      </c>
      <c r="HE166" s="6"/>
      <c r="HF166" s="4">
        <v>44879</v>
      </c>
      <c r="HG166" s="4">
        <f t="shared" ref="HG166:HG171" si="598">DATE(YEAR(HF166)+5,MONTH(HF166),DAY(HF166))</f>
        <v>46705</v>
      </c>
      <c r="HH166" s="8">
        <f t="shared" ref="HH166:HH171" ca="1" si="599">HG166-TODAY()</f>
        <v>560</v>
      </c>
      <c r="HI166" s="5" t="str">
        <f t="shared" ca="1" si="427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4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6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7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8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9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30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1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2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3"/>
        <v>VIGENTE</v>
      </c>
      <c r="JC166" s="3" t="s">
        <v>780</v>
      </c>
      <c r="JD166" s="3"/>
      <c r="JE166" s="4"/>
      <c r="JF166" s="8"/>
      <c r="JG166" s="5"/>
      <c r="JH166" s="3" t="s">
        <v>780</v>
      </c>
      <c r="JI166" s="6"/>
      <c r="JJ166" s="6"/>
      <c r="JK166" s="6"/>
      <c r="JL166" s="5"/>
      <c r="JM166" s="6" t="s">
        <v>780</v>
      </c>
      <c r="JN166" s="6"/>
      <c r="JO166" s="6"/>
      <c r="JP166" s="6"/>
      <c r="JQ166" s="5"/>
      <c r="JR166" s="6" t="s">
        <v>780</v>
      </c>
      <c r="JS166" s="6"/>
      <c r="JT166" s="6"/>
      <c r="JU166" s="6"/>
      <c r="JV166" s="5"/>
      <c r="JW166" s="6" t="s">
        <v>780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4"/>
        <v>NO APLICA</v>
      </c>
      <c r="KG166" s="5"/>
      <c r="KH166" s="5"/>
      <c r="KI166" s="4"/>
      <c r="KJ166" s="8"/>
      <c r="KK166" s="5" t="str">
        <f t="shared" si="559"/>
        <v>NO APLICA</v>
      </c>
      <c r="KL166" s="5"/>
      <c r="KM166" s="5"/>
      <c r="KN166" s="4"/>
      <c r="KO166" s="8"/>
      <c r="KP166" s="5" t="str">
        <f t="shared" si="535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60"/>
        <v>VIGENTE</v>
      </c>
      <c r="KV166" s="2"/>
      <c r="KW166" s="6"/>
      <c r="KX166" s="4"/>
      <c r="KY166" s="8"/>
      <c r="KZ166" s="5" t="str">
        <f t="shared" si="565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1"/>
        <v>VIGENTE</v>
      </c>
      <c r="LF166" s="6"/>
      <c r="LG166" s="6"/>
      <c r="LH166" s="4"/>
      <c r="LI166" s="8"/>
      <c r="LJ166" s="5" t="str">
        <f t="shared" si="567"/>
        <v>NO APLICA</v>
      </c>
      <c r="LK166" s="5"/>
      <c r="LL166" s="5"/>
      <c r="LM166" s="4"/>
      <c r="LN166" s="8"/>
      <c r="LO166" s="5" t="str">
        <f t="shared" si="566"/>
        <v>NO APLICA</v>
      </c>
      <c r="LP166" s="5"/>
      <c r="LQ166" s="6"/>
      <c r="LR166" s="4"/>
      <c r="LS166" s="8"/>
      <c r="LT166" s="5" t="str">
        <f t="shared" si="562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3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4"/>
        <v>VIGENTE</v>
      </c>
      <c r="ME166" s="5"/>
      <c r="MF166" s="5"/>
      <c r="MG166" s="4"/>
      <c r="MH166" s="8"/>
      <c r="MI166" s="5" t="str">
        <f t="shared" si="537"/>
        <v>NO APLICA</v>
      </c>
      <c r="MJ166" s="5"/>
      <c r="MK166" s="5"/>
      <c r="ML166" s="4"/>
      <c r="MM166" s="8"/>
      <c r="MN166" s="5" t="str">
        <f t="shared" si="538"/>
        <v>NO APLICA</v>
      </c>
      <c r="MO166" s="5"/>
      <c r="MP166" s="5"/>
      <c r="MQ166" s="4"/>
      <c r="MR166" s="8"/>
      <c r="MS166" s="5" t="str">
        <f t="shared" si="539"/>
        <v>NO APLICA</v>
      </c>
      <c r="MT166" s="5"/>
      <c r="MU166" s="5"/>
      <c r="MV166" s="4"/>
      <c r="MW166" s="5"/>
      <c r="MX166" s="5" t="str">
        <f t="shared" si="540"/>
        <v>NO APLICA</v>
      </c>
      <c r="MY166" s="5"/>
      <c r="MZ166" s="6"/>
      <c r="NA166" s="4"/>
      <c r="NB166" s="8"/>
      <c r="NC166" s="5" t="str">
        <f t="shared" si="541"/>
        <v>NO APLICA</v>
      </c>
      <c r="ND166" s="5"/>
      <c r="NE166" s="6"/>
      <c r="NF166" s="4"/>
      <c r="NG166" s="8"/>
      <c r="NH166" s="5" t="str">
        <f t="shared" si="542"/>
        <v>NO APLICA</v>
      </c>
      <c r="NI166" s="5"/>
      <c r="NJ166" s="6"/>
      <c r="NK166" s="4"/>
      <c r="NL166" s="8"/>
      <c r="NM166" s="5" t="str">
        <f t="shared" si="543"/>
        <v>NO APLICA</v>
      </c>
      <c r="NN166" s="5"/>
      <c r="NO166" s="5"/>
      <c r="NP166" s="5"/>
      <c r="NQ166" s="5"/>
      <c r="NR166" s="5" t="str">
        <f t="shared" si="544"/>
        <v>NO APLICA</v>
      </c>
      <c r="NS166" s="5"/>
      <c r="NT166" s="5"/>
      <c r="NU166" s="5"/>
      <c r="NV166" s="5"/>
      <c r="NW166" s="5" t="str">
        <f t="shared" si="545"/>
        <v>NO APLICA</v>
      </c>
      <c r="NX166" s="6"/>
      <c r="NY166" s="6"/>
      <c r="NZ166" s="6"/>
      <c r="OA166" s="6"/>
      <c r="OB166" s="5" t="str">
        <f t="shared" si="546"/>
        <v>NO APLICA</v>
      </c>
      <c r="OC166" s="6"/>
      <c r="OD166" s="6"/>
      <c r="OE166" s="6"/>
      <c r="OF166" s="6"/>
      <c r="OG166" s="5" t="str">
        <f t="shared" si="547"/>
        <v>NO APLICA</v>
      </c>
      <c r="OH166" s="5"/>
      <c r="OI166" s="4"/>
      <c r="OJ166" s="4"/>
      <c r="OK166" s="8"/>
      <c r="OL166" s="5" t="str">
        <f t="shared" si="548"/>
        <v>NO APLICA</v>
      </c>
      <c r="OM166" s="6"/>
      <c r="ON166" s="6"/>
      <c r="OO166" s="6"/>
      <c r="OP166" s="6"/>
      <c r="OQ166" s="5" t="str">
        <f t="shared" si="549"/>
        <v>NO APLICA</v>
      </c>
      <c r="OR166" s="6"/>
      <c r="OS166" s="6"/>
      <c r="OT166" s="6"/>
      <c r="OU166" s="6"/>
      <c r="OV166" s="5" t="str">
        <f t="shared" si="550"/>
        <v>NO APLICA</v>
      </c>
      <c r="OW166" s="6"/>
      <c r="OX166" s="6"/>
      <c r="OY166" s="6"/>
      <c r="OZ166" s="6"/>
      <c r="PA166" s="5" t="str">
        <f t="shared" si="551"/>
        <v>NO APLICA</v>
      </c>
      <c r="PB166" s="6"/>
      <c r="PC166" s="6"/>
      <c r="PD166" s="6"/>
      <c r="PE166" s="6"/>
      <c r="PF166" s="5" t="str">
        <f t="shared" si="552"/>
        <v>NO APLICA</v>
      </c>
      <c r="PG166" s="6"/>
      <c r="PH166" s="6"/>
      <c r="PI166" s="6"/>
      <c r="PJ166" s="6"/>
      <c r="PK166" s="5" t="str">
        <f t="shared" si="553"/>
        <v>NO APLICA</v>
      </c>
      <c r="PL166" s="5"/>
      <c r="PM166" s="6"/>
      <c r="PN166" s="4"/>
      <c r="PO166" s="8"/>
      <c r="PP166" s="5" t="str">
        <f t="shared" si="554"/>
        <v>NO APLICA</v>
      </c>
      <c r="PQ166" s="6"/>
      <c r="PR166" s="6"/>
      <c r="PS166" s="6"/>
      <c r="PT166" s="6"/>
      <c r="PU166" s="5" t="str">
        <f t="shared" si="555"/>
        <v>NO APLICA</v>
      </c>
      <c r="PV166" s="5"/>
      <c r="PW166" s="6"/>
      <c r="PX166" s="6"/>
      <c r="PY166" s="6"/>
      <c r="PZ166" s="5" t="str">
        <f t="shared" si="556"/>
        <v>NO APLICA</v>
      </c>
    </row>
    <row r="167" spans="1:442" ht="15.6" hidden="1" thickTop="1" thickBot="1" x14ac:dyDescent="0.35">
      <c r="A167" s="26">
        <v>164</v>
      </c>
      <c r="B167" s="31">
        <v>1631</v>
      </c>
      <c r="C167" s="28" t="s">
        <v>531</v>
      </c>
      <c r="D167" s="29" t="s">
        <v>64</v>
      </c>
      <c r="E167" s="30" t="s">
        <v>532</v>
      </c>
      <c r="F167" s="5"/>
      <c r="G167" s="6"/>
      <c r="H167" s="4"/>
      <c r="I167" s="8"/>
      <c r="J167" s="5" t="str">
        <f t="shared" si="455"/>
        <v>NO APLICA</v>
      </c>
      <c r="K167" s="5"/>
      <c r="L167" s="6"/>
      <c r="M167" s="6"/>
      <c r="N167" s="8"/>
      <c r="O167" s="5" t="str">
        <f t="shared" si="456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7"/>
        <v>VIGENTE</v>
      </c>
      <c r="U167" s="5"/>
      <c r="V167" s="2" t="s">
        <v>533</v>
      </c>
      <c r="W167" s="4">
        <v>44688</v>
      </c>
      <c r="X167" s="4">
        <f t="shared" si="587"/>
        <v>46514</v>
      </c>
      <c r="Y167" s="8">
        <f t="shared" ca="1" si="588"/>
        <v>369</v>
      </c>
      <c r="Z167" s="5" t="str">
        <f t="shared" ca="1" si="412"/>
        <v>VIGENTE</v>
      </c>
      <c r="AA167" s="5"/>
      <c r="AB167" s="2" t="s">
        <v>534</v>
      </c>
      <c r="AC167" s="4">
        <v>45190</v>
      </c>
      <c r="AD167" s="4">
        <f t="shared" si="596"/>
        <v>47017</v>
      </c>
      <c r="AE167" s="8">
        <f t="shared" ca="1" si="597"/>
        <v>872</v>
      </c>
      <c r="AF167" s="5" t="str">
        <f t="shared" ca="1" si="457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8"/>
        <v>96</v>
      </c>
      <c r="AK167" s="5" t="str">
        <f t="shared" ca="1" si="408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9"/>
        <v>74</v>
      </c>
      <c r="AP167" s="5" t="str">
        <f t="shared" ca="1" si="460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1"/>
        <v>89</v>
      </c>
      <c r="AU167" s="5" t="str">
        <f t="shared" ca="1" si="462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3"/>
        <v>98</v>
      </c>
      <c r="AZ167" s="5" t="str">
        <f t="shared" ca="1" si="464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5"/>
        <v>187</v>
      </c>
      <c r="BE167" s="5" t="str">
        <f t="shared" ca="1" si="466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7"/>
        <v>72</v>
      </c>
      <c r="BJ167" s="5" t="str">
        <f t="shared" ca="1" si="468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9"/>
        <v>636</v>
      </c>
      <c r="BO167" s="5" t="str">
        <f t="shared" ca="1" si="470"/>
        <v>VIGENTE</v>
      </c>
      <c r="BP167" s="3"/>
      <c r="BQ167" s="39">
        <v>46050</v>
      </c>
      <c r="BR167" s="4">
        <f>DATE(YEAR(BQ167)+2,MONTH(BQ167),DAY(BQ167))</f>
        <v>46780</v>
      </c>
      <c r="BS167" s="8">
        <f t="shared" ca="1" si="471"/>
        <v>635</v>
      </c>
      <c r="BT167" s="5" t="str">
        <f t="shared" ca="1" si="472"/>
        <v>VIGENTE</v>
      </c>
      <c r="BU167" s="3"/>
      <c r="BV167" s="4">
        <v>46135</v>
      </c>
      <c r="BW167" s="4">
        <f>DATE(YEAR(BV167)+2,MONTH(BV167),DAY(BV167)-1)</f>
        <v>46865</v>
      </c>
      <c r="BX167" s="8">
        <f t="shared" ca="1" si="473"/>
        <v>720</v>
      </c>
      <c r="BY167" s="5" t="str">
        <f t="shared" ca="1" si="474"/>
        <v>VIGENTE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5"/>
        <v>130</v>
      </c>
      <c r="CD167" s="5" t="str">
        <f t="shared" ca="1" si="476"/>
        <v>VIGENTE</v>
      </c>
      <c r="CE167" s="6"/>
      <c r="CF167" s="4">
        <v>45828</v>
      </c>
      <c r="CG167" s="4">
        <f t="shared" si="590"/>
        <v>47289</v>
      </c>
      <c r="CH167" s="8">
        <f t="shared" ca="1" si="591"/>
        <v>1144</v>
      </c>
      <c r="CI167" s="5" t="str">
        <f t="shared" ca="1" si="573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7"/>
        <v>95</v>
      </c>
      <c r="CN167" s="5" t="str">
        <f t="shared" ca="1" si="478"/>
        <v>VIGENTE</v>
      </c>
      <c r="CO167" s="3"/>
      <c r="CP167" s="39">
        <v>45688</v>
      </c>
      <c r="CQ167" s="4">
        <f>DATE(YEAR(CP167)+2,MONTH(CP167),DAY(CP167)-1)</f>
        <v>46417</v>
      </c>
      <c r="CR167" s="8">
        <f t="shared" ca="1" si="479"/>
        <v>272</v>
      </c>
      <c r="CS167" s="5" t="str">
        <f t="shared" ca="1" si="480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1"/>
        <v>311</v>
      </c>
      <c r="CX167" s="5" t="str">
        <f t="shared" ca="1" si="482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3"/>
        <v>249</v>
      </c>
      <c r="DC167" s="5" t="str">
        <f t="shared" ca="1" si="484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5"/>
        <v>651</v>
      </c>
      <c r="DH167" s="5" t="str">
        <f t="shared" ca="1" si="486"/>
        <v>VIGENTE</v>
      </c>
      <c r="DI167" s="3"/>
      <c r="DJ167" s="39">
        <v>45509</v>
      </c>
      <c r="DK167" s="4">
        <f>DATE(YEAR(DJ167)+2,MONTH(DJ167),DAY(DJ167)-1)</f>
        <v>46238</v>
      </c>
      <c r="DL167" s="8">
        <f t="shared" ca="1" si="487"/>
        <v>93</v>
      </c>
      <c r="DM167" s="5" t="str">
        <f t="shared" ca="1" si="488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9"/>
        <v>315</v>
      </c>
      <c r="DR167" s="5" t="str">
        <f t="shared" ca="1" si="490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1"/>
        <v>192</v>
      </c>
      <c r="DW167" s="5" t="str">
        <f t="shared" ca="1" si="492"/>
        <v>VIGENTE</v>
      </c>
      <c r="DX167" s="3"/>
      <c r="DY167" s="4">
        <v>45582</v>
      </c>
      <c r="DZ167" s="4">
        <f t="shared" si="595"/>
        <v>46311</v>
      </c>
      <c r="EA167" s="8">
        <f t="shared" ca="1" si="493"/>
        <v>166</v>
      </c>
      <c r="EB167" s="5" t="str">
        <f t="shared" ca="1" si="494"/>
        <v>VIGENTE</v>
      </c>
      <c r="EC167" s="3"/>
      <c r="ED167" s="39">
        <v>45602</v>
      </c>
      <c r="EE167" s="4">
        <f>DATE(YEAR(ED167)+2,MONTH(ED167),DAY(ED167)-1)</f>
        <v>46331</v>
      </c>
      <c r="EF167" s="8">
        <f t="shared" ca="1" si="495"/>
        <v>186</v>
      </c>
      <c r="EG167" s="5" t="str">
        <f t="shared" ca="1" si="496"/>
        <v>VIGENTE</v>
      </c>
      <c r="EH167" s="3"/>
      <c r="EI167" s="3">
        <v>46107</v>
      </c>
      <c r="EJ167" s="4">
        <f t="shared" si="558"/>
        <v>46472</v>
      </c>
      <c r="EK167" s="8">
        <f t="shared" ca="1" si="497"/>
        <v>327</v>
      </c>
      <c r="EL167" s="5" t="str">
        <f t="shared" ca="1" si="498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9"/>
        <v>686</v>
      </c>
      <c r="EQ167" s="5" t="str">
        <f t="shared" ca="1" si="500"/>
        <v>VIGENTE</v>
      </c>
      <c r="ER167" s="3"/>
      <c r="ES167" s="39">
        <v>45575</v>
      </c>
      <c r="ET167" s="4">
        <f>DATE(YEAR(ES167)+2,MONTH(ES167),DAY(ES167)-1)</f>
        <v>46304</v>
      </c>
      <c r="EU167" s="8">
        <f t="shared" ca="1" si="501"/>
        <v>159</v>
      </c>
      <c r="EV167" s="5" t="str">
        <f t="shared" ca="1" si="502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3"/>
        <v>194</v>
      </c>
      <c r="FA167" s="5" t="str">
        <f t="shared" ca="1" si="504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5"/>
        <v>195</v>
      </c>
      <c r="FF167" s="5" t="str">
        <f t="shared" ca="1" si="506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7"/>
        <v>90</v>
      </c>
      <c r="FK167" s="5" t="str">
        <f t="shared" ca="1" si="508"/>
        <v>POR VENCER</v>
      </c>
      <c r="FL167" s="3"/>
      <c r="FM167" s="39">
        <v>45933</v>
      </c>
      <c r="FN167" s="4">
        <f>DATE(YEAR(FM167)+2,MONTH(FM167),DAY(FM167))</f>
        <v>46663</v>
      </c>
      <c r="FO167" s="8">
        <f t="shared" ca="1" si="509"/>
        <v>518</v>
      </c>
      <c r="FP167" s="5" t="str">
        <f t="shared" ca="1" si="510"/>
        <v>VIGENTE</v>
      </c>
      <c r="FQ167" s="3"/>
      <c r="FR167" s="39">
        <v>46077</v>
      </c>
      <c r="FS167" s="4">
        <f>DATE(YEAR(FR167)+2,MONTH(FR167),DAY(FR167))</f>
        <v>46807</v>
      </c>
      <c r="FT167" s="8">
        <f t="shared" ca="1" si="511"/>
        <v>662</v>
      </c>
      <c r="FU167" s="5" t="str">
        <f t="shared" ca="1" si="512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3"/>
        <v>284</v>
      </c>
      <c r="FZ167" s="5" t="str">
        <f t="shared" ca="1" si="514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5"/>
        <v>179</v>
      </c>
      <c r="GE167" s="5" t="str">
        <f t="shared" ca="1" si="516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7"/>
        <v>678</v>
      </c>
      <c r="GJ167" s="5" t="str">
        <f t="shared" ca="1" si="518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9"/>
        <v>151</v>
      </c>
      <c r="GO167" s="5" t="str">
        <f t="shared" ca="1" si="520"/>
        <v>VIGENTE</v>
      </c>
      <c r="GP167" s="4"/>
      <c r="GQ167" s="4">
        <v>45495</v>
      </c>
      <c r="GR167" s="4">
        <f t="shared" si="521"/>
        <v>47321</v>
      </c>
      <c r="GS167" s="8">
        <f t="shared" ca="1" si="405"/>
        <v>1176</v>
      </c>
      <c r="GT167" s="5" t="str">
        <f t="shared" ca="1" si="419"/>
        <v>VIGENTE</v>
      </c>
      <c r="GU167" s="3"/>
      <c r="GV167" s="4">
        <v>44910</v>
      </c>
      <c r="GW167" s="4">
        <f t="shared" si="522"/>
        <v>46736</v>
      </c>
      <c r="GX167" s="8">
        <f t="shared" ca="1" si="523"/>
        <v>591</v>
      </c>
      <c r="GY167" s="5" t="str">
        <f t="shared" ca="1" si="426"/>
        <v>VIGENTE</v>
      </c>
      <c r="GZ167" s="2"/>
      <c r="HA167" s="4">
        <v>44883</v>
      </c>
      <c r="HB167" s="4">
        <f t="shared" si="524"/>
        <v>46709</v>
      </c>
      <c r="HC167" s="8">
        <f t="shared" ca="1" si="525"/>
        <v>564</v>
      </c>
      <c r="HD167" s="5" t="str">
        <f t="shared" ca="1" si="421"/>
        <v>VIGENTE</v>
      </c>
      <c r="HE167" s="6"/>
      <c r="HF167" s="4">
        <v>44876</v>
      </c>
      <c r="HG167" s="4">
        <f t="shared" si="598"/>
        <v>46702</v>
      </c>
      <c r="HH167" s="8">
        <f t="shared" ca="1" si="599"/>
        <v>557</v>
      </c>
      <c r="HI167" s="5" t="str">
        <f t="shared" ca="1" si="427"/>
        <v>VIGENTE</v>
      </c>
      <c r="HJ167" s="2"/>
      <c r="HK167" s="6"/>
      <c r="HL167" s="4"/>
      <c r="HM167" s="8"/>
      <c r="HN167" s="5" t="str">
        <f t="shared" si="444"/>
        <v>NO APLICA</v>
      </c>
      <c r="HO167" s="2"/>
      <c r="HP167" s="2"/>
      <c r="HQ167" s="4"/>
      <c r="HR167" s="2"/>
      <c r="HS167" s="5" t="str">
        <f t="shared" si="526"/>
        <v>NO APLICA</v>
      </c>
      <c r="HT167" s="2"/>
      <c r="HU167" s="6"/>
      <c r="HV167" s="4"/>
      <c r="HW167" s="8"/>
      <c r="HX167" s="5" t="str">
        <f t="shared" si="527"/>
        <v>NO APLICA</v>
      </c>
      <c r="HY167" s="2"/>
      <c r="HZ167" s="6"/>
      <c r="IA167" s="4"/>
      <c r="IB167" s="8"/>
      <c r="IC167" s="5" t="str">
        <f t="shared" si="528"/>
        <v>NO APLICA</v>
      </c>
      <c r="ID167" s="2"/>
      <c r="IE167" s="6"/>
      <c r="IF167" s="4"/>
      <c r="IG167" s="8"/>
      <c r="IH167" s="5" t="str">
        <f t="shared" si="529"/>
        <v>NO APLICA</v>
      </c>
      <c r="II167" s="6"/>
      <c r="IJ167" s="6"/>
      <c r="IK167" s="4"/>
      <c r="IL167" s="8"/>
      <c r="IM167" s="5" t="str">
        <f t="shared" si="530"/>
        <v>NO APLICA</v>
      </c>
      <c r="IN167" s="2"/>
      <c r="IO167" s="6"/>
      <c r="IP167" s="4"/>
      <c r="IQ167" s="8"/>
      <c r="IR167" s="5" t="str">
        <f t="shared" si="531"/>
        <v>NO APLICA</v>
      </c>
      <c r="IS167" s="2"/>
      <c r="IT167" s="6"/>
      <c r="IU167" s="4"/>
      <c r="IV167" s="8"/>
      <c r="IW167" s="5" t="str">
        <f t="shared" si="532"/>
        <v>NO APLICA</v>
      </c>
      <c r="IX167" s="2"/>
      <c r="IY167" s="6"/>
      <c r="IZ167" s="4"/>
      <c r="JA167" s="8"/>
      <c r="JB167" s="5" t="str">
        <f t="shared" si="533"/>
        <v>NO APLICA</v>
      </c>
      <c r="JC167" s="3" t="s">
        <v>780</v>
      </c>
      <c r="JD167" s="3"/>
      <c r="JE167" s="4"/>
      <c r="JF167" s="8"/>
      <c r="JG167" s="5"/>
      <c r="JH167" s="3" t="s">
        <v>780</v>
      </c>
      <c r="JI167" s="6"/>
      <c r="JJ167" s="6"/>
      <c r="JK167" s="6"/>
      <c r="JL167" s="5"/>
      <c r="JM167" s="6" t="s">
        <v>780</v>
      </c>
      <c r="JN167" s="6"/>
      <c r="JO167" s="6"/>
      <c r="JP167" s="6"/>
      <c r="JQ167" s="5"/>
      <c r="JR167" s="6" t="s">
        <v>780</v>
      </c>
      <c r="JS167" s="6"/>
      <c r="JT167" s="6"/>
      <c r="JU167" s="6"/>
      <c r="JV167" s="5"/>
      <c r="JW167" s="6" t="s">
        <v>780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4"/>
        <v>NO APLICA</v>
      </c>
      <c r="KG167" s="5"/>
      <c r="KH167" s="2"/>
      <c r="KI167" s="4"/>
      <c r="KJ167" s="8"/>
      <c r="KK167" s="5" t="str">
        <f t="shared" si="559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5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60"/>
        <v>VIGENTE</v>
      </c>
      <c r="KV167" s="2"/>
      <c r="KW167" s="6"/>
      <c r="KX167" s="4"/>
      <c r="KY167" s="8"/>
      <c r="KZ167" s="5" t="str">
        <f t="shared" si="565"/>
        <v>NO APLICA</v>
      </c>
      <c r="LA167" s="5"/>
      <c r="LB167" s="6"/>
      <c r="LC167" s="4"/>
      <c r="LD167" s="8"/>
      <c r="LE167" s="5" t="str">
        <f t="shared" si="561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6"/>
        <v>NO APLICA</v>
      </c>
      <c r="LP167" s="2"/>
      <c r="LQ167" s="6"/>
      <c r="LR167" s="4"/>
      <c r="LS167" s="8"/>
      <c r="LT167" s="5" t="str">
        <f t="shared" si="562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3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4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7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8"/>
        <v>VIGENTE</v>
      </c>
      <c r="MO167" s="5"/>
      <c r="MP167" s="2"/>
      <c r="MQ167" s="4"/>
      <c r="MR167" s="8"/>
      <c r="MS167" s="5" t="str">
        <f t="shared" si="539"/>
        <v>NO APLICA</v>
      </c>
      <c r="MT167" s="5"/>
      <c r="MU167" s="2"/>
      <c r="MV167" s="4"/>
      <c r="MW167" s="2"/>
      <c r="MX167" s="5" t="str">
        <f t="shared" si="540"/>
        <v>NO APLICA</v>
      </c>
      <c r="MY167" s="2"/>
      <c r="MZ167" s="6"/>
      <c r="NA167" s="4"/>
      <c r="NB167" s="8"/>
      <c r="NC167" s="5" t="str">
        <f t="shared" si="541"/>
        <v>NO APLICA</v>
      </c>
      <c r="ND167" s="2"/>
      <c r="NE167" s="6"/>
      <c r="NF167" s="4"/>
      <c r="NG167" s="8"/>
      <c r="NH167" s="5" t="str">
        <f t="shared" si="542"/>
        <v>NO APLICA</v>
      </c>
      <c r="NI167" s="2"/>
      <c r="NJ167" s="6"/>
      <c r="NK167" s="4"/>
      <c r="NL167" s="8"/>
      <c r="NM167" s="5" t="str">
        <f t="shared" si="543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4"/>
        <v>VIGENTE</v>
      </c>
      <c r="NS167" s="2"/>
      <c r="NT167" s="2"/>
      <c r="NU167" s="4"/>
      <c r="NV167" s="2"/>
      <c r="NW167" s="5" t="str">
        <f t="shared" si="545"/>
        <v>NO APLICA</v>
      </c>
      <c r="NX167" s="6"/>
      <c r="NY167" s="6"/>
      <c r="NZ167" s="4"/>
      <c r="OA167" s="8"/>
      <c r="OB167" s="5" t="str">
        <f t="shared" si="546"/>
        <v>NO APLICA</v>
      </c>
      <c r="OC167" s="6"/>
      <c r="OD167" s="6"/>
      <c r="OE167" s="6"/>
      <c r="OF167" s="6"/>
      <c r="OG167" s="5" t="str">
        <f t="shared" si="547"/>
        <v>NO APLICA</v>
      </c>
      <c r="OH167" s="6"/>
      <c r="OI167" s="6"/>
      <c r="OJ167" s="4"/>
      <c r="OK167" s="8"/>
      <c r="OL167" s="5" t="str">
        <f t="shared" si="548"/>
        <v>NO APLICA</v>
      </c>
      <c r="OM167" s="6"/>
      <c r="ON167" s="6"/>
      <c r="OO167" s="6"/>
      <c r="OP167" s="6"/>
      <c r="OQ167" s="5" t="str">
        <f t="shared" si="549"/>
        <v>NO APLICA</v>
      </c>
      <c r="OR167" s="6"/>
      <c r="OS167" s="6"/>
      <c r="OT167" s="6"/>
      <c r="OU167" s="6"/>
      <c r="OV167" s="5" t="str">
        <f t="shared" si="550"/>
        <v>NO APLICA</v>
      </c>
      <c r="OW167" s="6"/>
      <c r="OX167" s="6"/>
      <c r="OY167" s="6"/>
      <c r="OZ167" s="6"/>
      <c r="PA167" s="5" t="str">
        <f t="shared" si="551"/>
        <v>NO APLICA</v>
      </c>
      <c r="PB167" s="6"/>
      <c r="PC167" s="6"/>
      <c r="PD167" s="6"/>
      <c r="PE167" s="6"/>
      <c r="PF167" s="5" t="str">
        <f t="shared" si="552"/>
        <v>NO APLICA</v>
      </c>
      <c r="PG167" s="6"/>
      <c r="PH167" s="6"/>
      <c r="PI167" s="6"/>
      <c r="PJ167" s="6"/>
      <c r="PK167" s="5" t="str">
        <f t="shared" si="553"/>
        <v>NO APLICA</v>
      </c>
      <c r="PL167" s="5"/>
      <c r="PM167" s="6"/>
      <c r="PN167" s="4"/>
      <c r="PO167" s="8"/>
      <c r="PP167" s="5" t="str">
        <f t="shared" si="554"/>
        <v>NO APLICA</v>
      </c>
      <c r="PQ167" s="6"/>
      <c r="PR167" s="6"/>
      <c r="PS167" s="6"/>
      <c r="PT167" s="6"/>
      <c r="PU167" s="5" t="str">
        <f t="shared" si="555"/>
        <v>NO APLICA</v>
      </c>
      <c r="PV167" s="5"/>
      <c r="PW167" s="6"/>
      <c r="PX167" s="6"/>
      <c r="PY167" s="6"/>
      <c r="PZ167" s="5" t="str">
        <f t="shared" si="556"/>
        <v>NO APLICA</v>
      </c>
    </row>
    <row r="168" spans="1:442" ht="15.6" hidden="1" thickTop="1" thickBot="1" x14ac:dyDescent="0.35">
      <c r="A168" s="26">
        <v>165</v>
      </c>
      <c r="B168" s="27">
        <v>1199</v>
      </c>
      <c r="C168" s="28" t="s">
        <v>535</v>
      </c>
      <c r="D168" s="29" t="s">
        <v>64</v>
      </c>
      <c r="E168" s="30" t="s">
        <v>536</v>
      </c>
      <c r="F168" s="5"/>
      <c r="G168" s="6"/>
      <c r="H168" s="4"/>
      <c r="I168" s="8"/>
      <c r="J168" s="5" t="str">
        <f t="shared" si="455"/>
        <v>NO APLICA</v>
      </c>
      <c r="K168" s="5"/>
      <c r="L168" s="6"/>
      <c r="M168" s="6"/>
      <c r="N168" s="8"/>
      <c r="O168" s="5" t="str">
        <f t="shared" si="456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7"/>
        <v>VIGENTE</v>
      </c>
      <c r="U168" s="5"/>
      <c r="V168" s="2" t="s">
        <v>537</v>
      </c>
      <c r="W168" s="4">
        <v>45498</v>
      </c>
      <c r="X168" s="4">
        <f t="shared" si="587"/>
        <v>47324</v>
      </c>
      <c r="Y168" s="8">
        <f t="shared" ca="1" si="588"/>
        <v>1179</v>
      </c>
      <c r="Z168" s="5" t="str">
        <f t="shared" ca="1" si="412"/>
        <v>VIGENTE</v>
      </c>
      <c r="AA168" s="5"/>
      <c r="AB168" s="2" t="s">
        <v>538</v>
      </c>
      <c r="AC168" s="4">
        <v>45113</v>
      </c>
      <c r="AD168" s="4">
        <f t="shared" si="596"/>
        <v>46940</v>
      </c>
      <c r="AE168" s="8">
        <f t="shared" ca="1" si="597"/>
        <v>795</v>
      </c>
      <c r="AF168" s="5" t="str">
        <f t="shared" ca="1" si="457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8"/>
        <v>487</v>
      </c>
      <c r="AK168" s="5" t="str">
        <f t="shared" ca="1" si="408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9"/>
        <v>522</v>
      </c>
      <c r="AP168" s="5" t="str">
        <f t="shared" ca="1" si="460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1"/>
        <v>324</v>
      </c>
      <c r="AU168" s="5" t="str">
        <f t="shared" ca="1" si="462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3"/>
        <v>350</v>
      </c>
      <c r="AZ168" s="5" t="str">
        <f t="shared" ca="1" si="464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5"/>
        <v>301</v>
      </c>
      <c r="BE168" s="5" t="str">
        <f t="shared" ca="1" si="466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7"/>
        <v>347</v>
      </c>
      <c r="BJ168" s="5" t="str">
        <f t="shared" ca="1" si="468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9"/>
        <v>343</v>
      </c>
      <c r="BO168" s="5" t="str">
        <f t="shared" ca="1" si="470"/>
        <v>VIGENTE</v>
      </c>
      <c r="BP168" s="3"/>
      <c r="BQ168" s="39">
        <v>45772</v>
      </c>
      <c r="BR168" s="4">
        <f>DATE(YEAR(BQ168)+2,MONTH(BQ168),DAY(BQ168))</f>
        <v>46502</v>
      </c>
      <c r="BS168" s="8">
        <f t="shared" ca="1" si="471"/>
        <v>357</v>
      </c>
      <c r="BT168" s="5" t="str">
        <f t="shared" ca="1" si="472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3"/>
        <v>320</v>
      </c>
      <c r="BY168" s="5" t="str">
        <f t="shared" ca="1" si="474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5"/>
        <v>529</v>
      </c>
      <c r="CD168" s="5" t="str">
        <f t="shared" ca="1" si="476"/>
        <v>VIGENTE</v>
      </c>
      <c r="CE168" s="6"/>
      <c r="CF168" s="4">
        <v>45104</v>
      </c>
      <c r="CG168" s="4">
        <f t="shared" si="590"/>
        <v>46565</v>
      </c>
      <c r="CH168" s="8">
        <f t="shared" ca="1" si="591"/>
        <v>420</v>
      </c>
      <c r="CI168" s="5" t="str">
        <f t="shared" ca="1" si="573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7"/>
        <v>307</v>
      </c>
      <c r="CN168" s="5" t="str">
        <f t="shared" ca="1" si="478"/>
        <v>VIGENTE</v>
      </c>
      <c r="CO168" s="3"/>
      <c r="CP168" s="39">
        <v>45726</v>
      </c>
      <c r="CQ168" s="4">
        <f>DATE(YEAR(CP168)+2,MONTH(CP168),DAY(CP168)-1)</f>
        <v>46455</v>
      </c>
      <c r="CR168" s="8">
        <f t="shared" ca="1" si="479"/>
        <v>310</v>
      </c>
      <c r="CS168" s="5" t="str">
        <f t="shared" ca="1" si="480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1"/>
        <v>223</v>
      </c>
      <c r="CX168" s="5" t="str">
        <f t="shared" ca="1" si="482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3"/>
        <v>249</v>
      </c>
      <c r="DC168" s="5" t="str">
        <f t="shared" ca="1" si="484"/>
        <v>VIGENTE</v>
      </c>
      <c r="DD168" s="3"/>
      <c r="DE168" s="39">
        <v>45761</v>
      </c>
      <c r="DF168" s="4">
        <f>DATE(YEAR(DE168)+2,MONTH(DE168),DAY(DE168))</f>
        <v>46491</v>
      </c>
      <c r="DG168" s="8">
        <f t="shared" ca="1" si="485"/>
        <v>346</v>
      </c>
      <c r="DH168" s="5" t="str">
        <f t="shared" ca="1" si="486"/>
        <v>VIGENTE</v>
      </c>
      <c r="DI168" s="2"/>
      <c r="DJ168" s="39">
        <v>45734</v>
      </c>
      <c r="DK168" s="4">
        <f>DATE(YEAR(DJ168)+2,MONTH(DJ168),DAY(DJ168)-1)</f>
        <v>46463</v>
      </c>
      <c r="DL168" s="8">
        <f t="shared" ca="1" si="487"/>
        <v>318</v>
      </c>
      <c r="DM168" s="5" t="str">
        <f t="shared" ca="1" si="488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9"/>
        <v>161</v>
      </c>
      <c r="DR168" s="5" t="str">
        <f t="shared" ca="1" si="490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1"/>
        <v>192</v>
      </c>
      <c r="DW168" s="5" t="str">
        <f t="shared" ca="1" si="492"/>
        <v>VIGENTE</v>
      </c>
      <c r="DX168" s="3"/>
      <c r="DY168" s="4">
        <v>45663</v>
      </c>
      <c r="DZ168" s="4">
        <f t="shared" si="595"/>
        <v>46392</v>
      </c>
      <c r="EA168" s="8">
        <f t="shared" ca="1" si="493"/>
        <v>247</v>
      </c>
      <c r="EB168" s="5" t="str">
        <f t="shared" ca="1" si="494"/>
        <v>VIGENTE</v>
      </c>
      <c r="EC168" s="3"/>
      <c r="ED168" s="39">
        <v>45768</v>
      </c>
      <c r="EE168" s="4">
        <f>DATE(YEAR(ED168)+2,MONTH(ED168),DAY(ED168))</f>
        <v>46498</v>
      </c>
      <c r="EF168" s="8">
        <f t="shared" ca="1" si="495"/>
        <v>353</v>
      </c>
      <c r="EG168" s="5" t="str">
        <f t="shared" ca="1" si="496"/>
        <v>VIGENTE</v>
      </c>
      <c r="EH168" s="3"/>
      <c r="EI168" s="3">
        <v>46060</v>
      </c>
      <c r="EJ168" s="4">
        <f t="shared" si="558"/>
        <v>46425</v>
      </c>
      <c r="EK168" s="8">
        <f t="shared" ca="1" si="497"/>
        <v>280</v>
      </c>
      <c r="EL168" s="5" t="str">
        <f t="shared" ca="1" si="498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9"/>
        <v>321</v>
      </c>
      <c r="EQ168" s="5" t="str">
        <f t="shared" ca="1" si="500"/>
        <v>VIGENTE</v>
      </c>
      <c r="ER168" s="2"/>
      <c r="ES168" s="39">
        <v>45749</v>
      </c>
      <c r="ET168" s="4">
        <f>DATE(YEAR(ES168)+2,MONTH(ES168),DAY(ES168)-1)</f>
        <v>46478</v>
      </c>
      <c r="EU168" s="8">
        <f t="shared" ca="1" si="501"/>
        <v>333</v>
      </c>
      <c r="EV168" s="5" t="str">
        <f t="shared" ca="1" si="502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3"/>
        <v>538</v>
      </c>
      <c r="FA168" s="5" t="str">
        <f t="shared" ca="1" si="504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5"/>
        <v>516</v>
      </c>
      <c r="FF168" s="5" t="str">
        <f t="shared" ca="1" si="506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7"/>
        <v>517</v>
      </c>
      <c r="FK168" s="5" t="str">
        <f t="shared" ca="1" si="508"/>
        <v>VIGENTE</v>
      </c>
      <c r="FL168" s="3"/>
      <c r="FM168" s="39">
        <v>45670</v>
      </c>
      <c r="FN168" s="4">
        <f>DATE(YEAR(FM168)+2,MONTH(FM168),DAY(FM168)-1)</f>
        <v>46399</v>
      </c>
      <c r="FO168" s="8">
        <f t="shared" ca="1" si="509"/>
        <v>254</v>
      </c>
      <c r="FP168" s="5" t="str">
        <f t="shared" ca="1" si="510"/>
        <v>VIGENTE</v>
      </c>
      <c r="FQ168" s="3"/>
      <c r="FR168" s="39">
        <v>45724</v>
      </c>
      <c r="FS168" s="4">
        <f>DATE(YEAR(FR168)+2,MONTH(FR168),DAY(FR168)-1)</f>
        <v>46453</v>
      </c>
      <c r="FT168" s="8">
        <f t="shared" ca="1" si="511"/>
        <v>308</v>
      </c>
      <c r="FU168" s="5" t="str">
        <f t="shared" ca="1" si="512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3"/>
        <v>526</v>
      </c>
      <c r="FZ168" s="5" t="str">
        <f t="shared" ca="1" si="514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5"/>
        <v>251</v>
      </c>
      <c r="GE168" s="5" t="str">
        <f t="shared" ca="1" si="516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7"/>
        <v>315</v>
      </c>
      <c r="GJ168" s="5" t="str">
        <f t="shared" ca="1" si="518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9"/>
        <v>151</v>
      </c>
      <c r="GO168" s="5" t="str">
        <f t="shared" ca="1" si="520"/>
        <v>VIGENTE</v>
      </c>
      <c r="GP168" s="4"/>
      <c r="GQ168" s="4">
        <v>44912</v>
      </c>
      <c r="GR168" s="4">
        <f t="shared" si="521"/>
        <v>46738</v>
      </c>
      <c r="GS168" s="8">
        <f t="shared" ca="1" si="405"/>
        <v>593</v>
      </c>
      <c r="GT168" s="5" t="str">
        <f t="shared" ca="1" si="419"/>
        <v>VIGENTE</v>
      </c>
      <c r="GU168" s="3"/>
      <c r="GV168" s="4">
        <v>44936</v>
      </c>
      <c r="GW168" s="4">
        <f t="shared" si="522"/>
        <v>46762</v>
      </c>
      <c r="GX168" s="8">
        <f t="shared" ca="1" si="523"/>
        <v>617</v>
      </c>
      <c r="GY168" s="5" t="str">
        <f t="shared" ca="1" si="426"/>
        <v>VIGENTE</v>
      </c>
      <c r="GZ168" s="2"/>
      <c r="HA168" s="4">
        <v>44911</v>
      </c>
      <c r="HB168" s="4">
        <f t="shared" si="524"/>
        <v>46737</v>
      </c>
      <c r="HC168" s="8">
        <f t="shared" ca="1" si="525"/>
        <v>592</v>
      </c>
      <c r="HD168" s="5" t="str">
        <f t="shared" ca="1" si="421"/>
        <v>VIGENTE</v>
      </c>
      <c r="HE168" s="6"/>
      <c r="HF168" s="4">
        <v>44921</v>
      </c>
      <c r="HG168" s="4">
        <f t="shared" si="598"/>
        <v>46747</v>
      </c>
      <c r="HH168" s="8">
        <f t="shared" ca="1" si="599"/>
        <v>602</v>
      </c>
      <c r="HI168" s="5" t="str">
        <f t="shared" ca="1" si="427"/>
        <v>VIGENTE</v>
      </c>
      <c r="HJ168" s="2"/>
      <c r="HK168" s="6"/>
      <c r="HL168" s="4"/>
      <c r="HM168" s="8"/>
      <c r="HN168" s="5" t="str">
        <f t="shared" si="444"/>
        <v>NO APLICA</v>
      </c>
      <c r="HO168" s="2"/>
      <c r="HP168" s="2"/>
      <c r="HQ168" s="4"/>
      <c r="HR168" s="2"/>
      <c r="HS168" s="5" t="str">
        <f t="shared" si="526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7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8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9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30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1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2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3"/>
        <v>VIGENTE</v>
      </c>
      <c r="JC168" s="3" t="s">
        <v>780</v>
      </c>
      <c r="JD168" s="3"/>
      <c r="JE168" s="4"/>
      <c r="JF168" s="8"/>
      <c r="JG168" s="5"/>
      <c r="JH168" s="3" t="s">
        <v>780</v>
      </c>
      <c r="JI168" s="6"/>
      <c r="JJ168" s="6"/>
      <c r="JK168" s="6"/>
      <c r="JL168" s="5"/>
      <c r="JM168" s="6" t="s">
        <v>780</v>
      </c>
      <c r="JN168" s="6"/>
      <c r="JO168" s="6"/>
      <c r="JP168" s="6"/>
      <c r="JQ168" s="5"/>
      <c r="JR168" s="6" t="s">
        <v>780</v>
      </c>
      <c r="JS168" s="6"/>
      <c r="JT168" s="6"/>
      <c r="JU168" s="6"/>
      <c r="JV168" s="5"/>
      <c r="JW168" s="6" t="s">
        <v>780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4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9"/>
        <v>VIGENTE</v>
      </c>
      <c r="KL168" s="5"/>
      <c r="KM168" s="2"/>
      <c r="KN168" s="4"/>
      <c r="KO168" s="8"/>
      <c r="KP168" s="5" t="str">
        <f t="shared" si="535"/>
        <v>NO APLICA</v>
      </c>
      <c r="KQ168" s="5"/>
      <c r="KR168" s="2"/>
      <c r="KS168" s="4"/>
      <c r="KT168" s="8"/>
      <c r="KU168" s="5" t="str">
        <f t="shared" si="560"/>
        <v>NO APLICA</v>
      </c>
      <c r="KV168" s="2"/>
      <c r="KW168" s="6"/>
      <c r="KX168" s="4"/>
      <c r="KY168" s="8"/>
      <c r="KZ168" s="5" t="str">
        <f t="shared" si="565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1"/>
        <v>VIGENTE</v>
      </c>
      <c r="LF168" s="4"/>
      <c r="LG168" s="4"/>
      <c r="LH168" s="4"/>
      <c r="LI168" s="8"/>
      <c r="LJ168" s="5" t="str">
        <f t="shared" ref="LJ168:LJ231" si="600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6"/>
        <v>NO APLICA</v>
      </c>
      <c r="LP168" s="2"/>
      <c r="LQ168" s="6"/>
      <c r="LR168" s="4"/>
      <c r="LS168" s="8"/>
      <c r="LT168" s="5" t="str">
        <f t="shared" si="562"/>
        <v>NO APLICA</v>
      </c>
      <c r="LU168" s="6"/>
      <c r="LV168" s="6"/>
      <c r="LW168" s="4"/>
      <c r="LX168" s="8"/>
      <c r="LY168" s="5" t="str">
        <f t="shared" si="563"/>
        <v>NO APLICA</v>
      </c>
      <c r="LZ168" s="6"/>
      <c r="MA168" s="6"/>
      <c r="MB168" s="4"/>
      <c r="MC168" s="8"/>
      <c r="MD168" s="5" t="str">
        <f t="shared" si="564"/>
        <v>NO APLICA</v>
      </c>
      <c r="ME168" s="2"/>
      <c r="MF168" s="2"/>
      <c r="MG168" s="4"/>
      <c r="MH168" s="8"/>
      <c r="MI168" s="5" t="str">
        <f t="shared" si="537"/>
        <v>NO APLICA</v>
      </c>
      <c r="MJ168" s="2"/>
      <c r="MK168" s="2"/>
      <c r="ML168" s="4"/>
      <c r="MM168" s="8"/>
      <c r="MN168" s="5" t="str">
        <f t="shared" si="538"/>
        <v>NO APLICA</v>
      </c>
      <c r="MO168" s="5"/>
      <c r="MP168" s="2"/>
      <c r="MQ168" s="4"/>
      <c r="MR168" s="8"/>
      <c r="MS168" s="5" t="str">
        <f t="shared" si="539"/>
        <v>NO APLICA</v>
      </c>
      <c r="MT168" s="5"/>
      <c r="MU168" s="2"/>
      <c r="MV168" s="4"/>
      <c r="MW168" s="2"/>
      <c r="MX168" s="5" t="str">
        <f t="shared" si="540"/>
        <v>NO APLICA</v>
      </c>
      <c r="MY168" s="2"/>
      <c r="MZ168" s="6"/>
      <c r="NA168" s="4"/>
      <c r="NB168" s="8"/>
      <c r="NC168" s="5" t="str">
        <f t="shared" si="541"/>
        <v>NO APLICA</v>
      </c>
      <c r="ND168" s="2"/>
      <c r="NE168" s="6"/>
      <c r="NF168" s="4"/>
      <c r="NG168" s="8"/>
      <c r="NH168" s="5" t="str">
        <f t="shared" si="542"/>
        <v>NO APLICA</v>
      </c>
      <c r="NI168" s="2"/>
      <c r="NJ168" s="6"/>
      <c r="NK168" s="4"/>
      <c r="NL168" s="8"/>
      <c r="NM168" s="5" t="str">
        <f t="shared" si="543"/>
        <v>NO APLICA</v>
      </c>
      <c r="NN168" s="2"/>
      <c r="NO168" s="2"/>
      <c r="NP168" s="4"/>
      <c r="NQ168" s="2"/>
      <c r="NR168" s="5" t="str">
        <f t="shared" si="544"/>
        <v>NO APLICA</v>
      </c>
      <c r="NS168" s="2"/>
      <c r="NT168" s="2"/>
      <c r="NU168" s="4"/>
      <c r="NV168" s="2"/>
      <c r="NW168" s="5" t="str">
        <f t="shared" si="545"/>
        <v>NO APLICA</v>
      </c>
      <c r="NX168" s="6"/>
      <c r="NY168" s="6"/>
      <c r="NZ168" s="4"/>
      <c r="OA168" s="8"/>
      <c r="OB168" s="5" t="str">
        <f t="shared" si="546"/>
        <v>NO APLICA</v>
      </c>
      <c r="OC168" s="6"/>
      <c r="OD168" s="6"/>
      <c r="OE168" s="6"/>
      <c r="OF168" s="6"/>
      <c r="OG168" s="5" t="str">
        <f t="shared" si="547"/>
        <v>NO APLICA</v>
      </c>
      <c r="OH168" s="6"/>
      <c r="OI168" s="6"/>
      <c r="OJ168" s="4"/>
      <c r="OK168" s="8"/>
      <c r="OL168" s="5" t="str">
        <f t="shared" si="548"/>
        <v>NO APLICA</v>
      </c>
      <c r="OM168" s="6"/>
      <c r="ON168" s="6"/>
      <c r="OO168" s="6"/>
      <c r="OP168" s="6"/>
      <c r="OQ168" s="5" t="str">
        <f t="shared" si="549"/>
        <v>NO APLICA</v>
      </c>
      <c r="OR168" s="6"/>
      <c r="OS168" s="6"/>
      <c r="OT168" s="6"/>
      <c r="OU168" s="6"/>
      <c r="OV168" s="5" t="str">
        <f t="shared" si="550"/>
        <v>NO APLICA</v>
      </c>
      <c r="OW168" s="6"/>
      <c r="OX168" s="6"/>
      <c r="OY168" s="6"/>
      <c r="OZ168" s="6"/>
      <c r="PA168" s="5" t="str">
        <f t="shared" si="551"/>
        <v>NO APLICA</v>
      </c>
      <c r="PB168" s="6"/>
      <c r="PC168" s="6"/>
      <c r="PD168" s="6"/>
      <c r="PE168" s="6"/>
      <c r="PF168" s="5" t="str">
        <f t="shared" si="552"/>
        <v>NO APLICA</v>
      </c>
      <c r="PG168" s="6"/>
      <c r="PH168" s="6"/>
      <c r="PI168" s="6"/>
      <c r="PJ168" s="6"/>
      <c r="PK168" s="5" t="str">
        <f t="shared" si="553"/>
        <v>NO APLICA</v>
      </c>
      <c r="PL168" s="5"/>
      <c r="PM168" s="6"/>
      <c r="PN168" s="4"/>
      <c r="PO168" s="8"/>
      <c r="PP168" s="5" t="str">
        <f t="shared" si="554"/>
        <v>NO APLICA</v>
      </c>
      <c r="PQ168" s="6"/>
      <c r="PR168" s="6"/>
      <c r="PS168" s="6"/>
      <c r="PT168" s="6"/>
      <c r="PU168" s="5" t="str">
        <f t="shared" si="555"/>
        <v>NO APLICA</v>
      </c>
      <c r="PV168" s="5"/>
      <c r="PW168" s="6"/>
      <c r="PX168" s="6"/>
      <c r="PY168" s="6"/>
      <c r="PZ168" s="5" t="str">
        <f t="shared" si="556"/>
        <v>NO APLICA</v>
      </c>
    </row>
    <row r="169" spans="1:442" ht="15.6" hidden="1" thickTop="1" thickBot="1" x14ac:dyDescent="0.35">
      <c r="A169" s="26">
        <v>166</v>
      </c>
      <c r="B169" s="31">
        <v>1346</v>
      </c>
      <c r="C169" s="28" t="s">
        <v>539</v>
      </c>
      <c r="D169" s="29" t="s">
        <v>68</v>
      </c>
      <c r="E169" s="30" t="s">
        <v>73</v>
      </c>
      <c r="F169" s="5"/>
      <c r="G169" s="6"/>
      <c r="H169" s="4"/>
      <c r="I169" s="8"/>
      <c r="J169" s="5" t="str">
        <f t="shared" si="455"/>
        <v>NO APLICA</v>
      </c>
      <c r="K169" s="5"/>
      <c r="L169" s="6"/>
      <c r="M169" s="6"/>
      <c r="N169" s="8"/>
      <c r="O169" s="5" t="str">
        <f t="shared" si="456"/>
        <v>NO APLICA</v>
      </c>
      <c r="P169" s="6"/>
      <c r="Q169" s="6"/>
      <c r="R169" s="4"/>
      <c r="S169" s="8"/>
      <c r="T169" s="5" t="str">
        <f t="shared" si="557"/>
        <v>NO APLICA</v>
      </c>
      <c r="U169" s="5"/>
      <c r="V169" s="2" t="s">
        <v>540</v>
      </c>
      <c r="W169" s="4">
        <v>45041</v>
      </c>
      <c r="X169" s="4">
        <f t="shared" si="587"/>
        <v>46868</v>
      </c>
      <c r="Y169" s="8">
        <f t="shared" ca="1" si="588"/>
        <v>723</v>
      </c>
      <c r="Z169" s="5" t="str">
        <f t="shared" ca="1" si="412"/>
        <v>VIGENTE</v>
      </c>
      <c r="AA169" s="5"/>
      <c r="AB169" s="2" t="s">
        <v>541</v>
      </c>
      <c r="AC169" s="3">
        <v>45152</v>
      </c>
      <c r="AD169" s="4">
        <f t="shared" si="596"/>
        <v>46979</v>
      </c>
      <c r="AE169" s="8">
        <f t="shared" ca="1" si="597"/>
        <v>834</v>
      </c>
      <c r="AF169" s="5" t="str">
        <f t="shared" ca="1" si="457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8"/>
        <v>264</v>
      </c>
      <c r="AK169" s="5" t="str">
        <f t="shared" ca="1" si="408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9"/>
        <v>294</v>
      </c>
      <c r="AP169" s="5" t="str">
        <f t="shared" ca="1" si="460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1"/>
        <v>287</v>
      </c>
      <c r="AU169" s="5" t="str">
        <f t="shared" ca="1" si="462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3"/>
        <v>286</v>
      </c>
      <c r="AZ169" s="5" t="str">
        <f t="shared" ca="1" si="464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5"/>
        <v>326</v>
      </c>
      <c r="BE169" s="5" t="str">
        <f t="shared" ca="1" si="466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7"/>
        <v>282</v>
      </c>
      <c r="BJ169" s="5" t="str">
        <f t="shared" ca="1" si="468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9"/>
        <v>283</v>
      </c>
      <c r="BO169" s="5" t="str">
        <f t="shared" ca="1" si="470"/>
        <v>VIGENTE</v>
      </c>
      <c r="BP169" s="3"/>
      <c r="BQ169" s="39">
        <v>45701</v>
      </c>
      <c r="BR169" s="4">
        <f>DATE(YEAR(BQ169)+2,MONTH(BQ169),DAY(BQ169)-1)</f>
        <v>46430</v>
      </c>
      <c r="BS169" s="8">
        <f t="shared" ca="1" si="471"/>
        <v>285</v>
      </c>
      <c r="BT169" s="5" t="str">
        <f t="shared" ca="1" si="472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3"/>
        <v>279</v>
      </c>
      <c r="BY169" s="5" t="str">
        <f t="shared" ca="1" si="474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5"/>
        <v>314</v>
      </c>
      <c r="CD169" s="5" t="str">
        <f t="shared" ca="1" si="476"/>
        <v>VIGENTE</v>
      </c>
      <c r="CE169" s="6"/>
      <c r="CF169" s="4">
        <v>45241</v>
      </c>
      <c r="CG169" s="4">
        <f t="shared" si="590"/>
        <v>46702</v>
      </c>
      <c r="CH169" s="8">
        <f t="shared" ca="1" si="591"/>
        <v>557</v>
      </c>
      <c r="CI169" s="5" t="str">
        <f t="shared" ca="1" si="573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7"/>
        <v>272</v>
      </c>
      <c r="CN169" s="5" t="str">
        <f t="shared" ca="1" si="478"/>
        <v>VIGENTE</v>
      </c>
      <c r="CO169" s="3"/>
      <c r="CP169" s="39">
        <v>45684</v>
      </c>
      <c r="CQ169" s="4">
        <f>DATE(YEAR(CP169)+2,MONTH(CP169),DAY(CP169)-1)</f>
        <v>46413</v>
      </c>
      <c r="CR169" s="8">
        <f t="shared" ca="1" si="479"/>
        <v>268</v>
      </c>
      <c r="CS169" s="5" t="str">
        <f t="shared" ca="1" si="480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1"/>
        <v>311</v>
      </c>
      <c r="CX169" s="5" t="str">
        <f t="shared" ca="1" si="482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3"/>
        <v>265</v>
      </c>
      <c r="DC169" s="5" t="str">
        <f t="shared" ca="1" si="484"/>
        <v>VIGENTE</v>
      </c>
      <c r="DD169" s="3"/>
      <c r="DE169" s="39">
        <v>45689</v>
      </c>
      <c r="DF169" s="4">
        <f>DATE(YEAR(DE169)+2,MONTH(DE169),DAY(DE169)-1)</f>
        <v>46418</v>
      </c>
      <c r="DG169" s="8">
        <f t="shared" ca="1" si="485"/>
        <v>273</v>
      </c>
      <c r="DH169" s="5" t="str">
        <f t="shared" ca="1" si="486"/>
        <v>VIGENTE</v>
      </c>
      <c r="DI169" s="3"/>
      <c r="DJ169" s="39">
        <v>45696</v>
      </c>
      <c r="DK169" s="4">
        <f>DATE(YEAR(DJ169)+2,MONTH(DJ169),DAY(DJ169)-1)</f>
        <v>46425</v>
      </c>
      <c r="DL169" s="8">
        <f t="shared" ca="1" si="487"/>
        <v>280</v>
      </c>
      <c r="DM169" s="5" t="str">
        <f t="shared" ca="1" si="488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9"/>
        <v>315</v>
      </c>
      <c r="DR169" s="5" t="str">
        <f t="shared" ca="1" si="490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1"/>
        <v>269</v>
      </c>
      <c r="DW169" s="5" t="str">
        <f t="shared" ca="1" si="492"/>
        <v>VIGENTE</v>
      </c>
      <c r="DX169" s="3"/>
      <c r="DY169" s="4">
        <v>45663</v>
      </c>
      <c r="DZ169" s="4">
        <f t="shared" si="595"/>
        <v>46392</v>
      </c>
      <c r="EA169" s="8">
        <f t="shared" ca="1" si="493"/>
        <v>247</v>
      </c>
      <c r="EB169" s="5" t="str">
        <f t="shared" ca="1" si="494"/>
        <v>VIGENTE</v>
      </c>
      <c r="EC169" s="3"/>
      <c r="ED169" s="39">
        <v>45768</v>
      </c>
      <c r="EE169" s="4">
        <f>DATE(YEAR(ED169)+2,MONTH(ED169),DAY(ED169))</f>
        <v>46498</v>
      </c>
      <c r="EF169" s="8">
        <f t="shared" ca="1" si="495"/>
        <v>353</v>
      </c>
      <c r="EG169" s="5" t="str">
        <f t="shared" ca="1" si="496"/>
        <v>VIGENTE</v>
      </c>
      <c r="EH169" s="3"/>
      <c r="EI169" s="3">
        <v>46085</v>
      </c>
      <c r="EJ169" s="4">
        <f t="shared" si="558"/>
        <v>46450</v>
      </c>
      <c r="EK169" s="8">
        <f t="shared" ca="1" si="497"/>
        <v>305</v>
      </c>
      <c r="EL169" s="5" t="str">
        <f t="shared" ca="1" si="498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9"/>
        <v>255</v>
      </c>
      <c r="EQ169" s="5" t="str">
        <f t="shared" ca="1" si="500"/>
        <v>VIGENTE</v>
      </c>
      <c r="ER169" s="3"/>
      <c r="ES169" s="39">
        <v>45677</v>
      </c>
      <c r="ET169" s="4">
        <f>DATE(YEAR(ES169)+2,MONTH(ES169),DAY(ES169)-1)</f>
        <v>46406</v>
      </c>
      <c r="EU169" s="8">
        <f t="shared" ca="1" si="501"/>
        <v>261</v>
      </c>
      <c r="EV169" s="5" t="str">
        <f t="shared" ca="1" si="502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3"/>
        <v>278</v>
      </c>
      <c r="FA169" s="5" t="str">
        <f t="shared" ca="1" si="504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5"/>
        <v>250</v>
      </c>
      <c r="FF169" s="5" t="str">
        <f t="shared" ca="1" si="506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7"/>
        <v>252</v>
      </c>
      <c r="FK169" s="5" t="str">
        <f t="shared" ca="1" si="508"/>
        <v>VIGENTE</v>
      </c>
      <c r="FL169" s="3"/>
      <c r="FM169" s="39">
        <v>45686</v>
      </c>
      <c r="FN169" s="4">
        <f>DATE(YEAR(FM169)+2,MONTH(FM169),DAY(FM169)-1)</f>
        <v>46415</v>
      </c>
      <c r="FO169" s="8">
        <f t="shared" ca="1" si="509"/>
        <v>270</v>
      </c>
      <c r="FP169" s="5" t="str">
        <f t="shared" ca="1" si="510"/>
        <v>VIGENTE</v>
      </c>
      <c r="FQ169" s="3"/>
      <c r="FR169" s="39">
        <v>45664</v>
      </c>
      <c r="FS169" s="4">
        <f>DATE(YEAR(FR169)+2,MONTH(FR169),DAY(FR169)-1)</f>
        <v>46393</v>
      </c>
      <c r="FT169" s="8">
        <f t="shared" ca="1" si="511"/>
        <v>248</v>
      </c>
      <c r="FU169" s="5" t="str">
        <f t="shared" ca="1" si="512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3"/>
        <v>284</v>
      </c>
      <c r="FZ169" s="5" t="str">
        <f t="shared" ca="1" si="514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5"/>
        <v>251</v>
      </c>
      <c r="GE169" s="5" t="str">
        <f t="shared" ca="1" si="516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7"/>
        <v>256</v>
      </c>
      <c r="GJ169" s="5" t="str">
        <f t="shared" ca="1" si="518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9"/>
        <v>271</v>
      </c>
      <c r="GO169" s="5" t="str">
        <f t="shared" ca="1" si="520"/>
        <v>VIGENTE</v>
      </c>
      <c r="GP169" s="4"/>
      <c r="GQ169" s="4">
        <v>45048</v>
      </c>
      <c r="GR169" s="4">
        <f t="shared" si="521"/>
        <v>46875</v>
      </c>
      <c r="GS169" s="8">
        <f t="shared" ca="1" si="405"/>
        <v>730</v>
      </c>
      <c r="GT169" s="5" t="str">
        <f t="shared" ca="1" si="419"/>
        <v>VIGENTE</v>
      </c>
      <c r="GU169" s="3"/>
      <c r="GV169" s="4">
        <v>45010</v>
      </c>
      <c r="GW169" s="4">
        <f t="shared" si="522"/>
        <v>46837</v>
      </c>
      <c r="GX169" s="8">
        <f t="shared" ca="1" si="523"/>
        <v>692</v>
      </c>
      <c r="GY169" s="5" t="str">
        <f t="shared" ca="1" si="426"/>
        <v>VIGENTE</v>
      </c>
      <c r="GZ169" s="2"/>
      <c r="HA169" s="4">
        <v>45073</v>
      </c>
      <c r="HB169" s="4">
        <f t="shared" si="524"/>
        <v>46900</v>
      </c>
      <c r="HC169" s="8">
        <f t="shared" ca="1" si="525"/>
        <v>755</v>
      </c>
      <c r="HD169" s="5" t="str">
        <f t="shared" ca="1" si="421"/>
        <v>VIGENTE</v>
      </c>
      <c r="HE169" s="6"/>
      <c r="HF169" s="4">
        <v>45020</v>
      </c>
      <c r="HG169" s="4">
        <f t="shared" si="598"/>
        <v>46847</v>
      </c>
      <c r="HH169" s="8">
        <f t="shared" ca="1" si="599"/>
        <v>702</v>
      </c>
      <c r="HI169" s="5" t="str">
        <f t="shared" ca="1" si="427"/>
        <v>VIGENTE</v>
      </c>
      <c r="HJ169" s="2"/>
      <c r="HK169" s="6"/>
      <c r="HL169" s="4"/>
      <c r="HM169" s="8"/>
      <c r="HN169" s="5" t="str">
        <f t="shared" si="444"/>
        <v>NO APLICA</v>
      </c>
      <c r="HO169" s="2"/>
      <c r="HP169" s="2"/>
      <c r="HQ169" s="4"/>
      <c r="HR169" s="2"/>
      <c r="HS169" s="5" t="str">
        <f t="shared" si="526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7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8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9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30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1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2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3"/>
        <v>VIGENTE</v>
      </c>
      <c r="JC169" s="3" t="s">
        <v>780</v>
      </c>
      <c r="JD169" s="3"/>
      <c r="JE169" s="4"/>
      <c r="JF169" s="8"/>
      <c r="JG169" s="5"/>
      <c r="JH169" s="3" t="s">
        <v>780</v>
      </c>
      <c r="JI169" s="6"/>
      <c r="JJ169" s="6"/>
      <c r="JK169" s="6"/>
      <c r="JL169" s="5"/>
      <c r="JM169" s="6" t="s">
        <v>780</v>
      </c>
      <c r="JN169" s="6"/>
      <c r="JO169" s="6"/>
      <c r="JP169" s="6"/>
      <c r="JQ169" s="5"/>
      <c r="JR169" s="6" t="s">
        <v>780</v>
      </c>
      <c r="JS169" s="6"/>
      <c r="JT169" s="6"/>
      <c r="JU169" s="6"/>
      <c r="JV169" s="5"/>
      <c r="JW169" s="6" t="s">
        <v>780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4"/>
        <v>NO APLICA</v>
      </c>
      <c r="KG169" s="5"/>
      <c r="KH169" s="2"/>
      <c r="KI169" s="4"/>
      <c r="KJ169" s="8"/>
      <c r="KK169" s="5" t="str">
        <f t="shared" si="559"/>
        <v>NO APLICA</v>
      </c>
      <c r="KL169" s="5"/>
      <c r="KM169" s="2"/>
      <c r="KN169" s="4"/>
      <c r="KO169" s="8"/>
      <c r="KP169" s="5" t="str">
        <f t="shared" si="535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60"/>
        <v>VIGENTE</v>
      </c>
      <c r="KV169" s="2"/>
      <c r="KW169" s="6"/>
      <c r="KX169" s="4"/>
      <c r="KY169" s="8"/>
      <c r="KZ169" s="5" t="str">
        <f t="shared" si="565"/>
        <v>NO APLICA</v>
      </c>
      <c r="LA169" s="5"/>
      <c r="LB169" s="6"/>
      <c r="LC169" s="4"/>
      <c r="LD169" s="8"/>
      <c r="LE169" s="5" t="str">
        <f t="shared" si="561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600"/>
        <v>VIGENTE</v>
      </c>
      <c r="LK169" s="5"/>
      <c r="LL169" s="5"/>
      <c r="LM169" s="5"/>
      <c r="LN169" s="5"/>
      <c r="LO169" s="5" t="str">
        <f t="shared" si="566"/>
        <v>NO APLICA</v>
      </c>
      <c r="LP169" s="2"/>
      <c r="LQ169" s="6"/>
      <c r="LR169" s="4"/>
      <c r="LS169" s="8"/>
      <c r="LT169" s="5" t="str">
        <f t="shared" si="562"/>
        <v>NO APLICA</v>
      </c>
      <c r="LU169" s="6"/>
      <c r="LV169" s="6"/>
      <c r="LW169" s="4"/>
      <c r="LX169" s="8"/>
      <c r="LY169" s="5" t="str">
        <f t="shared" si="563"/>
        <v>NO APLICA</v>
      </c>
      <c r="LZ169" s="6"/>
      <c r="MA169" s="6"/>
      <c r="MB169" s="4"/>
      <c r="MC169" s="8"/>
      <c r="MD169" s="5" t="str">
        <f t="shared" si="564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7"/>
        <v>VIGENTE</v>
      </c>
      <c r="MJ169" s="2"/>
      <c r="MK169" s="2"/>
      <c r="ML169" s="4"/>
      <c r="MM169" s="8"/>
      <c r="MN169" s="5" t="str">
        <f t="shared" si="538"/>
        <v>NO APLICA</v>
      </c>
      <c r="MO169" s="5"/>
      <c r="MP169" s="2"/>
      <c r="MQ169" s="4"/>
      <c r="MR169" s="8"/>
      <c r="MS169" s="5" t="str">
        <f t="shared" si="539"/>
        <v>NO APLICA</v>
      </c>
      <c r="MT169" s="5"/>
      <c r="MU169" s="2"/>
      <c r="MV169" s="4"/>
      <c r="MW169" s="2"/>
      <c r="MX169" s="5" t="str">
        <f t="shared" si="540"/>
        <v>NO APLICA</v>
      </c>
      <c r="MY169" s="2"/>
      <c r="MZ169" s="6"/>
      <c r="NA169" s="4"/>
      <c r="NB169" s="8"/>
      <c r="NC169" s="5" t="str">
        <f t="shared" si="541"/>
        <v>NO APLICA</v>
      </c>
      <c r="ND169" s="2"/>
      <c r="NE169" s="6"/>
      <c r="NF169" s="4"/>
      <c r="NG169" s="8"/>
      <c r="NH169" s="5" t="str">
        <f t="shared" si="542"/>
        <v>NO APLICA</v>
      </c>
      <c r="NI169" s="2"/>
      <c r="NJ169" s="6"/>
      <c r="NK169" s="4"/>
      <c r="NL169" s="8"/>
      <c r="NM169" s="5" t="str">
        <f t="shared" si="543"/>
        <v>NO APLICA</v>
      </c>
      <c r="NN169" s="2"/>
      <c r="NO169" s="2"/>
      <c r="NP169" s="4"/>
      <c r="NQ169" s="2"/>
      <c r="NR169" s="5" t="str">
        <f t="shared" si="544"/>
        <v>NO APLICA</v>
      </c>
      <c r="NS169" s="2"/>
      <c r="NT169" s="2"/>
      <c r="NU169" s="4"/>
      <c r="NV169" s="2"/>
      <c r="NW169" s="5" t="str">
        <f t="shared" si="545"/>
        <v>NO APLICA</v>
      </c>
      <c r="NX169" s="6"/>
      <c r="NY169" s="6"/>
      <c r="NZ169" s="4"/>
      <c r="OA169" s="8"/>
      <c r="OB169" s="5" t="str">
        <f t="shared" si="546"/>
        <v>NO APLICA</v>
      </c>
      <c r="OC169" s="6"/>
      <c r="OD169" s="6"/>
      <c r="OE169" s="6"/>
      <c r="OF169" s="6"/>
      <c r="OG169" s="5" t="str">
        <f t="shared" si="547"/>
        <v>NO APLICA</v>
      </c>
      <c r="OH169" s="6"/>
      <c r="OI169" s="6"/>
      <c r="OJ169" s="4"/>
      <c r="OK169" s="8"/>
      <c r="OL169" s="5" t="str">
        <f t="shared" si="548"/>
        <v>NO APLICA</v>
      </c>
      <c r="OM169" s="6"/>
      <c r="ON169" s="6"/>
      <c r="OO169" s="6"/>
      <c r="OP169" s="6"/>
      <c r="OQ169" s="5" t="str">
        <f t="shared" si="549"/>
        <v>NO APLICA</v>
      </c>
      <c r="OR169" s="6"/>
      <c r="OS169" s="6"/>
      <c r="OT169" s="6"/>
      <c r="OU169" s="6"/>
      <c r="OV169" s="5" t="str">
        <f t="shared" si="550"/>
        <v>NO APLICA</v>
      </c>
      <c r="OW169" s="6"/>
      <c r="OX169" s="6"/>
      <c r="OY169" s="6"/>
      <c r="OZ169" s="6"/>
      <c r="PA169" s="5" t="str">
        <f t="shared" si="551"/>
        <v>NO APLICA</v>
      </c>
      <c r="PB169" s="6"/>
      <c r="PC169" s="6"/>
      <c r="PD169" s="6"/>
      <c r="PE169" s="6"/>
      <c r="PF169" s="5" t="str">
        <f t="shared" si="552"/>
        <v>NO APLICA</v>
      </c>
      <c r="PG169" s="6"/>
      <c r="PH169" s="6"/>
      <c r="PI169" s="6"/>
      <c r="PJ169" s="6"/>
      <c r="PK169" s="5" t="str">
        <f t="shared" si="553"/>
        <v>NO APLICA</v>
      </c>
      <c r="PL169" s="5"/>
      <c r="PM169" s="6"/>
      <c r="PN169" s="4"/>
      <c r="PO169" s="8"/>
      <c r="PP169" s="5" t="str">
        <f t="shared" si="554"/>
        <v>NO APLICA</v>
      </c>
      <c r="PQ169" s="6"/>
      <c r="PR169" s="6"/>
      <c r="PS169" s="6"/>
      <c r="PT169" s="6"/>
      <c r="PU169" s="5" t="str">
        <f t="shared" si="555"/>
        <v>NO APLICA</v>
      </c>
      <c r="PV169" s="5"/>
      <c r="PW169" s="6"/>
      <c r="PX169" s="6"/>
      <c r="PY169" s="6"/>
      <c r="PZ169" s="5" t="str">
        <f t="shared" si="556"/>
        <v>NO APLICA</v>
      </c>
    </row>
    <row r="170" spans="1:442" ht="15.6" hidden="1" thickTop="1" thickBot="1" x14ac:dyDescent="0.35">
      <c r="A170" s="26">
        <v>167</v>
      </c>
      <c r="B170" s="27">
        <v>1608</v>
      </c>
      <c r="C170" s="28" t="s">
        <v>542</v>
      </c>
      <c r="D170" s="29" t="s">
        <v>64</v>
      </c>
      <c r="E170" s="30" t="s">
        <v>65</v>
      </c>
      <c r="F170" s="5"/>
      <c r="G170" s="6"/>
      <c r="H170" s="4"/>
      <c r="I170" s="8"/>
      <c r="J170" s="5" t="str">
        <f t="shared" si="455"/>
        <v>NO APLICA</v>
      </c>
      <c r="K170" s="2"/>
      <c r="L170" s="6"/>
      <c r="M170" s="6"/>
      <c r="N170" s="8"/>
      <c r="O170" s="5" t="str">
        <f t="shared" si="456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7"/>
        <v>VIGENTE</v>
      </c>
      <c r="U170" s="5"/>
      <c r="V170" s="6" t="s">
        <v>543</v>
      </c>
      <c r="W170" s="4">
        <v>44701</v>
      </c>
      <c r="X170" s="4">
        <f t="shared" si="587"/>
        <v>46527</v>
      </c>
      <c r="Y170" s="8">
        <f t="shared" ca="1" si="588"/>
        <v>382</v>
      </c>
      <c r="Z170" s="5" t="str">
        <f t="shared" ca="1" si="412"/>
        <v>VIGENTE</v>
      </c>
      <c r="AA170" s="5"/>
      <c r="AB170" s="2" t="s">
        <v>544</v>
      </c>
      <c r="AC170" s="4">
        <v>45190</v>
      </c>
      <c r="AD170" s="4">
        <f t="shared" si="596"/>
        <v>47017</v>
      </c>
      <c r="AE170" s="8">
        <f t="shared" ca="1" si="597"/>
        <v>872</v>
      </c>
      <c r="AF170" s="5" t="str">
        <f t="shared" ca="1" si="457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8"/>
        <v>193</v>
      </c>
      <c r="AK170" s="5" t="str">
        <f t="shared" ca="1" si="408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9"/>
        <v>294</v>
      </c>
      <c r="AP170" s="5" t="str">
        <f t="shared" ca="1" si="460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1"/>
        <v>574</v>
      </c>
      <c r="AU170" s="5" t="str">
        <f t="shared" ca="1" si="462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3"/>
        <v>557</v>
      </c>
      <c r="AZ170" s="5" t="str">
        <f t="shared" ca="1" si="464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5"/>
        <v>626</v>
      </c>
      <c r="BE170" s="5" t="str">
        <f t="shared" ca="1" si="466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7"/>
        <v>612</v>
      </c>
      <c r="BJ170" s="5" t="str">
        <f t="shared" ca="1" si="468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9"/>
        <v>184</v>
      </c>
      <c r="BO170" s="5" t="str">
        <f t="shared" ca="1" si="470"/>
        <v>VIGENTE</v>
      </c>
      <c r="BP170" s="3"/>
      <c r="BQ170" s="39">
        <v>45701</v>
      </c>
      <c r="BR170" s="4">
        <f>DATE(YEAR(BQ170)+2,MONTH(BQ170),DAY(BQ170)-1)</f>
        <v>46430</v>
      </c>
      <c r="BS170" s="8">
        <f t="shared" ca="1" si="471"/>
        <v>285</v>
      </c>
      <c r="BT170" s="5" t="str">
        <f t="shared" ca="1" si="472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3"/>
        <v>535</v>
      </c>
      <c r="BY170" s="5" t="str">
        <f t="shared" ca="1" si="474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5"/>
        <v>314</v>
      </c>
      <c r="CD170" s="5" t="str">
        <f t="shared" ca="1" si="476"/>
        <v>VIGENTE</v>
      </c>
      <c r="CE170" s="6"/>
      <c r="CF170" s="4">
        <v>45832</v>
      </c>
      <c r="CG170" s="4">
        <f t="shared" si="590"/>
        <v>47293</v>
      </c>
      <c r="CH170" s="8">
        <f t="shared" ca="1" si="591"/>
        <v>1148</v>
      </c>
      <c r="CI170" s="5" t="str">
        <f t="shared" ca="1" si="573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7"/>
        <v>307</v>
      </c>
      <c r="CN170" s="5" t="str">
        <f t="shared" ca="1" si="478"/>
        <v>VIGENTE</v>
      </c>
      <c r="CO170" s="3"/>
      <c r="CP170" s="39">
        <v>45684</v>
      </c>
      <c r="CQ170" s="4">
        <f>DATE(YEAR(CP170)+2,MONTH(CP170),DAY(CP170)-1)</f>
        <v>46413</v>
      </c>
      <c r="CR170" s="8">
        <f t="shared" ca="1" si="479"/>
        <v>268</v>
      </c>
      <c r="CS170" s="5" t="str">
        <f t="shared" ca="1" si="480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1"/>
        <v>490</v>
      </c>
      <c r="CX170" s="5" t="str">
        <f t="shared" ca="1" si="482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3"/>
        <v>585</v>
      </c>
      <c r="DC170" s="5" t="str">
        <f t="shared" ca="1" si="484"/>
        <v>VIGENTE</v>
      </c>
      <c r="DD170" s="3"/>
      <c r="DE170" s="39">
        <v>45689</v>
      </c>
      <c r="DF170" s="4">
        <f>DATE(YEAR(DE170)+2,MONTH(DE170),DAY(DE170)-1)</f>
        <v>46418</v>
      </c>
      <c r="DG170" s="8">
        <f t="shared" ca="1" si="485"/>
        <v>273</v>
      </c>
      <c r="DH170" s="5" t="str">
        <f t="shared" ca="1" si="486"/>
        <v>VIGENTE</v>
      </c>
      <c r="DI170" s="3"/>
      <c r="DJ170" s="39">
        <v>45975</v>
      </c>
      <c r="DK170" s="4">
        <f>DATE(YEAR(DJ170)+2,MONTH(DJ170),DAY(DJ170))</f>
        <v>46705</v>
      </c>
      <c r="DL170" s="8">
        <f t="shared" ca="1" si="487"/>
        <v>560</v>
      </c>
      <c r="DM170" s="5" t="str">
        <f t="shared" ca="1" si="488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9"/>
        <v>592</v>
      </c>
      <c r="DR170" s="5" t="str">
        <f t="shared" ca="1" si="490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1"/>
        <v>638</v>
      </c>
      <c r="DW170" s="5" t="str">
        <f t="shared" ca="1" si="492"/>
        <v>VIGENTE</v>
      </c>
      <c r="DX170" s="3"/>
      <c r="DY170" s="4">
        <v>45682</v>
      </c>
      <c r="DZ170" s="4">
        <f t="shared" si="595"/>
        <v>46411</v>
      </c>
      <c r="EA170" s="8">
        <f t="shared" ca="1" si="493"/>
        <v>266</v>
      </c>
      <c r="EB170" s="5" t="str">
        <f t="shared" ca="1" si="494"/>
        <v>VIGENTE</v>
      </c>
      <c r="EC170" s="3"/>
      <c r="ED170" s="39">
        <v>45674</v>
      </c>
      <c r="EE170" s="4">
        <f>DATE(YEAR(ED170)+2,MONTH(ED170),DAY(ED170)-1)</f>
        <v>46403</v>
      </c>
      <c r="EF170" s="8">
        <f t="shared" ca="1" si="495"/>
        <v>258</v>
      </c>
      <c r="EG170" s="5" t="str">
        <f t="shared" ca="1" si="496"/>
        <v>VIGENTE</v>
      </c>
      <c r="EH170" s="3"/>
      <c r="EI170" s="3">
        <v>46060</v>
      </c>
      <c r="EJ170" s="4">
        <f t="shared" si="558"/>
        <v>46425</v>
      </c>
      <c r="EK170" s="8">
        <f t="shared" ca="1" si="497"/>
        <v>280</v>
      </c>
      <c r="EL170" s="5" t="str">
        <f t="shared" ca="1" si="498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9"/>
        <v>220</v>
      </c>
      <c r="EQ170" s="5" t="str">
        <f t="shared" ca="1" si="500"/>
        <v>VIGENTE</v>
      </c>
      <c r="ER170" s="3"/>
      <c r="ES170" s="39">
        <v>45999</v>
      </c>
      <c r="ET170" s="4">
        <f>DATE(YEAR(ES170)+2,MONTH(ES170),DAY(ES170))</f>
        <v>46729</v>
      </c>
      <c r="EU170" s="8">
        <f t="shared" ca="1" si="501"/>
        <v>584</v>
      </c>
      <c r="EV170" s="5" t="str">
        <f t="shared" ca="1" si="502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3"/>
        <v>278</v>
      </c>
      <c r="FA170" s="5" t="str">
        <f t="shared" ca="1" si="504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5"/>
        <v>250</v>
      </c>
      <c r="FF170" s="5" t="str">
        <f t="shared" ca="1" si="506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7"/>
        <v>252</v>
      </c>
      <c r="FK170" s="5" t="str">
        <f t="shared" ca="1" si="508"/>
        <v>VIGENTE</v>
      </c>
      <c r="FL170" s="3"/>
      <c r="FM170" s="39">
        <v>45771</v>
      </c>
      <c r="FN170" s="4">
        <f>DATE(YEAR(FM170)+2,MONTH(FM170),DAY(FM170))</f>
        <v>46501</v>
      </c>
      <c r="FO170" s="8">
        <f t="shared" ca="1" si="509"/>
        <v>356</v>
      </c>
      <c r="FP170" s="5" t="str">
        <f t="shared" ca="1" si="510"/>
        <v>VIGENTE</v>
      </c>
      <c r="FQ170" s="3"/>
      <c r="FR170" s="39">
        <v>45664</v>
      </c>
      <c r="FS170" s="4">
        <f>DATE(YEAR(FR170)+2,MONTH(FR170),DAY(FR170)-1)</f>
        <v>46393</v>
      </c>
      <c r="FT170" s="8">
        <f t="shared" ca="1" si="511"/>
        <v>248</v>
      </c>
      <c r="FU170" s="5" t="str">
        <f t="shared" ca="1" si="512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3"/>
        <v>171</v>
      </c>
      <c r="FZ170" s="5" t="str">
        <f t="shared" ca="1" si="514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5"/>
        <v>510</v>
      </c>
      <c r="GE170" s="5" t="str">
        <f t="shared" ca="1" si="516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7"/>
        <v>163</v>
      </c>
      <c r="GJ170" s="5" t="str">
        <f t="shared" ca="1" si="518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9"/>
        <v>192</v>
      </c>
      <c r="GO170" s="5" t="str">
        <f t="shared" ca="1" si="520"/>
        <v>VIGENTE</v>
      </c>
      <c r="GP170" s="4"/>
      <c r="GQ170" s="4">
        <v>45017</v>
      </c>
      <c r="GR170" s="4">
        <f t="shared" si="521"/>
        <v>46844</v>
      </c>
      <c r="GS170" s="8">
        <f t="shared" ca="1" si="405"/>
        <v>699</v>
      </c>
      <c r="GT170" s="5" t="str">
        <f t="shared" ca="1" si="419"/>
        <v>VIGENTE</v>
      </c>
      <c r="GU170" s="3"/>
      <c r="GV170" s="4">
        <v>44952</v>
      </c>
      <c r="GW170" s="4">
        <f t="shared" si="522"/>
        <v>46778</v>
      </c>
      <c r="GX170" s="8">
        <f t="shared" ca="1" si="523"/>
        <v>633</v>
      </c>
      <c r="GY170" s="5" t="str">
        <f t="shared" ca="1" si="426"/>
        <v>VIGENTE</v>
      </c>
      <c r="GZ170" s="2"/>
      <c r="HA170" s="4">
        <v>45016</v>
      </c>
      <c r="HB170" s="4">
        <f t="shared" si="524"/>
        <v>46843</v>
      </c>
      <c r="HC170" s="8">
        <f t="shared" ca="1" si="525"/>
        <v>698</v>
      </c>
      <c r="HD170" s="5" t="str">
        <f t="shared" ca="1" si="421"/>
        <v>VIGENTE</v>
      </c>
      <c r="HE170" s="6"/>
      <c r="HF170" s="4">
        <v>45115</v>
      </c>
      <c r="HG170" s="4">
        <f t="shared" si="598"/>
        <v>46942</v>
      </c>
      <c r="HH170" s="8">
        <f t="shared" ca="1" si="599"/>
        <v>797</v>
      </c>
      <c r="HI170" s="5" t="str">
        <f t="shared" ca="1" si="427"/>
        <v>VIGENTE</v>
      </c>
      <c r="HJ170" s="2"/>
      <c r="HK170" s="6"/>
      <c r="HL170" s="4"/>
      <c r="HM170" s="8"/>
      <c r="HN170" s="5" t="str">
        <f t="shared" si="444"/>
        <v>NO APLICA</v>
      </c>
      <c r="HO170" s="2"/>
      <c r="HP170" s="2"/>
      <c r="HQ170" s="4"/>
      <c r="HR170" s="2"/>
      <c r="HS170" s="5" t="str">
        <f t="shared" si="526"/>
        <v>NO APLICA</v>
      </c>
      <c r="HT170" s="2"/>
      <c r="HU170" s="6"/>
      <c r="HV170" s="4"/>
      <c r="HW170" s="8"/>
      <c r="HX170" s="5" t="str">
        <f t="shared" si="527"/>
        <v>NO APLICA</v>
      </c>
      <c r="HY170" s="2"/>
      <c r="HZ170" s="6"/>
      <c r="IA170" s="4"/>
      <c r="IB170" s="8"/>
      <c r="IC170" s="5" t="str">
        <f t="shared" si="528"/>
        <v>NO APLICA</v>
      </c>
      <c r="ID170" s="2"/>
      <c r="IE170" s="6"/>
      <c r="IF170" s="4"/>
      <c r="IG170" s="8"/>
      <c r="IH170" s="5" t="str">
        <f t="shared" si="529"/>
        <v>NO APLICA</v>
      </c>
      <c r="II170" s="6"/>
      <c r="IJ170" s="6"/>
      <c r="IK170" s="4"/>
      <c r="IL170" s="8"/>
      <c r="IM170" s="5" t="str">
        <f t="shared" si="530"/>
        <v>NO APLICA</v>
      </c>
      <c r="IN170" s="2"/>
      <c r="IO170" s="6"/>
      <c r="IP170" s="4"/>
      <c r="IQ170" s="8"/>
      <c r="IR170" s="5" t="str">
        <f t="shared" si="531"/>
        <v>NO APLICA</v>
      </c>
      <c r="IS170" s="2"/>
      <c r="IT170" s="6"/>
      <c r="IU170" s="4"/>
      <c r="IV170" s="8"/>
      <c r="IW170" s="5" t="str">
        <f t="shared" si="532"/>
        <v>NO APLICA</v>
      </c>
      <c r="IX170" s="2"/>
      <c r="IY170" s="6"/>
      <c r="IZ170" s="4"/>
      <c r="JA170" s="8"/>
      <c r="JB170" s="5" t="str">
        <f t="shared" si="533"/>
        <v>NO APLICA</v>
      </c>
      <c r="JC170" s="3" t="s">
        <v>780</v>
      </c>
      <c r="JD170" s="3"/>
      <c r="JE170" s="4"/>
      <c r="JF170" s="8"/>
      <c r="JG170" s="5"/>
      <c r="JH170" s="3" t="s">
        <v>780</v>
      </c>
      <c r="JI170" s="6"/>
      <c r="JJ170" s="6"/>
      <c r="JK170" s="6"/>
      <c r="JL170" s="5"/>
      <c r="JM170" s="6" t="s">
        <v>780</v>
      </c>
      <c r="JN170" s="6"/>
      <c r="JO170" s="6"/>
      <c r="JP170" s="6"/>
      <c r="JQ170" s="5"/>
      <c r="JR170" s="6" t="s">
        <v>780</v>
      </c>
      <c r="JS170" s="6"/>
      <c r="JT170" s="6"/>
      <c r="JU170" s="6"/>
      <c r="JV170" s="5"/>
      <c r="JW170" s="6" t="s">
        <v>780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4"/>
        <v>NO APLICA</v>
      </c>
      <c r="KG170" s="5"/>
      <c r="KH170" s="2"/>
      <c r="KI170" s="4"/>
      <c r="KJ170" s="8"/>
      <c r="KK170" s="5" t="str">
        <f t="shared" si="559"/>
        <v>NO APLICA</v>
      </c>
      <c r="KL170" s="5"/>
      <c r="KM170" s="2"/>
      <c r="KN170" s="4"/>
      <c r="KO170" s="8"/>
      <c r="KP170" s="5" t="str">
        <f t="shared" si="535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60"/>
        <v>VIGENTE</v>
      </c>
      <c r="KV170" s="2"/>
      <c r="KW170" s="6"/>
      <c r="KX170" s="4"/>
      <c r="KY170" s="8"/>
      <c r="KZ170" s="5" t="str">
        <f t="shared" si="565"/>
        <v>NO APLICA</v>
      </c>
      <c r="LA170" s="5"/>
      <c r="LB170" s="6"/>
      <c r="LC170" s="4"/>
      <c r="LD170" s="8"/>
      <c r="LE170" s="5" t="str">
        <f t="shared" si="561"/>
        <v>NO APLICA</v>
      </c>
      <c r="LF170" s="6"/>
      <c r="LG170" s="6"/>
      <c r="LH170" s="4"/>
      <c r="LI170" s="8"/>
      <c r="LJ170" s="5" t="str">
        <f t="shared" si="600"/>
        <v>NO APLICA</v>
      </c>
      <c r="LK170" s="5"/>
      <c r="LL170" s="5"/>
      <c r="LM170" s="4"/>
      <c r="LN170" s="8"/>
      <c r="LO170" s="5" t="str">
        <f t="shared" si="566"/>
        <v>NO APLICA</v>
      </c>
      <c r="LP170" s="2"/>
      <c r="LQ170" s="6"/>
      <c r="LR170" s="4"/>
      <c r="LS170" s="8"/>
      <c r="LT170" s="5" t="str">
        <f t="shared" si="562"/>
        <v>NO APLICA</v>
      </c>
      <c r="LU170" s="6"/>
      <c r="LV170" s="6"/>
      <c r="LW170" s="4"/>
      <c r="LX170" s="8"/>
      <c r="LY170" s="5" t="str">
        <f t="shared" si="563"/>
        <v>NO APLICA</v>
      </c>
      <c r="LZ170" s="6"/>
      <c r="MA170" s="6"/>
      <c r="MB170" s="4"/>
      <c r="MC170" s="8"/>
      <c r="MD170" s="5" t="str">
        <f t="shared" si="564"/>
        <v>NO APLICA</v>
      </c>
      <c r="ME170" s="2"/>
      <c r="MF170" s="2"/>
      <c r="MG170" s="4"/>
      <c r="MH170" s="8"/>
      <c r="MI170" s="5" t="str">
        <f t="shared" si="537"/>
        <v>NO APLICA</v>
      </c>
      <c r="MJ170" s="2"/>
      <c r="MK170" s="2"/>
      <c r="ML170" s="4"/>
      <c r="MM170" s="8"/>
      <c r="MN170" s="5" t="str">
        <f t="shared" si="538"/>
        <v>NO APLICA</v>
      </c>
      <c r="MO170" s="5"/>
      <c r="MP170" s="2"/>
      <c r="MQ170" s="4"/>
      <c r="MR170" s="8"/>
      <c r="MS170" s="5" t="str">
        <f t="shared" si="539"/>
        <v>NO APLICA</v>
      </c>
      <c r="MT170" s="5"/>
      <c r="MU170" s="2"/>
      <c r="MV170" s="4"/>
      <c r="MW170" s="2"/>
      <c r="MX170" s="5" t="str">
        <f t="shared" si="540"/>
        <v>NO APLICA</v>
      </c>
      <c r="MY170" s="2"/>
      <c r="MZ170" s="6"/>
      <c r="NA170" s="4"/>
      <c r="NB170" s="8"/>
      <c r="NC170" s="5" t="str">
        <f t="shared" si="541"/>
        <v>NO APLICA</v>
      </c>
      <c r="ND170" s="2"/>
      <c r="NE170" s="6"/>
      <c r="NF170" s="4"/>
      <c r="NG170" s="8"/>
      <c r="NH170" s="5" t="str">
        <f t="shared" si="542"/>
        <v>NO APLICA</v>
      </c>
      <c r="NI170" s="2"/>
      <c r="NJ170" s="6"/>
      <c r="NK170" s="4"/>
      <c r="NL170" s="8"/>
      <c r="NM170" s="5" t="str">
        <f t="shared" si="543"/>
        <v>NO APLICA</v>
      </c>
      <c r="NN170" s="2"/>
      <c r="NO170" s="2"/>
      <c r="NP170" s="4"/>
      <c r="NQ170" s="8"/>
      <c r="NR170" s="5" t="str">
        <f t="shared" si="544"/>
        <v>NO APLICA</v>
      </c>
      <c r="NS170" s="2"/>
      <c r="NT170" s="2"/>
      <c r="NU170" s="4"/>
      <c r="NV170" s="2"/>
      <c r="NW170" s="5" t="str">
        <f t="shared" si="545"/>
        <v>NO APLICA</v>
      </c>
      <c r="NX170" s="6"/>
      <c r="NY170" s="6"/>
      <c r="NZ170" s="4"/>
      <c r="OA170" s="8"/>
      <c r="OB170" s="5" t="str">
        <f t="shared" si="546"/>
        <v>NO APLICA</v>
      </c>
      <c r="OC170" s="6"/>
      <c r="OD170" s="6"/>
      <c r="OE170" s="6"/>
      <c r="OF170" s="6"/>
      <c r="OG170" s="5" t="str">
        <f t="shared" si="547"/>
        <v>NO APLICA</v>
      </c>
      <c r="OH170" s="2"/>
      <c r="OI170" s="2"/>
      <c r="OJ170" s="4"/>
      <c r="OK170" s="8"/>
      <c r="OL170" s="5" t="str">
        <f t="shared" si="548"/>
        <v>NO APLICA</v>
      </c>
      <c r="OM170" s="6"/>
      <c r="ON170" s="6"/>
      <c r="OO170" s="6"/>
      <c r="OP170" s="6"/>
      <c r="OQ170" s="5" t="str">
        <f t="shared" si="549"/>
        <v>NO APLICA</v>
      </c>
      <c r="OR170" s="6"/>
      <c r="OS170" s="6"/>
      <c r="OT170" s="6"/>
      <c r="OU170" s="6"/>
      <c r="OV170" s="5" t="str">
        <f t="shared" si="550"/>
        <v>NO APLICA</v>
      </c>
      <c r="OW170" s="6"/>
      <c r="OX170" s="6"/>
      <c r="OY170" s="6"/>
      <c r="OZ170" s="6"/>
      <c r="PA170" s="5" t="str">
        <f t="shared" si="551"/>
        <v>NO APLICA</v>
      </c>
      <c r="PB170" s="6"/>
      <c r="PC170" s="6"/>
      <c r="PD170" s="6"/>
      <c r="PE170" s="6"/>
      <c r="PF170" s="5" t="str">
        <f t="shared" si="552"/>
        <v>NO APLICA</v>
      </c>
      <c r="PG170" s="6"/>
      <c r="PH170" s="6"/>
      <c r="PI170" s="6"/>
      <c r="PJ170" s="6"/>
      <c r="PK170" s="5" t="str">
        <f t="shared" si="553"/>
        <v>NO APLICA</v>
      </c>
      <c r="PL170" s="5"/>
      <c r="PM170" s="6"/>
      <c r="PN170" s="4"/>
      <c r="PO170" s="8"/>
      <c r="PP170" s="5" t="str">
        <f t="shared" si="554"/>
        <v>NO APLICA</v>
      </c>
      <c r="PQ170" s="6"/>
      <c r="PR170" s="6"/>
      <c r="PS170" s="6"/>
      <c r="PT170" s="6"/>
      <c r="PU170" s="5" t="str">
        <f t="shared" si="555"/>
        <v>NO APLICA</v>
      </c>
      <c r="PV170" s="5"/>
      <c r="PW170" s="6"/>
      <c r="PX170" s="6"/>
      <c r="PY170" s="6"/>
      <c r="PZ170" s="5" t="str">
        <f t="shared" si="556"/>
        <v>NO APLICA</v>
      </c>
    </row>
    <row r="171" spans="1:442" ht="15.6" hidden="1" thickTop="1" thickBot="1" x14ac:dyDescent="0.35">
      <c r="A171" s="26">
        <v>168</v>
      </c>
      <c r="B171" s="31">
        <v>1637</v>
      </c>
      <c r="C171" s="28" t="s">
        <v>768</v>
      </c>
      <c r="D171" s="29" t="s">
        <v>64</v>
      </c>
      <c r="E171" s="30" t="s">
        <v>81</v>
      </c>
      <c r="F171" s="5"/>
      <c r="G171" s="6"/>
      <c r="H171" s="4"/>
      <c r="I171" s="8"/>
      <c r="J171" s="5" t="str">
        <f t="shared" si="455"/>
        <v>NO APLICA</v>
      </c>
      <c r="K171" s="2"/>
      <c r="L171" s="6"/>
      <c r="M171" s="6"/>
      <c r="N171" s="8"/>
      <c r="O171" s="5" t="str">
        <f t="shared" si="456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7"/>
        <v>VIGENTE</v>
      </c>
      <c r="U171" s="5"/>
      <c r="V171" s="2" t="s">
        <v>545</v>
      </c>
      <c r="W171" s="4">
        <v>44918</v>
      </c>
      <c r="X171" s="4">
        <f t="shared" si="587"/>
        <v>46744</v>
      </c>
      <c r="Y171" s="8">
        <f t="shared" ca="1" si="588"/>
        <v>599</v>
      </c>
      <c r="Z171" s="5" t="str">
        <f t="shared" ca="1" si="412"/>
        <v>VIGENTE</v>
      </c>
      <c r="AA171" s="5"/>
      <c r="AB171" s="2" t="s">
        <v>546</v>
      </c>
      <c r="AC171" s="4">
        <v>45192</v>
      </c>
      <c r="AD171" s="4">
        <f t="shared" si="596"/>
        <v>47019</v>
      </c>
      <c r="AE171" s="8">
        <f t="shared" ca="1" si="597"/>
        <v>874</v>
      </c>
      <c r="AF171" s="5" t="str">
        <f t="shared" ca="1" si="457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8"/>
        <v>264</v>
      </c>
      <c r="AK171" s="5" t="str">
        <f t="shared" ca="1" si="408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9"/>
        <v>74</v>
      </c>
      <c r="AP171" s="5" t="str">
        <f t="shared" ca="1" si="460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1"/>
        <v>89</v>
      </c>
      <c r="AU171" s="5" t="str">
        <f t="shared" ca="1" si="462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3"/>
        <v>98</v>
      </c>
      <c r="AZ171" s="5" t="str">
        <f t="shared" ca="1" si="464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5"/>
        <v>99</v>
      </c>
      <c r="BE171" s="5" t="str">
        <f t="shared" ca="1" si="466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7"/>
        <v>282</v>
      </c>
      <c r="BJ171" s="5" t="str">
        <f t="shared" ca="1" si="468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9"/>
        <v>154</v>
      </c>
      <c r="BO171" s="5" t="str">
        <f t="shared" ca="1" si="470"/>
        <v>VIGENTE</v>
      </c>
      <c r="BP171" s="3"/>
      <c r="BQ171" s="39">
        <v>45604</v>
      </c>
      <c r="BR171" s="4">
        <f>DATE(YEAR(BQ171)+2,MONTH(BQ171),DAY(BQ171)-1)</f>
        <v>46333</v>
      </c>
      <c r="BS171" s="8">
        <f t="shared" ca="1" si="471"/>
        <v>188</v>
      </c>
      <c r="BT171" s="5" t="str">
        <f t="shared" ca="1" si="472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3"/>
        <v>279</v>
      </c>
      <c r="BY171" s="5" t="str">
        <f t="shared" ca="1" si="474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5"/>
        <v>184</v>
      </c>
      <c r="CD171" s="5" t="str">
        <f t="shared" ca="1" si="476"/>
        <v>VIGENTE</v>
      </c>
      <c r="CE171" s="6"/>
      <c r="CF171" s="4">
        <v>45828</v>
      </c>
      <c r="CG171" s="4">
        <f t="shared" si="590"/>
        <v>47289</v>
      </c>
      <c r="CH171" s="8">
        <f t="shared" ca="1" si="591"/>
        <v>1144</v>
      </c>
      <c r="CI171" s="5" t="str">
        <f t="shared" ca="1" si="573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7"/>
        <v>95</v>
      </c>
      <c r="CN171" s="5" t="str">
        <f t="shared" ca="1" si="478"/>
        <v>VIGENTE</v>
      </c>
      <c r="CO171" s="3"/>
      <c r="CP171" s="39">
        <v>45517</v>
      </c>
      <c r="CQ171" s="4">
        <f>DATE(YEAR(CP171)+2,MONTH(CP171),DAY(CP171)-1)</f>
        <v>46246</v>
      </c>
      <c r="CR171" s="8">
        <f t="shared" ca="1" si="479"/>
        <v>101</v>
      </c>
      <c r="CS171" s="5" t="str">
        <f t="shared" ca="1" si="480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1"/>
        <v>208</v>
      </c>
      <c r="CX171" s="5" t="str">
        <f t="shared" ca="1" si="482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3"/>
        <v>249</v>
      </c>
      <c r="DC171" s="5" t="str">
        <f t="shared" ca="1" si="484"/>
        <v>VIGENTE</v>
      </c>
      <c r="DD171" s="3"/>
      <c r="DE171" s="39">
        <v>45761</v>
      </c>
      <c r="DF171" s="4">
        <f>DATE(YEAR(DE171)+2,MONTH(DE171),DAY(DE171))</f>
        <v>46491</v>
      </c>
      <c r="DG171" s="8">
        <f t="shared" ca="1" si="485"/>
        <v>346</v>
      </c>
      <c r="DH171" s="5" t="str">
        <f t="shared" ca="1" si="486"/>
        <v>VIGENTE</v>
      </c>
      <c r="DI171" s="3"/>
      <c r="DJ171" s="39">
        <v>45580</v>
      </c>
      <c r="DK171" s="4">
        <f>DATE(YEAR(DJ171)+2,MONTH(DJ171),DAY(DJ171)-1)</f>
        <v>46309</v>
      </c>
      <c r="DL171" s="8">
        <f t="shared" ca="1" si="487"/>
        <v>164</v>
      </c>
      <c r="DM171" s="5" t="str">
        <f t="shared" ca="1" si="488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9"/>
        <v>104</v>
      </c>
      <c r="DR171" s="5" t="str">
        <f t="shared" ca="1" si="490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1"/>
        <v>192</v>
      </c>
      <c r="DW171" s="5" t="str">
        <f t="shared" ca="1" si="492"/>
        <v>VIGENTE</v>
      </c>
      <c r="DX171" s="3"/>
      <c r="DY171" s="4">
        <v>45663</v>
      </c>
      <c r="DZ171" s="4">
        <f t="shared" si="595"/>
        <v>46392</v>
      </c>
      <c r="EA171" s="8">
        <f t="shared" ca="1" si="493"/>
        <v>247</v>
      </c>
      <c r="EB171" s="5" t="str">
        <f t="shared" ca="1" si="494"/>
        <v>VIGENTE</v>
      </c>
      <c r="EC171" s="3"/>
      <c r="ED171" s="39">
        <v>45602</v>
      </c>
      <c r="EE171" s="4">
        <f>DATE(YEAR(ED171)+2,MONTH(ED171),DAY(ED171)-1)</f>
        <v>46331</v>
      </c>
      <c r="EF171" s="8">
        <f t="shared" ca="1" si="495"/>
        <v>186</v>
      </c>
      <c r="EG171" s="5" t="str">
        <f t="shared" ca="1" si="496"/>
        <v>VIGENTE</v>
      </c>
      <c r="EH171" s="3"/>
      <c r="EI171" s="3">
        <v>46107</v>
      </c>
      <c r="EJ171" s="4">
        <f t="shared" si="558"/>
        <v>46472</v>
      </c>
      <c r="EK171" s="8">
        <f t="shared" ca="1" si="497"/>
        <v>327</v>
      </c>
      <c r="EL171" s="5" t="str">
        <f t="shared" ca="1" si="498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9"/>
        <v>220</v>
      </c>
      <c r="EQ171" s="5" t="str">
        <f t="shared" ca="1" si="500"/>
        <v>VIGENTE</v>
      </c>
      <c r="ER171" s="3"/>
      <c r="ES171" s="39">
        <v>45623</v>
      </c>
      <c r="ET171" s="4">
        <f>DATE(YEAR(ES171)+2,MONTH(ES171),DAY(ES171)-1)</f>
        <v>46352</v>
      </c>
      <c r="EU171" s="8">
        <f t="shared" ca="1" si="501"/>
        <v>207</v>
      </c>
      <c r="EV171" s="5" t="str">
        <f t="shared" ca="1" si="502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3"/>
        <v>278</v>
      </c>
      <c r="FA171" s="5" t="str">
        <f t="shared" ca="1" si="504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5"/>
        <v>250</v>
      </c>
      <c r="FF171" s="5" t="str">
        <f t="shared" ca="1" si="506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7"/>
        <v>252</v>
      </c>
      <c r="FK171" s="5" t="str">
        <f t="shared" ca="1" si="508"/>
        <v>VIGENTE</v>
      </c>
      <c r="FL171" s="3"/>
      <c r="FM171" s="39">
        <v>45670</v>
      </c>
      <c r="FN171" s="4">
        <f>DATE(YEAR(FM171)+2,MONTH(FM171),DAY(FM171)-1)</f>
        <v>46399</v>
      </c>
      <c r="FO171" s="8">
        <f t="shared" ca="1" si="509"/>
        <v>254</v>
      </c>
      <c r="FP171" s="5" t="str">
        <f t="shared" ca="1" si="510"/>
        <v>VIGENTE</v>
      </c>
      <c r="FQ171" s="3"/>
      <c r="FR171" s="39">
        <v>45605</v>
      </c>
      <c r="FS171" s="4">
        <f>DATE(YEAR(FR171)+2,MONTH(FR171),DAY(FR171)-1)</f>
        <v>46334</v>
      </c>
      <c r="FT171" s="8">
        <f t="shared" ca="1" si="511"/>
        <v>189</v>
      </c>
      <c r="FU171" s="5" t="str">
        <f t="shared" ca="1" si="512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3"/>
        <v>171</v>
      </c>
      <c r="FZ171" s="5" t="str">
        <f t="shared" ca="1" si="514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5"/>
        <v>179</v>
      </c>
      <c r="GE171" s="5" t="str">
        <f t="shared" ca="1" si="516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7"/>
        <v>256</v>
      </c>
      <c r="GJ171" s="5" t="str">
        <f t="shared" ca="1" si="518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9"/>
        <v>271</v>
      </c>
      <c r="GO171" s="5" t="str">
        <f t="shared" ca="1" si="520"/>
        <v>VIGENTE</v>
      </c>
      <c r="GP171" s="4"/>
      <c r="GQ171" s="4">
        <v>44952</v>
      </c>
      <c r="GR171" s="4">
        <f t="shared" si="521"/>
        <v>46778</v>
      </c>
      <c r="GS171" s="8">
        <f t="shared" ref="GS171:GS191" ca="1" si="601">GR171-TODAY()</f>
        <v>633</v>
      </c>
      <c r="GT171" s="5" t="str">
        <f t="shared" ca="1" si="419"/>
        <v>VIGENTE</v>
      </c>
      <c r="GU171" s="3"/>
      <c r="GV171" s="4">
        <v>45006</v>
      </c>
      <c r="GW171" s="4">
        <f t="shared" si="522"/>
        <v>46833</v>
      </c>
      <c r="GX171" s="8">
        <f t="shared" ca="1" si="523"/>
        <v>688</v>
      </c>
      <c r="GY171" s="5" t="str">
        <f t="shared" ca="1" si="426"/>
        <v>VIGENTE</v>
      </c>
      <c r="GZ171" s="2"/>
      <c r="HA171" s="4">
        <v>45016</v>
      </c>
      <c r="HB171" s="4">
        <f t="shared" si="524"/>
        <v>46843</v>
      </c>
      <c r="HC171" s="8">
        <f t="shared" ca="1" si="525"/>
        <v>698</v>
      </c>
      <c r="HD171" s="5" t="str">
        <f t="shared" ca="1" si="421"/>
        <v>VIGENTE</v>
      </c>
      <c r="HE171" s="6"/>
      <c r="HF171" s="4">
        <v>45020</v>
      </c>
      <c r="HG171" s="4">
        <f t="shared" si="598"/>
        <v>46847</v>
      </c>
      <c r="HH171" s="8">
        <f t="shared" ca="1" si="599"/>
        <v>702</v>
      </c>
      <c r="HI171" s="5" t="str">
        <f t="shared" ca="1" si="427"/>
        <v>VIGENTE</v>
      </c>
      <c r="HJ171" s="2"/>
      <c r="HK171" s="6"/>
      <c r="HL171" s="4"/>
      <c r="HM171" s="8"/>
      <c r="HN171" s="5" t="str">
        <f t="shared" si="444"/>
        <v>NO APLICA</v>
      </c>
      <c r="HO171" s="2"/>
      <c r="HP171" s="2"/>
      <c r="HQ171" s="4"/>
      <c r="HR171" s="2"/>
      <c r="HS171" s="5" t="str">
        <f t="shared" si="526"/>
        <v>NO APLICA</v>
      </c>
      <c r="HT171" s="2"/>
      <c r="HU171" s="6"/>
      <c r="HV171" s="4"/>
      <c r="HW171" s="8"/>
      <c r="HX171" s="5" t="str">
        <f t="shared" si="527"/>
        <v>NO APLICA</v>
      </c>
      <c r="HY171" s="2"/>
      <c r="HZ171" s="6"/>
      <c r="IA171" s="4"/>
      <c r="IB171" s="8"/>
      <c r="IC171" s="5" t="str">
        <f t="shared" si="528"/>
        <v>NO APLICA</v>
      </c>
      <c r="ID171" s="2"/>
      <c r="IE171" s="6"/>
      <c r="IF171" s="4"/>
      <c r="IG171" s="8"/>
      <c r="IH171" s="5" t="str">
        <f t="shared" si="529"/>
        <v>NO APLICA</v>
      </c>
      <c r="II171" s="6"/>
      <c r="IJ171" s="6"/>
      <c r="IK171" s="4"/>
      <c r="IL171" s="8"/>
      <c r="IM171" s="5" t="str">
        <f t="shared" si="530"/>
        <v>NO APLICA</v>
      </c>
      <c r="IN171" s="2"/>
      <c r="IO171" s="6"/>
      <c r="IP171" s="4"/>
      <c r="IQ171" s="8"/>
      <c r="IR171" s="5" t="str">
        <f t="shared" si="531"/>
        <v>NO APLICA</v>
      </c>
      <c r="IS171" s="2"/>
      <c r="IT171" s="6"/>
      <c r="IU171" s="4"/>
      <c r="IV171" s="8"/>
      <c r="IW171" s="5" t="str">
        <f t="shared" si="532"/>
        <v>NO APLICA</v>
      </c>
      <c r="IX171" s="2"/>
      <c r="IY171" s="6"/>
      <c r="IZ171" s="4"/>
      <c r="JA171" s="8"/>
      <c r="JB171" s="5" t="str">
        <f t="shared" si="533"/>
        <v>NO APLICA</v>
      </c>
      <c r="JC171" s="3" t="s">
        <v>780</v>
      </c>
      <c r="JD171" s="3"/>
      <c r="JE171" s="4"/>
      <c r="JF171" s="8"/>
      <c r="JG171" s="5"/>
      <c r="JH171" s="3" t="s">
        <v>780</v>
      </c>
      <c r="JI171" s="6"/>
      <c r="JJ171" s="6"/>
      <c r="JK171" s="6"/>
      <c r="JL171" s="5"/>
      <c r="JM171" s="6" t="s">
        <v>780</v>
      </c>
      <c r="JN171" s="6"/>
      <c r="JO171" s="6"/>
      <c r="JP171" s="6"/>
      <c r="JQ171" s="5"/>
      <c r="JR171" s="6" t="s">
        <v>780</v>
      </c>
      <c r="JS171" s="6"/>
      <c r="JT171" s="6"/>
      <c r="JU171" s="6"/>
      <c r="JV171" s="5"/>
      <c r="JW171" s="6" t="s">
        <v>780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4"/>
        <v>NO APLICA</v>
      </c>
      <c r="KG171" s="5"/>
      <c r="KH171" s="2"/>
      <c r="KI171" s="4"/>
      <c r="KJ171" s="8"/>
      <c r="KK171" s="5" t="str">
        <f t="shared" si="559"/>
        <v>NO APLICA</v>
      </c>
      <c r="KL171" s="5"/>
      <c r="KM171" s="2"/>
      <c r="KN171" s="4"/>
      <c r="KO171" s="8"/>
      <c r="KP171" s="5" t="str">
        <f t="shared" si="535"/>
        <v>NO APLICA</v>
      </c>
      <c r="KQ171" s="5"/>
      <c r="KR171" s="2"/>
      <c r="KS171" s="4"/>
      <c r="KT171" s="8"/>
      <c r="KU171" s="5" t="str">
        <f t="shared" si="560"/>
        <v>NO APLICA</v>
      </c>
      <c r="KV171" s="2"/>
      <c r="KW171" s="6"/>
      <c r="KX171" s="4"/>
      <c r="KY171" s="8"/>
      <c r="KZ171" s="5" t="str">
        <f t="shared" si="565"/>
        <v>NO APLICA</v>
      </c>
      <c r="LA171" s="5"/>
      <c r="LB171" s="6"/>
      <c r="LC171" s="4"/>
      <c r="LD171" s="8"/>
      <c r="LE171" s="5" t="str">
        <f t="shared" si="561"/>
        <v>NO APLICA</v>
      </c>
      <c r="LF171" s="6"/>
      <c r="LG171" s="6"/>
      <c r="LH171" s="4"/>
      <c r="LI171" s="8"/>
      <c r="LJ171" s="5" t="str">
        <f t="shared" si="600"/>
        <v>NO APLICA</v>
      </c>
      <c r="LK171" s="5"/>
      <c r="LL171" s="5"/>
      <c r="LM171" s="4"/>
      <c r="LN171" s="8"/>
      <c r="LO171" s="5" t="str">
        <f t="shared" si="566"/>
        <v>NO APLICA</v>
      </c>
      <c r="LP171" s="2"/>
      <c r="LQ171" s="6"/>
      <c r="LR171" s="4"/>
      <c r="LS171" s="8"/>
      <c r="LT171" s="5" t="str">
        <f t="shared" si="562"/>
        <v>NO APLICA</v>
      </c>
      <c r="LU171" s="6"/>
      <c r="LV171" s="6"/>
      <c r="LW171" s="4"/>
      <c r="LX171" s="8"/>
      <c r="LY171" s="5" t="str">
        <f t="shared" si="563"/>
        <v>NO APLICA</v>
      </c>
      <c r="LZ171" s="6"/>
      <c r="MA171" s="6"/>
      <c r="MB171" s="4"/>
      <c r="MC171" s="8"/>
      <c r="MD171" s="5" t="str">
        <f t="shared" si="564"/>
        <v>NO APLICA</v>
      </c>
      <c r="ME171" s="2"/>
      <c r="MF171" s="2"/>
      <c r="MG171" s="4"/>
      <c r="MH171" s="8"/>
      <c r="MI171" s="5" t="str">
        <f t="shared" si="537"/>
        <v>NO APLICA</v>
      </c>
      <c r="MJ171" s="2"/>
      <c r="MK171" s="2"/>
      <c r="ML171" s="4"/>
      <c r="MM171" s="8"/>
      <c r="MN171" s="5" t="str">
        <f t="shared" si="538"/>
        <v>NO APLICA</v>
      </c>
      <c r="MO171" s="5"/>
      <c r="MP171" s="2"/>
      <c r="MQ171" s="4"/>
      <c r="MR171" s="8"/>
      <c r="MS171" s="5" t="str">
        <f t="shared" si="539"/>
        <v>NO APLICA</v>
      </c>
      <c r="MT171" s="5"/>
      <c r="MU171" s="2"/>
      <c r="MV171" s="4"/>
      <c r="MW171" s="2"/>
      <c r="MX171" s="5" t="str">
        <f t="shared" si="540"/>
        <v>NO APLICA</v>
      </c>
      <c r="MY171" s="2"/>
      <c r="MZ171" s="6"/>
      <c r="NA171" s="4"/>
      <c r="NB171" s="8"/>
      <c r="NC171" s="5" t="str">
        <f t="shared" si="541"/>
        <v>NO APLICA</v>
      </c>
      <c r="ND171" s="2"/>
      <c r="NE171" s="6"/>
      <c r="NF171" s="4"/>
      <c r="NG171" s="8"/>
      <c r="NH171" s="5" t="str">
        <f t="shared" si="542"/>
        <v>NO APLICA</v>
      </c>
      <c r="NI171" s="2"/>
      <c r="NJ171" s="6"/>
      <c r="NK171" s="4"/>
      <c r="NL171" s="8"/>
      <c r="NM171" s="5" t="str">
        <f t="shared" si="543"/>
        <v>NO APLICA</v>
      </c>
      <c r="NN171" s="2"/>
      <c r="NO171" s="2"/>
      <c r="NP171" s="4"/>
      <c r="NQ171" s="8"/>
      <c r="NR171" s="5" t="str">
        <f t="shared" si="544"/>
        <v>NO APLICA</v>
      </c>
      <c r="NS171" s="2"/>
      <c r="NT171" s="2"/>
      <c r="NU171" s="4"/>
      <c r="NV171" s="2"/>
      <c r="NW171" s="5" t="str">
        <f t="shared" si="545"/>
        <v>NO APLICA</v>
      </c>
      <c r="NX171" s="6"/>
      <c r="NY171" s="4"/>
      <c r="NZ171" s="4"/>
      <c r="OA171" s="8"/>
      <c r="OB171" s="5" t="str">
        <f t="shared" si="546"/>
        <v>NO APLICA</v>
      </c>
      <c r="OC171" s="6"/>
      <c r="OD171" s="6"/>
      <c r="OE171" s="6"/>
      <c r="OF171" s="6"/>
      <c r="OG171" s="5" t="str">
        <f t="shared" si="547"/>
        <v>NO APLICA</v>
      </c>
      <c r="OH171" s="2"/>
      <c r="OI171" s="2"/>
      <c r="OJ171" s="4"/>
      <c r="OK171" s="8"/>
      <c r="OL171" s="5" t="str">
        <f t="shared" si="548"/>
        <v>NO APLICA</v>
      </c>
      <c r="OM171" s="6"/>
      <c r="ON171" s="6"/>
      <c r="OO171" s="6"/>
      <c r="OP171" s="6"/>
      <c r="OQ171" s="5" t="str">
        <f t="shared" si="549"/>
        <v>NO APLICA</v>
      </c>
      <c r="OR171" s="6"/>
      <c r="OS171" s="6"/>
      <c r="OT171" s="6"/>
      <c r="OU171" s="6"/>
      <c r="OV171" s="5" t="str">
        <f t="shared" si="550"/>
        <v>NO APLICA</v>
      </c>
      <c r="OW171" s="6"/>
      <c r="OX171" s="6"/>
      <c r="OY171" s="6"/>
      <c r="OZ171" s="6"/>
      <c r="PA171" s="5" t="str">
        <f t="shared" si="551"/>
        <v>NO APLICA</v>
      </c>
      <c r="PB171" s="6"/>
      <c r="PC171" s="6"/>
      <c r="PD171" s="6"/>
      <c r="PE171" s="6"/>
      <c r="PF171" s="5" t="str">
        <f t="shared" si="552"/>
        <v>NO APLICA</v>
      </c>
      <c r="PG171" s="6"/>
      <c r="PH171" s="6"/>
      <c r="PI171" s="6"/>
      <c r="PJ171" s="6"/>
      <c r="PK171" s="5" t="str">
        <f t="shared" si="553"/>
        <v>NO APLICA</v>
      </c>
      <c r="PL171" s="5"/>
      <c r="PM171" s="6"/>
      <c r="PN171" s="4"/>
      <c r="PO171" s="8"/>
      <c r="PP171" s="5" t="str">
        <f t="shared" si="554"/>
        <v>NO APLICA</v>
      </c>
      <c r="PQ171" s="6"/>
      <c r="PR171" s="6"/>
      <c r="PS171" s="6"/>
      <c r="PT171" s="6"/>
      <c r="PU171" s="5" t="str">
        <f t="shared" si="555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6"/>
        <v>VIGENTE</v>
      </c>
    </row>
    <row r="172" spans="1:442" ht="15.6" hidden="1" thickTop="1" thickBot="1" x14ac:dyDescent="0.35">
      <c r="A172" s="26">
        <v>169</v>
      </c>
      <c r="B172" s="31">
        <v>1663</v>
      </c>
      <c r="C172" s="28" t="s">
        <v>547</v>
      </c>
      <c r="D172" s="29" t="s">
        <v>113</v>
      </c>
      <c r="E172" s="30" t="s">
        <v>174</v>
      </c>
      <c r="F172" s="5"/>
      <c r="G172" s="6"/>
      <c r="H172" s="4"/>
      <c r="I172" s="8"/>
      <c r="J172" s="5" t="str">
        <f t="shared" si="455"/>
        <v>NO APLICA</v>
      </c>
      <c r="K172" s="5"/>
      <c r="L172" s="6"/>
      <c r="M172" s="6"/>
      <c r="N172" s="8"/>
      <c r="O172" s="5" t="str">
        <f t="shared" si="456"/>
        <v>NO APLICA</v>
      </c>
      <c r="P172" s="6"/>
      <c r="Q172" s="6"/>
      <c r="R172" s="4"/>
      <c r="S172" s="8"/>
      <c r="T172" s="5" t="str">
        <f t="shared" si="557"/>
        <v>NO APLICA</v>
      </c>
      <c r="U172" s="5"/>
      <c r="V172" s="2" t="s">
        <v>548</v>
      </c>
      <c r="W172" s="4">
        <v>44944</v>
      </c>
      <c r="X172" s="4">
        <f t="shared" si="587"/>
        <v>46770</v>
      </c>
      <c r="Y172" s="8">
        <f t="shared" ca="1" si="588"/>
        <v>625</v>
      </c>
      <c r="Z172" s="5" t="str">
        <f t="shared" ca="1" si="412"/>
        <v>VIGENTE</v>
      </c>
      <c r="AA172" s="5"/>
      <c r="AB172" s="2"/>
      <c r="AC172" s="6"/>
      <c r="AD172" s="4"/>
      <c r="AE172" s="8"/>
      <c r="AF172" s="5" t="str">
        <f t="shared" si="457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8"/>
        <v>477</v>
      </c>
      <c r="AK172" s="5" t="str">
        <f t="shared" ref="AK172:AK230" ca="1" si="602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9"/>
        <v>565</v>
      </c>
      <c r="AP172" s="5" t="str">
        <f t="shared" ca="1" si="460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1"/>
        <v>574</v>
      </c>
      <c r="AU172" s="5" t="str">
        <f t="shared" ca="1" si="462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3"/>
        <v>560</v>
      </c>
      <c r="AZ172" s="5" t="str">
        <f t="shared" ca="1" si="464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5"/>
        <v>528</v>
      </c>
      <c r="BE172" s="5" t="str">
        <f t="shared" ca="1" si="466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7"/>
        <v>582</v>
      </c>
      <c r="BJ172" s="5" t="str">
        <f t="shared" ca="1" si="468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9"/>
        <v>561</v>
      </c>
      <c r="BO172" s="5" t="str">
        <f t="shared" ca="1" si="470"/>
        <v>VIGENTE</v>
      </c>
      <c r="BP172" s="3"/>
      <c r="BQ172" s="39">
        <v>45988</v>
      </c>
      <c r="BR172" s="4">
        <f>DATE(YEAR(BQ172)+2,MONTH(BQ172),DAY(BQ172))</f>
        <v>46718</v>
      </c>
      <c r="BS172" s="8">
        <f t="shared" ca="1" si="471"/>
        <v>573</v>
      </c>
      <c r="BT172" s="5" t="str">
        <f t="shared" ca="1" si="472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3"/>
        <v>545</v>
      </c>
      <c r="BY172" s="5" t="str">
        <f t="shared" ca="1" si="474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5"/>
        <v>529</v>
      </c>
      <c r="CD172" s="5" t="str">
        <f t="shared" ca="1" si="476"/>
        <v>VIGENTE</v>
      </c>
      <c r="CE172" s="6"/>
      <c r="CF172" s="4">
        <v>45828</v>
      </c>
      <c r="CG172" s="4">
        <f t="shared" si="590"/>
        <v>47289</v>
      </c>
      <c r="CH172" s="8">
        <f t="shared" ca="1" si="591"/>
        <v>1144</v>
      </c>
      <c r="CI172" s="5" t="str">
        <f t="shared" ca="1" si="573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7"/>
        <v>514</v>
      </c>
      <c r="CN172" s="5" t="str">
        <f t="shared" ca="1" si="478"/>
        <v>VIGENTE</v>
      </c>
      <c r="CO172" s="3"/>
      <c r="CP172" s="39">
        <v>45994</v>
      </c>
      <c r="CQ172" s="4">
        <f>DATE(YEAR(CP172)+2,MONTH(CP172),DAY(CP172))</f>
        <v>46724</v>
      </c>
      <c r="CR172" s="8">
        <f t="shared" ca="1" si="479"/>
        <v>579</v>
      </c>
      <c r="CS172" s="5" t="str">
        <f t="shared" ca="1" si="480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1"/>
        <v>550</v>
      </c>
      <c r="CX172" s="5" t="str">
        <f t="shared" ca="1" si="482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3"/>
        <v>509</v>
      </c>
      <c r="DC172" s="5" t="str">
        <f t="shared" ca="1" si="484"/>
        <v>VIGENTE</v>
      </c>
      <c r="DD172" s="3"/>
      <c r="DE172" s="39">
        <v>45996</v>
      </c>
      <c r="DF172" s="4">
        <f>DATE(YEAR(DE172)+2,MONTH(DE172),DAY(DE172))</f>
        <v>46726</v>
      </c>
      <c r="DG172" s="8">
        <f t="shared" ca="1" si="485"/>
        <v>581</v>
      </c>
      <c r="DH172" s="5" t="str">
        <f t="shared" ca="1" si="486"/>
        <v>VIGENTE</v>
      </c>
      <c r="DI172" s="3"/>
      <c r="DJ172" s="39">
        <v>45899</v>
      </c>
      <c r="DK172" s="4">
        <f>DATE(YEAR(DJ172)+2,MONTH(DJ172),DAY(DJ172))</f>
        <v>46629</v>
      </c>
      <c r="DL172" s="8">
        <f t="shared" ca="1" si="487"/>
        <v>484</v>
      </c>
      <c r="DM172" s="5" t="str">
        <f t="shared" ca="1" si="488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9"/>
        <v>567</v>
      </c>
      <c r="DR172" s="5" t="str">
        <f t="shared" ca="1" si="490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1"/>
        <v>470</v>
      </c>
      <c r="DW172" s="5" t="str">
        <f t="shared" ca="1" si="492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3"/>
        <v>500</v>
      </c>
      <c r="EB172" s="5" t="str">
        <f t="shared" ca="1" si="494"/>
        <v>VIGENTE</v>
      </c>
      <c r="EC172" s="3"/>
      <c r="ED172" s="39">
        <v>45913</v>
      </c>
      <c r="EE172" s="4">
        <f>DATE(YEAR(ED172)+2,MONTH(ED172),DAY(ED172))</f>
        <v>46643</v>
      </c>
      <c r="EF172" s="8">
        <f t="shared" ca="1" si="495"/>
        <v>498</v>
      </c>
      <c r="EG172" s="5" t="str">
        <f t="shared" ca="1" si="496"/>
        <v>VIGENTE</v>
      </c>
      <c r="EH172" s="3"/>
      <c r="EI172" s="3">
        <v>45911</v>
      </c>
      <c r="EJ172" s="4">
        <f t="shared" si="558"/>
        <v>46276</v>
      </c>
      <c r="EK172" s="8">
        <f t="shared" ca="1" si="497"/>
        <v>131</v>
      </c>
      <c r="EL172" s="5" t="str">
        <f t="shared" ca="1" si="498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9"/>
        <v>425</v>
      </c>
      <c r="EQ172" s="5" t="str">
        <f t="shared" ca="1" si="500"/>
        <v>VIGENTE</v>
      </c>
      <c r="ER172" s="2"/>
      <c r="ES172" s="39">
        <v>45922</v>
      </c>
      <c r="ET172" s="4">
        <f>DATE(YEAR(ES172)+2,MONTH(ES172),DAY(ES172))</f>
        <v>46652</v>
      </c>
      <c r="EU172" s="8">
        <f t="shared" ca="1" si="501"/>
        <v>507</v>
      </c>
      <c r="EV172" s="5" t="str">
        <f t="shared" ca="1" si="502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3"/>
        <v>502</v>
      </c>
      <c r="FA172" s="5" t="str">
        <f t="shared" ca="1" si="504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5"/>
        <v>516</v>
      </c>
      <c r="FF172" s="5" t="str">
        <f t="shared" ca="1" si="506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7"/>
        <v>517</v>
      </c>
      <c r="FK172" s="5" t="str">
        <f t="shared" ca="1" si="508"/>
        <v>VIGENTE</v>
      </c>
      <c r="FL172" s="3"/>
      <c r="FM172" s="39">
        <v>45933</v>
      </c>
      <c r="FN172" s="4">
        <f>DATE(YEAR(FM172)+2,MONTH(FM172),DAY(FM172))</f>
        <v>46663</v>
      </c>
      <c r="FO172" s="8">
        <f t="shared" ca="1" si="509"/>
        <v>518</v>
      </c>
      <c r="FP172" s="5" t="str">
        <f t="shared" ca="1" si="510"/>
        <v>VIGENTE</v>
      </c>
      <c r="FQ172" s="3"/>
      <c r="FR172" s="39">
        <v>45957</v>
      </c>
      <c r="FS172" s="4">
        <f>DATE(YEAR(FR172)+2,MONTH(FR172),DAY(FR172))</f>
        <v>46687</v>
      </c>
      <c r="FT172" s="8">
        <f t="shared" ca="1" si="511"/>
        <v>542</v>
      </c>
      <c r="FU172" s="5" t="str">
        <f t="shared" ca="1" si="512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3"/>
        <v>526</v>
      </c>
      <c r="FZ172" s="5" t="str">
        <f t="shared" ca="1" si="514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5"/>
        <v>459</v>
      </c>
      <c r="GE172" s="5" t="str">
        <f t="shared" ca="1" si="516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7"/>
        <v>497</v>
      </c>
      <c r="GJ172" s="5" t="str">
        <f t="shared" ca="1" si="518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9"/>
        <v>530</v>
      </c>
      <c r="GO172" s="5" t="str">
        <f t="shared" ca="1" si="520"/>
        <v>VIGENTE</v>
      </c>
      <c r="GP172" s="4"/>
      <c r="GQ172" s="4">
        <v>45299</v>
      </c>
      <c r="GR172" s="4">
        <f t="shared" si="521"/>
        <v>47126</v>
      </c>
      <c r="GS172" s="8">
        <f t="shared" ca="1" si="601"/>
        <v>981</v>
      </c>
      <c r="GT172" s="5" t="str">
        <f t="shared" ca="1" si="419"/>
        <v>VIGENTE</v>
      </c>
      <c r="GU172" s="3"/>
      <c r="GV172" s="4">
        <v>45329</v>
      </c>
      <c r="GW172" s="4">
        <f t="shared" si="522"/>
        <v>47156</v>
      </c>
      <c r="GX172" s="8">
        <f t="shared" ca="1" si="523"/>
        <v>1011</v>
      </c>
      <c r="GY172" s="5" t="str">
        <f t="shared" ca="1" si="426"/>
        <v>VIGENTE</v>
      </c>
      <c r="GZ172" s="2"/>
      <c r="HA172" s="4">
        <v>45268</v>
      </c>
      <c r="HB172" s="4">
        <f t="shared" si="524"/>
        <v>47095</v>
      </c>
      <c r="HC172" s="8">
        <f t="shared" ca="1" si="525"/>
        <v>950</v>
      </c>
      <c r="HD172" s="5" t="str">
        <f t="shared" ca="1" si="421"/>
        <v>VIGENTE</v>
      </c>
      <c r="HE172" s="6"/>
      <c r="HF172" s="6"/>
      <c r="HG172" s="4"/>
      <c r="HH172" s="8"/>
      <c r="HI172" s="5" t="str">
        <f t="shared" si="427"/>
        <v>NO APLICA</v>
      </c>
      <c r="HJ172" s="2"/>
      <c r="HK172" s="6"/>
      <c r="HL172" s="4"/>
      <c r="HM172" s="8"/>
      <c r="HN172" s="5" t="str">
        <f t="shared" si="444"/>
        <v>NO APLICA</v>
      </c>
      <c r="HO172" s="2"/>
      <c r="HP172" s="2"/>
      <c r="HQ172" s="4"/>
      <c r="HR172" s="2"/>
      <c r="HS172" s="5" t="str">
        <f t="shared" si="526"/>
        <v>NO APLICA</v>
      </c>
      <c r="HT172" s="2"/>
      <c r="HU172" s="6"/>
      <c r="HV172" s="4"/>
      <c r="HW172" s="8"/>
      <c r="HX172" s="5" t="str">
        <f t="shared" si="527"/>
        <v>NO APLICA</v>
      </c>
      <c r="HY172" s="2"/>
      <c r="HZ172" s="6"/>
      <c r="IA172" s="4"/>
      <c r="IB172" s="8"/>
      <c r="IC172" s="5" t="str">
        <f t="shared" si="528"/>
        <v>NO APLICA</v>
      </c>
      <c r="ID172" s="2"/>
      <c r="IE172" s="6"/>
      <c r="IF172" s="4"/>
      <c r="IG172" s="8"/>
      <c r="IH172" s="5" t="str">
        <f t="shared" si="529"/>
        <v>NO APLICA</v>
      </c>
      <c r="II172" s="6"/>
      <c r="IJ172" s="6"/>
      <c r="IK172" s="4"/>
      <c r="IL172" s="8"/>
      <c r="IM172" s="5" t="str">
        <f t="shared" si="530"/>
        <v>NO APLICA</v>
      </c>
      <c r="IN172" s="2"/>
      <c r="IO172" s="6"/>
      <c r="IP172" s="4"/>
      <c r="IQ172" s="8"/>
      <c r="IR172" s="5" t="str">
        <f t="shared" si="531"/>
        <v>NO APLICA</v>
      </c>
      <c r="IS172" s="2"/>
      <c r="IT172" s="6"/>
      <c r="IU172" s="4"/>
      <c r="IV172" s="8"/>
      <c r="IW172" s="5" t="str">
        <f t="shared" si="532"/>
        <v>NO APLICA</v>
      </c>
      <c r="IX172" s="2"/>
      <c r="IY172" s="6"/>
      <c r="IZ172" s="4"/>
      <c r="JA172" s="8"/>
      <c r="JB172" s="5" t="str">
        <f t="shared" si="533"/>
        <v>NO APLICA</v>
      </c>
      <c r="JC172" s="3" t="s">
        <v>780</v>
      </c>
      <c r="JD172" s="3"/>
      <c r="JE172" s="4"/>
      <c r="JF172" s="8"/>
      <c r="JG172" s="5"/>
      <c r="JH172" s="3" t="s">
        <v>780</v>
      </c>
      <c r="JI172" s="6"/>
      <c r="JJ172" s="6"/>
      <c r="JK172" s="6"/>
      <c r="JL172" s="5"/>
      <c r="JM172" s="6" t="s">
        <v>780</v>
      </c>
      <c r="JN172" s="6"/>
      <c r="JO172" s="6"/>
      <c r="JP172" s="6"/>
      <c r="JQ172" s="5"/>
      <c r="JR172" s="6" t="s">
        <v>780</v>
      </c>
      <c r="JS172" s="6"/>
      <c r="JT172" s="6"/>
      <c r="JU172" s="6"/>
      <c r="JV172" s="5"/>
      <c r="JW172" s="6" t="s">
        <v>780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4"/>
        <v>NO APLICA</v>
      </c>
      <c r="KG172" s="5"/>
      <c r="KH172" s="2"/>
      <c r="KI172" s="4"/>
      <c r="KJ172" s="8"/>
      <c r="KK172" s="5" t="str">
        <f t="shared" si="559"/>
        <v>NO APLICA</v>
      </c>
      <c r="KL172" s="5"/>
      <c r="KM172" s="2"/>
      <c r="KN172" s="4"/>
      <c r="KO172" s="8"/>
      <c r="KP172" s="5" t="str">
        <f t="shared" si="535"/>
        <v>NO APLICA</v>
      </c>
      <c r="KQ172" s="5"/>
      <c r="KR172" s="2"/>
      <c r="KS172" s="4"/>
      <c r="KT172" s="8"/>
      <c r="KU172" s="5" t="str">
        <f t="shared" si="560"/>
        <v>NO APLICA</v>
      </c>
      <c r="KV172" s="2"/>
      <c r="KW172" s="6"/>
      <c r="KX172" s="4"/>
      <c r="KY172" s="8"/>
      <c r="KZ172" s="5" t="str">
        <f t="shared" si="565"/>
        <v>NO APLICA</v>
      </c>
      <c r="LA172" s="5"/>
      <c r="LB172" s="6"/>
      <c r="LC172" s="4"/>
      <c r="LD172" s="8"/>
      <c r="LE172" s="5" t="str">
        <f t="shared" si="561"/>
        <v>NO APLICA</v>
      </c>
      <c r="LF172" s="6"/>
      <c r="LG172" s="6"/>
      <c r="LH172" s="4"/>
      <c r="LI172" s="8"/>
      <c r="LJ172" s="5" t="str">
        <f t="shared" si="600"/>
        <v>NO APLICA</v>
      </c>
      <c r="LK172" s="5"/>
      <c r="LL172" s="5"/>
      <c r="LM172" s="4"/>
      <c r="LN172" s="8"/>
      <c r="LO172" s="5" t="str">
        <f t="shared" si="566"/>
        <v>NO APLICA</v>
      </c>
      <c r="LP172" s="2"/>
      <c r="LQ172" s="6"/>
      <c r="LR172" s="4"/>
      <c r="LS172" s="8"/>
      <c r="LT172" s="5" t="str">
        <f t="shared" si="562"/>
        <v>NO APLICA</v>
      </c>
      <c r="LU172" s="6"/>
      <c r="LV172" s="6"/>
      <c r="LW172" s="4"/>
      <c r="LX172" s="8"/>
      <c r="LY172" s="5" t="str">
        <f t="shared" si="563"/>
        <v>NO APLICA</v>
      </c>
      <c r="LZ172" s="6"/>
      <c r="MA172" s="6"/>
      <c r="MB172" s="4"/>
      <c r="MC172" s="8"/>
      <c r="MD172" s="5" t="str">
        <f t="shared" si="564"/>
        <v>NO APLICA</v>
      </c>
      <c r="ME172" s="2"/>
      <c r="MF172" s="2"/>
      <c r="MG172" s="4"/>
      <c r="MH172" s="8"/>
      <c r="MI172" s="5" t="str">
        <f t="shared" si="537"/>
        <v>NO APLICA</v>
      </c>
      <c r="MJ172" s="2"/>
      <c r="MK172" s="2"/>
      <c r="ML172" s="4"/>
      <c r="MM172" s="8"/>
      <c r="MN172" s="5" t="str">
        <f t="shared" si="538"/>
        <v>NO APLICA</v>
      </c>
      <c r="MO172" s="5"/>
      <c r="MP172" s="2"/>
      <c r="MQ172" s="4"/>
      <c r="MR172" s="8"/>
      <c r="MS172" s="5" t="str">
        <f t="shared" si="539"/>
        <v>NO APLICA</v>
      </c>
      <c r="MT172" s="5"/>
      <c r="MU172" s="2"/>
      <c r="MV172" s="4"/>
      <c r="MW172" s="2"/>
      <c r="MX172" s="5" t="str">
        <f t="shared" si="540"/>
        <v>NO APLICA</v>
      </c>
      <c r="MY172" s="2"/>
      <c r="MZ172" s="6"/>
      <c r="NA172" s="4"/>
      <c r="NB172" s="8"/>
      <c r="NC172" s="5" t="str">
        <f t="shared" si="541"/>
        <v>NO APLICA</v>
      </c>
      <c r="ND172" s="2"/>
      <c r="NE172" s="6"/>
      <c r="NF172" s="4"/>
      <c r="NG172" s="8"/>
      <c r="NH172" s="5" t="str">
        <f t="shared" si="542"/>
        <v>NO APLICA</v>
      </c>
      <c r="NI172" s="2"/>
      <c r="NJ172" s="6"/>
      <c r="NK172" s="4"/>
      <c r="NL172" s="8"/>
      <c r="NM172" s="5" t="str">
        <f t="shared" si="543"/>
        <v>NO APLICA</v>
      </c>
      <c r="NN172" s="2"/>
      <c r="NO172" s="2"/>
      <c r="NP172" s="4"/>
      <c r="NQ172" s="8"/>
      <c r="NR172" s="5" t="str">
        <f t="shared" si="544"/>
        <v>NO APLICA</v>
      </c>
      <c r="NS172" s="2"/>
      <c r="NT172" s="2"/>
      <c r="NU172" s="4"/>
      <c r="NV172" s="2"/>
      <c r="NW172" s="5" t="str">
        <f t="shared" si="545"/>
        <v>NO APLICA</v>
      </c>
      <c r="NX172" s="6"/>
      <c r="NY172" s="6"/>
      <c r="NZ172" s="4"/>
      <c r="OA172" s="8"/>
      <c r="OB172" s="5" t="str">
        <f t="shared" si="546"/>
        <v>NO APLICA</v>
      </c>
      <c r="OC172" s="6"/>
      <c r="OD172" s="6"/>
      <c r="OE172" s="6"/>
      <c r="OF172" s="6"/>
      <c r="OG172" s="5" t="str">
        <f t="shared" si="547"/>
        <v>NO APLICA</v>
      </c>
      <c r="OH172" s="2"/>
      <c r="OI172" s="2"/>
      <c r="OJ172" s="4"/>
      <c r="OK172" s="8"/>
      <c r="OL172" s="5" t="str">
        <f t="shared" si="548"/>
        <v>NO APLICA</v>
      </c>
      <c r="OM172" s="6"/>
      <c r="ON172" s="6"/>
      <c r="OO172" s="6"/>
      <c r="OP172" s="6"/>
      <c r="OQ172" s="5" t="str">
        <f t="shared" si="549"/>
        <v>NO APLICA</v>
      </c>
      <c r="OR172" s="6"/>
      <c r="OS172" s="6"/>
      <c r="OT172" s="6"/>
      <c r="OU172" s="6"/>
      <c r="OV172" s="5" t="str">
        <f t="shared" si="550"/>
        <v>NO APLICA</v>
      </c>
      <c r="OW172" s="6"/>
      <c r="OX172" s="6"/>
      <c r="OY172" s="6"/>
      <c r="OZ172" s="6"/>
      <c r="PA172" s="5" t="str">
        <f t="shared" si="551"/>
        <v>NO APLICA</v>
      </c>
      <c r="PB172" s="6"/>
      <c r="PC172" s="6"/>
      <c r="PD172" s="6"/>
      <c r="PE172" s="6"/>
      <c r="PF172" s="5" t="str">
        <f t="shared" si="552"/>
        <v>NO APLICA</v>
      </c>
      <c r="PG172" s="6"/>
      <c r="PH172" s="6"/>
      <c r="PI172" s="6"/>
      <c r="PJ172" s="6"/>
      <c r="PK172" s="5" t="str">
        <f t="shared" si="553"/>
        <v>NO APLICA</v>
      </c>
      <c r="PL172" s="5"/>
      <c r="PM172" s="6"/>
      <c r="PN172" s="4"/>
      <c r="PO172" s="8"/>
      <c r="PP172" s="5" t="str">
        <f t="shared" si="554"/>
        <v>NO APLICA</v>
      </c>
      <c r="PQ172" s="6"/>
      <c r="PR172" s="6"/>
      <c r="PS172" s="6"/>
      <c r="PT172" s="6"/>
      <c r="PU172" s="5" t="str">
        <f t="shared" si="555"/>
        <v>NO APLICA</v>
      </c>
      <c r="PV172" s="5"/>
      <c r="PW172" s="6"/>
      <c r="PX172" s="6"/>
      <c r="PY172" s="6"/>
      <c r="PZ172" s="5" t="str">
        <f t="shared" si="556"/>
        <v>NO APLICA</v>
      </c>
    </row>
    <row r="173" spans="1:442" ht="15.6" hidden="1" thickTop="1" thickBot="1" x14ac:dyDescent="0.35">
      <c r="A173" s="26">
        <v>170</v>
      </c>
      <c r="B173" s="27">
        <v>1050</v>
      </c>
      <c r="C173" s="28" t="s">
        <v>549</v>
      </c>
      <c r="D173" s="29" t="s">
        <v>64</v>
      </c>
      <c r="E173" s="30" t="s">
        <v>161</v>
      </c>
      <c r="F173" s="5"/>
      <c r="G173" s="6"/>
      <c r="H173" s="4"/>
      <c r="I173" s="8"/>
      <c r="J173" s="5" t="str">
        <f t="shared" si="455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6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7"/>
        <v>VIGENTE</v>
      </c>
      <c r="U173" s="5"/>
      <c r="V173" s="2" t="s">
        <v>550</v>
      </c>
      <c r="W173" s="4">
        <v>45078</v>
      </c>
      <c r="X173" s="4">
        <f t="shared" si="587"/>
        <v>46905</v>
      </c>
      <c r="Y173" s="8">
        <f t="shared" ca="1" si="588"/>
        <v>760</v>
      </c>
      <c r="Z173" s="5" t="str">
        <f t="shared" ca="1" si="412"/>
        <v>VIGENTE</v>
      </c>
      <c r="AA173" s="5"/>
      <c r="AB173" s="2" t="s">
        <v>551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7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8"/>
        <v>521</v>
      </c>
      <c r="AK173" s="5" t="str">
        <f t="shared" ca="1" si="602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9"/>
        <v>522</v>
      </c>
      <c r="AP173" s="5" t="str">
        <f t="shared" ca="1" si="460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1"/>
        <v>574</v>
      </c>
      <c r="AU173" s="5" t="str">
        <f t="shared" ca="1" si="462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3"/>
        <v>557</v>
      </c>
      <c r="AZ173" s="5" t="str">
        <f t="shared" ca="1" si="464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5"/>
        <v>626</v>
      </c>
      <c r="BE173" s="5" t="str">
        <f t="shared" ca="1" si="466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7"/>
        <v>612</v>
      </c>
      <c r="BJ173" s="5" t="str">
        <f t="shared" ca="1" si="468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9"/>
        <v>620</v>
      </c>
      <c r="BO173" s="5" t="str">
        <f t="shared" ca="1" si="470"/>
        <v>VIGENTE</v>
      </c>
      <c r="BP173" s="3"/>
      <c r="BQ173" s="39">
        <v>46050</v>
      </c>
      <c r="BR173" s="4">
        <f>DATE(YEAR(BQ173)+2,MONTH(BQ173),DAY(BQ173))</f>
        <v>46780</v>
      </c>
      <c r="BS173" s="8">
        <f t="shared" ca="1" si="471"/>
        <v>635</v>
      </c>
      <c r="BT173" s="5" t="str">
        <f t="shared" ca="1" si="472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3"/>
        <v>648</v>
      </c>
      <c r="BY173" s="5" t="str">
        <f t="shared" ca="1" si="474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5"/>
        <v>529</v>
      </c>
      <c r="CD173" s="5" t="str">
        <f t="shared" ca="1" si="476"/>
        <v>VIGENTE</v>
      </c>
      <c r="CE173" s="6"/>
      <c r="CF173" s="4">
        <v>45393</v>
      </c>
      <c r="CG173" s="4">
        <f t="shared" si="590"/>
        <v>46854</v>
      </c>
      <c r="CH173" s="8">
        <f t="shared" ca="1" si="591"/>
        <v>709</v>
      </c>
      <c r="CI173" s="5" t="str">
        <f t="shared" ca="1" si="573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7"/>
        <v>308</v>
      </c>
      <c r="CN173" s="5" t="str">
        <f t="shared" ca="1" si="478"/>
        <v>VIGENTE</v>
      </c>
      <c r="CO173" s="3"/>
      <c r="CP173" s="39">
        <v>45726</v>
      </c>
      <c r="CQ173" s="4">
        <f>DATE(YEAR(CP173)+2,MONTH(CP173),DAY(CP173)-1)</f>
        <v>46455</v>
      </c>
      <c r="CR173" s="8">
        <f t="shared" ca="1" si="479"/>
        <v>310</v>
      </c>
      <c r="CS173" s="5" t="str">
        <f t="shared" ca="1" si="480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1"/>
        <v>490</v>
      </c>
      <c r="CX173" s="5" t="str">
        <f t="shared" ca="1" si="482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3"/>
        <v>585</v>
      </c>
      <c r="DC173" s="5" t="str">
        <f t="shared" ca="1" si="484"/>
        <v>VIGENTE</v>
      </c>
      <c r="DD173" s="3"/>
      <c r="DE173" s="39">
        <v>45689</v>
      </c>
      <c r="DF173" s="4">
        <f>DATE(YEAR(DE173)+2,MONTH(DE173),DAY(DE173)-1)</f>
        <v>46418</v>
      </c>
      <c r="DG173" s="8">
        <f t="shared" ca="1" si="485"/>
        <v>273</v>
      </c>
      <c r="DH173" s="5" t="str">
        <f t="shared" ca="1" si="486"/>
        <v>VIGENTE</v>
      </c>
      <c r="DI173" s="3"/>
      <c r="DJ173" s="39">
        <v>45975</v>
      </c>
      <c r="DK173" s="4">
        <f>DATE(YEAR(DJ173)+2,MONTH(DJ173),DAY(DJ173))</f>
        <v>46705</v>
      </c>
      <c r="DL173" s="8">
        <f t="shared" ca="1" si="487"/>
        <v>560</v>
      </c>
      <c r="DM173" s="5" t="str">
        <f t="shared" ca="1" si="488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9"/>
        <v>567</v>
      </c>
      <c r="DR173" s="5" t="str">
        <f t="shared" ca="1" si="490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1"/>
        <v>638</v>
      </c>
      <c r="DW173" s="5" t="str">
        <f t="shared" ca="1" si="492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3"/>
        <v>266</v>
      </c>
      <c r="EB173" s="5" t="str">
        <f t="shared" ca="1" si="494"/>
        <v>VIGENTE</v>
      </c>
      <c r="EC173" s="3"/>
      <c r="ED173" s="39">
        <v>45730</v>
      </c>
      <c r="EE173" s="4">
        <f>DATE(YEAR(ED173)+2,MONTH(ED173),DAY(ED173)-1)</f>
        <v>46459</v>
      </c>
      <c r="EF173" s="8">
        <f t="shared" ca="1" si="495"/>
        <v>314</v>
      </c>
      <c r="EG173" s="5" t="str">
        <f t="shared" ca="1" si="496"/>
        <v>VIGENTE</v>
      </c>
      <c r="EH173" s="3"/>
      <c r="EI173" s="3">
        <v>46015</v>
      </c>
      <c r="EJ173" s="4">
        <f t="shared" si="558"/>
        <v>46380</v>
      </c>
      <c r="EK173" s="8">
        <f t="shared" ca="1" si="497"/>
        <v>235</v>
      </c>
      <c r="EL173" s="5" t="str">
        <f t="shared" ca="1" si="498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9"/>
        <v>255</v>
      </c>
      <c r="EQ173" s="5" t="str">
        <f t="shared" ca="1" si="500"/>
        <v>VIGENTE</v>
      </c>
      <c r="ER173" s="3"/>
      <c r="ES173" s="39">
        <v>46094</v>
      </c>
      <c r="ET173" s="4">
        <f>DATE(YEAR(ES173)+2,MONTH(ES173),DAY(ES173))</f>
        <v>46825</v>
      </c>
      <c r="EU173" s="8">
        <f t="shared" ca="1" si="501"/>
        <v>680</v>
      </c>
      <c r="EV173" s="5" t="str">
        <f t="shared" ca="1" si="502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3"/>
        <v>502</v>
      </c>
      <c r="FA173" s="5" t="str">
        <f t="shared" ca="1" si="504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5"/>
        <v>516</v>
      </c>
      <c r="FF173" s="5" t="str">
        <f t="shared" ca="1" si="506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7"/>
        <v>504</v>
      </c>
      <c r="FK173" s="5" t="str">
        <f t="shared" ca="1" si="508"/>
        <v>VIGENTE</v>
      </c>
      <c r="FL173" s="3"/>
      <c r="FM173" s="39">
        <v>45719</v>
      </c>
      <c r="FN173" s="4">
        <f>DATE(YEAR(FM173)+2,MONTH(FM173),DAY(FM173)-1)</f>
        <v>46448</v>
      </c>
      <c r="FO173" s="8">
        <f t="shared" ca="1" si="509"/>
        <v>303</v>
      </c>
      <c r="FP173" s="5" t="str">
        <f t="shared" ca="1" si="510"/>
        <v>VIGENTE</v>
      </c>
      <c r="FQ173" s="3"/>
      <c r="FR173" s="39">
        <v>45678</v>
      </c>
      <c r="FS173" s="4">
        <f>DATE(YEAR(FR173)+2,MONTH(FR173),DAY(FR173)-1)</f>
        <v>46407</v>
      </c>
      <c r="FT173" s="8">
        <f t="shared" ca="1" si="511"/>
        <v>262</v>
      </c>
      <c r="FU173" s="5" t="str">
        <f t="shared" ca="1" si="512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3"/>
        <v>546</v>
      </c>
      <c r="FZ173" s="5" t="str">
        <f t="shared" ca="1" si="514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5"/>
        <v>615</v>
      </c>
      <c r="GE173" s="5" t="str">
        <f t="shared" ca="1" si="516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7"/>
        <v>315</v>
      </c>
      <c r="GJ173" s="5" t="str">
        <f t="shared" ca="1" si="518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9"/>
        <v>530</v>
      </c>
      <c r="GO173" s="5" t="str">
        <f t="shared" ca="1" si="520"/>
        <v>VIGENTE</v>
      </c>
      <c r="GP173" s="4"/>
      <c r="GQ173" s="4">
        <v>45459</v>
      </c>
      <c r="GR173" s="4">
        <f t="shared" si="521"/>
        <v>47285</v>
      </c>
      <c r="GS173" s="8">
        <f t="shared" ca="1" si="601"/>
        <v>1140</v>
      </c>
      <c r="GT173" s="5" t="str">
        <f t="shared" ca="1" si="419"/>
        <v>VIGENTE</v>
      </c>
      <c r="GU173" s="3"/>
      <c r="GV173" s="4">
        <v>45478</v>
      </c>
      <c r="GW173" s="4">
        <f t="shared" si="522"/>
        <v>47304</v>
      </c>
      <c r="GX173" s="8">
        <f t="shared" ca="1" si="523"/>
        <v>1159</v>
      </c>
      <c r="GY173" s="5" t="str">
        <f t="shared" ca="1" si="426"/>
        <v>VIGENTE</v>
      </c>
      <c r="GZ173" s="3"/>
      <c r="HA173" s="4">
        <v>45454</v>
      </c>
      <c r="HB173" s="4">
        <f t="shared" si="524"/>
        <v>47280</v>
      </c>
      <c r="HC173" s="8">
        <f t="shared" ca="1" si="525"/>
        <v>1135</v>
      </c>
      <c r="HD173" s="5" t="str">
        <f t="shared" ca="1" si="421"/>
        <v>VIGENTE</v>
      </c>
      <c r="HE173" s="6"/>
      <c r="HF173" s="4">
        <v>45496</v>
      </c>
      <c r="HG173" s="4">
        <f t="shared" ref="HG173:HG178" si="603">DATE(YEAR(HF173)+5,MONTH(HF173),DAY(HF173))</f>
        <v>47322</v>
      </c>
      <c r="HH173" s="8">
        <f t="shared" ref="HH173:HH178" ca="1" si="604">HG173-TODAY()</f>
        <v>1177</v>
      </c>
      <c r="HI173" s="5" t="str">
        <f t="shared" ca="1" si="427"/>
        <v>VIGENTE</v>
      </c>
      <c r="HJ173" s="2"/>
      <c r="HK173" s="6"/>
      <c r="HL173" s="4"/>
      <c r="HM173" s="8"/>
      <c r="HN173" s="5" t="str">
        <f t="shared" si="444"/>
        <v>NO APLICA</v>
      </c>
      <c r="HO173" s="2"/>
      <c r="HP173" s="2"/>
      <c r="HQ173" s="4"/>
      <c r="HR173" s="2"/>
      <c r="HS173" s="5" t="str">
        <f t="shared" si="526"/>
        <v>NO APLICA</v>
      </c>
      <c r="HT173" s="2"/>
      <c r="HU173" s="6"/>
      <c r="HV173" s="4"/>
      <c r="HW173" s="8"/>
      <c r="HX173" s="5" t="str">
        <f t="shared" si="527"/>
        <v>NO APLICA</v>
      </c>
      <c r="HY173" s="2"/>
      <c r="HZ173" s="6"/>
      <c r="IA173" s="4"/>
      <c r="IB173" s="8"/>
      <c r="IC173" s="5" t="str">
        <f t="shared" si="528"/>
        <v>NO APLICA</v>
      </c>
      <c r="ID173" s="2"/>
      <c r="IE173" s="6"/>
      <c r="IF173" s="4"/>
      <c r="IG173" s="8"/>
      <c r="IH173" s="5" t="str">
        <f t="shared" si="529"/>
        <v>NO APLICA</v>
      </c>
      <c r="II173" s="6"/>
      <c r="IJ173" s="6"/>
      <c r="IK173" s="4"/>
      <c r="IL173" s="8"/>
      <c r="IM173" s="5" t="str">
        <f t="shared" si="530"/>
        <v>NO APLICA</v>
      </c>
      <c r="IN173" s="2"/>
      <c r="IO173" s="6"/>
      <c r="IP173" s="4"/>
      <c r="IQ173" s="8"/>
      <c r="IR173" s="5" t="str">
        <f t="shared" si="531"/>
        <v>NO APLICA</v>
      </c>
      <c r="IS173" s="2"/>
      <c r="IT173" s="6"/>
      <c r="IU173" s="4"/>
      <c r="IV173" s="8"/>
      <c r="IW173" s="5" t="str">
        <f t="shared" si="532"/>
        <v>NO APLICA</v>
      </c>
      <c r="IX173" s="2"/>
      <c r="IY173" s="6"/>
      <c r="IZ173" s="4"/>
      <c r="JA173" s="8"/>
      <c r="JB173" s="5" t="str">
        <f t="shared" si="533"/>
        <v>NO APLICA</v>
      </c>
      <c r="JC173" s="3" t="s">
        <v>780</v>
      </c>
      <c r="JD173" s="3"/>
      <c r="JE173" s="4"/>
      <c r="JF173" s="8"/>
      <c r="JG173" s="5"/>
      <c r="JH173" s="3" t="s">
        <v>780</v>
      </c>
      <c r="JI173" s="6"/>
      <c r="JJ173" s="6"/>
      <c r="JK173" s="6"/>
      <c r="JL173" s="5"/>
      <c r="JM173" s="6" t="s">
        <v>780</v>
      </c>
      <c r="JN173" s="6"/>
      <c r="JO173" s="6"/>
      <c r="JP173" s="6"/>
      <c r="JQ173" s="5"/>
      <c r="JR173" s="6" t="s">
        <v>780</v>
      </c>
      <c r="JS173" s="6"/>
      <c r="JT173" s="6"/>
      <c r="JU173" s="6"/>
      <c r="JV173" s="5"/>
      <c r="JW173" s="6" t="s">
        <v>780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4"/>
        <v>NO APLICA</v>
      </c>
      <c r="KG173" s="5"/>
      <c r="KH173" s="2"/>
      <c r="KI173" s="4"/>
      <c r="KJ173" s="8"/>
      <c r="KK173" s="5" t="str">
        <f t="shared" si="559"/>
        <v>NO APLICA</v>
      </c>
      <c r="KL173" s="5"/>
      <c r="KM173" s="2"/>
      <c r="KN173" s="4"/>
      <c r="KO173" s="8"/>
      <c r="KP173" s="5" t="str">
        <f t="shared" si="535"/>
        <v>NO APLICA</v>
      </c>
      <c r="KQ173" s="5"/>
      <c r="KR173" s="2"/>
      <c r="KS173" s="4"/>
      <c r="KT173" s="8"/>
      <c r="KU173" s="5" t="str">
        <f t="shared" si="560"/>
        <v>NO APLICA</v>
      </c>
      <c r="KV173" s="2"/>
      <c r="KW173" s="6"/>
      <c r="KX173" s="4"/>
      <c r="KY173" s="8"/>
      <c r="KZ173" s="5" t="str">
        <f t="shared" si="565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1"/>
        <v>VIGENTE</v>
      </c>
      <c r="LF173" s="4"/>
      <c r="LG173" s="4"/>
      <c r="LH173" s="4"/>
      <c r="LI173" s="8"/>
      <c r="LJ173" s="5" t="str">
        <f t="shared" si="600"/>
        <v>NO APLICA</v>
      </c>
      <c r="LK173" s="5"/>
      <c r="LL173" s="5"/>
      <c r="LM173" s="4"/>
      <c r="LN173" s="8"/>
      <c r="LO173" s="5" t="str">
        <f t="shared" si="566"/>
        <v>NO APLICA</v>
      </c>
      <c r="LP173" s="2"/>
      <c r="LQ173" s="6"/>
      <c r="LR173" s="4"/>
      <c r="LS173" s="8"/>
      <c r="LT173" s="5" t="str">
        <f t="shared" si="562"/>
        <v>NO APLICA</v>
      </c>
      <c r="LU173" s="6"/>
      <c r="LV173" s="6"/>
      <c r="LW173" s="4"/>
      <c r="LX173" s="8"/>
      <c r="LY173" s="5" t="str">
        <f t="shared" si="563"/>
        <v>NO APLICA</v>
      </c>
      <c r="LZ173" s="6"/>
      <c r="MA173" s="6"/>
      <c r="MB173" s="4"/>
      <c r="MC173" s="8"/>
      <c r="MD173" s="5" t="str">
        <f t="shared" si="564"/>
        <v>NO APLICA</v>
      </c>
      <c r="ME173" s="2"/>
      <c r="MF173" s="2"/>
      <c r="MG173" s="4"/>
      <c r="MH173" s="8"/>
      <c r="MI173" s="5" t="str">
        <f t="shared" si="537"/>
        <v>NO APLICA</v>
      </c>
      <c r="MJ173" s="2"/>
      <c r="MK173" s="2"/>
      <c r="ML173" s="4"/>
      <c r="MM173" s="8"/>
      <c r="MN173" s="5" t="str">
        <f t="shared" si="538"/>
        <v>NO APLICA</v>
      </c>
      <c r="MO173" s="5"/>
      <c r="MP173" s="2"/>
      <c r="MQ173" s="4"/>
      <c r="MR173" s="8"/>
      <c r="MS173" s="5" t="str">
        <f t="shared" si="539"/>
        <v>NO APLICA</v>
      </c>
      <c r="MT173" s="5"/>
      <c r="MU173" s="2"/>
      <c r="MV173" s="4"/>
      <c r="MW173" s="2"/>
      <c r="MX173" s="5" t="str">
        <f t="shared" si="540"/>
        <v>NO APLICA</v>
      </c>
      <c r="MY173" s="2"/>
      <c r="MZ173" s="6"/>
      <c r="NA173" s="4"/>
      <c r="NB173" s="8"/>
      <c r="NC173" s="5" t="str">
        <f t="shared" si="541"/>
        <v>NO APLICA</v>
      </c>
      <c r="ND173" s="2"/>
      <c r="NE173" s="6"/>
      <c r="NF173" s="4"/>
      <c r="NG173" s="8"/>
      <c r="NH173" s="5" t="str">
        <f t="shared" si="542"/>
        <v>NO APLICA</v>
      </c>
      <c r="NI173" s="2"/>
      <c r="NJ173" s="6"/>
      <c r="NK173" s="4"/>
      <c r="NL173" s="8"/>
      <c r="NM173" s="5" t="str">
        <f t="shared" si="543"/>
        <v>NO APLICA</v>
      </c>
      <c r="NN173" s="2"/>
      <c r="NO173" s="2"/>
      <c r="NP173" s="4"/>
      <c r="NQ173" s="8"/>
      <c r="NR173" s="5" t="str">
        <f t="shared" si="544"/>
        <v>NO APLICA</v>
      </c>
      <c r="NS173" s="2"/>
      <c r="NT173" s="2"/>
      <c r="NU173" s="2"/>
      <c r="NV173" s="2"/>
      <c r="NW173" s="5" t="str">
        <f t="shared" si="545"/>
        <v>NO APLICA</v>
      </c>
      <c r="NX173" s="6"/>
      <c r="NY173" s="6"/>
      <c r="NZ173" s="4"/>
      <c r="OA173" s="8"/>
      <c r="OB173" s="5" t="str">
        <f t="shared" si="546"/>
        <v>NO APLICA</v>
      </c>
      <c r="OC173" s="6"/>
      <c r="OD173" s="6"/>
      <c r="OE173" s="6"/>
      <c r="OF173" s="6"/>
      <c r="OG173" s="5" t="str">
        <f t="shared" si="547"/>
        <v>NO APLICA</v>
      </c>
      <c r="OH173" s="2"/>
      <c r="OI173" s="2"/>
      <c r="OJ173" s="4"/>
      <c r="OK173" s="8"/>
      <c r="OL173" s="5" t="str">
        <f t="shared" si="548"/>
        <v>NO APLICA</v>
      </c>
      <c r="OM173" s="6"/>
      <c r="ON173" s="6"/>
      <c r="OO173" s="6"/>
      <c r="OP173" s="6"/>
      <c r="OQ173" s="5" t="str">
        <f t="shared" si="549"/>
        <v>NO APLICA</v>
      </c>
      <c r="OR173" s="6"/>
      <c r="OS173" s="6"/>
      <c r="OT173" s="6"/>
      <c r="OU173" s="6"/>
      <c r="OV173" s="5" t="str">
        <f t="shared" si="550"/>
        <v>NO APLICA</v>
      </c>
      <c r="OW173" s="6"/>
      <c r="OX173" s="6"/>
      <c r="OY173" s="6"/>
      <c r="OZ173" s="6"/>
      <c r="PA173" s="5" t="str">
        <f t="shared" si="551"/>
        <v>NO APLICA</v>
      </c>
      <c r="PB173" s="6"/>
      <c r="PC173" s="6"/>
      <c r="PD173" s="6"/>
      <c r="PE173" s="6"/>
      <c r="PF173" s="5" t="str">
        <f t="shared" si="552"/>
        <v>NO APLICA</v>
      </c>
      <c r="PG173" s="6"/>
      <c r="PH173" s="6"/>
      <c r="PI173" s="6"/>
      <c r="PJ173" s="6"/>
      <c r="PK173" s="5" t="str">
        <f t="shared" si="553"/>
        <v>NO APLICA</v>
      </c>
      <c r="PL173" s="5"/>
      <c r="PM173" s="6"/>
      <c r="PN173" s="4"/>
      <c r="PO173" s="8"/>
      <c r="PP173" s="5" t="str">
        <f t="shared" si="554"/>
        <v>NO APLICA</v>
      </c>
      <c r="PQ173" s="6"/>
      <c r="PR173" s="6"/>
      <c r="PS173" s="6"/>
      <c r="PT173" s="6"/>
      <c r="PU173" s="5" t="str">
        <f t="shared" si="555"/>
        <v>NO APLICA</v>
      </c>
      <c r="PV173" s="5"/>
      <c r="PW173" s="6"/>
      <c r="PX173" s="6"/>
      <c r="PY173" s="6"/>
      <c r="PZ173" s="5" t="str">
        <f t="shared" si="556"/>
        <v>NO APLICA</v>
      </c>
    </row>
    <row r="174" spans="1:442" ht="15.6" hidden="1" thickTop="1" thickBot="1" x14ac:dyDescent="0.35">
      <c r="A174" s="26">
        <v>171</v>
      </c>
      <c r="B174" s="27">
        <v>1510</v>
      </c>
      <c r="C174" s="28" t="s">
        <v>552</v>
      </c>
      <c r="D174" s="29" t="s">
        <v>68</v>
      </c>
      <c r="E174" s="30" t="s">
        <v>77</v>
      </c>
      <c r="F174" s="5"/>
      <c r="G174" s="6"/>
      <c r="H174" s="4"/>
      <c r="I174" s="8"/>
      <c r="J174" s="5" t="str">
        <f t="shared" si="455"/>
        <v>NO APLICA</v>
      </c>
      <c r="K174" s="5"/>
      <c r="L174" s="6"/>
      <c r="M174" s="6"/>
      <c r="N174" s="8"/>
      <c r="O174" s="5" t="str">
        <f t="shared" si="456"/>
        <v>NO APLICA</v>
      </c>
      <c r="P174" s="6"/>
      <c r="Q174" s="6"/>
      <c r="R174" s="4"/>
      <c r="S174" s="8"/>
      <c r="T174" s="5" t="str">
        <f t="shared" si="557"/>
        <v>NO APLICA</v>
      </c>
      <c r="U174" s="5"/>
      <c r="V174" s="2" t="s">
        <v>553</v>
      </c>
      <c r="W174" s="4">
        <v>44838</v>
      </c>
      <c r="X174" s="4">
        <f t="shared" si="587"/>
        <v>46664</v>
      </c>
      <c r="Y174" s="8">
        <f t="shared" ca="1" si="588"/>
        <v>519</v>
      </c>
      <c r="Z174" s="5" t="str">
        <f t="shared" ref="Z174:Z232" ca="1" si="605">IF(Y174&gt;=90,"VIGENTE",IF(Y174&gt;=1,"POR VENCER",IF(Y174&lt;=-1,"VENCIDA",IF(W174=0,"NO APLICA"))))</f>
        <v>VIGENTE</v>
      </c>
      <c r="AA174" s="5"/>
      <c r="AB174" s="2" t="s">
        <v>554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7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8"/>
        <v>178</v>
      </c>
      <c r="AK174" s="5" t="str">
        <f t="shared" ca="1" si="602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9"/>
        <v>511</v>
      </c>
      <c r="AP174" s="5" t="str">
        <f t="shared" ca="1" si="460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1"/>
        <v>430</v>
      </c>
      <c r="AU174" s="5" t="str">
        <f t="shared" ca="1" si="462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3"/>
        <v>560</v>
      </c>
      <c r="AZ174" s="5" t="str">
        <f t="shared" ca="1" si="464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5"/>
        <v>656</v>
      </c>
      <c r="BE174" s="5" t="str">
        <f t="shared" ca="1" si="466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7"/>
        <v>652</v>
      </c>
      <c r="BJ174" s="5" t="str">
        <f t="shared" ca="1" si="468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9"/>
        <v>633</v>
      </c>
      <c r="BO174" s="5" t="str">
        <f t="shared" ca="1" si="470"/>
        <v>VIGENTE</v>
      </c>
      <c r="BP174" s="3"/>
      <c r="BQ174" s="39">
        <v>46069</v>
      </c>
      <c r="BR174" s="4">
        <f>DATE(YEAR(BQ174)+2,MONTH(BQ174),DAY(BQ174))</f>
        <v>46799</v>
      </c>
      <c r="BS174" s="8">
        <f t="shared" ca="1" si="471"/>
        <v>654</v>
      </c>
      <c r="BT174" s="5" t="str">
        <f t="shared" ca="1" si="472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3"/>
        <v>648</v>
      </c>
      <c r="BY174" s="5" t="str">
        <f t="shared" ca="1" si="474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5"/>
        <v>559</v>
      </c>
      <c r="CD174" s="5" t="str">
        <f t="shared" ca="1" si="476"/>
        <v>VIGENTE</v>
      </c>
      <c r="CE174" s="6"/>
      <c r="CF174" s="4">
        <v>45227</v>
      </c>
      <c r="CG174" s="4">
        <f t="shared" si="590"/>
        <v>46688</v>
      </c>
      <c r="CH174" s="8">
        <f t="shared" ca="1" si="591"/>
        <v>543</v>
      </c>
      <c r="CI174" s="5" t="str">
        <f t="shared" ca="1" si="573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7"/>
        <v>95</v>
      </c>
      <c r="CN174" s="5" t="str">
        <f t="shared" ca="1" si="478"/>
        <v>VIGENTE</v>
      </c>
      <c r="CO174" s="3"/>
      <c r="CP174" s="39">
        <v>45517</v>
      </c>
      <c r="CQ174" s="4">
        <f>DATE(YEAR(CP174)+2,MONTH(CP174),DAY(CP174)-1)</f>
        <v>46246</v>
      </c>
      <c r="CR174" s="8">
        <f t="shared" ca="1" si="479"/>
        <v>101</v>
      </c>
      <c r="CS174" s="5" t="str">
        <f t="shared" ca="1" si="480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1"/>
        <v>229</v>
      </c>
      <c r="CX174" s="5" t="str">
        <f t="shared" ca="1" si="482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3"/>
        <v>249</v>
      </c>
      <c r="DC174" s="5" t="str">
        <f t="shared" ca="1" si="484"/>
        <v>VIGENTE</v>
      </c>
      <c r="DD174" s="3"/>
      <c r="DE174" s="39">
        <v>45689</v>
      </c>
      <c r="DF174" s="4">
        <f>DATE(YEAR(DE174)+2,MONTH(DE174),DAY(DE174)-1)</f>
        <v>46418</v>
      </c>
      <c r="DG174" s="8">
        <f t="shared" ca="1" si="485"/>
        <v>273</v>
      </c>
      <c r="DH174" s="5" t="str">
        <f t="shared" ca="1" si="486"/>
        <v>VIGENTE</v>
      </c>
      <c r="DI174" s="3"/>
      <c r="DJ174" s="39">
        <v>45696</v>
      </c>
      <c r="DK174" s="4">
        <f>DATE(YEAR(DJ174)+2,MONTH(DJ174),DAY(DJ174)-1)</f>
        <v>46425</v>
      </c>
      <c r="DL174" s="8">
        <f t="shared" ca="1" si="487"/>
        <v>280</v>
      </c>
      <c r="DM174" s="5" t="str">
        <f t="shared" ca="1" si="488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9"/>
        <v>567</v>
      </c>
      <c r="DR174" s="5" t="str">
        <f t="shared" ca="1" si="490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1"/>
        <v>638</v>
      </c>
      <c r="DW174" s="5" t="str">
        <f t="shared" ca="1" si="492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3"/>
        <v>266</v>
      </c>
      <c r="EB174" s="5" t="str">
        <f t="shared" ca="1" si="494"/>
        <v>VIGENTE</v>
      </c>
      <c r="EC174" s="3"/>
      <c r="ED174" s="39">
        <v>45674</v>
      </c>
      <c r="EE174" s="4">
        <f>DATE(YEAR(ED174)+2,MONTH(ED174),DAY(ED174)-1)</f>
        <v>46403</v>
      </c>
      <c r="EF174" s="8">
        <f t="shared" ca="1" si="495"/>
        <v>258</v>
      </c>
      <c r="EG174" s="5" t="str">
        <f t="shared" ca="1" si="496"/>
        <v>VIGENTE</v>
      </c>
      <c r="EH174" s="3"/>
      <c r="EI174" s="4">
        <v>46115</v>
      </c>
      <c r="EJ174" s="4">
        <f t="shared" si="558"/>
        <v>46480</v>
      </c>
      <c r="EK174" s="8">
        <f t="shared" ca="1" si="497"/>
        <v>335</v>
      </c>
      <c r="EL174" s="5" t="str">
        <f t="shared" ca="1" si="498"/>
        <v>VIGENTE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9"/>
        <v>255</v>
      </c>
      <c r="EQ174" s="5" t="str">
        <f t="shared" ca="1" si="500"/>
        <v>VIGENTE</v>
      </c>
      <c r="ER174" s="3"/>
      <c r="ES174" s="39">
        <v>46062</v>
      </c>
      <c r="ET174" s="4">
        <f>DATE(YEAR(ES174)+2,MONTH(ES174),DAY(ES174))</f>
        <v>46792</v>
      </c>
      <c r="EU174" s="8">
        <f t="shared" ca="1" si="501"/>
        <v>647</v>
      </c>
      <c r="EV174" s="5" t="str">
        <f t="shared" ca="1" si="502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3"/>
        <v>549</v>
      </c>
      <c r="FA174" s="5" t="str">
        <f t="shared" ca="1" si="504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5"/>
        <v>516</v>
      </c>
      <c r="FF174" s="5" t="str">
        <f t="shared" ca="1" si="506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7"/>
        <v>554</v>
      </c>
      <c r="FK174" s="5" t="str">
        <f t="shared" ca="1" si="508"/>
        <v>VIGENTE</v>
      </c>
      <c r="FL174" s="3"/>
      <c r="FM174" s="39">
        <v>45686</v>
      </c>
      <c r="FN174" s="4">
        <f>DATE(YEAR(FM174)+2,MONTH(FM174),DAY(FM174)-1)</f>
        <v>46415</v>
      </c>
      <c r="FO174" s="8">
        <f t="shared" ca="1" si="509"/>
        <v>270</v>
      </c>
      <c r="FP174" s="5" t="str">
        <f t="shared" ca="1" si="510"/>
        <v>VIGENTE</v>
      </c>
      <c r="FQ174" s="3"/>
      <c r="FR174" s="39">
        <v>45664</v>
      </c>
      <c r="FS174" s="4">
        <f>DATE(YEAR(FR174)+2,MONTH(FR174),DAY(FR174)-1)</f>
        <v>46393</v>
      </c>
      <c r="FT174" s="8">
        <f t="shared" ca="1" si="511"/>
        <v>248</v>
      </c>
      <c r="FU174" s="5" t="str">
        <f t="shared" ca="1" si="512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3"/>
        <v>526</v>
      </c>
      <c r="FZ174" s="5" t="str">
        <f t="shared" ca="1" si="514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5"/>
        <v>658</v>
      </c>
      <c r="GE174" s="5" t="str">
        <f t="shared" ca="1" si="516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7"/>
        <v>256</v>
      </c>
      <c r="GJ174" s="5" t="str">
        <f t="shared" ca="1" si="518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9"/>
        <v>530</v>
      </c>
      <c r="GO174" s="5" t="str">
        <f t="shared" ca="1" si="520"/>
        <v>VIGENTE</v>
      </c>
      <c r="GP174" s="4"/>
      <c r="GQ174" s="4">
        <v>45048</v>
      </c>
      <c r="GR174" s="4">
        <f t="shared" si="521"/>
        <v>46875</v>
      </c>
      <c r="GS174" s="8">
        <f t="shared" ca="1" si="601"/>
        <v>730</v>
      </c>
      <c r="GT174" s="5" t="str">
        <f t="shared" ref="GT174:GT175" ca="1" si="606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2"/>
        <v>46837</v>
      </c>
      <c r="GX174" s="8">
        <f t="shared" ca="1" si="523"/>
        <v>692</v>
      </c>
      <c r="GY174" s="5" t="str">
        <f t="shared" ca="1" si="426"/>
        <v>VIGENTE</v>
      </c>
      <c r="GZ174" s="2"/>
      <c r="HA174" s="4">
        <v>45073</v>
      </c>
      <c r="HB174" s="4">
        <f t="shared" si="524"/>
        <v>46900</v>
      </c>
      <c r="HC174" s="8">
        <f t="shared" ca="1" si="525"/>
        <v>755</v>
      </c>
      <c r="HD174" s="5" t="str">
        <f t="shared" ref="HD174:HD175" ca="1" si="607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3"/>
        <v>46942</v>
      </c>
      <c r="HH174" s="8">
        <f t="shared" ca="1" si="604"/>
        <v>797</v>
      </c>
      <c r="HI174" s="5" t="str">
        <f t="shared" ca="1" si="427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4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6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7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8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9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30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1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2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3"/>
        <v>VIGENTE</v>
      </c>
      <c r="JC174" s="3" t="s">
        <v>780</v>
      </c>
      <c r="JD174" s="3"/>
      <c r="JE174" s="4"/>
      <c r="JF174" s="8"/>
      <c r="JG174" s="5"/>
      <c r="JH174" s="3" t="s">
        <v>780</v>
      </c>
      <c r="JI174" s="4"/>
      <c r="JJ174" s="4"/>
      <c r="JK174" s="8"/>
      <c r="JL174" s="5"/>
      <c r="JM174" s="6" t="s">
        <v>780</v>
      </c>
      <c r="JN174" s="4"/>
      <c r="JO174" s="4"/>
      <c r="JP174" s="8"/>
      <c r="JQ174" s="5"/>
      <c r="JR174" s="6" t="s">
        <v>780</v>
      </c>
      <c r="JS174" s="4"/>
      <c r="JT174" s="4"/>
      <c r="JU174" s="8"/>
      <c r="JV174" s="5"/>
      <c r="JW174" s="6" t="s">
        <v>780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4"/>
        <v>NO APLICA</v>
      </c>
      <c r="KG174" s="5"/>
      <c r="KH174" s="2"/>
      <c r="KI174" s="4"/>
      <c r="KJ174" s="8"/>
      <c r="KK174" s="5" t="str">
        <f t="shared" si="559"/>
        <v>NO APLICA</v>
      </c>
      <c r="KL174" s="5"/>
      <c r="KM174" s="2"/>
      <c r="KN174" s="4"/>
      <c r="KO174" s="8"/>
      <c r="KP174" s="5" t="str">
        <f t="shared" si="535"/>
        <v>NO APLICA</v>
      </c>
      <c r="KQ174" s="5"/>
      <c r="KR174" s="2"/>
      <c r="KS174" s="4"/>
      <c r="KT174" s="8"/>
      <c r="KU174" s="5" t="str">
        <f t="shared" si="560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5"/>
        <v>VIGENTE</v>
      </c>
      <c r="LA174" s="5"/>
      <c r="LB174" s="6"/>
      <c r="LC174" s="4"/>
      <c r="LD174" s="8"/>
      <c r="LE174" s="5" t="str">
        <f t="shared" si="561"/>
        <v>NO APLICA</v>
      </c>
      <c r="LF174" s="6"/>
      <c r="LG174" s="4"/>
      <c r="LH174" s="4"/>
      <c r="LI174" s="8"/>
      <c r="LJ174" s="5" t="str">
        <f t="shared" si="600"/>
        <v>NO APLICA</v>
      </c>
      <c r="LK174" s="5"/>
      <c r="LL174" s="5"/>
      <c r="LM174" s="5"/>
      <c r="LN174" s="5"/>
      <c r="LO174" s="5" t="str">
        <f t="shared" si="566"/>
        <v>NO APLICA</v>
      </c>
      <c r="LP174" s="2"/>
      <c r="LQ174" s="6"/>
      <c r="LR174" s="4"/>
      <c r="LS174" s="8"/>
      <c r="LT174" s="5" t="str">
        <f t="shared" si="562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3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4"/>
        <v>VIGENTE</v>
      </c>
      <c r="ME174" s="2"/>
      <c r="MF174" s="2"/>
      <c r="MG174" s="4"/>
      <c r="MH174" s="8"/>
      <c r="MI174" s="5" t="str">
        <f t="shared" si="537"/>
        <v>NO APLICA</v>
      </c>
      <c r="MJ174" s="2"/>
      <c r="MK174" s="2"/>
      <c r="ML174" s="4"/>
      <c r="MM174" s="8"/>
      <c r="MN174" s="5" t="str">
        <f t="shared" si="538"/>
        <v>NO APLICA</v>
      </c>
      <c r="MO174" s="5"/>
      <c r="MP174" s="2"/>
      <c r="MQ174" s="4"/>
      <c r="MR174" s="8"/>
      <c r="MS174" s="5" t="str">
        <f t="shared" si="539"/>
        <v>NO APLICA</v>
      </c>
      <c r="MT174" s="5"/>
      <c r="MU174" s="2"/>
      <c r="MV174" s="4"/>
      <c r="MW174" s="2"/>
      <c r="MX174" s="5" t="str">
        <f t="shared" si="540"/>
        <v>NO APLICA</v>
      </c>
      <c r="MY174" s="2"/>
      <c r="MZ174" s="6"/>
      <c r="NA174" s="4"/>
      <c r="NB174" s="8"/>
      <c r="NC174" s="5" t="str">
        <f t="shared" si="541"/>
        <v>NO APLICA</v>
      </c>
      <c r="ND174" s="2"/>
      <c r="NE174" s="6"/>
      <c r="NF174" s="4"/>
      <c r="NG174" s="8"/>
      <c r="NH174" s="5" t="str">
        <f t="shared" si="542"/>
        <v>NO APLICA</v>
      </c>
      <c r="NI174" s="2"/>
      <c r="NJ174" s="6"/>
      <c r="NK174" s="4"/>
      <c r="NL174" s="8"/>
      <c r="NM174" s="5" t="str">
        <f t="shared" si="543"/>
        <v>NO APLICA</v>
      </c>
      <c r="NN174" s="2"/>
      <c r="NO174" s="2"/>
      <c r="NP174" s="4"/>
      <c r="NQ174" s="2"/>
      <c r="NR174" s="5" t="str">
        <f t="shared" si="544"/>
        <v>NO APLICA</v>
      </c>
      <c r="NS174" s="2"/>
      <c r="NT174" s="2"/>
      <c r="NU174" s="4"/>
      <c r="NV174" s="2"/>
      <c r="NW174" s="5" t="str">
        <f t="shared" si="545"/>
        <v>NO APLICA</v>
      </c>
      <c r="NX174" s="6"/>
      <c r="NY174" s="6"/>
      <c r="NZ174" s="4"/>
      <c r="OA174" s="8"/>
      <c r="OB174" s="5" t="str">
        <f t="shared" si="546"/>
        <v>NO APLICA</v>
      </c>
      <c r="OC174" s="6"/>
      <c r="OD174" s="6"/>
      <c r="OE174" s="6"/>
      <c r="OF174" s="6"/>
      <c r="OG174" s="5" t="str">
        <f t="shared" si="547"/>
        <v>NO APLICA</v>
      </c>
      <c r="OH174" s="6"/>
      <c r="OI174" s="6"/>
      <c r="OJ174" s="4"/>
      <c r="OK174" s="8"/>
      <c r="OL174" s="5" t="str">
        <f t="shared" si="548"/>
        <v>NO APLICA</v>
      </c>
      <c r="OM174" s="6"/>
      <c r="ON174" s="6"/>
      <c r="OO174" s="6"/>
      <c r="OP174" s="6"/>
      <c r="OQ174" s="5" t="str">
        <f t="shared" si="549"/>
        <v>NO APLICA</v>
      </c>
      <c r="OR174" s="6"/>
      <c r="OS174" s="6"/>
      <c r="OT174" s="6"/>
      <c r="OU174" s="6"/>
      <c r="OV174" s="5" t="str">
        <f t="shared" si="550"/>
        <v>NO APLICA</v>
      </c>
      <c r="OW174" s="6"/>
      <c r="OX174" s="6"/>
      <c r="OY174" s="6"/>
      <c r="OZ174" s="6"/>
      <c r="PA174" s="5" t="str">
        <f t="shared" si="551"/>
        <v>NO APLICA</v>
      </c>
      <c r="PB174" s="6"/>
      <c r="PC174" s="6"/>
      <c r="PD174" s="6"/>
      <c r="PE174" s="6"/>
      <c r="PF174" s="5" t="str">
        <f t="shared" si="552"/>
        <v>NO APLICA</v>
      </c>
      <c r="PG174" s="6"/>
      <c r="PH174" s="6"/>
      <c r="PI174" s="6"/>
      <c r="PJ174" s="6"/>
      <c r="PK174" s="5" t="str">
        <f t="shared" si="553"/>
        <v>NO APLICA</v>
      </c>
      <c r="PL174" s="5"/>
      <c r="PM174" s="6"/>
      <c r="PN174" s="4"/>
      <c r="PO174" s="8"/>
      <c r="PP174" s="5" t="str">
        <f t="shared" si="554"/>
        <v>NO APLICA</v>
      </c>
      <c r="PQ174" s="6"/>
      <c r="PR174" s="6"/>
      <c r="PS174" s="6"/>
      <c r="PT174" s="6"/>
      <c r="PU174" s="5" t="str">
        <f t="shared" si="555"/>
        <v>NO APLICA</v>
      </c>
      <c r="PV174" s="5"/>
      <c r="PW174" s="6"/>
      <c r="PX174" s="6"/>
      <c r="PY174" s="6"/>
      <c r="PZ174" s="5" t="str">
        <f t="shared" si="556"/>
        <v>NO APLICA</v>
      </c>
    </row>
    <row r="175" spans="1:442" ht="15.6" hidden="1" thickTop="1" thickBot="1" x14ac:dyDescent="0.35">
      <c r="A175" s="26">
        <v>172</v>
      </c>
      <c r="B175" s="31">
        <v>1731</v>
      </c>
      <c r="C175" s="28" t="s">
        <v>555</v>
      </c>
      <c r="D175" s="29" t="s">
        <v>68</v>
      </c>
      <c r="E175" s="30" t="s">
        <v>73</v>
      </c>
      <c r="F175" s="6"/>
      <c r="G175" s="6"/>
      <c r="H175" s="6"/>
      <c r="I175" s="6"/>
      <c r="J175" s="5" t="str">
        <f t="shared" si="455"/>
        <v>NO APLICA</v>
      </c>
      <c r="K175" s="6"/>
      <c r="L175" s="6"/>
      <c r="M175" s="6"/>
      <c r="N175" s="6"/>
      <c r="O175" s="5" t="str">
        <f t="shared" si="456"/>
        <v>NO APLICA</v>
      </c>
      <c r="P175" s="6"/>
      <c r="Q175" s="6"/>
      <c r="R175" s="6"/>
      <c r="S175" s="6"/>
      <c r="T175" s="5" t="str">
        <f t="shared" si="557"/>
        <v>NO APLICA</v>
      </c>
      <c r="U175" s="5"/>
      <c r="V175" s="6" t="s">
        <v>556</v>
      </c>
      <c r="W175" s="4">
        <v>45189</v>
      </c>
      <c r="X175" s="4">
        <f t="shared" si="587"/>
        <v>47016</v>
      </c>
      <c r="Y175" s="8">
        <f t="shared" ca="1" si="588"/>
        <v>871</v>
      </c>
      <c r="Z175" s="5" t="str">
        <f t="shared" ca="1" si="605"/>
        <v>VIGENTE</v>
      </c>
      <c r="AA175" s="5"/>
      <c r="AB175" s="6" t="s">
        <v>557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7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8"/>
        <v>591</v>
      </c>
      <c r="AK175" s="5" t="str">
        <f t="shared" ca="1" si="602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9"/>
        <v>647</v>
      </c>
      <c r="AP175" s="5" t="str">
        <f t="shared" ca="1" si="460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1"/>
        <v>574</v>
      </c>
      <c r="AU175" s="5" t="str">
        <f t="shared" ca="1" si="462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3"/>
        <v>655</v>
      </c>
      <c r="AZ175" s="5" t="str">
        <f t="shared" ca="1" si="464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5"/>
        <v>656</v>
      </c>
      <c r="BE175" s="5" t="str">
        <f t="shared" ca="1" si="466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7"/>
        <v>572</v>
      </c>
      <c r="BJ175" s="5" t="str">
        <f t="shared" ca="1" si="468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9"/>
        <v>620</v>
      </c>
      <c r="BO175" s="5" t="str">
        <f t="shared" ca="1" si="470"/>
        <v>VIGENTE</v>
      </c>
      <c r="BP175" s="4"/>
      <c r="BQ175" s="39">
        <v>45988</v>
      </c>
      <c r="BR175" s="4">
        <f>DATE(YEAR(BQ175)+2,MONTH(BQ175),DAY(BQ175))</f>
        <v>46718</v>
      </c>
      <c r="BS175" s="8">
        <f t="shared" ca="1" si="471"/>
        <v>573</v>
      </c>
      <c r="BT175" s="5" t="str">
        <f t="shared" ca="1" si="472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3"/>
        <v>616</v>
      </c>
      <c r="BY175" s="5" t="str">
        <f t="shared" ca="1" si="474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5"/>
        <v>539</v>
      </c>
      <c r="CD175" s="5" t="str">
        <f t="shared" ca="1" si="476"/>
        <v>VIGENTE</v>
      </c>
      <c r="CE175" s="6"/>
      <c r="CF175" s="4">
        <v>45346</v>
      </c>
      <c r="CG175" s="4">
        <f t="shared" si="590"/>
        <v>46807</v>
      </c>
      <c r="CH175" s="8">
        <f t="shared" ca="1" si="591"/>
        <v>662</v>
      </c>
      <c r="CI175" s="5" t="str">
        <f t="shared" ca="1" si="573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7"/>
        <v>605</v>
      </c>
      <c r="CN175" s="5" t="str">
        <f t="shared" ca="1" si="478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9"/>
        <v>687</v>
      </c>
      <c r="CS175" s="5" t="str">
        <f t="shared" ca="1" si="480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1"/>
        <v>654</v>
      </c>
      <c r="CX175" s="5" t="str">
        <f t="shared" ca="1" si="482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3"/>
        <v>631</v>
      </c>
      <c r="DC175" s="5" t="str">
        <f t="shared" ca="1" si="484"/>
        <v>VIGENTE</v>
      </c>
      <c r="DD175" s="4"/>
      <c r="DE175" s="39">
        <v>46045</v>
      </c>
      <c r="DF175" s="4">
        <f>DATE(YEAR(DE175)+2,MONTH(DE175),DAY(DE175))</f>
        <v>46775</v>
      </c>
      <c r="DG175" s="8">
        <f t="shared" ca="1" si="485"/>
        <v>630</v>
      </c>
      <c r="DH175" s="5" t="str">
        <f t="shared" ca="1" si="486"/>
        <v>VIGENTE</v>
      </c>
      <c r="DI175" s="6"/>
      <c r="DJ175" s="39">
        <v>46073</v>
      </c>
      <c r="DK175" s="4">
        <f>DATE(YEAR(DJ175)+2,MONTH(DJ175),DAY(DJ175))</f>
        <v>46803</v>
      </c>
      <c r="DL175" s="8">
        <f t="shared" ca="1" si="487"/>
        <v>658</v>
      </c>
      <c r="DM175" s="5" t="str">
        <f t="shared" ca="1" si="488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9"/>
        <v>592</v>
      </c>
      <c r="DR175" s="5" t="str">
        <f t="shared" ca="1" si="490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1"/>
        <v>603</v>
      </c>
      <c r="DW175" s="5" t="str">
        <f t="shared" ca="1" si="492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3"/>
        <v>685</v>
      </c>
      <c r="EB175" s="5" t="str">
        <f t="shared" ca="1" si="494"/>
        <v>VIGENTE</v>
      </c>
      <c r="EC175" s="4"/>
      <c r="ED175" s="39">
        <v>45994</v>
      </c>
      <c r="EE175" s="4">
        <f>DATE(YEAR(ED175)+2,MONTH(ED175),DAY(ED175))</f>
        <v>46724</v>
      </c>
      <c r="EF175" s="8">
        <f t="shared" ca="1" si="495"/>
        <v>579</v>
      </c>
      <c r="EG175" s="5" t="str">
        <f t="shared" ca="1" si="496"/>
        <v>VIGENTE</v>
      </c>
      <c r="EH175" s="3"/>
      <c r="EI175" s="3">
        <v>46085</v>
      </c>
      <c r="EJ175" s="4">
        <f t="shared" si="558"/>
        <v>46450</v>
      </c>
      <c r="EK175" s="8">
        <f t="shared" ca="1" si="497"/>
        <v>305</v>
      </c>
      <c r="EL175" s="5" t="str">
        <f t="shared" ca="1" si="498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9"/>
        <v>580</v>
      </c>
      <c r="EQ175" s="5" t="str">
        <f t="shared" ca="1" si="500"/>
        <v>VIGENTE</v>
      </c>
      <c r="ER175" s="6"/>
      <c r="ES175" s="39">
        <v>45999</v>
      </c>
      <c r="ET175" s="4">
        <f>DATE(YEAR(ES175)+2,MONTH(ES175),DAY(ES175))</f>
        <v>46729</v>
      </c>
      <c r="EU175" s="8">
        <f t="shared" ca="1" si="501"/>
        <v>584</v>
      </c>
      <c r="EV175" s="5" t="str">
        <f t="shared" ca="1" si="502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3"/>
        <v>622</v>
      </c>
      <c r="FA175" s="5" t="str">
        <f t="shared" ca="1" si="504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5"/>
        <v>677</v>
      </c>
      <c r="FF175" s="5" t="str">
        <f t="shared" ca="1" si="506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7"/>
        <v>577</v>
      </c>
      <c r="FK175" s="5" t="str">
        <f t="shared" ca="1" si="508"/>
        <v>VIGENTE</v>
      </c>
      <c r="FL175" s="4"/>
      <c r="FM175" s="39">
        <v>46102</v>
      </c>
      <c r="FN175" s="4">
        <f>DATE(YEAR(FM175)+2,MONTH(FM175),DAY(FM175))</f>
        <v>46833</v>
      </c>
      <c r="FO175" s="8">
        <f t="shared" ca="1" si="509"/>
        <v>688</v>
      </c>
      <c r="FP175" s="5" t="str">
        <f t="shared" ca="1" si="510"/>
        <v>VIGENTE</v>
      </c>
      <c r="FQ175" s="4"/>
      <c r="FR175" s="39">
        <v>46034</v>
      </c>
      <c r="FS175" s="4">
        <f>DATE(YEAR(FR175)+2,MONTH(FR175),DAY(FR175))</f>
        <v>46764</v>
      </c>
      <c r="FT175" s="8">
        <f t="shared" ca="1" si="511"/>
        <v>619</v>
      </c>
      <c r="FU175" s="5" t="str">
        <f t="shared" ca="1" si="512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3"/>
        <v>599</v>
      </c>
      <c r="FZ175" s="5" t="str">
        <f t="shared" ca="1" si="514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5"/>
        <v>615</v>
      </c>
      <c r="GE175" s="5" t="str">
        <f t="shared" ca="1" si="516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7"/>
        <v>664</v>
      </c>
      <c r="GJ175" s="5" t="str">
        <f t="shared" ca="1" si="518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9"/>
        <v>629</v>
      </c>
      <c r="GO175" s="5" t="str">
        <f t="shared" ca="1" si="520"/>
        <v>VIGENTE</v>
      </c>
      <c r="GP175" s="4"/>
      <c r="GQ175" s="4">
        <v>45367</v>
      </c>
      <c r="GR175" s="4">
        <f t="shared" si="521"/>
        <v>47193</v>
      </c>
      <c r="GS175" s="8">
        <f t="shared" ca="1" si="601"/>
        <v>1048</v>
      </c>
      <c r="GT175" s="5" t="str">
        <f t="shared" ca="1" si="606"/>
        <v>VIGENTE</v>
      </c>
      <c r="GU175" s="4"/>
      <c r="GV175" s="4">
        <v>45342</v>
      </c>
      <c r="GW175" s="4">
        <f t="shared" si="522"/>
        <v>47169</v>
      </c>
      <c r="GX175" s="8">
        <f t="shared" ca="1" si="523"/>
        <v>1024</v>
      </c>
      <c r="GY175" s="5" t="str">
        <f t="shared" ca="1" si="426"/>
        <v>VIGENTE</v>
      </c>
      <c r="GZ175" s="6"/>
      <c r="HA175" s="4">
        <v>45348</v>
      </c>
      <c r="HB175" s="4">
        <f t="shared" si="524"/>
        <v>47175</v>
      </c>
      <c r="HC175" s="8">
        <f t="shared" ca="1" si="525"/>
        <v>1030</v>
      </c>
      <c r="HD175" s="5" t="str">
        <f t="shared" ca="1" si="607"/>
        <v>VIGENTE</v>
      </c>
      <c r="HE175" s="6"/>
      <c r="HF175" s="4">
        <v>45404</v>
      </c>
      <c r="HG175" s="4">
        <f t="shared" si="603"/>
        <v>47230</v>
      </c>
      <c r="HH175" s="8">
        <f t="shared" ca="1" si="604"/>
        <v>1085</v>
      </c>
      <c r="HI175" s="5" t="str">
        <f t="shared" ca="1" si="427"/>
        <v>VIGENTE</v>
      </c>
      <c r="HJ175" s="6"/>
      <c r="HK175" s="6"/>
      <c r="HL175" s="4"/>
      <c r="HM175" s="8"/>
      <c r="HN175" s="5" t="str">
        <f t="shared" si="444"/>
        <v>NO APLICA</v>
      </c>
      <c r="HO175" s="2"/>
      <c r="HP175" s="2"/>
      <c r="HQ175" s="4"/>
      <c r="HR175" s="2"/>
      <c r="HS175" s="5" t="str">
        <f t="shared" si="526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7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8"/>
        <v>VIGENTE</v>
      </c>
      <c r="ID175" s="6"/>
      <c r="IE175" s="6"/>
      <c r="IF175" s="4"/>
      <c r="IG175" s="8"/>
      <c r="IH175" s="5" t="str">
        <f t="shared" si="529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30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1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2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3"/>
        <v>VIGENTE</v>
      </c>
      <c r="JC175" s="3" t="s">
        <v>780</v>
      </c>
      <c r="JD175" s="3"/>
      <c r="JE175" s="4"/>
      <c r="JF175" s="8"/>
      <c r="JG175" s="5"/>
      <c r="JH175" s="3" t="s">
        <v>780</v>
      </c>
      <c r="JI175" s="6"/>
      <c r="JJ175" s="6"/>
      <c r="JK175" s="6"/>
      <c r="JL175" s="5"/>
      <c r="JM175" s="6" t="s">
        <v>780</v>
      </c>
      <c r="JN175" s="6"/>
      <c r="JO175" s="6"/>
      <c r="JP175" s="6"/>
      <c r="JQ175" s="5"/>
      <c r="JR175" s="6" t="s">
        <v>780</v>
      </c>
      <c r="JS175" s="6"/>
      <c r="JT175" s="6"/>
      <c r="JU175" s="6"/>
      <c r="JV175" s="5"/>
      <c r="JW175" s="6" t="s">
        <v>780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4"/>
        <v>NO APLICA</v>
      </c>
      <c r="KG175" s="5"/>
      <c r="KH175" s="6"/>
      <c r="KI175" s="4"/>
      <c r="KJ175" s="8"/>
      <c r="KK175" s="5" t="str">
        <f t="shared" si="559"/>
        <v>NO APLICA</v>
      </c>
      <c r="KL175" s="5"/>
      <c r="KM175" s="2"/>
      <c r="KN175" s="4"/>
      <c r="KO175" s="8"/>
      <c r="KP175" s="5" t="str">
        <f t="shared" si="535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60"/>
        <v>VIGENTE</v>
      </c>
      <c r="KV175" s="6"/>
      <c r="KW175" s="6"/>
      <c r="KX175" s="4"/>
      <c r="KY175" s="6"/>
      <c r="KZ175" s="5" t="str">
        <f t="shared" si="565"/>
        <v>NO APLICA</v>
      </c>
      <c r="LA175" s="5"/>
      <c r="LB175" s="6"/>
      <c r="LC175" s="4"/>
      <c r="LD175" s="6"/>
      <c r="LE175" s="5" t="str">
        <f t="shared" si="561"/>
        <v>NO APLICA</v>
      </c>
      <c r="LF175" s="6"/>
      <c r="LG175" s="6"/>
      <c r="LH175" s="6"/>
      <c r="LI175" s="6"/>
      <c r="LJ175" s="5" t="str">
        <f t="shared" si="600"/>
        <v>NO APLICA</v>
      </c>
      <c r="LK175" s="5"/>
      <c r="LL175" s="5"/>
      <c r="LM175" s="4"/>
      <c r="LN175" s="8"/>
      <c r="LO175" s="5" t="str">
        <f t="shared" si="566"/>
        <v>NO APLICA</v>
      </c>
      <c r="LP175" s="6"/>
      <c r="LQ175" s="6"/>
      <c r="LR175" s="4"/>
      <c r="LS175" s="8"/>
      <c r="LT175" s="5" t="str">
        <f t="shared" si="562"/>
        <v>NO APLICA</v>
      </c>
      <c r="LU175" s="6"/>
      <c r="LV175" s="6"/>
      <c r="LW175" s="4"/>
      <c r="LX175" s="6"/>
      <c r="LY175" s="5" t="str">
        <f t="shared" si="563"/>
        <v>NO APLICA</v>
      </c>
      <c r="LZ175" s="6"/>
      <c r="MA175" s="6"/>
      <c r="MB175" s="4"/>
      <c r="MC175" s="6"/>
      <c r="MD175" s="5" t="str">
        <f t="shared" si="564"/>
        <v>NO APLICA</v>
      </c>
      <c r="ME175" s="6"/>
      <c r="MF175" s="6"/>
      <c r="MG175" s="4"/>
      <c r="MH175" s="6"/>
      <c r="MI175" s="5" t="str">
        <f t="shared" si="537"/>
        <v>NO APLICA</v>
      </c>
      <c r="MJ175" s="6"/>
      <c r="MK175" s="6"/>
      <c r="ML175" s="4"/>
      <c r="MM175" s="6"/>
      <c r="MN175" s="5" t="str">
        <f t="shared" si="538"/>
        <v>NO APLICA</v>
      </c>
      <c r="MO175" s="5"/>
      <c r="MP175" s="6"/>
      <c r="MQ175" s="4"/>
      <c r="MR175" s="6"/>
      <c r="MS175" s="5" t="str">
        <f t="shared" si="539"/>
        <v>NO APLICA</v>
      </c>
      <c r="MT175" s="5"/>
      <c r="MU175" s="6"/>
      <c r="MV175" s="6"/>
      <c r="MW175" s="6"/>
      <c r="MX175" s="5" t="str">
        <f t="shared" si="540"/>
        <v>NO APLICA</v>
      </c>
      <c r="MY175" s="6"/>
      <c r="MZ175" s="6"/>
      <c r="NA175" s="4"/>
      <c r="NB175" s="6"/>
      <c r="NC175" s="5" t="str">
        <f t="shared" si="541"/>
        <v>NO APLICA</v>
      </c>
      <c r="ND175" s="6"/>
      <c r="NE175" s="6"/>
      <c r="NF175" s="4"/>
      <c r="NG175" s="6"/>
      <c r="NH175" s="5" t="str">
        <f t="shared" si="542"/>
        <v>NO APLICA</v>
      </c>
      <c r="NI175" s="6"/>
      <c r="NJ175" s="6"/>
      <c r="NK175" s="4"/>
      <c r="NL175" s="6"/>
      <c r="NM175" s="5" t="str">
        <f t="shared" si="543"/>
        <v>NO APLICA</v>
      </c>
      <c r="NN175" s="6"/>
      <c r="NO175" s="6"/>
      <c r="NP175" s="4"/>
      <c r="NQ175" s="6"/>
      <c r="NR175" s="5" t="str">
        <f t="shared" si="544"/>
        <v>NO APLICA</v>
      </c>
      <c r="NS175" s="6"/>
      <c r="NT175" s="6"/>
      <c r="NU175" s="4"/>
      <c r="NV175" s="6"/>
      <c r="NW175" s="5" t="str">
        <f t="shared" si="545"/>
        <v>NO APLICA</v>
      </c>
      <c r="NX175" s="6"/>
      <c r="NY175" s="6"/>
      <c r="NZ175" s="4"/>
      <c r="OA175" s="8"/>
      <c r="OB175" s="5" t="str">
        <f t="shared" si="546"/>
        <v>NO APLICA</v>
      </c>
      <c r="OC175" s="6"/>
      <c r="OD175" s="6"/>
      <c r="OE175" s="6"/>
      <c r="OF175" s="6"/>
      <c r="OG175" s="5" t="str">
        <f t="shared" si="547"/>
        <v>NO APLICA</v>
      </c>
      <c r="OH175" s="6"/>
      <c r="OI175" s="6"/>
      <c r="OJ175" s="6"/>
      <c r="OK175" s="6"/>
      <c r="OL175" s="5" t="str">
        <f t="shared" si="548"/>
        <v>NO APLICA</v>
      </c>
      <c r="OM175" s="6"/>
      <c r="ON175" s="6"/>
      <c r="OO175" s="6"/>
      <c r="OP175" s="6"/>
      <c r="OQ175" s="5" t="str">
        <f t="shared" si="549"/>
        <v>NO APLICA</v>
      </c>
      <c r="OR175" s="6"/>
      <c r="OS175" s="6"/>
      <c r="OT175" s="6"/>
      <c r="OU175" s="6"/>
      <c r="OV175" s="5" t="str">
        <f t="shared" si="550"/>
        <v>NO APLICA</v>
      </c>
      <c r="OW175" s="6"/>
      <c r="OX175" s="6"/>
      <c r="OY175" s="6"/>
      <c r="OZ175" s="6"/>
      <c r="PA175" s="5" t="str">
        <f t="shared" si="551"/>
        <v>NO APLICA</v>
      </c>
      <c r="PB175" s="6"/>
      <c r="PC175" s="6"/>
      <c r="PD175" s="6"/>
      <c r="PE175" s="6"/>
      <c r="PF175" s="5" t="str">
        <f t="shared" si="552"/>
        <v>NO APLICA</v>
      </c>
      <c r="PG175" s="6"/>
      <c r="PH175" s="6"/>
      <c r="PI175" s="6"/>
      <c r="PJ175" s="6"/>
      <c r="PK175" s="5" t="str">
        <f t="shared" si="553"/>
        <v>NO APLICA</v>
      </c>
      <c r="PL175" s="5"/>
      <c r="PM175" s="6"/>
      <c r="PN175" s="6"/>
      <c r="PO175" s="6"/>
      <c r="PP175" s="5" t="str">
        <f t="shared" si="554"/>
        <v>NO APLICA</v>
      </c>
      <c r="PQ175" s="6"/>
      <c r="PR175" s="6"/>
      <c r="PS175" s="6"/>
      <c r="PT175" s="6"/>
      <c r="PU175" s="5" t="str">
        <f t="shared" si="555"/>
        <v>NO APLICA</v>
      </c>
      <c r="PV175" s="5"/>
      <c r="PW175" s="6"/>
      <c r="PX175" s="6"/>
      <c r="PY175" s="6"/>
      <c r="PZ175" s="5" t="str">
        <f t="shared" si="556"/>
        <v>NO APLICA</v>
      </c>
    </row>
    <row r="176" spans="1:442" ht="15.6" hidden="1" thickTop="1" thickBot="1" x14ac:dyDescent="0.35">
      <c r="A176" s="26">
        <v>173</v>
      </c>
      <c r="B176" s="27">
        <v>1118</v>
      </c>
      <c r="C176" s="28" t="s">
        <v>769</v>
      </c>
      <c r="D176" s="29" t="s">
        <v>68</v>
      </c>
      <c r="E176" s="30" t="s">
        <v>73</v>
      </c>
      <c r="F176" s="6"/>
      <c r="G176" s="6"/>
      <c r="H176" s="6"/>
      <c r="I176" s="6"/>
      <c r="J176" s="5" t="str">
        <f t="shared" si="455"/>
        <v>NO APLICA</v>
      </c>
      <c r="K176" s="6"/>
      <c r="L176" s="6"/>
      <c r="M176" s="6"/>
      <c r="N176" s="6"/>
      <c r="O176" s="5" t="str">
        <f t="shared" si="456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7"/>
        <v>VIGENTE</v>
      </c>
      <c r="U176" s="5"/>
      <c r="V176" s="6" t="s">
        <v>558</v>
      </c>
      <c r="W176" s="4">
        <v>45693</v>
      </c>
      <c r="X176" s="4">
        <f t="shared" si="587"/>
        <v>47519</v>
      </c>
      <c r="Y176" s="8">
        <f t="shared" ca="1" si="588"/>
        <v>1374</v>
      </c>
      <c r="Z176" s="5" t="str">
        <f t="shared" ca="1" si="605"/>
        <v>VIGENTE</v>
      </c>
      <c r="AA176" s="5"/>
      <c r="AB176" s="6"/>
      <c r="AC176" s="6"/>
      <c r="AD176" s="4"/>
      <c r="AE176" s="8"/>
      <c r="AF176" s="5" t="str">
        <f t="shared" si="457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8"/>
        <v>193</v>
      </c>
      <c r="AK176" s="5" t="str">
        <f t="shared" ca="1" si="602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9"/>
        <v>186</v>
      </c>
      <c r="AP176" s="5" t="str">
        <f t="shared" ca="1" si="460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1"/>
        <v>224</v>
      </c>
      <c r="AU176" s="5" t="str">
        <f t="shared" ca="1" si="462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3"/>
        <v>228</v>
      </c>
      <c r="AZ176" s="5" t="str">
        <f t="shared" ca="1" si="464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5"/>
        <v>187</v>
      </c>
      <c r="BE176" s="5" t="str">
        <f t="shared" ca="1" si="466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7"/>
        <v>227</v>
      </c>
      <c r="BJ176" s="5" t="str">
        <f t="shared" ca="1" si="468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9"/>
        <v>283</v>
      </c>
      <c r="BO176" s="5" t="str">
        <f t="shared" ca="1" si="470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1"/>
        <v>285</v>
      </c>
      <c r="BT176" s="5" t="str">
        <f t="shared" ca="1" si="472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3"/>
        <v>279</v>
      </c>
      <c r="BY176" s="5" t="str">
        <f t="shared" ca="1" si="474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5"/>
        <v>314</v>
      </c>
      <c r="CD176" s="5" t="str">
        <f t="shared" ca="1" si="476"/>
        <v>VIGENTE</v>
      </c>
      <c r="CE176" s="6"/>
      <c r="CF176" s="4">
        <v>45723</v>
      </c>
      <c r="CG176" s="4">
        <f t="shared" si="590"/>
        <v>47184</v>
      </c>
      <c r="CH176" s="8">
        <f t="shared" ca="1" si="591"/>
        <v>1039</v>
      </c>
      <c r="CI176" s="5" t="str">
        <f t="shared" ca="1" si="573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7"/>
        <v>272</v>
      </c>
      <c r="CN176" s="5" t="str">
        <f t="shared" ca="1" si="478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9"/>
        <v>268</v>
      </c>
      <c r="CS176" s="5" t="str">
        <f t="shared" ca="1" si="480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1"/>
        <v>223</v>
      </c>
      <c r="CX176" s="5" t="str">
        <f t="shared" ca="1" si="482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3"/>
        <v>230</v>
      </c>
      <c r="DC176" s="5" t="str">
        <f t="shared" ca="1" si="484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5"/>
        <v>273</v>
      </c>
      <c r="DH176" s="5" t="str">
        <f t="shared" ca="1" si="486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7"/>
        <v>280</v>
      </c>
      <c r="DM176" s="5" t="str">
        <f t="shared" ca="1" si="488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9"/>
        <v>315</v>
      </c>
      <c r="DR176" s="5" t="str">
        <f t="shared" ca="1" si="490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1"/>
        <v>203</v>
      </c>
      <c r="DW176" s="5" t="str">
        <f t="shared" ca="1" si="492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3"/>
        <v>247</v>
      </c>
      <c r="EB176" s="5" t="str">
        <f t="shared" ca="1" si="494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5"/>
        <v>226</v>
      </c>
      <c r="EG176" s="5" t="str">
        <f t="shared" ca="1" si="496"/>
        <v>VIGENTE</v>
      </c>
      <c r="EH176" s="4"/>
      <c r="EI176" s="4">
        <v>46123</v>
      </c>
      <c r="EJ176" s="4">
        <f t="shared" si="558"/>
        <v>46488</v>
      </c>
      <c r="EK176" s="8">
        <f t="shared" ca="1" si="497"/>
        <v>343</v>
      </c>
      <c r="EL176" s="5" t="str">
        <f t="shared" ca="1" si="498"/>
        <v>VIGENTE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9"/>
        <v>196</v>
      </c>
      <c r="EQ176" s="5" t="str">
        <f t="shared" ca="1" si="500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1"/>
        <v>261</v>
      </c>
      <c r="EV176" s="5" t="str">
        <f t="shared" ca="1" si="502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3"/>
        <v>194</v>
      </c>
      <c r="FA176" s="5" t="str">
        <f t="shared" ca="1" si="504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5"/>
        <v>195</v>
      </c>
      <c r="FF176" s="5" t="str">
        <f t="shared" ca="1" si="506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7"/>
        <v>252</v>
      </c>
      <c r="FK176" s="5" t="str">
        <f t="shared" ca="1" si="508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9"/>
        <v>221</v>
      </c>
      <c r="FP176" s="5" t="str">
        <f t="shared" ca="1" si="510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1"/>
        <v>189</v>
      </c>
      <c r="FU176" s="5" t="str">
        <f t="shared" ca="1" si="512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3"/>
        <v>284</v>
      </c>
      <c r="FZ176" s="5" t="str">
        <f t="shared" ca="1" si="514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5"/>
        <v>210</v>
      </c>
      <c r="GE176" s="5" t="str">
        <f t="shared" ca="1" si="516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7"/>
        <v>256</v>
      </c>
      <c r="GJ176" s="5" t="str">
        <f t="shared" ca="1" si="518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9"/>
        <v>192</v>
      </c>
      <c r="GO176" s="5" t="str">
        <f t="shared" ca="1" si="520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4"/>
        <v>NO APLICA</v>
      </c>
      <c r="HO176" s="6"/>
      <c r="HP176" s="6"/>
      <c r="HQ176" s="6"/>
      <c r="HR176" s="6"/>
      <c r="HS176" s="5" t="str">
        <f t="shared" si="526"/>
        <v>NO APLICA</v>
      </c>
      <c r="HT176" s="6"/>
      <c r="HU176" s="6"/>
      <c r="HV176" s="6"/>
      <c r="HW176" s="6"/>
      <c r="HX176" s="5" t="str">
        <f t="shared" si="527"/>
        <v>NO APLICA</v>
      </c>
      <c r="HY176" s="6"/>
      <c r="HZ176" s="6"/>
      <c r="IA176" s="6"/>
      <c r="IB176" s="6"/>
      <c r="IC176" s="5" t="str">
        <f t="shared" si="528"/>
        <v>NO APLICA</v>
      </c>
      <c r="ID176" s="6"/>
      <c r="IE176" s="6"/>
      <c r="IF176" s="6"/>
      <c r="IG176" s="6"/>
      <c r="IH176" s="5" t="str">
        <f t="shared" si="529"/>
        <v>NO APLICA</v>
      </c>
      <c r="II176" s="6"/>
      <c r="IJ176" s="6"/>
      <c r="IK176" s="6"/>
      <c r="IL176" s="6"/>
      <c r="IM176" s="5" t="str">
        <f t="shared" si="530"/>
        <v>NO APLICA</v>
      </c>
      <c r="IN176" s="6"/>
      <c r="IO176" s="6"/>
      <c r="IP176" s="6"/>
      <c r="IQ176" s="6"/>
      <c r="IR176" s="5" t="str">
        <f t="shared" si="531"/>
        <v>NO APLICA</v>
      </c>
      <c r="IS176" s="6"/>
      <c r="IT176" s="6"/>
      <c r="IU176" s="6"/>
      <c r="IV176" s="6"/>
      <c r="IW176" s="5" t="str">
        <f t="shared" si="532"/>
        <v>NO APLICA</v>
      </c>
      <c r="IX176" s="6"/>
      <c r="IY176" s="6"/>
      <c r="IZ176" s="6"/>
      <c r="JA176" s="6"/>
      <c r="JB176" s="5" t="str">
        <f t="shared" si="533"/>
        <v>NO APLICA</v>
      </c>
      <c r="JC176" s="3" t="s">
        <v>780</v>
      </c>
      <c r="JD176" s="6"/>
      <c r="JE176" s="6"/>
      <c r="JF176" s="6"/>
      <c r="JG176" s="5"/>
      <c r="JH176" s="3" t="s">
        <v>780</v>
      </c>
      <c r="JI176" s="6"/>
      <c r="JJ176" s="6"/>
      <c r="JK176" s="6"/>
      <c r="JL176" s="5"/>
      <c r="JM176" s="6" t="s">
        <v>780</v>
      </c>
      <c r="JN176" s="6"/>
      <c r="JO176" s="6"/>
      <c r="JP176" s="6"/>
      <c r="JQ176" s="5"/>
      <c r="JR176" s="6" t="s">
        <v>780</v>
      </c>
      <c r="JS176" s="6"/>
      <c r="JT176" s="6"/>
      <c r="JU176" s="6"/>
      <c r="JV176" s="5"/>
      <c r="JW176" s="6" t="s">
        <v>780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4"/>
        <v>NO APLICA</v>
      </c>
      <c r="KG176" s="5"/>
      <c r="KH176" s="6"/>
      <c r="KI176" s="6"/>
      <c r="KJ176" s="6"/>
      <c r="KK176" s="5" t="str">
        <f t="shared" si="559"/>
        <v>NO APLICA</v>
      </c>
      <c r="KL176" s="5"/>
      <c r="KM176" s="6"/>
      <c r="KN176" s="6"/>
      <c r="KO176" s="6"/>
      <c r="KP176" s="5" t="str">
        <f t="shared" si="535"/>
        <v>NO APLICA</v>
      </c>
      <c r="KQ176" s="5"/>
      <c r="KR176" s="6"/>
      <c r="KS176" s="6"/>
      <c r="KT176" s="6"/>
      <c r="KU176" s="5" t="str">
        <f t="shared" si="560"/>
        <v>NO APLICA</v>
      </c>
      <c r="KV176" s="6"/>
      <c r="KW176" s="6"/>
      <c r="KX176" s="6"/>
      <c r="KY176" s="6"/>
      <c r="KZ176" s="5" t="str">
        <f t="shared" si="565"/>
        <v>NO APLICA</v>
      </c>
      <c r="LA176" s="5"/>
      <c r="LB176" s="6"/>
      <c r="LC176" s="6"/>
      <c r="LD176" s="6"/>
      <c r="LE176" s="5" t="str">
        <f t="shared" si="561"/>
        <v>NO APLICA</v>
      </c>
      <c r="LF176" s="6"/>
      <c r="LG176" s="6"/>
      <c r="LH176" s="6"/>
      <c r="LI176" s="6"/>
      <c r="LJ176" s="5" t="str">
        <f t="shared" si="600"/>
        <v>NO APLICA</v>
      </c>
      <c r="LK176" s="5"/>
      <c r="LL176" s="5"/>
      <c r="LM176" s="5"/>
      <c r="LN176" s="5"/>
      <c r="LO176" s="5" t="str">
        <f t="shared" si="566"/>
        <v>NO APLICA</v>
      </c>
      <c r="LP176" s="6"/>
      <c r="LQ176" s="6"/>
      <c r="LR176" s="6"/>
      <c r="LS176" s="6"/>
      <c r="LT176" s="5" t="str">
        <f t="shared" si="562"/>
        <v>NO APLICA</v>
      </c>
      <c r="LU176" s="6"/>
      <c r="LV176" s="6"/>
      <c r="LW176" s="6"/>
      <c r="LX176" s="6"/>
      <c r="LY176" s="5" t="str">
        <f t="shared" si="563"/>
        <v>NO APLICA</v>
      </c>
      <c r="LZ176" s="6"/>
      <c r="MA176" s="6"/>
      <c r="MB176" s="6"/>
      <c r="MC176" s="6"/>
      <c r="MD176" s="5" t="str">
        <f t="shared" si="564"/>
        <v>NO APLICA</v>
      </c>
      <c r="ME176" s="6"/>
      <c r="MF176" s="6"/>
      <c r="MG176" s="6"/>
      <c r="MH176" s="6"/>
      <c r="MI176" s="5" t="str">
        <f t="shared" si="537"/>
        <v>NO APLICA</v>
      </c>
      <c r="MJ176" s="6"/>
      <c r="MK176" s="6"/>
      <c r="ML176" s="6"/>
      <c r="MM176" s="6"/>
      <c r="MN176" s="5" t="str">
        <f t="shared" si="538"/>
        <v>NO APLICA</v>
      </c>
      <c r="MO176" s="5"/>
      <c r="MP176" s="6"/>
      <c r="MQ176" s="6"/>
      <c r="MR176" s="6"/>
      <c r="MS176" s="5" t="str">
        <f t="shared" si="539"/>
        <v>NO APLICA</v>
      </c>
      <c r="MT176" s="5"/>
      <c r="MU176" s="6"/>
      <c r="MV176" s="6"/>
      <c r="MW176" s="6"/>
      <c r="MX176" s="5" t="str">
        <f t="shared" si="540"/>
        <v>NO APLICA</v>
      </c>
      <c r="MY176" s="6"/>
      <c r="MZ176" s="6"/>
      <c r="NA176" s="6"/>
      <c r="NB176" s="6"/>
      <c r="NC176" s="5" t="str">
        <f t="shared" si="541"/>
        <v>NO APLICA</v>
      </c>
      <c r="ND176" s="6"/>
      <c r="NE176" s="6"/>
      <c r="NF176" s="6"/>
      <c r="NG176" s="6"/>
      <c r="NH176" s="5" t="str">
        <f t="shared" si="542"/>
        <v>NO APLICA</v>
      </c>
      <c r="NI176" s="6"/>
      <c r="NJ176" s="6"/>
      <c r="NK176" s="6"/>
      <c r="NL176" s="6"/>
      <c r="NM176" s="5" t="str">
        <f t="shared" si="543"/>
        <v>NO APLICA</v>
      </c>
      <c r="NN176" s="6"/>
      <c r="NO176" s="6"/>
      <c r="NP176" s="6"/>
      <c r="NQ176" s="6"/>
      <c r="NR176" s="5" t="str">
        <f t="shared" si="544"/>
        <v>NO APLICA</v>
      </c>
      <c r="NS176" s="6"/>
      <c r="NT176" s="6"/>
      <c r="NU176" s="6"/>
      <c r="NV176" s="6"/>
      <c r="NW176" s="5" t="str">
        <f t="shared" si="545"/>
        <v>NO APLICA</v>
      </c>
      <c r="NX176" s="6"/>
      <c r="NY176" s="6"/>
      <c r="NZ176" s="6"/>
      <c r="OA176" s="6"/>
      <c r="OB176" s="5" t="str">
        <f t="shared" si="546"/>
        <v>NO APLICA</v>
      </c>
      <c r="OC176" s="6"/>
      <c r="OD176" s="6"/>
      <c r="OE176" s="6"/>
      <c r="OF176" s="6"/>
      <c r="OG176" s="5" t="str">
        <f t="shared" si="547"/>
        <v>NO APLICA</v>
      </c>
      <c r="OH176" s="6"/>
      <c r="OI176" s="6"/>
      <c r="OJ176" s="6"/>
      <c r="OK176" s="6"/>
      <c r="OL176" s="5" t="str">
        <f t="shared" si="548"/>
        <v>NO APLICA</v>
      </c>
      <c r="OM176" s="6"/>
      <c r="ON176" s="6"/>
      <c r="OO176" s="6"/>
      <c r="OP176" s="6"/>
      <c r="OQ176" s="5" t="str">
        <f t="shared" si="549"/>
        <v>NO APLICA</v>
      </c>
      <c r="OR176" s="6"/>
      <c r="OS176" s="6"/>
      <c r="OT176" s="6"/>
      <c r="OU176" s="6"/>
      <c r="OV176" s="5" t="str">
        <f t="shared" si="550"/>
        <v>NO APLICA</v>
      </c>
      <c r="OW176" s="6"/>
      <c r="OX176" s="6"/>
      <c r="OY176" s="6"/>
      <c r="OZ176" s="6"/>
      <c r="PA176" s="5" t="str">
        <f t="shared" si="551"/>
        <v>NO APLICA</v>
      </c>
      <c r="PB176" s="6"/>
      <c r="PC176" s="6"/>
      <c r="PD176" s="6"/>
      <c r="PE176" s="6"/>
      <c r="PF176" s="5" t="str">
        <f t="shared" si="552"/>
        <v>NO APLICA</v>
      </c>
      <c r="PG176" s="6"/>
      <c r="PH176" s="6"/>
      <c r="PI176" s="6"/>
      <c r="PJ176" s="6"/>
      <c r="PK176" s="5" t="str">
        <f t="shared" si="553"/>
        <v>NO APLICA</v>
      </c>
      <c r="PL176" s="5"/>
      <c r="PM176" s="6"/>
      <c r="PN176" s="6"/>
      <c r="PO176" s="6"/>
      <c r="PP176" s="5" t="str">
        <f t="shared" si="554"/>
        <v>NO APLICA</v>
      </c>
      <c r="PQ176" s="6"/>
      <c r="PR176" s="6"/>
      <c r="PS176" s="6"/>
      <c r="PT176" s="6"/>
      <c r="PU176" s="5" t="str">
        <f t="shared" si="555"/>
        <v>NO APLICA</v>
      </c>
      <c r="PV176" s="5"/>
      <c r="PW176" s="6"/>
      <c r="PX176" s="6"/>
      <c r="PY176" s="6"/>
      <c r="PZ176" s="5" t="str">
        <f t="shared" si="556"/>
        <v>NO APLICA</v>
      </c>
    </row>
    <row r="177" spans="1:442" ht="15.6" hidden="1" thickTop="1" thickBot="1" x14ac:dyDescent="0.35">
      <c r="A177" s="26">
        <v>174</v>
      </c>
      <c r="B177" s="31">
        <v>1728</v>
      </c>
      <c r="C177" s="28" t="s">
        <v>559</v>
      </c>
      <c r="D177" s="29" t="s">
        <v>68</v>
      </c>
      <c r="E177" s="30" t="s">
        <v>73</v>
      </c>
      <c r="F177" s="6"/>
      <c r="G177" s="6"/>
      <c r="H177" s="6"/>
      <c r="I177" s="6"/>
      <c r="J177" s="5" t="str">
        <f t="shared" si="455"/>
        <v>NO APLICA</v>
      </c>
      <c r="K177" s="6"/>
      <c r="L177" s="6"/>
      <c r="M177" s="6"/>
      <c r="N177" s="6"/>
      <c r="O177" s="5" t="str">
        <f t="shared" si="456"/>
        <v>NO APLICA</v>
      </c>
      <c r="P177" s="9"/>
      <c r="Q177" s="9"/>
      <c r="R177" s="9"/>
      <c r="S177" s="9"/>
      <c r="T177" s="5" t="str">
        <f t="shared" si="557"/>
        <v>NO APLICA</v>
      </c>
      <c r="U177" s="5"/>
      <c r="V177" s="6" t="s">
        <v>560</v>
      </c>
      <c r="W177" s="4">
        <v>45261</v>
      </c>
      <c r="X177" s="4">
        <f t="shared" si="587"/>
        <v>47088</v>
      </c>
      <c r="Y177" s="8">
        <f t="shared" ca="1" si="588"/>
        <v>943</v>
      </c>
      <c r="Z177" s="5" t="str">
        <f t="shared" ca="1" si="605"/>
        <v>VIGENTE</v>
      </c>
      <c r="AA177" s="5"/>
      <c r="AB177" s="6" t="s">
        <v>561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7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8"/>
        <v>591</v>
      </c>
      <c r="AK177" s="5" t="str">
        <f t="shared" ca="1" si="602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9"/>
        <v>647</v>
      </c>
      <c r="AP177" s="5" t="str">
        <f t="shared" ca="1" si="460"/>
        <v>VIGENTE</v>
      </c>
      <c r="AQ177" s="6"/>
      <c r="AR177" s="4">
        <v>46048</v>
      </c>
      <c r="AS177" s="4">
        <f t="shared" ref="AS177:AS183" si="608">DATE(YEAR(AR177)+2,MONTH(AR177),DAY(AR177))</f>
        <v>46778</v>
      </c>
      <c r="AT177" s="8">
        <f t="shared" ca="1" si="461"/>
        <v>633</v>
      </c>
      <c r="AU177" s="5" t="str">
        <f t="shared" ca="1" si="462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3"/>
        <v>655</v>
      </c>
      <c r="AZ177" s="5" t="str">
        <f t="shared" ca="1" si="464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5"/>
        <v>626</v>
      </c>
      <c r="BE177" s="5" t="str">
        <f t="shared" ca="1" si="466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7"/>
        <v>652</v>
      </c>
      <c r="BJ177" s="5" t="str">
        <f t="shared" ca="1" si="468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9"/>
        <v>620</v>
      </c>
      <c r="BO177" s="5" t="str">
        <f t="shared" ca="1" si="470"/>
        <v>VIGENTE</v>
      </c>
      <c r="BP177" s="4"/>
      <c r="BQ177" s="39">
        <v>46050</v>
      </c>
      <c r="BR177" s="4">
        <f>DATE(YEAR(BQ177)+2,MONTH(BQ177),DAY(BQ177))</f>
        <v>46780</v>
      </c>
      <c r="BS177" s="8">
        <f t="shared" ca="1" si="471"/>
        <v>635</v>
      </c>
      <c r="BT177" s="5" t="str">
        <f t="shared" ca="1" si="472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3"/>
        <v>616</v>
      </c>
      <c r="BY177" s="5" t="str">
        <f t="shared" ca="1" si="474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5"/>
        <v>681</v>
      </c>
      <c r="CD177" s="5" t="str">
        <f t="shared" ca="1" si="476"/>
        <v>VIGENTE</v>
      </c>
      <c r="CE177" s="6"/>
      <c r="CF177" s="4">
        <v>45346</v>
      </c>
      <c r="CG177" s="4">
        <f t="shared" si="590"/>
        <v>46807</v>
      </c>
      <c r="CH177" s="8">
        <f t="shared" ca="1" si="591"/>
        <v>662</v>
      </c>
      <c r="CI177" s="5" t="str">
        <f t="shared" ca="1" si="573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7"/>
        <v>603</v>
      </c>
      <c r="CN177" s="5" t="str">
        <f t="shared" ca="1" si="478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9"/>
        <v>687</v>
      </c>
      <c r="CS177" s="5" t="str">
        <f t="shared" ca="1" si="480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1"/>
        <v>628</v>
      </c>
      <c r="CX177" s="5" t="str">
        <f t="shared" ca="1" si="482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3"/>
        <v>684</v>
      </c>
      <c r="DC177" s="5" t="str">
        <f t="shared" ca="1" si="484"/>
        <v>VIGENTE</v>
      </c>
      <c r="DD177" s="4"/>
      <c r="DE177" s="39">
        <v>46045</v>
      </c>
      <c r="DF177" s="4">
        <f>DATE(YEAR(DE177)+2,MONTH(DE177),DAY(DE177))</f>
        <v>46775</v>
      </c>
      <c r="DG177" s="8">
        <f t="shared" ca="1" si="485"/>
        <v>630</v>
      </c>
      <c r="DH177" s="5" t="str">
        <f t="shared" ca="1" si="486"/>
        <v>VIGENTE</v>
      </c>
      <c r="DI177" s="6"/>
      <c r="DJ177" s="39">
        <v>46073</v>
      </c>
      <c r="DK177" s="4">
        <f>DATE(YEAR(DJ177)+2,MONTH(DJ177),DAY(DJ177))</f>
        <v>46803</v>
      </c>
      <c r="DL177" s="8">
        <f t="shared" ca="1" si="487"/>
        <v>658</v>
      </c>
      <c r="DM177" s="5" t="str">
        <f t="shared" ca="1" si="488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9"/>
        <v>631</v>
      </c>
      <c r="DR177" s="5" t="str">
        <f t="shared" ca="1" si="490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1"/>
        <v>657</v>
      </c>
      <c r="DW177" s="5" t="str">
        <f t="shared" ca="1" si="492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3"/>
        <v>685</v>
      </c>
      <c r="EB177" s="5" t="str">
        <f t="shared" ca="1" si="494"/>
        <v>VIGENTE</v>
      </c>
      <c r="EC177" s="4"/>
      <c r="ED177" s="39">
        <v>46104</v>
      </c>
      <c r="EE177" s="4">
        <f>DATE(YEAR(ED177)+2,MONTH(ED177),DAY(ED177))</f>
        <v>46835</v>
      </c>
      <c r="EF177" s="8">
        <f t="shared" ca="1" si="495"/>
        <v>690</v>
      </c>
      <c r="EG177" s="5" t="str">
        <f t="shared" ca="1" si="496"/>
        <v>VIGENTE</v>
      </c>
      <c r="EH177" s="4"/>
      <c r="EI177" s="4">
        <v>46115</v>
      </c>
      <c r="EJ177" s="4">
        <f t="shared" si="558"/>
        <v>46480</v>
      </c>
      <c r="EK177" s="8">
        <f t="shared" ca="1" si="497"/>
        <v>335</v>
      </c>
      <c r="EL177" s="5" t="str">
        <f t="shared" ca="1" si="498"/>
        <v>VIGENTE</v>
      </c>
      <c r="EM177" s="4"/>
      <c r="EN177" s="4">
        <v>46100</v>
      </c>
      <c r="EO177" s="4">
        <f>DATE(YEAR(EN177)+2,MONTH(EN177),DAY(EN177))</f>
        <v>46831</v>
      </c>
      <c r="EP177" s="8">
        <f t="shared" ca="1" si="499"/>
        <v>686</v>
      </c>
      <c r="EQ177" s="5" t="str">
        <f t="shared" ca="1" si="500"/>
        <v>VIGENTE</v>
      </c>
      <c r="ER177" s="6"/>
      <c r="ES177" s="39">
        <v>45999</v>
      </c>
      <c r="ET177" s="4">
        <f>DATE(YEAR(ES177)+2,MONTH(ES177),DAY(ES177))</f>
        <v>46729</v>
      </c>
      <c r="EU177" s="8">
        <f t="shared" ca="1" si="501"/>
        <v>584</v>
      </c>
      <c r="EV177" s="5" t="str">
        <f t="shared" ca="1" si="502"/>
        <v>VIGENTE</v>
      </c>
      <c r="EW177" s="4"/>
      <c r="EX177" s="4">
        <v>45917</v>
      </c>
      <c r="EY177" s="4">
        <f t="shared" ref="EY177:EY186" si="609">DATE(YEAR(EX177)+2,MONTH(EX177),DAY(EX177))</f>
        <v>46647</v>
      </c>
      <c r="EZ177" s="8">
        <f t="shared" ca="1" si="503"/>
        <v>502</v>
      </c>
      <c r="FA177" s="5" t="str">
        <f t="shared" ca="1" si="504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5"/>
        <v>677</v>
      </c>
      <c r="FF177" s="5" t="str">
        <f t="shared" ca="1" si="506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7"/>
        <v>577</v>
      </c>
      <c r="FK177" s="5" t="str">
        <f t="shared" ca="1" si="508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9"/>
        <v>505</v>
      </c>
      <c r="FP177" s="5" t="str">
        <f t="shared" ca="1" si="510"/>
        <v>VIGENTE</v>
      </c>
      <c r="FQ177" s="4"/>
      <c r="FR177" s="39">
        <v>46034</v>
      </c>
      <c r="FS177" s="4">
        <f>DATE(YEAR(FR177)+2,MONTH(FR177),DAY(FR177))</f>
        <v>46764</v>
      </c>
      <c r="FT177" s="8">
        <f t="shared" ca="1" si="511"/>
        <v>619</v>
      </c>
      <c r="FU177" s="5" t="str">
        <f t="shared" ca="1" si="512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3"/>
        <v>599</v>
      </c>
      <c r="FZ177" s="5" t="str">
        <f t="shared" ca="1" si="514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5"/>
        <v>615</v>
      </c>
      <c r="GE177" s="5" t="str">
        <f t="shared" ca="1" si="516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7"/>
        <v>621</v>
      </c>
      <c r="GJ177" s="5" t="str">
        <f t="shared" ca="1" si="518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9"/>
        <v>508</v>
      </c>
      <c r="GO177" s="5" t="str">
        <f t="shared" ca="1" si="520"/>
        <v>VIGENTE</v>
      </c>
      <c r="GP177" s="4"/>
      <c r="GQ177" s="4">
        <v>45367</v>
      </c>
      <c r="GR177" s="4">
        <f t="shared" si="521"/>
        <v>47193</v>
      </c>
      <c r="GS177" s="8">
        <f t="shared" ca="1" si="601"/>
        <v>1048</v>
      </c>
      <c r="GT177" s="5" t="str">
        <f t="shared" ref="GT177:GT240" ca="1" si="61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2"/>
        <v>47215</v>
      </c>
      <c r="GX177" s="8">
        <f t="shared" ca="1" si="523"/>
        <v>1070</v>
      </c>
      <c r="GY177" s="5" t="str">
        <f t="shared" ref="GY177:GY240" ca="1" si="61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4"/>
        <v>47175</v>
      </c>
      <c r="HC177" s="8">
        <f t="shared" ca="1" si="525"/>
        <v>1030</v>
      </c>
      <c r="HD177" s="5" t="str">
        <f t="shared" ref="HD177:HD240" ca="1" si="61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3"/>
        <v>47218</v>
      </c>
      <c r="HH177" s="8">
        <f t="shared" ca="1" si="604"/>
        <v>1073</v>
      </c>
      <c r="HI177" s="5" t="str">
        <f t="shared" ref="HI177:HI190" ca="1" si="61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4"/>
        <v>NO APLICA</v>
      </c>
      <c r="HO177" s="2"/>
      <c r="HP177" s="2"/>
      <c r="HQ177" s="4"/>
      <c r="HR177" s="2"/>
      <c r="HS177" s="5" t="str">
        <f t="shared" si="526"/>
        <v>NO APLICA</v>
      </c>
      <c r="HT177" s="6"/>
      <c r="HU177" s="6"/>
      <c r="HV177" s="4"/>
      <c r="HW177" s="8"/>
      <c r="HX177" s="5" t="str">
        <f t="shared" si="527"/>
        <v>NO APLICA</v>
      </c>
      <c r="HY177" s="6"/>
      <c r="HZ177" s="6"/>
      <c r="IA177" s="4"/>
      <c r="IB177" s="8"/>
      <c r="IC177" s="5" t="str">
        <f t="shared" si="528"/>
        <v>NO APLICA</v>
      </c>
      <c r="ID177" s="6"/>
      <c r="IE177" s="6"/>
      <c r="IF177" s="4"/>
      <c r="IG177" s="8"/>
      <c r="IH177" s="5" t="str">
        <f t="shared" si="529"/>
        <v>NO APLICA</v>
      </c>
      <c r="II177" s="6"/>
      <c r="IJ177" s="6"/>
      <c r="IK177" s="4"/>
      <c r="IL177" s="6"/>
      <c r="IM177" s="5" t="str">
        <f t="shared" si="530"/>
        <v>NO APLICA</v>
      </c>
      <c r="IN177" s="6"/>
      <c r="IO177" s="6"/>
      <c r="IP177" s="4"/>
      <c r="IQ177" s="8"/>
      <c r="IR177" s="5" t="str">
        <f t="shared" si="531"/>
        <v>NO APLICA</v>
      </c>
      <c r="IS177" s="6"/>
      <c r="IT177" s="6"/>
      <c r="IU177" s="4"/>
      <c r="IV177" s="8"/>
      <c r="IW177" s="5" t="str">
        <f t="shared" si="532"/>
        <v>NO APLICA</v>
      </c>
      <c r="IX177" s="6"/>
      <c r="IY177" s="6"/>
      <c r="IZ177" s="4"/>
      <c r="JA177" s="8"/>
      <c r="JB177" s="5" t="str">
        <f t="shared" si="533"/>
        <v>NO APLICA</v>
      </c>
      <c r="JC177" s="3" t="s">
        <v>780</v>
      </c>
      <c r="JD177" s="3"/>
      <c r="JE177" s="4"/>
      <c r="JF177" s="8"/>
      <c r="JG177" s="5"/>
      <c r="JH177" s="3" t="s">
        <v>780</v>
      </c>
      <c r="JI177" s="6"/>
      <c r="JJ177" s="6"/>
      <c r="JK177" s="6"/>
      <c r="JL177" s="5"/>
      <c r="JM177" s="6" t="s">
        <v>780</v>
      </c>
      <c r="JN177" s="6"/>
      <c r="JO177" s="6"/>
      <c r="JP177" s="6"/>
      <c r="JQ177" s="5"/>
      <c r="JR177" s="6" t="s">
        <v>780</v>
      </c>
      <c r="JS177" s="6"/>
      <c r="JT177" s="6"/>
      <c r="JU177" s="6"/>
      <c r="JV177" s="5"/>
      <c r="JW177" s="6" t="s">
        <v>780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4"/>
        <v>NO APLICA</v>
      </c>
      <c r="KG177" s="5"/>
      <c r="KH177" s="2"/>
      <c r="KI177" s="4"/>
      <c r="KJ177" s="8"/>
      <c r="KK177" s="5" t="str">
        <f t="shared" si="559"/>
        <v>NO APLICA</v>
      </c>
      <c r="KL177" s="5"/>
      <c r="KM177" s="2"/>
      <c r="KN177" s="4"/>
      <c r="KO177" s="8"/>
      <c r="KP177" s="5" t="str">
        <f t="shared" si="535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60"/>
        <v>VIGENTE</v>
      </c>
      <c r="KV177" s="6"/>
      <c r="KW177" s="6"/>
      <c r="KX177" s="4"/>
      <c r="KY177" s="6"/>
      <c r="KZ177" s="5" t="str">
        <f t="shared" si="565"/>
        <v>NO APLICA</v>
      </c>
      <c r="LA177" s="5"/>
      <c r="LB177" s="6"/>
      <c r="LC177" s="4"/>
      <c r="LD177" s="6"/>
      <c r="LE177" s="5" t="str">
        <f t="shared" si="561"/>
        <v>NO APLICA</v>
      </c>
      <c r="LF177" s="6"/>
      <c r="LG177" s="6"/>
      <c r="LH177" s="6"/>
      <c r="LI177" s="6"/>
      <c r="LJ177" s="5" t="str">
        <f t="shared" si="600"/>
        <v>NO APLICA</v>
      </c>
      <c r="LK177" s="5"/>
      <c r="LL177" s="5"/>
      <c r="LM177" s="4"/>
      <c r="LN177" s="8"/>
      <c r="LO177" s="5" t="str">
        <f t="shared" si="566"/>
        <v>NO APLICA</v>
      </c>
      <c r="LP177" s="6"/>
      <c r="LQ177" s="6"/>
      <c r="LR177" s="4"/>
      <c r="LS177" s="8"/>
      <c r="LT177" s="5" t="str">
        <f t="shared" si="562"/>
        <v>NO APLICA</v>
      </c>
      <c r="LU177" s="6"/>
      <c r="LV177" s="6"/>
      <c r="LW177" s="4"/>
      <c r="LX177" s="6"/>
      <c r="LY177" s="5" t="str">
        <f t="shared" si="563"/>
        <v>NO APLICA</v>
      </c>
      <c r="LZ177" s="6"/>
      <c r="MA177" s="6"/>
      <c r="MB177" s="4"/>
      <c r="MC177" s="6"/>
      <c r="MD177" s="5" t="str">
        <f t="shared" si="564"/>
        <v>NO APLICA</v>
      </c>
      <c r="ME177" s="6"/>
      <c r="MF177" s="6"/>
      <c r="MG177" s="4"/>
      <c r="MH177" s="6"/>
      <c r="MI177" s="5" t="str">
        <f t="shared" si="537"/>
        <v>NO APLICA</v>
      </c>
      <c r="MJ177" s="6"/>
      <c r="MK177" s="6"/>
      <c r="ML177" s="4"/>
      <c r="MM177" s="6"/>
      <c r="MN177" s="5" t="str">
        <f t="shared" si="538"/>
        <v>NO APLICA</v>
      </c>
      <c r="MO177" s="5"/>
      <c r="MP177" s="6"/>
      <c r="MQ177" s="4"/>
      <c r="MR177" s="6"/>
      <c r="MS177" s="5" t="str">
        <f t="shared" si="539"/>
        <v>NO APLICA</v>
      </c>
      <c r="MT177" s="5"/>
      <c r="MU177" s="6"/>
      <c r="MV177" s="6"/>
      <c r="MW177" s="6"/>
      <c r="MX177" s="5" t="str">
        <f t="shared" si="540"/>
        <v>NO APLICA</v>
      </c>
      <c r="MY177" s="6"/>
      <c r="MZ177" s="6"/>
      <c r="NA177" s="4"/>
      <c r="NB177" s="6"/>
      <c r="NC177" s="5" t="str">
        <f t="shared" si="541"/>
        <v>NO APLICA</v>
      </c>
      <c r="ND177" s="6"/>
      <c r="NE177" s="6"/>
      <c r="NF177" s="4"/>
      <c r="NG177" s="6"/>
      <c r="NH177" s="5" t="str">
        <f t="shared" si="542"/>
        <v>NO APLICA</v>
      </c>
      <c r="NI177" s="6"/>
      <c r="NJ177" s="6"/>
      <c r="NK177" s="4"/>
      <c r="NL177" s="6"/>
      <c r="NM177" s="5" t="str">
        <f t="shared" si="543"/>
        <v>NO APLICA</v>
      </c>
      <c r="NN177" s="6"/>
      <c r="NO177" s="6"/>
      <c r="NP177" s="4"/>
      <c r="NQ177" s="6"/>
      <c r="NR177" s="5" t="str">
        <f t="shared" si="544"/>
        <v>NO APLICA</v>
      </c>
      <c r="NS177" s="6"/>
      <c r="NT177" s="6"/>
      <c r="NU177" s="4"/>
      <c r="NV177" s="6"/>
      <c r="NW177" s="5" t="str">
        <f t="shared" si="545"/>
        <v>NO APLICA</v>
      </c>
      <c r="NX177" s="6"/>
      <c r="NY177" s="6"/>
      <c r="NZ177" s="4"/>
      <c r="OA177" s="8"/>
      <c r="OB177" s="5" t="str">
        <f t="shared" si="546"/>
        <v>NO APLICA</v>
      </c>
      <c r="OC177" s="6"/>
      <c r="OD177" s="6"/>
      <c r="OE177" s="6"/>
      <c r="OF177" s="6"/>
      <c r="OG177" s="5" t="str">
        <f t="shared" si="547"/>
        <v>NO APLICA</v>
      </c>
      <c r="OH177" s="6"/>
      <c r="OI177" s="6"/>
      <c r="OJ177" s="6"/>
      <c r="OK177" s="6"/>
      <c r="OL177" s="5" t="str">
        <f t="shared" si="548"/>
        <v>NO APLICA</v>
      </c>
      <c r="OM177" s="6"/>
      <c r="ON177" s="6"/>
      <c r="OO177" s="6"/>
      <c r="OP177" s="6"/>
      <c r="OQ177" s="5" t="str">
        <f t="shared" si="549"/>
        <v>NO APLICA</v>
      </c>
      <c r="OR177" s="6"/>
      <c r="OS177" s="6"/>
      <c r="OT177" s="6"/>
      <c r="OU177" s="6"/>
      <c r="OV177" s="5" t="str">
        <f t="shared" si="550"/>
        <v>NO APLICA</v>
      </c>
      <c r="OW177" s="6"/>
      <c r="OX177" s="6"/>
      <c r="OY177" s="6"/>
      <c r="OZ177" s="6"/>
      <c r="PA177" s="5" t="str">
        <f t="shared" si="551"/>
        <v>NO APLICA</v>
      </c>
      <c r="PB177" s="6"/>
      <c r="PC177" s="6"/>
      <c r="PD177" s="6"/>
      <c r="PE177" s="6"/>
      <c r="PF177" s="5" t="str">
        <f t="shared" si="552"/>
        <v>NO APLICA</v>
      </c>
      <c r="PG177" s="6"/>
      <c r="PH177" s="6"/>
      <c r="PI177" s="6"/>
      <c r="PJ177" s="6"/>
      <c r="PK177" s="5" t="str">
        <f t="shared" si="553"/>
        <v>NO APLICA</v>
      </c>
      <c r="PL177" s="5"/>
      <c r="PM177" s="6"/>
      <c r="PN177" s="6"/>
      <c r="PO177" s="6"/>
      <c r="PP177" s="5" t="str">
        <f t="shared" si="554"/>
        <v>NO APLICA</v>
      </c>
      <c r="PQ177" s="6"/>
      <c r="PR177" s="6"/>
      <c r="PS177" s="6"/>
      <c r="PT177" s="6"/>
      <c r="PU177" s="5" t="str">
        <f t="shared" si="555"/>
        <v>NO APLICA</v>
      </c>
      <c r="PV177" s="5"/>
      <c r="PW177" s="6"/>
      <c r="PX177" s="6"/>
      <c r="PY177" s="6"/>
      <c r="PZ177" s="5" t="str">
        <f t="shared" si="556"/>
        <v>NO APLICA</v>
      </c>
    </row>
    <row r="178" spans="1:442" ht="15.6" hidden="1" thickTop="1" thickBot="1" x14ac:dyDescent="0.35">
      <c r="A178" s="26">
        <v>175</v>
      </c>
      <c r="B178" s="27">
        <v>653</v>
      </c>
      <c r="C178" s="28" t="s">
        <v>562</v>
      </c>
      <c r="D178" s="29" t="s">
        <v>68</v>
      </c>
      <c r="E178" s="30" t="s">
        <v>129</v>
      </c>
      <c r="F178" s="5"/>
      <c r="G178" s="6"/>
      <c r="H178" s="4"/>
      <c r="I178" s="8"/>
      <c r="J178" s="5" t="str">
        <f t="shared" si="455"/>
        <v>NO APLICA</v>
      </c>
      <c r="K178" s="5"/>
      <c r="L178" s="6"/>
      <c r="M178" s="6"/>
      <c r="N178" s="8"/>
      <c r="O178" s="5" t="str">
        <f t="shared" si="456"/>
        <v>NO APLICA</v>
      </c>
      <c r="P178" s="6"/>
      <c r="Q178" s="6"/>
      <c r="R178" s="4"/>
      <c r="S178" s="8"/>
      <c r="T178" s="5" t="str">
        <f t="shared" si="557"/>
        <v>NO APLICA</v>
      </c>
      <c r="U178" s="5"/>
      <c r="V178" s="2" t="s">
        <v>563</v>
      </c>
      <c r="W178" s="4">
        <v>45216</v>
      </c>
      <c r="X178" s="4">
        <f t="shared" si="587"/>
        <v>47043</v>
      </c>
      <c r="Y178" s="8">
        <f t="shared" ca="1" si="588"/>
        <v>898</v>
      </c>
      <c r="Z178" s="5" t="str">
        <f t="shared" ca="1" si="605"/>
        <v>VIGENTE</v>
      </c>
      <c r="AA178" s="5"/>
      <c r="AB178" s="2" t="s">
        <v>564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8"/>
        <v>173</v>
      </c>
      <c r="AK178" s="5" t="str">
        <f t="shared" ca="1" si="602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9"/>
        <v>522</v>
      </c>
      <c r="AP178" s="5" t="str">
        <f t="shared" ca="1" si="460"/>
        <v>VIGENTE</v>
      </c>
      <c r="AQ178" s="3"/>
      <c r="AR178" s="4">
        <v>45887</v>
      </c>
      <c r="AS178" s="4">
        <f t="shared" si="608"/>
        <v>46617</v>
      </c>
      <c r="AT178" s="8">
        <f t="shared" ca="1" si="461"/>
        <v>472</v>
      </c>
      <c r="AU178" s="5" t="str">
        <f t="shared" ca="1" si="462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3"/>
        <v>575</v>
      </c>
      <c r="AZ178" s="5" t="str">
        <f t="shared" ca="1" si="464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5"/>
        <v>99</v>
      </c>
      <c r="BE178" s="5" t="str">
        <f t="shared" ca="1" si="466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7"/>
        <v>612</v>
      </c>
      <c r="BJ178" s="5" t="str">
        <f t="shared" ca="1" si="468"/>
        <v>VIGENTE</v>
      </c>
      <c r="BK178" s="3"/>
      <c r="BL178" s="4">
        <v>46133</v>
      </c>
      <c r="BM178" s="4">
        <f>DATE(YEAR(BL178)+2,MONTH(BL178),DAY(BL178))</f>
        <v>46864</v>
      </c>
      <c r="BN178" s="8">
        <f t="shared" ca="1" si="469"/>
        <v>719</v>
      </c>
      <c r="BO178" s="5" t="str">
        <f t="shared" ca="1" si="470"/>
        <v>VIGENTE</v>
      </c>
      <c r="BP178" s="3"/>
      <c r="BQ178" s="39">
        <v>46120</v>
      </c>
      <c r="BR178" s="4">
        <f>DATE(YEAR(BQ178)+2,MONTH(BQ178),DAY(BQ178)-1)</f>
        <v>46850</v>
      </c>
      <c r="BS178" s="8">
        <f t="shared" ca="1" si="471"/>
        <v>705</v>
      </c>
      <c r="BT178" s="5" t="str">
        <f t="shared" ca="1" si="472"/>
        <v>VIGENTE</v>
      </c>
      <c r="BU178" s="3"/>
      <c r="BV178" s="4">
        <v>45871</v>
      </c>
      <c r="BW178" s="4">
        <f>DATE(YEAR(BV178)+2,MONTH(BV178),DAY(BV178))</f>
        <v>46601</v>
      </c>
      <c r="BX178" s="8">
        <f t="shared" ca="1" si="473"/>
        <v>456</v>
      </c>
      <c r="BY178" s="5" t="str">
        <f t="shared" ca="1" si="474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5"/>
        <v>529</v>
      </c>
      <c r="CD178" s="5" t="str">
        <f t="shared" ca="1" si="476"/>
        <v>VIGENTE</v>
      </c>
      <c r="CE178" s="6"/>
      <c r="CF178" s="4">
        <v>45227</v>
      </c>
      <c r="CG178" s="4">
        <f t="shared" si="590"/>
        <v>46688</v>
      </c>
      <c r="CH178" s="8">
        <f t="shared" ca="1" si="591"/>
        <v>543</v>
      </c>
      <c r="CI178" s="5" t="str">
        <f t="shared" ca="1" si="573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7"/>
        <v>480</v>
      </c>
      <c r="CN178" s="5" t="str">
        <f t="shared" ca="1" si="478"/>
        <v>VIGENTE</v>
      </c>
      <c r="CO178" s="3"/>
      <c r="CP178" s="39">
        <v>45898</v>
      </c>
      <c r="CQ178" s="4">
        <f>DATE(YEAR(CP178)+2,MONTH(CP178),DAY(CP178))</f>
        <v>46628</v>
      </c>
      <c r="CR178" s="8">
        <f t="shared" ca="1" si="479"/>
        <v>483</v>
      </c>
      <c r="CS178" s="5" t="str">
        <f t="shared" ca="1" si="480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1"/>
        <v>229</v>
      </c>
      <c r="CX178" s="5" t="str">
        <f t="shared" ca="1" si="482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3"/>
        <v>245</v>
      </c>
      <c r="DC178" s="5" t="str">
        <f t="shared" ca="1" si="484"/>
        <v>VIGENTE</v>
      </c>
      <c r="DD178" s="3"/>
      <c r="DE178" s="39">
        <v>45689</v>
      </c>
      <c r="DF178" s="4">
        <f>DATE(YEAR(DE178)+2,MONTH(DE178),DAY(DE178)-1)</f>
        <v>46418</v>
      </c>
      <c r="DG178" s="8">
        <f t="shared" ca="1" si="485"/>
        <v>273</v>
      </c>
      <c r="DH178" s="5" t="str">
        <f t="shared" ca="1" si="486"/>
        <v>VIGENTE</v>
      </c>
      <c r="DI178" s="3"/>
      <c r="DJ178" s="39">
        <v>45955</v>
      </c>
      <c r="DK178" s="4">
        <f>DATE(YEAR(DJ178)+2,MONTH(DJ178),DAY(DJ178))</f>
        <v>46685</v>
      </c>
      <c r="DL178" s="8">
        <f t="shared" ca="1" si="487"/>
        <v>540</v>
      </c>
      <c r="DM178" s="5" t="str">
        <f t="shared" ca="1" si="488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9"/>
        <v>567</v>
      </c>
      <c r="DR178" s="5" t="str">
        <f t="shared" ca="1" si="490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1"/>
        <v>503</v>
      </c>
      <c r="DW178" s="5" t="str">
        <f t="shared" ca="1" si="492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3"/>
        <v>500</v>
      </c>
      <c r="EB178" s="5" t="str">
        <f t="shared" ca="1" si="494"/>
        <v>VIGENTE</v>
      </c>
      <c r="EC178" s="3"/>
      <c r="ED178" s="39">
        <v>45883</v>
      </c>
      <c r="EE178" s="4">
        <f>DATE(YEAR(ED178)+2,MONTH(ED178),DAY(ED178))</f>
        <v>46613</v>
      </c>
      <c r="EF178" s="8">
        <f t="shared" ca="1" si="495"/>
        <v>468</v>
      </c>
      <c r="EG178" s="5" t="str">
        <f t="shared" ca="1" si="496"/>
        <v>VIGENTE</v>
      </c>
      <c r="EH178" s="3"/>
      <c r="EI178" s="3">
        <v>46002</v>
      </c>
      <c r="EJ178" s="4">
        <f t="shared" si="558"/>
        <v>46367</v>
      </c>
      <c r="EK178" s="8">
        <f t="shared" ca="1" si="497"/>
        <v>222</v>
      </c>
      <c r="EL178" s="5" t="str">
        <f t="shared" ca="1" si="498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9"/>
        <v>525</v>
      </c>
      <c r="EQ178" s="5" t="str">
        <f t="shared" ca="1" si="500"/>
        <v>VIGENTE</v>
      </c>
      <c r="ER178" s="3"/>
      <c r="ES178" s="39">
        <v>45824</v>
      </c>
      <c r="ET178" s="4">
        <f>DATE(YEAR(ES178)+2,MONTH(ES178),DAY(ES178))</f>
        <v>46554</v>
      </c>
      <c r="EU178" s="8">
        <f t="shared" ca="1" si="501"/>
        <v>409</v>
      </c>
      <c r="EV178" s="5" t="str">
        <f t="shared" ca="1" si="502"/>
        <v>VIGENTE</v>
      </c>
      <c r="EW178" s="3"/>
      <c r="EX178" s="4">
        <v>45917</v>
      </c>
      <c r="EY178" s="4">
        <f t="shared" si="609"/>
        <v>46647</v>
      </c>
      <c r="EZ178" s="8">
        <f t="shared" ca="1" si="503"/>
        <v>502</v>
      </c>
      <c r="FA178" s="5" t="str">
        <f t="shared" ca="1" si="504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5"/>
        <v>507</v>
      </c>
      <c r="FF178" s="5" t="str">
        <f t="shared" ca="1" si="506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7"/>
        <v>504</v>
      </c>
      <c r="FK178" s="5" t="str">
        <f t="shared" ca="1" si="508"/>
        <v>VIGENTE</v>
      </c>
      <c r="FL178" s="3"/>
      <c r="FM178" s="39">
        <v>45964</v>
      </c>
      <c r="FN178" s="4">
        <f>DATE(YEAR(FM178)+2,MONTH(FM178),DAY(FM178))</f>
        <v>46694</v>
      </c>
      <c r="FO178" s="8">
        <f t="shared" ca="1" si="509"/>
        <v>549</v>
      </c>
      <c r="FP178" s="5" t="str">
        <f t="shared" ca="1" si="510"/>
        <v>VIGENTE</v>
      </c>
      <c r="FQ178" s="3"/>
      <c r="FR178" s="39">
        <v>45846</v>
      </c>
      <c r="FS178" s="4">
        <f>DATE(YEAR(FR178)+2,MONTH(FR178),DAY(FR178))</f>
        <v>46576</v>
      </c>
      <c r="FT178" s="8">
        <f t="shared" ca="1" si="511"/>
        <v>431</v>
      </c>
      <c r="FU178" s="5" t="str">
        <f t="shared" ca="1" si="512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3"/>
        <v>493</v>
      </c>
      <c r="FZ178" s="5" t="str">
        <f t="shared" ca="1" si="514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5"/>
        <v>459</v>
      </c>
      <c r="GE178" s="5" t="str">
        <f t="shared" ca="1" si="516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7"/>
        <v>545</v>
      </c>
      <c r="GJ178" s="5" t="str">
        <f t="shared" ca="1" si="518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9"/>
        <v>530</v>
      </c>
      <c r="GO178" s="5" t="str">
        <f t="shared" ca="1" si="520"/>
        <v>VIGENTE</v>
      </c>
      <c r="GP178" s="4"/>
      <c r="GQ178" s="4">
        <v>45224</v>
      </c>
      <c r="GR178" s="4">
        <f t="shared" si="521"/>
        <v>47051</v>
      </c>
      <c r="GS178" s="8">
        <f t="shared" ca="1" si="601"/>
        <v>906</v>
      </c>
      <c r="GT178" s="5" t="str">
        <f t="shared" ca="1" si="610"/>
        <v>VIGENTE</v>
      </c>
      <c r="GU178" s="3"/>
      <c r="GV178" s="4">
        <v>45200</v>
      </c>
      <c r="GW178" s="4">
        <f t="shared" si="522"/>
        <v>47027</v>
      </c>
      <c r="GX178" s="8">
        <f t="shared" ca="1" si="523"/>
        <v>882</v>
      </c>
      <c r="GY178" s="5" t="str">
        <f t="shared" ca="1" si="611"/>
        <v>VIGENTE</v>
      </c>
      <c r="GZ178" s="3"/>
      <c r="HA178" s="4">
        <v>45232</v>
      </c>
      <c r="HB178" s="4">
        <f t="shared" si="524"/>
        <v>47059</v>
      </c>
      <c r="HC178" s="8">
        <f t="shared" ca="1" si="525"/>
        <v>914</v>
      </c>
      <c r="HD178" s="5" t="str">
        <f t="shared" ca="1" si="612"/>
        <v>VIGENTE</v>
      </c>
      <c r="HE178" s="6"/>
      <c r="HF178" s="4">
        <v>44862</v>
      </c>
      <c r="HG178" s="4">
        <f t="shared" si="603"/>
        <v>46688</v>
      </c>
      <c r="HH178" s="8">
        <f t="shared" ca="1" si="604"/>
        <v>543</v>
      </c>
      <c r="HI178" s="5" t="str">
        <f t="shared" ca="1" si="613"/>
        <v>VIGENTE</v>
      </c>
      <c r="HJ178" s="2"/>
      <c r="HK178" s="6"/>
      <c r="HL178" s="4"/>
      <c r="HM178" s="8"/>
      <c r="HN178" s="5" t="str">
        <f t="shared" si="444"/>
        <v>NO APLICA</v>
      </c>
      <c r="HO178" s="2"/>
      <c r="HP178" s="5"/>
      <c r="HQ178" s="4"/>
      <c r="HR178" s="5"/>
      <c r="HS178" s="5" t="str">
        <f t="shared" si="526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7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8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9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30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1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2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3"/>
        <v>VIGENTE</v>
      </c>
      <c r="JC178" s="3" t="s">
        <v>780</v>
      </c>
      <c r="JD178" s="3"/>
      <c r="JE178" s="4"/>
      <c r="JF178" s="8"/>
      <c r="JG178" s="5"/>
      <c r="JH178" s="3" t="s">
        <v>780</v>
      </c>
      <c r="JI178" s="6"/>
      <c r="JJ178" s="6"/>
      <c r="JK178" s="6"/>
      <c r="JL178" s="5"/>
      <c r="JM178" s="6" t="s">
        <v>780</v>
      </c>
      <c r="JN178" s="6"/>
      <c r="JO178" s="6"/>
      <c r="JP178" s="6"/>
      <c r="JQ178" s="5"/>
      <c r="JR178" s="6" t="s">
        <v>780</v>
      </c>
      <c r="JS178" s="6"/>
      <c r="JT178" s="6"/>
      <c r="JU178" s="6"/>
      <c r="JV178" s="5"/>
      <c r="JW178" s="6" t="s">
        <v>780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4"/>
        <v>NO APLICA</v>
      </c>
      <c r="KG178" s="5"/>
      <c r="KH178" s="5"/>
      <c r="KI178" s="4"/>
      <c r="KJ178" s="8"/>
      <c r="KK178" s="5" t="str">
        <f t="shared" si="559"/>
        <v>NO APLICA</v>
      </c>
      <c r="KL178" s="5"/>
      <c r="KM178" s="5"/>
      <c r="KN178" s="4"/>
      <c r="KO178" s="8"/>
      <c r="KP178" s="5" t="str">
        <f t="shared" si="535"/>
        <v>NO APLICA</v>
      </c>
      <c r="KQ178" s="5"/>
      <c r="KR178" s="2"/>
      <c r="KS178" s="4"/>
      <c r="KT178" s="8"/>
      <c r="KU178" s="5" t="str">
        <f t="shared" si="560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5"/>
        <v>VIGENTE</v>
      </c>
      <c r="LA178" s="5"/>
      <c r="LB178" s="6"/>
      <c r="LC178" s="4"/>
      <c r="LD178" s="8"/>
      <c r="LE178" s="5" t="str">
        <f t="shared" si="561"/>
        <v>NO APLICA</v>
      </c>
      <c r="LF178" s="6"/>
      <c r="LG178" s="4"/>
      <c r="LH178" s="4"/>
      <c r="LI178" s="8"/>
      <c r="LJ178" s="5" t="str">
        <f t="shared" si="600"/>
        <v>NO APLICA</v>
      </c>
      <c r="LK178" s="5"/>
      <c r="LL178" s="5"/>
      <c r="LM178" s="4"/>
      <c r="LN178" s="8"/>
      <c r="LO178" s="5" t="str">
        <f t="shared" si="566"/>
        <v>NO APLICA</v>
      </c>
      <c r="LP178" s="5"/>
      <c r="LQ178" s="6"/>
      <c r="LR178" s="4"/>
      <c r="LS178" s="8"/>
      <c r="LT178" s="5" t="str">
        <f t="shared" si="562"/>
        <v>NO APLICA</v>
      </c>
      <c r="LU178" s="6"/>
      <c r="LV178" s="6"/>
      <c r="LW178" s="4"/>
      <c r="LX178" s="8"/>
      <c r="LY178" s="5" t="str">
        <f t="shared" si="563"/>
        <v>NO APLICA</v>
      </c>
      <c r="LZ178" s="6"/>
      <c r="MA178" s="6"/>
      <c r="MB178" s="4"/>
      <c r="MC178" s="8"/>
      <c r="MD178" s="5" t="str">
        <f t="shared" si="564"/>
        <v>NO APLICA</v>
      </c>
      <c r="ME178" s="5"/>
      <c r="MF178" s="5"/>
      <c r="MG178" s="4"/>
      <c r="MH178" s="8"/>
      <c r="MI178" s="5" t="str">
        <f t="shared" si="537"/>
        <v>NO APLICA</v>
      </c>
      <c r="MJ178" s="5"/>
      <c r="MK178" s="5"/>
      <c r="ML178" s="4"/>
      <c r="MM178" s="8"/>
      <c r="MN178" s="5" t="str">
        <f t="shared" si="538"/>
        <v>NO APLICA</v>
      </c>
      <c r="MO178" s="5"/>
      <c r="MP178" s="5"/>
      <c r="MQ178" s="4"/>
      <c r="MR178" s="8"/>
      <c r="MS178" s="5" t="str">
        <f t="shared" si="539"/>
        <v>NO APLICA</v>
      </c>
      <c r="MT178" s="5"/>
      <c r="MU178" s="5"/>
      <c r="MV178" s="4"/>
      <c r="MW178" s="5"/>
      <c r="MX178" s="5" t="str">
        <f t="shared" si="540"/>
        <v>NO APLICA</v>
      </c>
      <c r="MY178" s="5"/>
      <c r="MZ178" s="6"/>
      <c r="NA178" s="4"/>
      <c r="NB178" s="8"/>
      <c r="NC178" s="5" t="str">
        <f t="shared" si="541"/>
        <v>NO APLICA</v>
      </c>
      <c r="ND178" s="5"/>
      <c r="NE178" s="6"/>
      <c r="NF178" s="4"/>
      <c r="NG178" s="8"/>
      <c r="NH178" s="5" t="str">
        <f t="shared" si="542"/>
        <v>NO APLICA</v>
      </c>
      <c r="NI178" s="5"/>
      <c r="NJ178" s="6"/>
      <c r="NK178" s="4"/>
      <c r="NL178" s="8"/>
      <c r="NM178" s="5" t="str">
        <f t="shared" si="543"/>
        <v>NO APLICA</v>
      </c>
      <c r="NN178" s="5"/>
      <c r="NO178" s="5"/>
      <c r="NP178" s="4"/>
      <c r="NQ178" s="8"/>
      <c r="NR178" s="5" t="str">
        <f t="shared" si="544"/>
        <v>NO APLICA</v>
      </c>
      <c r="NS178" s="5"/>
      <c r="NT178" s="5"/>
      <c r="NU178" s="5"/>
      <c r="NV178" s="5"/>
      <c r="NW178" s="5" t="str">
        <f t="shared" si="545"/>
        <v>NO APLICA</v>
      </c>
      <c r="NX178" s="6"/>
      <c r="NY178" s="6"/>
      <c r="NZ178" s="4"/>
      <c r="OA178" s="8"/>
      <c r="OB178" s="5" t="str">
        <f t="shared" si="546"/>
        <v>NO APLICA</v>
      </c>
      <c r="OC178" s="6"/>
      <c r="OD178" s="6"/>
      <c r="OE178" s="6"/>
      <c r="OF178" s="6"/>
      <c r="OG178" s="5" t="str">
        <f t="shared" si="547"/>
        <v>NO APLICA</v>
      </c>
      <c r="OH178" s="5"/>
      <c r="OI178" s="5"/>
      <c r="OJ178" s="4"/>
      <c r="OK178" s="8"/>
      <c r="OL178" s="5" t="str">
        <f t="shared" si="548"/>
        <v>NO APLICA</v>
      </c>
      <c r="OM178" s="6"/>
      <c r="ON178" s="6"/>
      <c r="OO178" s="6"/>
      <c r="OP178" s="6"/>
      <c r="OQ178" s="5" t="str">
        <f t="shared" si="549"/>
        <v>NO APLICA</v>
      </c>
      <c r="OR178" s="6"/>
      <c r="OS178" s="6"/>
      <c r="OT178" s="6"/>
      <c r="OU178" s="6"/>
      <c r="OV178" s="5" t="str">
        <f t="shared" si="550"/>
        <v>NO APLICA</v>
      </c>
      <c r="OW178" s="6"/>
      <c r="OX178" s="6"/>
      <c r="OY178" s="6"/>
      <c r="OZ178" s="6"/>
      <c r="PA178" s="5" t="str">
        <f t="shared" si="551"/>
        <v>NO APLICA</v>
      </c>
      <c r="PB178" s="6"/>
      <c r="PC178" s="6"/>
      <c r="PD178" s="6"/>
      <c r="PE178" s="6"/>
      <c r="PF178" s="5" t="str">
        <f t="shared" si="552"/>
        <v>NO APLICA</v>
      </c>
      <c r="PG178" s="6"/>
      <c r="PH178" s="6"/>
      <c r="PI178" s="6"/>
      <c r="PJ178" s="6"/>
      <c r="PK178" s="5" t="str">
        <f t="shared" si="553"/>
        <v>NO APLICA</v>
      </c>
      <c r="PL178" s="5"/>
      <c r="PM178" s="6"/>
      <c r="PN178" s="4"/>
      <c r="PO178" s="8"/>
      <c r="PP178" s="5" t="str">
        <f t="shared" si="554"/>
        <v>NO APLICA</v>
      </c>
      <c r="PQ178" s="6"/>
      <c r="PR178" s="6"/>
      <c r="PS178" s="6"/>
      <c r="PT178" s="6"/>
      <c r="PU178" s="5" t="str">
        <f t="shared" si="555"/>
        <v>NO APLICA</v>
      </c>
      <c r="PV178" s="5"/>
      <c r="PW178" s="6"/>
      <c r="PX178" s="6"/>
      <c r="PY178" s="6"/>
      <c r="PZ178" s="5" t="str">
        <f t="shared" si="556"/>
        <v>NO APLICA</v>
      </c>
    </row>
    <row r="179" spans="1:442" ht="15.6" hidden="1" thickTop="1" thickBot="1" x14ac:dyDescent="0.35">
      <c r="A179" s="26">
        <v>176</v>
      </c>
      <c r="B179" s="27">
        <v>1057</v>
      </c>
      <c r="C179" s="28" t="s">
        <v>565</v>
      </c>
      <c r="D179" s="29" t="s">
        <v>113</v>
      </c>
      <c r="E179" s="30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5"/>
        <v>VIGENTE</v>
      </c>
      <c r="K179" s="2"/>
      <c r="L179" s="6"/>
      <c r="M179" s="6"/>
      <c r="N179" s="8"/>
      <c r="O179" s="5" t="str">
        <f t="shared" si="456"/>
        <v>NO APLICA</v>
      </c>
      <c r="P179" s="6"/>
      <c r="Q179" s="6"/>
      <c r="R179" s="4"/>
      <c r="S179" s="8"/>
      <c r="T179" s="5" t="str">
        <f t="shared" si="557"/>
        <v>NO APLICA</v>
      </c>
      <c r="U179" s="5"/>
      <c r="V179" s="2" t="s">
        <v>566</v>
      </c>
      <c r="W179" s="4">
        <v>45735</v>
      </c>
      <c r="X179" s="4">
        <f t="shared" si="587"/>
        <v>47561</v>
      </c>
      <c r="Y179" s="8">
        <f t="shared" ca="1" si="588"/>
        <v>1416</v>
      </c>
      <c r="Z179" s="5" t="str">
        <f t="shared" ca="1" si="605"/>
        <v>VIGENTE</v>
      </c>
      <c r="AA179" s="5"/>
      <c r="AB179" s="2"/>
      <c r="AC179" s="6"/>
      <c r="AD179" s="4"/>
      <c r="AE179" s="8"/>
      <c r="AF179" s="5" t="str">
        <f t="shared" si="45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8"/>
        <v>487</v>
      </c>
      <c r="AK179" s="5" t="str">
        <f t="shared" ca="1" si="602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9"/>
        <v>511</v>
      </c>
      <c r="AP179" s="5" t="str">
        <f t="shared" ca="1" si="460"/>
        <v>VIGENTE</v>
      </c>
      <c r="AQ179" s="3"/>
      <c r="AR179" s="4">
        <v>45904</v>
      </c>
      <c r="AS179" s="4">
        <f t="shared" si="608"/>
        <v>46634</v>
      </c>
      <c r="AT179" s="8">
        <f t="shared" ca="1" si="461"/>
        <v>489</v>
      </c>
      <c r="AU179" s="5" t="str">
        <f t="shared" ca="1" si="462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3"/>
        <v>491</v>
      </c>
      <c r="AZ179" s="5" t="str">
        <f t="shared" ca="1" si="464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5"/>
        <v>301</v>
      </c>
      <c r="BE179" s="5" t="str">
        <f t="shared" ca="1" si="466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7"/>
        <v>115</v>
      </c>
      <c r="BJ179" s="5" t="str">
        <f t="shared" ca="1" si="468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9"/>
        <v>154</v>
      </c>
      <c r="BO179" s="5" t="str">
        <f t="shared" ca="1" si="470"/>
        <v>VIGENTE</v>
      </c>
      <c r="BP179" s="3"/>
      <c r="BQ179" s="39">
        <v>45701</v>
      </c>
      <c r="BR179" s="4">
        <f>DATE(YEAR(BQ179)+2,MONTH(BQ179),DAY(BQ179)-1)</f>
        <v>46430</v>
      </c>
      <c r="BS179" s="8">
        <f t="shared" ca="1" si="471"/>
        <v>285</v>
      </c>
      <c r="BT179" s="5" t="str">
        <f t="shared" ca="1" si="472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3"/>
        <v>279</v>
      </c>
      <c r="BY179" s="5" t="str">
        <f t="shared" ca="1" si="474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5"/>
        <v>496</v>
      </c>
      <c r="CD179" s="5" t="str">
        <f t="shared" ca="1" si="476"/>
        <v>VIGENTE</v>
      </c>
      <c r="CE179" s="6"/>
      <c r="CF179" s="4">
        <v>45529</v>
      </c>
      <c r="CG179" s="4">
        <f t="shared" si="590"/>
        <v>46990</v>
      </c>
      <c r="CH179" s="8">
        <f t="shared" ca="1" si="591"/>
        <v>845</v>
      </c>
      <c r="CI179" s="5" t="str">
        <f t="shared" ca="1" si="573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7"/>
        <v>272</v>
      </c>
      <c r="CN179" s="5" t="str">
        <f t="shared" ca="1" si="478"/>
        <v>VIGENTE</v>
      </c>
      <c r="CO179" s="3"/>
      <c r="CP179" s="39">
        <v>45769</v>
      </c>
      <c r="CQ179" s="4">
        <f>DATE(YEAR(CP179)+2,MONTH(CP179),DAY(CP179))</f>
        <v>46499</v>
      </c>
      <c r="CR179" s="8">
        <f t="shared" ca="1" si="479"/>
        <v>354</v>
      </c>
      <c r="CS179" s="5" t="str">
        <f t="shared" ca="1" si="480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1"/>
        <v>550</v>
      </c>
      <c r="CX179" s="5" t="str">
        <f t="shared" ca="1" si="482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3"/>
        <v>509</v>
      </c>
      <c r="DC179" s="5" t="str">
        <f t="shared" ca="1" si="484"/>
        <v>VIGENTE</v>
      </c>
      <c r="DD179" s="3"/>
      <c r="DE179" s="39">
        <v>45689</v>
      </c>
      <c r="DF179" s="4">
        <f>DATE(YEAR(DE179)+2,MONTH(DE179),DAY(DE179)-1)</f>
        <v>46418</v>
      </c>
      <c r="DG179" s="8">
        <f t="shared" ca="1" si="485"/>
        <v>273</v>
      </c>
      <c r="DH179" s="5" t="str">
        <f t="shared" ca="1" si="486"/>
        <v>VIGENTE</v>
      </c>
      <c r="DI179" s="3"/>
      <c r="DJ179" s="39">
        <v>45975</v>
      </c>
      <c r="DK179" s="4">
        <f>DATE(YEAR(DJ179)+2,MONTH(DJ179),DAY(DJ179))</f>
        <v>46705</v>
      </c>
      <c r="DL179" s="8">
        <f t="shared" ca="1" si="487"/>
        <v>560</v>
      </c>
      <c r="DM179" s="5" t="str">
        <f t="shared" ca="1" si="488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9"/>
        <v>567</v>
      </c>
      <c r="DR179" s="5" t="str">
        <f t="shared" ca="1" si="490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1"/>
        <v>269</v>
      </c>
      <c r="DW179" s="5" t="str">
        <f t="shared" ca="1" si="492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3"/>
        <v>247</v>
      </c>
      <c r="EB179" s="5" t="str">
        <f t="shared" ca="1" si="494"/>
        <v>VIGENTE</v>
      </c>
      <c r="EC179" s="3"/>
      <c r="ED179" s="39">
        <v>45674</v>
      </c>
      <c r="EE179" s="4">
        <f>DATE(YEAR(ED179)+2,MONTH(ED179),DAY(ED179)-1)</f>
        <v>46403</v>
      </c>
      <c r="EF179" s="8">
        <f t="shared" ca="1" si="495"/>
        <v>258</v>
      </c>
      <c r="EG179" s="5" t="str">
        <f t="shared" ca="1" si="496"/>
        <v>VIGENTE</v>
      </c>
      <c r="EH179" s="3"/>
      <c r="EI179" s="3">
        <v>46085</v>
      </c>
      <c r="EJ179" s="4">
        <f t="shared" si="558"/>
        <v>46450</v>
      </c>
      <c r="EK179" s="8">
        <f t="shared" ca="1" si="497"/>
        <v>305</v>
      </c>
      <c r="EL179" s="5" t="str">
        <f t="shared" ca="1" si="498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9"/>
        <v>289</v>
      </c>
      <c r="EQ179" s="5" t="str">
        <f t="shared" ca="1" si="500"/>
        <v>VIGENTE</v>
      </c>
      <c r="ER179" s="3"/>
      <c r="ES179" s="39">
        <v>45749</v>
      </c>
      <c r="ET179" s="4">
        <f>DATE(YEAR(ES179)+2,MONTH(ES179),DAY(ES179)-1)</f>
        <v>46478</v>
      </c>
      <c r="EU179" s="8">
        <f t="shared" ca="1" si="501"/>
        <v>333</v>
      </c>
      <c r="EV179" s="5" t="str">
        <f t="shared" ca="1" si="502"/>
        <v>VIGENTE</v>
      </c>
      <c r="EW179" s="3"/>
      <c r="EX179" s="4">
        <v>45917</v>
      </c>
      <c r="EY179" s="4">
        <f t="shared" si="609"/>
        <v>46647</v>
      </c>
      <c r="EZ179" s="8">
        <f t="shared" ca="1" si="503"/>
        <v>502</v>
      </c>
      <c r="FA179" s="5" t="str">
        <f t="shared" ca="1" si="504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5"/>
        <v>516</v>
      </c>
      <c r="FF179" s="5" t="str">
        <f t="shared" ca="1" si="506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7"/>
        <v>517</v>
      </c>
      <c r="FK179" s="5" t="str">
        <f t="shared" ca="1" si="508"/>
        <v>VIGENTE</v>
      </c>
      <c r="FL179" s="3"/>
      <c r="FM179" s="39">
        <v>45670</v>
      </c>
      <c r="FN179" s="4">
        <f>DATE(YEAR(FM179)+2,MONTH(FM179),DAY(FM179)-1)</f>
        <v>46399</v>
      </c>
      <c r="FO179" s="8">
        <f t="shared" ca="1" si="509"/>
        <v>254</v>
      </c>
      <c r="FP179" s="5" t="str">
        <f t="shared" ca="1" si="510"/>
        <v>VIGENTE</v>
      </c>
      <c r="FQ179" s="3"/>
      <c r="FR179" s="39">
        <v>45664</v>
      </c>
      <c r="FS179" s="4">
        <f>DATE(YEAR(FR179)+2,MONTH(FR179),DAY(FR179)-1)</f>
        <v>46393</v>
      </c>
      <c r="FT179" s="8">
        <f t="shared" ca="1" si="511"/>
        <v>248</v>
      </c>
      <c r="FU179" s="5" t="str">
        <f t="shared" ca="1" si="512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3"/>
        <v>578</v>
      </c>
      <c r="FZ179" s="5" t="str">
        <f t="shared" ca="1" si="514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5"/>
        <v>251</v>
      </c>
      <c r="GE179" s="5" t="str">
        <f t="shared" ca="1" si="516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7"/>
        <v>256</v>
      </c>
      <c r="GJ179" s="5" t="str">
        <f t="shared" ca="1" si="518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9"/>
        <v>192</v>
      </c>
      <c r="GO179" s="5" t="str">
        <f t="shared" ca="1" si="520"/>
        <v>VIGENTE</v>
      </c>
      <c r="GP179" s="4"/>
      <c r="GQ179" s="4">
        <v>44912</v>
      </c>
      <c r="GR179" s="4">
        <f t="shared" si="521"/>
        <v>46738</v>
      </c>
      <c r="GS179" s="8">
        <f t="shared" ca="1" si="601"/>
        <v>593</v>
      </c>
      <c r="GT179" s="5" t="str">
        <f t="shared" ca="1" si="610"/>
        <v>VIGENTE</v>
      </c>
      <c r="GU179" s="3"/>
      <c r="GV179" s="4">
        <v>44984</v>
      </c>
      <c r="GW179" s="4">
        <f t="shared" si="522"/>
        <v>46810</v>
      </c>
      <c r="GX179" s="8">
        <f t="shared" ca="1" si="523"/>
        <v>665</v>
      </c>
      <c r="GY179" s="5" t="str">
        <f t="shared" ca="1" si="611"/>
        <v>VIGENTE</v>
      </c>
      <c r="GZ179" s="3"/>
      <c r="HA179" s="4">
        <v>45174</v>
      </c>
      <c r="HB179" s="4">
        <f t="shared" si="524"/>
        <v>47001</v>
      </c>
      <c r="HC179" s="8">
        <f t="shared" ca="1" si="525"/>
        <v>856</v>
      </c>
      <c r="HD179" s="5" t="str">
        <f t="shared" ca="1" si="612"/>
        <v>VIGENTE</v>
      </c>
      <c r="HE179" s="6"/>
      <c r="HF179" s="6"/>
      <c r="HG179" s="4"/>
      <c r="HH179" s="8"/>
      <c r="HI179" s="5" t="str">
        <f t="shared" si="613"/>
        <v>NO APLICA</v>
      </c>
      <c r="HJ179" s="2"/>
      <c r="HK179" s="6"/>
      <c r="HL179" s="4"/>
      <c r="HM179" s="8"/>
      <c r="HN179" s="5" t="str">
        <f t="shared" si="444"/>
        <v>NO APLICA</v>
      </c>
      <c r="HO179" s="2"/>
      <c r="HP179" s="2"/>
      <c r="HQ179" s="4"/>
      <c r="HR179" s="2"/>
      <c r="HS179" s="5" t="str">
        <f t="shared" si="526"/>
        <v>NO APLICA</v>
      </c>
      <c r="HT179" s="2"/>
      <c r="HU179" s="6"/>
      <c r="HV179" s="4"/>
      <c r="HW179" s="8"/>
      <c r="HX179" s="5" t="str">
        <f t="shared" si="527"/>
        <v>NO APLICA</v>
      </c>
      <c r="HY179" s="2"/>
      <c r="HZ179" s="6"/>
      <c r="IA179" s="4"/>
      <c r="IB179" s="8"/>
      <c r="IC179" s="5" t="str">
        <f t="shared" si="528"/>
        <v>NO APLICA</v>
      </c>
      <c r="ID179" s="2"/>
      <c r="IE179" s="6"/>
      <c r="IF179" s="4"/>
      <c r="IG179" s="8"/>
      <c r="IH179" s="5" t="str">
        <f t="shared" si="529"/>
        <v>NO APLICA</v>
      </c>
      <c r="II179" s="6"/>
      <c r="IJ179" s="6"/>
      <c r="IK179" s="4"/>
      <c r="IL179" s="8"/>
      <c r="IM179" s="5" t="str">
        <f t="shared" si="530"/>
        <v>NO APLICA</v>
      </c>
      <c r="IN179" s="2"/>
      <c r="IO179" s="6"/>
      <c r="IP179" s="4"/>
      <c r="IQ179" s="8"/>
      <c r="IR179" s="5" t="str">
        <f t="shared" si="531"/>
        <v>NO APLICA</v>
      </c>
      <c r="IS179" s="2"/>
      <c r="IT179" s="6"/>
      <c r="IU179" s="4"/>
      <c r="IV179" s="8"/>
      <c r="IW179" s="5" t="str">
        <f t="shared" si="532"/>
        <v>NO APLICA</v>
      </c>
      <c r="IX179" s="2"/>
      <c r="IY179" s="6"/>
      <c r="IZ179" s="4"/>
      <c r="JA179" s="8"/>
      <c r="JB179" s="5" t="str">
        <f t="shared" si="533"/>
        <v>NO APLICA</v>
      </c>
      <c r="JC179" s="3" t="s">
        <v>780</v>
      </c>
      <c r="JD179" s="3"/>
      <c r="JE179" s="4"/>
      <c r="JF179" s="8"/>
      <c r="JG179" s="5"/>
      <c r="JH179" s="3" t="s">
        <v>780</v>
      </c>
      <c r="JI179" s="6"/>
      <c r="JJ179" s="6"/>
      <c r="JK179" s="6"/>
      <c r="JL179" s="5"/>
      <c r="JM179" s="6" t="s">
        <v>780</v>
      </c>
      <c r="JN179" s="6"/>
      <c r="JO179" s="6"/>
      <c r="JP179" s="6"/>
      <c r="JQ179" s="5"/>
      <c r="JR179" s="6" t="s">
        <v>780</v>
      </c>
      <c r="JS179" s="6"/>
      <c r="JT179" s="6"/>
      <c r="JU179" s="6"/>
      <c r="JV179" s="5"/>
      <c r="JW179" s="6" t="s">
        <v>780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4"/>
        <v>NO APLICA</v>
      </c>
      <c r="KG179" s="5"/>
      <c r="KH179" s="2"/>
      <c r="KI179" s="4"/>
      <c r="KJ179" s="8"/>
      <c r="KK179" s="5" t="str">
        <f t="shared" si="559"/>
        <v>NO APLICA</v>
      </c>
      <c r="KL179" s="5"/>
      <c r="KM179" s="2"/>
      <c r="KN179" s="4"/>
      <c r="KO179" s="8"/>
      <c r="KP179" s="5" t="str">
        <f t="shared" si="535"/>
        <v>NO APLICA</v>
      </c>
      <c r="KQ179" s="5"/>
      <c r="KR179" s="2"/>
      <c r="KS179" s="4"/>
      <c r="KT179" s="8"/>
      <c r="KU179" s="5" t="str">
        <f t="shared" si="560"/>
        <v>NO APLICA</v>
      </c>
      <c r="KV179" s="2"/>
      <c r="KW179" s="6"/>
      <c r="KX179" s="4"/>
      <c r="KY179" s="8"/>
      <c r="KZ179" s="5" t="str">
        <f t="shared" si="565"/>
        <v>NO APLICA</v>
      </c>
      <c r="LA179" s="5"/>
      <c r="LB179" s="6"/>
      <c r="LC179" s="4"/>
      <c r="LD179" s="8"/>
      <c r="LE179" s="5" t="str">
        <f t="shared" si="561"/>
        <v>NO APLICA</v>
      </c>
      <c r="LF179" s="6"/>
      <c r="LG179" s="6"/>
      <c r="LH179" s="4"/>
      <c r="LI179" s="8"/>
      <c r="LJ179" s="5" t="str">
        <f t="shared" si="600"/>
        <v>NO APLICA</v>
      </c>
      <c r="LK179" s="5"/>
      <c r="LL179" s="5"/>
      <c r="LM179" s="4"/>
      <c r="LN179" s="8"/>
      <c r="LO179" s="5" t="str">
        <f t="shared" si="566"/>
        <v>NO APLICA</v>
      </c>
      <c r="LP179" s="2"/>
      <c r="LQ179" s="6"/>
      <c r="LR179" s="4"/>
      <c r="LS179" s="8"/>
      <c r="LT179" s="5" t="str">
        <f t="shared" si="562"/>
        <v>NO APLICA</v>
      </c>
      <c r="LU179" s="6"/>
      <c r="LV179" s="6"/>
      <c r="LW179" s="4"/>
      <c r="LX179" s="8"/>
      <c r="LY179" s="5" t="str">
        <f t="shared" si="563"/>
        <v>NO APLICA</v>
      </c>
      <c r="LZ179" s="6"/>
      <c r="MA179" s="6"/>
      <c r="MB179" s="4"/>
      <c r="MC179" s="8"/>
      <c r="MD179" s="5" t="str">
        <f t="shared" si="564"/>
        <v>NO APLICA</v>
      </c>
      <c r="ME179" s="2"/>
      <c r="MF179" s="2"/>
      <c r="MG179" s="4"/>
      <c r="MH179" s="8"/>
      <c r="MI179" s="5" t="str">
        <f t="shared" si="537"/>
        <v>NO APLICA</v>
      </c>
      <c r="MJ179" s="2"/>
      <c r="MK179" s="2"/>
      <c r="ML179" s="4"/>
      <c r="MM179" s="8"/>
      <c r="MN179" s="5" t="str">
        <f t="shared" si="538"/>
        <v>NO APLICA</v>
      </c>
      <c r="MO179" s="5"/>
      <c r="MP179" s="2"/>
      <c r="MQ179" s="4"/>
      <c r="MR179" s="8"/>
      <c r="MS179" s="5" t="str">
        <f t="shared" si="539"/>
        <v>NO APLICA</v>
      </c>
      <c r="MT179" s="5"/>
      <c r="MU179" s="2"/>
      <c r="MV179" s="4"/>
      <c r="MW179" s="2"/>
      <c r="MX179" s="5" t="str">
        <f t="shared" si="540"/>
        <v>NO APLICA</v>
      </c>
      <c r="MY179" s="2"/>
      <c r="MZ179" s="6"/>
      <c r="NA179" s="4"/>
      <c r="NB179" s="8"/>
      <c r="NC179" s="5" t="str">
        <f t="shared" si="541"/>
        <v>NO APLICA</v>
      </c>
      <c r="ND179" s="2"/>
      <c r="NE179" s="6"/>
      <c r="NF179" s="4"/>
      <c r="NG179" s="8"/>
      <c r="NH179" s="5" t="str">
        <f t="shared" si="542"/>
        <v>NO APLICA</v>
      </c>
      <c r="NI179" s="2"/>
      <c r="NJ179" s="6"/>
      <c r="NK179" s="4"/>
      <c r="NL179" s="8"/>
      <c r="NM179" s="5" t="str">
        <f t="shared" si="543"/>
        <v>NO APLICA</v>
      </c>
      <c r="NN179" s="2"/>
      <c r="NO179" s="2"/>
      <c r="NP179" s="4"/>
      <c r="NQ179" s="8"/>
      <c r="NR179" s="5" t="str">
        <f t="shared" si="544"/>
        <v>NO APLICA</v>
      </c>
      <c r="NS179" s="2"/>
      <c r="NT179" s="2"/>
      <c r="NU179" s="2"/>
      <c r="NV179" s="2"/>
      <c r="NW179" s="5" t="str">
        <f t="shared" si="545"/>
        <v>NO APLICA</v>
      </c>
      <c r="NX179" s="6"/>
      <c r="NY179" s="6"/>
      <c r="NZ179" s="4"/>
      <c r="OA179" s="8"/>
      <c r="OB179" s="5" t="str">
        <f t="shared" si="546"/>
        <v>NO APLICA</v>
      </c>
      <c r="OC179" s="6"/>
      <c r="OD179" s="6"/>
      <c r="OE179" s="6"/>
      <c r="OF179" s="6"/>
      <c r="OG179" s="5" t="str">
        <f t="shared" si="547"/>
        <v>NO APLICA</v>
      </c>
      <c r="OH179" s="6"/>
      <c r="OI179" s="6"/>
      <c r="OJ179" s="4"/>
      <c r="OK179" s="8"/>
      <c r="OL179" s="5" t="str">
        <f t="shared" si="548"/>
        <v>NO APLICA</v>
      </c>
      <c r="OM179" s="6"/>
      <c r="ON179" s="6"/>
      <c r="OO179" s="6"/>
      <c r="OP179" s="6"/>
      <c r="OQ179" s="5" t="str">
        <f t="shared" si="549"/>
        <v>NO APLICA</v>
      </c>
      <c r="OR179" s="6"/>
      <c r="OS179" s="6"/>
      <c r="OT179" s="6"/>
      <c r="OU179" s="6"/>
      <c r="OV179" s="5" t="str">
        <f t="shared" si="550"/>
        <v>NO APLICA</v>
      </c>
      <c r="OW179" s="6"/>
      <c r="OX179" s="6"/>
      <c r="OY179" s="6"/>
      <c r="OZ179" s="6"/>
      <c r="PA179" s="5" t="str">
        <f t="shared" si="551"/>
        <v>NO APLICA</v>
      </c>
      <c r="PB179" s="6"/>
      <c r="PC179" s="6"/>
      <c r="PD179" s="6"/>
      <c r="PE179" s="6"/>
      <c r="PF179" s="5" t="str">
        <f t="shared" si="552"/>
        <v>NO APLICA</v>
      </c>
      <c r="PG179" s="6"/>
      <c r="PH179" s="6"/>
      <c r="PI179" s="6"/>
      <c r="PJ179" s="6"/>
      <c r="PK179" s="5" t="str">
        <f t="shared" si="553"/>
        <v>NO APLICA</v>
      </c>
      <c r="PL179" s="5"/>
      <c r="PM179" s="6"/>
      <c r="PN179" s="4"/>
      <c r="PO179" s="8"/>
      <c r="PP179" s="5" t="str">
        <f t="shared" si="554"/>
        <v>NO APLICA</v>
      </c>
      <c r="PQ179" s="6"/>
      <c r="PR179" s="6"/>
      <c r="PS179" s="6"/>
      <c r="PT179" s="6"/>
      <c r="PU179" s="5" t="str">
        <f t="shared" si="555"/>
        <v>NO APLICA</v>
      </c>
      <c r="PV179" s="5"/>
      <c r="PW179" s="6"/>
      <c r="PX179" s="6"/>
      <c r="PY179" s="6"/>
      <c r="PZ179" s="5" t="str">
        <f t="shared" si="556"/>
        <v>NO APLICA</v>
      </c>
    </row>
    <row r="180" spans="1:442" ht="15.6" hidden="1" thickTop="1" thickBot="1" x14ac:dyDescent="0.35">
      <c r="A180" s="26">
        <v>177</v>
      </c>
      <c r="B180" s="31">
        <v>1241</v>
      </c>
      <c r="C180" s="28" t="s">
        <v>773</v>
      </c>
      <c r="D180" s="29" t="s">
        <v>68</v>
      </c>
      <c r="E180" s="30" t="s">
        <v>73</v>
      </c>
      <c r="F180" s="6"/>
      <c r="G180" s="6"/>
      <c r="H180" s="6"/>
      <c r="I180" s="6"/>
      <c r="J180" s="5" t="str">
        <f t="shared" si="455"/>
        <v>NO APLICA</v>
      </c>
      <c r="K180" s="6"/>
      <c r="L180" s="6"/>
      <c r="M180" s="6"/>
      <c r="N180" s="6"/>
      <c r="O180" s="5" t="str">
        <f t="shared" si="456"/>
        <v>NO APLICA</v>
      </c>
      <c r="P180" s="6"/>
      <c r="Q180" s="6"/>
      <c r="R180" s="6"/>
      <c r="S180" s="6"/>
      <c r="T180" s="5" t="str">
        <f t="shared" si="557"/>
        <v>NO APLICA</v>
      </c>
      <c r="U180" s="5"/>
      <c r="V180" s="6" t="s">
        <v>567</v>
      </c>
      <c r="W180" s="4">
        <v>45426</v>
      </c>
      <c r="X180" s="4">
        <f t="shared" si="587"/>
        <v>47252</v>
      </c>
      <c r="Y180" s="8">
        <f t="shared" ca="1" si="588"/>
        <v>1107</v>
      </c>
      <c r="Z180" s="5" t="str">
        <f t="shared" ca="1" si="605"/>
        <v>VIGENTE</v>
      </c>
      <c r="AA180" s="5"/>
      <c r="AB180" s="6" t="s">
        <v>568</v>
      </c>
      <c r="AC180" s="4">
        <v>45464</v>
      </c>
      <c r="AD180" s="4">
        <f>DATE(YEAR(AC180)+5,MONTH(AC180),DAY(AC180))</f>
        <v>47290</v>
      </c>
      <c r="AE180" s="8">
        <f t="shared" ref="AE180:AE189" ca="1" si="614">AD180-TODAY()</f>
        <v>1145</v>
      </c>
      <c r="AF180" s="5" t="str">
        <f t="shared" ca="1" si="45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8"/>
        <v>96</v>
      </c>
      <c r="AK180" s="5" t="str">
        <f t="shared" ca="1" si="602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9"/>
        <v>670</v>
      </c>
      <c r="AP180" s="5" t="str">
        <f t="shared" ca="1" si="460"/>
        <v>VIGENTE</v>
      </c>
      <c r="AQ180" s="6"/>
      <c r="AR180" s="4">
        <v>46048</v>
      </c>
      <c r="AS180" s="4">
        <f t="shared" si="608"/>
        <v>46778</v>
      </c>
      <c r="AT180" s="8">
        <f t="shared" ca="1" si="461"/>
        <v>633</v>
      </c>
      <c r="AU180" s="5" t="str">
        <f t="shared" ca="1" si="462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3"/>
        <v>107</v>
      </c>
      <c r="AZ180" s="5" t="str">
        <f t="shared" ca="1" si="464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5"/>
        <v>656</v>
      </c>
      <c r="BE180" s="5" t="str">
        <f t="shared" ca="1" si="466"/>
        <v>VIGENTE</v>
      </c>
      <c r="BF180" s="6"/>
      <c r="BG180" s="4">
        <v>46067</v>
      </c>
      <c r="BH180" s="4">
        <f t="shared" ref="BH180:BH186" si="615">DATE(YEAR(BG180)+2,MONTH(BG180),DAY(BG180))</f>
        <v>46797</v>
      </c>
      <c r="BI180" s="8">
        <f t="shared" ca="1" si="467"/>
        <v>652</v>
      </c>
      <c r="BJ180" s="5" t="str">
        <f t="shared" ca="1" si="468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9"/>
        <v>676</v>
      </c>
      <c r="BO180" s="5" t="str">
        <f t="shared" ca="1" si="470"/>
        <v>VIGENTE</v>
      </c>
      <c r="BP180" s="4"/>
      <c r="BQ180" s="39">
        <v>46120</v>
      </c>
      <c r="BR180" s="4">
        <f>DATE(YEAR(BQ180)+2,MONTH(BQ180),DAY(BQ180)-1)</f>
        <v>46850</v>
      </c>
      <c r="BS180" s="8">
        <f t="shared" ca="1" si="471"/>
        <v>705</v>
      </c>
      <c r="BT180" s="5" t="str">
        <f t="shared" ca="1" si="472"/>
        <v>VIGENTE</v>
      </c>
      <c r="BU180" s="6"/>
      <c r="BV180" s="4">
        <v>46135</v>
      </c>
      <c r="BW180" s="4">
        <f>DATE(YEAR(BV180)+2,MONTH(BV180),DAY(BV180)-1)</f>
        <v>46865</v>
      </c>
      <c r="BX180" s="8">
        <f t="shared" ca="1" si="473"/>
        <v>720</v>
      </c>
      <c r="BY180" s="5" t="str">
        <f t="shared" ca="1" si="474"/>
        <v>VIGENTE</v>
      </c>
      <c r="BZ180" s="6"/>
      <c r="CA180" s="4">
        <v>46065</v>
      </c>
      <c r="CB180" s="4">
        <f>DATE(YEAR(CA180)+2,MONTH(CA180),DAY(CA180))</f>
        <v>46795</v>
      </c>
      <c r="CC180" s="8">
        <f t="shared" ca="1" si="475"/>
        <v>650</v>
      </c>
      <c r="CD180" s="5" t="str">
        <f t="shared" ca="1" si="476"/>
        <v>VIGENTE</v>
      </c>
      <c r="CE180" s="6"/>
      <c r="CF180" s="4">
        <v>45455</v>
      </c>
      <c r="CG180" s="4">
        <f t="shared" si="590"/>
        <v>46916</v>
      </c>
      <c r="CH180" s="8">
        <f t="shared" ca="1" si="591"/>
        <v>771</v>
      </c>
      <c r="CI180" s="5" t="str">
        <f t="shared" ca="1" si="573"/>
        <v>VIGENTE</v>
      </c>
      <c r="CJ180" s="6"/>
      <c r="CK180" s="4">
        <v>46134</v>
      </c>
      <c r="CL180" s="4">
        <f>DATE(YEAR(CK180)+2,MONTH(CK180),DAY(CK180)-1)</f>
        <v>46864</v>
      </c>
      <c r="CM180" s="8">
        <f t="shared" ca="1" si="477"/>
        <v>719</v>
      </c>
      <c r="CN180" s="5" t="str">
        <f t="shared" ca="1" si="478"/>
        <v>VIGENTE</v>
      </c>
      <c r="CO180" s="4"/>
      <c r="CP180" s="4">
        <v>46101</v>
      </c>
      <c r="CQ180" s="4">
        <f>DATE(YEAR(CP180)+2,MONTH(CP180),DAY(CP180))</f>
        <v>46832</v>
      </c>
      <c r="CR180" s="8">
        <f t="shared" ca="1" si="479"/>
        <v>687</v>
      </c>
      <c r="CS180" s="5" t="str">
        <f t="shared" ca="1" si="480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1"/>
        <v>666</v>
      </c>
      <c r="CX180" s="5" t="str">
        <f t="shared" ca="1" si="482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3"/>
        <v>684</v>
      </c>
      <c r="DC180" s="5" t="str">
        <f t="shared" ca="1" si="484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5"/>
        <v>119</v>
      </c>
      <c r="DH180" s="5" t="str">
        <f t="shared" ca="1" si="486"/>
        <v>VIGENTE</v>
      </c>
      <c r="DI180" s="6"/>
      <c r="DJ180" s="39">
        <v>46126</v>
      </c>
      <c r="DK180" s="4">
        <f>DATE(YEAR(DJ180)+2,MONTH(DJ180),DAY(DJ180)-1)</f>
        <v>46856</v>
      </c>
      <c r="DL180" s="8">
        <f t="shared" ca="1" si="487"/>
        <v>711</v>
      </c>
      <c r="DM180" s="5" t="str">
        <f t="shared" ca="1" si="488"/>
        <v>VIGENTE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9"/>
        <v>70</v>
      </c>
      <c r="DR180" s="5" t="str">
        <f t="shared" ca="1" si="490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1"/>
        <v>638</v>
      </c>
      <c r="DW180" s="5" t="str">
        <f t="shared" ca="1" si="492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3"/>
        <v>685</v>
      </c>
      <c r="EB180" s="5" t="str">
        <f t="shared" ca="1" si="494"/>
        <v>VIGENTE</v>
      </c>
      <c r="EC180" s="4"/>
      <c r="ED180" s="39">
        <v>46104</v>
      </c>
      <c r="EE180" s="4">
        <f>DATE(YEAR(ED180)+2,MONTH(ED180),DAY(ED180))</f>
        <v>46835</v>
      </c>
      <c r="EF180" s="8">
        <f t="shared" ca="1" si="495"/>
        <v>690</v>
      </c>
      <c r="EG180" s="5" t="str">
        <f t="shared" ca="1" si="496"/>
        <v>VIGENTE</v>
      </c>
      <c r="EH180" s="4"/>
      <c r="EI180" s="4">
        <v>46123</v>
      </c>
      <c r="EJ180" s="4">
        <f t="shared" si="558"/>
        <v>46488</v>
      </c>
      <c r="EK180" s="8">
        <f t="shared" ca="1" si="497"/>
        <v>343</v>
      </c>
      <c r="EL180" s="5" t="str">
        <f t="shared" ca="1" si="498"/>
        <v>VIGENTE</v>
      </c>
      <c r="EM180" s="4"/>
      <c r="EN180" s="4">
        <v>46100</v>
      </c>
      <c r="EO180" s="4">
        <f>DATE(YEAR(EN180)+2,MONTH(EN180),DAY(EN180))</f>
        <v>46831</v>
      </c>
      <c r="EP180" s="8">
        <f t="shared" ca="1" si="499"/>
        <v>686</v>
      </c>
      <c r="EQ180" s="5" t="str">
        <f t="shared" ca="1" si="500"/>
        <v>VIGENTE</v>
      </c>
      <c r="ER180" s="6"/>
      <c r="ES180" s="39">
        <v>46094</v>
      </c>
      <c r="ET180" s="4">
        <f>DATE(YEAR(ES180)+2,MONTH(ES180),DAY(ES180))</f>
        <v>46825</v>
      </c>
      <c r="EU180" s="8">
        <f t="shared" ca="1" si="501"/>
        <v>680</v>
      </c>
      <c r="EV180" s="5" t="str">
        <f t="shared" ca="1" si="502"/>
        <v>VIGENTE</v>
      </c>
      <c r="EW180" s="4"/>
      <c r="EX180" s="4">
        <v>46063</v>
      </c>
      <c r="EY180" s="4">
        <f t="shared" si="609"/>
        <v>46793</v>
      </c>
      <c r="EZ180" s="8">
        <f t="shared" ca="1" si="503"/>
        <v>648</v>
      </c>
      <c r="FA180" s="5" t="str">
        <f t="shared" ca="1" si="504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5"/>
        <v>66</v>
      </c>
      <c r="FF180" s="5" t="str">
        <f t="shared" ca="1" si="506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7"/>
        <v>90</v>
      </c>
      <c r="FK180" s="5" t="str">
        <f t="shared" ca="1" si="508"/>
        <v>POR VENCER</v>
      </c>
      <c r="FL180" s="4"/>
      <c r="FM180" s="39">
        <v>46129</v>
      </c>
      <c r="FN180" s="4">
        <f>DATE(YEAR(FM180)+2,MONTH(FM180),DAY(FM180)-1)</f>
        <v>46859</v>
      </c>
      <c r="FO180" s="8">
        <f t="shared" ca="1" si="509"/>
        <v>714</v>
      </c>
      <c r="FP180" s="5" t="str">
        <f t="shared" ca="1" si="510"/>
        <v>VIGENTE</v>
      </c>
      <c r="FQ180" s="4"/>
      <c r="FR180" s="39">
        <v>46080</v>
      </c>
      <c r="FS180" s="4">
        <f>DATE(YEAR(FR180)+2,MONTH(FR180),DAY(FR180))</f>
        <v>46810</v>
      </c>
      <c r="FT180" s="8">
        <f t="shared" ca="1" si="511"/>
        <v>665</v>
      </c>
      <c r="FU180" s="5" t="str">
        <f t="shared" ca="1" si="512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3"/>
        <v>131</v>
      </c>
      <c r="FZ180" s="5" t="str">
        <f t="shared" ca="1" si="514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5"/>
        <v>658</v>
      </c>
      <c r="GE180" s="5" t="str">
        <f t="shared" ca="1" si="516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7"/>
        <v>678</v>
      </c>
      <c r="GJ180" s="5" t="str">
        <f t="shared" ca="1" si="518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9"/>
        <v>679</v>
      </c>
      <c r="GO180" s="5" t="str">
        <f t="shared" ca="1" si="520"/>
        <v>VIGENTE</v>
      </c>
      <c r="GP180" s="4"/>
      <c r="GQ180" s="4">
        <v>45468</v>
      </c>
      <c r="GR180" s="4">
        <f t="shared" si="521"/>
        <v>47294</v>
      </c>
      <c r="GS180" s="8">
        <f t="shared" ca="1" si="601"/>
        <v>1149</v>
      </c>
      <c r="GT180" s="5" t="str">
        <f t="shared" ca="1" si="610"/>
        <v>VIGENTE</v>
      </c>
      <c r="GU180" s="4"/>
      <c r="GV180" s="4">
        <v>45507</v>
      </c>
      <c r="GW180" s="4">
        <f t="shared" si="522"/>
        <v>47333</v>
      </c>
      <c r="GX180" s="8">
        <f t="shared" ca="1" si="523"/>
        <v>1188</v>
      </c>
      <c r="GY180" s="5" t="str">
        <f t="shared" ca="1" si="611"/>
        <v>VIGENTE</v>
      </c>
      <c r="GZ180" s="6"/>
      <c r="HA180" s="4">
        <v>45479</v>
      </c>
      <c r="HB180" s="4">
        <f t="shared" si="524"/>
        <v>47305</v>
      </c>
      <c r="HC180" s="8">
        <f t="shared" ca="1" si="525"/>
        <v>1160</v>
      </c>
      <c r="HD180" s="5" t="str">
        <f t="shared" ca="1" si="61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6">HG180-TODAY()</f>
        <v>1177</v>
      </c>
      <c r="HI180" s="5" t="str">
        <f t="shared" ca="1" si="613"/>
        <v>VIGENTE</v>
      </c>
      <c r="HJ180" s="6"/>
      <c r="HK180" s="6"/>
      <c r="HL180" s="4"/>
      <c r="HM180" s="8"/>
      <c r="HN180" s="5" t="str">
        <f t="shared" si="444"/>
        <v>NO APLICA</v>
      </c>
      <c r="HO180" s="6"/>
      <c r="HP180" s="6"/>
      <c r="HQ180" s="4"/>
      <c r="HR180" s="6"/>
      <c r="HS180" s="5" t="str">
        <f t="shared" si="526"/>
        <v>NO APLICA</v>
      </c>
      <c r="HT180" s="6"/>
      <c r="HU180" s="6"/>
      <c r="HV180" s="4"/>
      <c r="HW180" s="8"/>
      <c r="HX180" s="5" t="str">
        <f t="shared" si="527"/>
        <v>NO APLICA</v>
      </c>
      <c r="HY180" s="6"/>
      <c r="HZ180" s="6"/>
      <c r="IA180" s="4"/>
      <c r="IB180" s="8"/>
      <c r="IC180" s="5" t="str">
        <f t="shared" si="528"/>
        <v>NO APLICA</v>
      </c>
      <c r="ID180" s="6"/>
      <c r="IE180" s="6"/>
      <c r="IF180" s="4"/>
      <c r="IG180" s="8"/>
      <c r="IH180" s="5" t="str">
        <f t="shared" si="529"/>
        <v>NO APLICA</v>
      </c>
      <c r="II180" s="6"/>
      <c r="IJ180" s="6"/>
      <c r="IK180" s="4"/>
      <c r="IL180" s="6"/>
      <c r="IM180" s="5" t="str">
        <f t="shared" si="530"/>
        <v>NO APLICA</v>
      </c>
      <c r="IN180" s="6"/>
      <c r="IO180" s="6"/>
      <c r="IP180" s="4"/>
      <c r="IQ180" s="8"/>
      <c r="IR180" s="5" t="str">
        <f t="shared" si="531"/>
        <v>NO APLICA</v>
      </c>
      <c r="IS180" s="6"/>
      <c r="IT180" s="6"/>
      <c r="IU180" s="4"/>
      <c r="IV180" s="8"/>
      <c r="IW180" s="5" t="str">
        <f t="shared" si="532"/>
        <v>NO APLICA</v>
      </c>
      <c r="IX180" s="6"/>
      <c r="IY180" s="6"/>
      <c r="IZ180" s="4"/>
      <c r="JA180" s="8"/>
      <c r="JB180" s="5" t="str">
        <f t="shared" si="533"/>
        <v>NO APLICA</v>
      </c>
      <c r="JC180" s="3" t="s">
        <v>780</v>
      </c>
      <c r="JD180" s="6"/>
      <c r="JE180" s="6"/>
      <c r="JF180" s="6"/>
      <c r="JG180" s="5"/>
      <c r="JH180" s="3" t="s">
        <v>780</v>
      </c>
      <c r="JI180" s="6"/>
      <c r="JJ180" s="6"/>
      <c r="JK180" s="6"/>
      <c r="JL180" s="5"/>
      <c r="JM180" s="6" t="s">
        <v>780</v>
      </c>
      <c r="JN180" s="6"/>
      <c r="JO180" s="6"/>
      <c r="JP180" s="6"/>
      <c r="JQ180" s="5"/>
      <c r="JR180" s="6" t="s">
        <v>780</v>
      </c>
      <c r="JS180" s="6"/>
      <c r="JT180" s="6"/>
      <c r="JU180" s="6"/>
      <c r="JV180" s="5"/>
      <c r="JW180" s="6" t="s">
        <v>780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4"/>
        <v>NO APLICA</v>
      </c>
      <c r="KG180" s="5"/>
      <c r="KH180" s="6"/>
      <c r="KI180" s="4"/>
      <c r="KJ180" s="6"/>
      <c r="KK180" s="5" t="str">
        <f t="shared" si="559"/>
        <v>NO APLICA</v>
      </c>
      <c r="KL180" s="5"/>
      <c r="KM180" s="6"/>
      <c r="KN180" s="4"/>
      <c r="KO180" s="6"/>
      <c r="KP180" s="5" t="str">
        <f t="shared" si="535"/>
        <v>NO APLICA</v>
      </c>
      <c r="KQ180" s="5"/>
      <c r="KR180" s="6"/>
      <c r="KS180" s="4"/>
      <c r="KT180" s="6"/>
      <c r="KU180" s="5" t="str">
        <f t="shared" si="560"/>
        <v>NO APLICA</v>
      </c>
      <c r="KV180" s="6"/>
      <c r="KW180" s="6"/>
      <c r="KX180" s="4"/>
      <c r="KY180" s="6"/>
      <c r="KZ180" s="5" t="str">
        <f t="shared" si="565"/>
        <v>NO APLICA</v>
      </c>
      <c r="LA180" s="5"/>
      <c r="LB180" s="6"/>
      <c r="LC180" s="4"/>
      <c r="LD180" s="6"/>
      <c r="LE180" s="5" t="str">
        <f t="shared" si="561"/>
        <v>NO APLICA</v>
      </c>
      <c r="LF180" s="6"/>
      <c r="LG180" s="6"/>
      <c r="LH180" s="6"/>
      <c r="LI180" s="6"/>
      <c r="LJ180" s="5" t="str">
        <f t="shared" si="600"/>
        <v>NO APLICA</v>
      </c>
      <c r="LK180" s="5"/>
      <c r="LL180" s="5"/>
      <c r="LM180" s="4"/>
      <c r="LN180" s="8"/>
      <c r="LO180" s="5" t="str">
        <f t="shared" si="566"/>
        <v>NO APLICA</v>
      </c>
      <c r="LP180" s="6"/>
      <c r="LQ180" s="6"/>
      <c r="LR180" s="4"/>
      <c r="LS180" s="8"/>
      <c r="LT180" s="5" t="str">
        <f t="shared" si="562"/>
        <v>NO APLICA</v>
      </c>
      <c r="LU180" s="6"/>
      <c r="LV180" s="6"/>
      <c r="LW180" s="4"/>
      <c r="LX180" s="6"/>
      <c r="LY180" s="5" t="str">
        <f t="shared" si="563"/>
        <v>NO APLICA</v>
      </c>
      <c r="LZ180" s="6"/>
      <c r="MA180" s="6"/>
      <c r="MB180" s="4"/>
      <c r="MC180" s="6"/>
      <c r="MD180" s="5" t="str">
        <f t="shared" si="564"/>
        <v>NO APLICA</v>
      </c>
      <c r="ME180" s="6"/>
      <c r="MF180" s="6"/>
      <c r="MG180" s="4"/>
      <c r="MH180" s="6"/>
      <c r="MI180" s="5" t="str">
        <f t="shared" si="537"/>
        <v>NO APLICA</v>
      </c>
      <c r="MJ180" s="6"/>
      <c r="MK180" s="6"/>
      <c r="ML180" s="4"/>
      <c r="MM180" s="6"/>
      <c r="MN180" s="5" t="str">
        <f t="shared" si="538"/>
        <v>NO APLICA</v>
      </c>
      <c r="MO180" s="5"/>
      <c r="MP180" s="6"/>
      <c r="MQ180" s="4"/>
      <c r="MR180" s="6"/>
      <c r="MS180" s="5" t="str">
        <f t="shared" si="539"/>
        <v>NO APLICA</v>
      </c>
      <c r="MT180" s="5"/>
      <c r="MU180" s="6"/>
      <c r="MV180" s="6"/>
      <c r="MW180" s="6"/>
      <c r="MX180" s="5" t="str">
        <f t="shared" si="540"/>
        <v>NO APLICA</v>
      </c>
      <c r="MY180" s="6"/>
      <c r="MZ180" s="6"/>
      <c r="NA180" s="4"/>
      <c r="NB180" s="6"/>
      <c r="NC180" s="5" t="str">
        <f t="shared" si="541"/>
        <v>NO APLICA</v>
      </c>
      <c r="ND180" s="6"/>
      <c r="NE180" s="6"/>
      <c r="NF180" s="4"/>
      <c r="NG180" s="6"/>
      <c r="NH180" s="5" t="str">
        <f t="shared" si="542"/>
        <v>NO APLICA</v>
      </c>
      <c r="NI180" s="6"/>
      <c r="NJ180" s="6"/>
      <c r="NK180" s="4"/>
      <c r="NL180" s="6"/>
      <c r="NM180" s="5" t="str">
        <f t="shared" si="543"/>
        <v>NO APLICA</v>
      </c>
      <c r="NN180" s="6"/>
      <c r="NO180" s="6"/>
      <c r="NP180" s="4"/>
      <c r="NQ180" s="6"/>
      <c r="NR180" s="5" t="str">
        <f t="shared" si="544"/>
        <v>NO APLICA</v>
      </c>
      <c r="NS180" s="6"/>
      <c r="NT180" s="6"/>
      <c r="NU180" s="4"/>
      <c r="NV180" s="6"/>
      <c r="NW180" s="5" t="str">
        <f t="shared" si="545"/>
        <v>NO APLICA</v>
      </c>
      <c r="NX180" s="6"/>
      <c r="NY180" s="6"/>
      <c r="NZ180" s="4"/>
      <c r="OA180" s="8"/>
      <c r="OB180" s="5" t="str">
        <f t="shared" si="546"/>
        <v>NO APLICA</v>
      </c>
      <c r="OC180" s="6"/>
      <c r="OD180" s="6"/>
      <c r="OE180" s="6"/>
      <c r="OF180" s="6"/>
      <c r="OG180" s="5" t="str">
        <f t="shared" si="547"/>
        <v>NO APLICA</v>
      </c>
      <c r="OH180" s="6"/>
      <c r="OI180" s="6"/>
      <c r="OJ180" s="6"/>
      <c r="OK180" s="6"/>
      <c r="OL180" s="5" t="str">
        <f t="shared" si="548"/>
        <v>NO APLICA</v>
      </c>
      <c r="OM180" s="6"/>
      <c r="ON180" s="6"/>
      <c r="OO180" s="4"/>
      <c r="OP180" s="8"/>
      <c r="OQ180" s="5" t="str">
        <f t="shared" si="549"/>
        <v>NO APLICA</v>
      </c>
      <c r="OR180" s="6"/>
      <c r="OS180" s="6"/>
      <c r="OT180" s="6"/>
      <c r="OU180" s="6"/>
      <c r="OV180" s="5" t="str">
        <f t="shared" si="550"/>
        <v>NO APLICA</v>
      </c>
      <c r="OW180" s="6"/>
      <c r="OX180" s="6"/>
      <c r="OY180" s="6"/>
      <c r="OZ180" s="6"/>
      <c r="PA180" s="5" t="str">
        <f t="shared" si="551"/>
        <v>NO APLICA</v>
      </c>
      <c r="PB180" s="6"/>
      <c r="PC180" s="6"/>
      <c r="PD180" s="6"/>
      <c r="PE180" s="6"/>
      <c r="PF180" s="5" t="str">
        <f t="shared" si="552"/>
        <v>NO APLICA</v>
      </c>
      <c r="PG180" s="6"/>
      <c r="PH180" s="6"/>
      <c r="PI180" s="6"/>
      <c r="PJ180" s="6"/>
      <c r="PK180" s="5" t="str">
        <f t="shared" si="553"/>
        <v>NO APLICA</v>
      </c>
      <c r="PL180" s="5"/>
      <c r="PM180" s="6"/>
      <c r="PN180" s="6"/>
      <c r="PO180" s="6"/>
      <c r="PP180" s="5" t="str">
        <f t="shared" si="554"/>
        <v>NO APLICA</v>
      </c>
      <c r="PQ180" s="6"/>
      <c r="PR180" s="6"/>
      <c r="PS180" s="6"/>
      <c r="PT180" s="6"/>
      <c r="PU180" s="5" t="str">
        <f t="shared" si="555"/>
        <v>NO APLICA</v>
      </c>
      <c r="PV180" s="5"/>
      <c r="PW180" s="6"/>
      <c r="PX180" s="6"/>
      <c r="PY180" s="6"/>
      <c r="PZ180" s="5" t="str">
        <f t="shared" si="556"/>
        <v>NO APLICA</v>
      </c>
    </row>
    <row r="181" spans="1:442" ht="15.6" hidden="1" thickTop="1" thickBot="1" x14ac:dyDescent="0.35">
      <c r="A181" s="26">
        <v>178</v>
      </c>
      <c r="B181" s="27">
        <v>723</v>
      </c>
      <c r="C181" s="28" t="s">
        <v>569</v>
      </c>
      <c r="D181" s="29" t="s">
        <v>68</v>
      </c>
      <c r="E181" s="30" t="s">
        <v>185</v>
      </c>
      <c r="F181" s="5"/>
      <c r="G181" s="6"/>
      <c r="H181" s="4"/>
      <c r="I181" s="8"/>
      <c r="J181" s="5" t="str">
        <f t="shared" si="455"/>
        <v>NO APLICA</v>
      </c>
      <c r="K181" s="5"/>
      <c r="L181" s="6"/>
      <c r="M181" s="6"/>
      <c r="N181" s="8"/>
      <c r="O181" s="5" t="str">
        <f t="shared" si="456"/>
        <v>NO APLICA</v>
      </c>
      <c r="P181" s="6"/>
      <c r="Q181" s="6"/>
      <c r="R181" s="4"/>
      <c r="S181" s="8"/>
      <c r="T181" s="5" t="str">
        <f t="shared" si="557"/>
        <v>NO APLICA</v>
      </c>
      <c r="U181" s="5"/>
      <c r="V181" s="2" t="s">
        <v>570</v>
      </c>
      <c r="W181" s="4">
        <v>44790</v>
      </c>
      <c r="X181" s="4">
        <f t="shared" si="587"/>
        <v>46616</v>
      </c>
      <c r="Y181" s="8">
        <f t="shared" ca="1" si="588"/>
        <v>471</v>
      </c>
      <c r="Z181" s="5" t="str">
        <f t="shared" ca="1" si="605"/>
        <v>VIGENTE</v>
      </c>
      <c r="AA181" s="5"/>
      <c r="AB181" s="2" t="s">
        <v>571</v>
      </c>
      <c r="AC181" s="4">
        <v>44828</v>
      </c>
      <c r="AD181" s="4">
        <f>DATE(YEAR(AC181)+5,MONTH(AC181),DAY(AC181))</f>
        <v>46654</v>
      </c>
      <c r="AE181" s="8">
        <f t="shared" ca="1" si="614"/>
        <v>509</v>
      </c>
      <c r="AF181" s="5" t="str">
        <f t="shared" ca="1" si="45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8"/>
        <v>173</v>
      </c>
      <c r="AK181" s="5" t="str">
        <f t="shared" ca="1" si="602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9"/>
        <v>511</v>
      </c>
      <c r="AP181" s="5" t="str">
        <f t="shared" ca="1" si="460"/>
        <v>VIGENTE</v>
      </c>
      <c r="AQ181" s="3"/>
      <c r="AR181" s="4">
        <v>45967</v>
      </c>
      <c r="AS181" s="4">
        <f t="shared" si="608"/>
        <v>46697</v>
      </c>
      <c r="AT181" s="8">
        <f t="shared" ca="1" si="461"/>
        <v>552</v>
      </c>
      <c r="AU181" s="5" t="str">
        <f t="shared" ca="1" si="462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3"/>
        <v>557</v>
      </c>
      <c r="AZ181" s="5" t="str">
        <f t="shared" ca="1" si="464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5"/>
        <v>99</v>
      </c>
      <c r="BE181" s="5" t="str">
        <f t="shared" ca="1" si="466"/>
        <v>VIGENTE</v>
      </c>
      <c r="BF181" s="3"/>
      <c r="BG181" s="4">
        <v>45968</v>
      </c>
      <c r="BH181" s="4">
        <f t="shared" si="615"/>
        <v>46698</v>
      </c>
      <c r="BI181" s="8">
        <f t="shared" ca="1" si="467"/>
        <v>553</v>
      </c>
      <c r="BJ181" s="5" t="str">
        <f t="shared" ca="1" si="468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9"/>
        <v>620</v>
      </c>
      <c r="BO181" s="5" t="str">
        <f t="shared" ca="1" si="470"/>
        <v>VIGENTE</v>
      </c>
      <c r="BP181" s="3"/>
      <c r="BQ181" s="39">
        <v>46069</v>
      </c>
      <c r="BR181" s="4">
        <f>DATE(YEAR(BQ181)+2,MONTH(BQ181),DAY(BQ181))</f>
        <v>46799</v>
      </c>
      <c r="BS181" s="8">
        <f t="shared" ca="1" si="471"/>
        <v>654</v>
      </c>
      <c r="BT181" s="5" t="str">
        <f t="shared" ca="1" si="472"/>
        <v>VIGENTE</v>
      </c>
      <c r="BU181" s="3"/>
      <c r="BV181" s="4">
        <v>46116</v>
      </c>
      <c r="BW181" s="4">
        <f>DATE(YEAR(BV181)+2,MONTH(BV181),DAY(BV181)-1)</f>
        <v>46846</v>
      </c>
      <c r="BX181" s="8">
        <f t="shared" ca="1" si="473"/>
        <v>701</v>
      </c>
      <c r="BY181" s="5" t="str">
        <f t="shared" ca="1" si="474"/>
        <v>VIGENTE</v>
      </c>
      <c r="BZ181" s="3"/>
      <c r="CA181" s="4">
        <v>45944</v>
      </c>
      <c r="CB181" s="4">
        <f>DATE(YEAR(CA181)+2,MONTH(CA181),DAY(CA181))</f>
        <v>46674</v>
      </c>
      <c r="CC181" s="8">
        <f t="shared" ca="1" si="475"/>
        <v>529</v>
      </c>
      <c r="CD181" s="5" t="str">
        <f t="shared" ca="1" si="476"/>
        <v>VIGENTE</v>
      </c>
      <c r="CE181" s="6"/>
      <c r="CF181" s="4">
        <v>45262</v>
      </c>
      <c r="CG181" s="4">
        <f t="shared" si="590"/>
        <v>46723</v>
      </c>
      <c r="CH181" s="8">
        <f t="shared" ca="1" si="591"/>
        <v>578</v>
      </c>
      <c r="CI181" s="5" t="str">
        <f t="shared" ca="1" si="573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7"/>
        <v>95</v>
      </c>
      <c r="CN181" s="5" t="str">
        <f t="shared" ca="1" si="478"/>
        <v>VIGENTE</v>
      </c>
      <c r="CO181" s="3"/>
      <c r="CP181" s="39">
        <v>45517</v>
      </c>
      <c r="CQ181" s="4">
        <f>DATE(YEAR(CP181)+2,MONTH(CP181),DAY(CP181)-1)</f>
        <v>46246</v>
      </c>
      <c r="CR181" s="8">
        <f t="shared" ca="1" si="479"/>
        <v>101</v>
      </c>
      <c r="CS181" s="5" t="str">
        <f t="shared" ca="1" si="480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1"/>
        <v>223</v>
      </c>
      <c r="CX181" s="5" t="str">
        <f t="shared" ca="1" si="482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3"/>
        <v>245</v>
      </c>
      <c r="DC181" s="5" t="str">
        <f t="shared" ca="1" si="484"/>
        <v>VIGENTE</v>
      </c>
      <c r="DD181" s="3"/>
      <c r="DE181" s="39">
        <v>45689</v>
      </c>
      <c r="DF181" s="4">
        <f>DATE(YEAR(DE181)+2,MONTH(DE181),DAY(DE181)-1)</f>
        <v>46418</v>
      </c>
      <c r="DG181" s="8">
        <f t="shared" ca="1" si="485"/>
        <v>273</v>
      </c>
      <c r="DH181" s="5" t="str">
        <f t="shared" ca="1" si="486"/>
        <v>VIGENTE</v>
      </c>
      <c r="DI181" s="3"/>
      <c r="DJ181" s="39">
        <v>45696</v>
      </c>
      <c r="DK181" s="4">
        <f>DATE(YEAR(DJ181)+2,MONTH(DJ181),DAY(DJ181)-1)</f>
        <v>46425</v>
      </c>
      <c r="DL181" s="8">
        <f t="shared" ca="1" si="487"/>
        <v>280</v>
      </c>
      <c r="DM181" s="5" t="str">
        <f t="shared" ca="1" si="488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9"/>
        <v>104</v>
      </c>
      <c r="DR181" s="5" t="str">
        <f t="shared" ca="1" si="490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1"/>
        <v>203</v>
      </c>
      <c r="DW181" s="5" t="str">
        <f t="shared" ca="1" si="492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3"/>
        <v>266</v>
      </c>
      <c r="EB181" s="5" t="str">
        <f t="shared" ca="1" si="494"/>
        <v>VIGENTE</v>
      </c>
      <c r="EC181" s="3"/>
      <c r="ED181" s="39">
        <v>45674</v>
      </c>
      <c r="EE181" s="4">
        <f>DATE(YEAR(ED181)+2,MONTH(ED181),DAY(ED181)-1)</f>
        <v>46403</v>
      </c>
      <c r="EF181" s="8">
        <f t="shared" ca="1" si="495"/>
        <v>258</v>
      </c>
      <c r="EG181" s="5" t="str">
        <f t="shared" ca="1" si="496"/>
        <v>VIGENTE</v>
      </c>
      <c r="EH181" s="3"/>
      <c r="EI181" s="4">
        <v>46115</v>
      </c>
      <c r="EJ181" s="4">
        <f t="shared" si="558"/>
        <v>46480</v>
      </c>
      <c r="EK181" s="8">
        <f t="shared" ca="1" si="497"/>
        <v>335</v>
      </c>
      <c r="EL181" s="5" t="str">
        <f t="shared" ca="1" si="498"/>
        <v>VIGENTE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9"/>
        <v>244</v>
      </c>
      <c r="EQ181" s="5" t="str">
        <f t="shared" ca="1" si="500"/>
        <v>VIGENTE</v>
      </c>
      <c r="ER181" s="3"/>
      <c r="ES181" s="39">
        <v>45677</v>
      </c>
      <c r="ET181" s="4">
        <f>DATE(YEAR(ES181)+2,MONTH(ES181),DAY(ES181)-1)</f>
        <v>46406</v>
      </c>
      <c r="EU181" s="8">
        <f t="shared" ca="1" si="501"/>
        <v>261</v>
      </c>
      <c r="EV181" s="5" t="str">
        <f t="shared" ca="1" si="502"/>
        <v>VIGENTE</v>
      </c>
      <c r="EW181" s="3"/>
      <c r="EX181" s="4">
        <v>45953</v>
      </c>
      <c r="EY181" s="4">
        <f t="shared" si="609"/>
        <v>46683</v>
      </c>
      <c r="EZ181" s="8">
        <f t="shared" ca="1" si="503"/>
        <v>538</v>
      </c>
      <c r="FA181" s="5" t="str">
        <f t="shared" ca="1" si="504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5"/>
        <v>536</v>
      </c>
      <c r="FF181" s="5" t="str">
        <f t="shared" ca="1" si="506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7"/>
        <v>517</v>
      </c>
      <c r="FK181" s="5" t="str">
        <f t="shared" ca="1" si="508"/>
        <v>VIGENTE</v>
      </c>
      <c r="FL181" s="3"/>
      <c r="FM181" s="39">
        <v>45670</v>
      </c>
      <c r="FN181" s="4">
        <f>DATE(YEAR(FM181)+2,MONTH(FM181),DAY(FM181)-1)</f>
        <v>46399</v>
      </c>
      <c r="FO181" s="8">
        <f t="shared" ca="1" si="509"/>
        <v>254</v>
      </c>
      <c r="FP181" s="5" t="str">
        <f t="shared" ca="1" si="510"/>
        <v>VIGENTE</v>
      </c>
      <c r="FQ181" s="3"/>
      <c r="FR181" s="39">
        <v>45586</v>
      </c>
      <c r="FS181" s="4">
        <f>DATE(YEAR(FR181)+2,MONTH(FR181),DAY(FR181)-1)</f>
        <v>46315</v>
      </c>
      <c r="FT181" s="8">
        <f t="shared" ca="1" si="511"/>
        <v>170</v>
      </c>
      <c r="FU181" s="5" t="str">
        <f t="shared" ca="1" si="512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3"/>
        <v>493</v>
      </c>
      <c r="FZ181" s="5" t="str">
        <f t="shared" ca="1" si="514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5"/>
        <v>251</v>
      </c>
      <c r="GE181" s="5" t="str">
        <f t="shared" ca="1" si="516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7"/>
        <v>163</v>
      </c>
      <c r="GJ181" s="5" t="str">
        <f t="shared" ca="1" si="518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9"/>
        <v>508</v>
      </c>
      <c r="GO181" s="5" t="str">
        <f t="shared" ca="1" si="520"/>
        <v>VIGENTE</v>
      </c>
      <c r="GP181" s="4"/>
      <c r="GQ181" s="4">
        <v>45459</v>
      </c>
      <c r="GR181" s="4">
        <f t="shared" si="521"/>
        <v>47285</v>
      </c>
      <c r="GS181" s="8">
        <f t="shared" ca="1" si="601"/>
        <v>1140</v>
      </c>
      <c r="GT181" s="5" t="str">
        <f t="shared" ca="1" si="610"/>
        <v>VIGENTE</v>
      </c>
      <c r="GU181" s="3"/>
      <c r="GV181" s="4">
        <v>45464</v>
      </c>
      <c r="GW181" s="4">
        <f t="shared" si="522"/>
        <v>47290</v>
      </c>
      <c r="GX181" s="8">
        <f t="shared" ca="1" si="523"/>
        <v>1145</v>
      </c>
      <c r="GY181" s="5" t="str">
        <f t="shared" ca="1" si="611"/>
        <v>VIGENTE</v>
      </c>
      <c r="GZ181" s="3"/>
      <c r="HA181" s="4">
        <v>45466</v>
      </c>
      <c r="HB181" s="4">
        <f t="shared" si="524"/>
        <v>47292</v>
      </c>
      <c r="HC181" s="8">
        <f t="shared" ca="1" si="525"/>
        <v>1147</v>
      </c>
      <c r="HD181" s="5" t="str">
        <f t="shared" ca="1" si="61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6"/>
        <v>543</v>
      </c>
      <c r="HI181" s="5" t="str">
        <f t="shared" ca="1" si="61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4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6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7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8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9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30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1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2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3"/>
        <v>VIGENTE</v>
      </c>
      <c r="JC181" s="3" t="s">
        <v>780</v>
      </c>
      <c r="JD181" s="3"/>
      <c r="JE181" s="4"/>
      <c r="JF181" s="8"/>
      <c r="JG181" s="5"/>
      <c r="JH181" s="3" t="s">
        <v>780</v>
      </c>
      <c r="JI181" s="6"/>
      <c r="JJ181" s="6"/>
      <c r="JK181" s="6"/>
      <c r="JL181" s="5"/>
      <c r="JM181" s="6" t="s">
        <v>780</v>
      </c>
      <c r="JN181" s="6"/>
      <c r="JO181" s="6"/>
      <c r="JP181" s="6"/>
      <c r="JQ181" s="5"/>
      <c r="JR181" s="6" t="s">
        <v>780</v>
      </c>
      <c r="JS181" s="6"/>
      <c r="JT181" s="6"/>
      <c r="JU181" s="6"/>
      <c r="JV181" s="5"/>
      <c r="JW181" s="6" t="s">
        <v>780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4"/>
        <v>NO APLICA</v>
      </c>
      <c r="KG181" s="5"/>
      <c r="KH181" s="5"/>
      <c r="KI181" s="4"/>
      <c r="KJ181" s="8"/>
      <c r="KK181" s="5" t="str">
        <f t="shared" si="559"/>
        <v>NO APLICA</v>
      </c>
      <c r="KL181" s="5"/>
      <c r="KM181" s="5"/>
      <c r="KN181" s="4"/>
      <c r="KO181" s="8"/>
      <c r="KP181" s="5" t="str">
        <f t="shared" si="535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60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5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1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600"/>
        <v>VIGENTE</v>
      </c>
      <c r="LK181" s="5"/>
      <c r="LL181" s="5"/>
      <c r="LM181" s="4"/>
      <c r="LN181" s="8"/>
      <c r="LO181" s="5" t="str">
        <f t="shared" si="566"/>
        <v>NO APLICA</v>
      </c>
      <c r="LP181" s="5"/>
      <c r="LQ181" s="6"/>
      <c r="LR181" s="4"/>
      <c r="LS181" s="8"/>
      <c r="LT181" s="5" t="str">
        <f t="shared" si="562"/>
        <v>NO APLICA</v>
      </c>
      <c r="LU181" s="6"/>
      <c r="LV181" s="6"/>
      <c r="LW181" s="4"/>
      <c r="LX181" s="8"/>
      <c r="LY181" s="5" t="str">
        <f t="shared" si="563"/>
        <v>NO APLICA</v>
      </c>
      <c r="LZ181" s="6"/>
      <c r="MA181" s="6"/>
      <c r="MB181" s="4"/>
      <c r="MC181" s="8"/>
      <c r="MD181" s="5" t="str">
        <f t="shared" si="564"/>
        <v>NO APLICA</v>
      </c>
      <c r="ME181" s="5"/>
      <c r="MF181" s="5"/>
      <c r="MG181" s="4"/>
      <c r="MH181" s="8"/>
      <c r="MI181" s="5" t="str">
        <f t="shared" si="537"/>
        <v>NO APLICA</v>
      </c>
      <c r="MJ181" s="5"/>
      <c r="MK181" s="5"/>
      <c r="ML181" s="4"/>
      <c r="MM181" s="8"/>
      <c r="MN181" s="5" t="str">
        <f t="shared" si="538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9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40"/>
        <v>VIGENTE</v>
      </c>
      <c r="MY181" s="5"/>
      <c r="MZ181" s="6"/>
      <c r="NA181" s="4"/>
      <c r="NB181" s="8"/>
      <c r="NC181" s="5" t="str">
        <f t="shared" si="541"/>
        <v>NO APLICA</v>
      </c>
      <c r="ND181" s="5"/>
      <c r="NE181" s="6"/>
      <c r="NF181" s="4"/>
      <c r="NG181" s="8"/>
      <c r="NH181" s="5" t="str">
        <f t="shared" si="542"/>
        <v>NO APLICA</v>
      </c>
      <c r="NI181" s="5"/>
      <c r="NJ181" s="6"/>
      <c r="NK181" s="4"/>
      <c r="NL181" s="8"/>
      <c r="NM181" s="5" t="str">
        <f t="shared" si="543"/>
        <v>NO APLICA</v>
      </c>
      <c r="NN181" s="5"/>
      <c r="NO181" s="5"/>
      <c r="NP181" s="4"/>
      <c r="NQ181" s="8"/>
      <c r="NR181" s="5" t="str">
        <f t="shared" si="544"/>
        <v>NO APLICA</v>
      </c>
      <c r="NS181" s="5"/>
      <c r="NT181" s="5"/>
      <c r="NU181" s="5"/>
      <c r="NV181" s="5"/>
      <c r="NW181" s="5" t="str">
        <f t="shared" si="545"/>
        <v>NO APLICA</v>
      </c>
      <c r="NX181" s="6"/>
      <c r="NY181" s="6"/>
      <c r="NZ181" s="4"/>
      <c r="OA181" s="8"/>
      <c r="OB181" s="5" t="str">
        <f t="shared" si="546"/>
        <v>NO APLICA</v>
      </c>
      <c r="OC181" s="6"/>
      <c r="OD181" s="6"/>
      <c r="OE181" s="6"/>
      <c r="OF181" s="6"/>
      <c r="OG181" s="5" t="str">
        <f t="shared" si="547"/>
        <v>NO APLICA</v>
      </c>
      <c r="OH181" s="5"/>
      <c r="OI181" s="5"/>
      <c r="OJ181" s="4"/>
      <c r="OK181" s="8"/>
      <c r="OL181" s="5" t="str">
        <f t="shared" si="548"/>
        <v>NO APLICA</v>
      </c>
      <c r="OM181" s="6"/>
      <c r="ON181" s="6"/>
      <c r="OO181" s="6"/>
      <c r="OP181" s="6"/>
      <c r="OQ181" s="5" t="str">
        <f t="shared" si="549"/>
        <v>NO APLICA</v>
      </c>
      <c r="OR181" s="6"/>
      <c r="OS181" s="6"/>
      <c r="OT181" s="6"/>
      <c r="OU181" s="6"/>
      <c r="OV181" s="5" t="str">
        <f t="shared" si="550"/>
        <v>NO APLICA</v>
      </c>
      <c r="OW181" s="6"/>
      <c r="OX181" s="6"/>
      <c r="OY181" s="6"/>
      <c r="OZ181" s="6"/>
      <c r="PA181" s="5" t="str">
        <f t="shared" si="551"/>
        <v>NO APLICA</v>
      </c>
      <c r="PB181" s="6"/>
      <c r="PC181" s="6"/>
      <c r="PD181" s="6"/>
      <c r="PE181" s="6"/>
      <c r="PF181" s="5" t="str">
        <f t="shared" si="552"/>
        <v>NO APLICA</v>
      </c>
      <c r="PG181" s="6"/>
      <c r="PH181" s="6"/>
      <c r="PI181" s="6"/>
      <c r="PJ181" s="6"/>
      <c r="PK181" s="5" t="str">
        <f t="shared" si="553"/>
        <v>NO APLICA</v>
      </c>
      <c r="PL181" s="5"/>
      <c r="PM181" s="6"/>
      <c r="PN181" s="4"/>
      <c r="PO181" s="8"/>
      <c r="PP181" s="5" t="str">
        <f t="shared" si="554"/>
        <v>NO APLICA</v>
      </c>
      <c r="PQ181" s="6"/>
      <c r="PR181" s="6"/>
      <c r="PS181" s="6"/>
      <c r="PT181" s="6"/>
      <c r="PU181" s="5" t="str">
        <f t="shared" si="555"/>
        <v>NO APLICA</v>
      </c>
      <c r="PV181" s="5"/>
      <c r="PW181" s="6"/>
      <c r="PX181" s="6"/>
      <c r="PY181" s="6"/>
      <c r="PZ181" s="5" t="str">
        <f t="shared" si="556"/>
        <v>NO APLICA</v>
      </c>
    </row>
    <row r="182" spans="1:442" ht="15.6" hidden="1" thickTop="1" thickBot="1" x14ac:dyDescent="0.35">
      <c r="A182" s="26">
        <v>179</v>
      </c>
      <c r="B182" s="27">
        <v>1556</v>
      </c>
      <c r="C182" s="28" t="s">
        <v>572</v>
      </c>
      <c r="D182" s="29" t="s">
        <v>64</v>
      </c>
      <c r="E182" s="30" t="s">
        <v>532</v>
      </c>
      <c r="F182" s="5"/>
      <c r="G182" s="6"/>
      <c r="H182" s="4"/>
      <c r="I182" s="8"/>
      <c r="J182" s="5" t="str">
        <f t="shared" si="455"/>
        <v>NO APLICA</v>
      </c>
      <c r="K182" s="5"/>
      <c r="L182" s="6"/>
      <c r="M182" s="6"/>
      <c r="N182" s="8"/>
      <c r="O182" s="5" t="str">
        <f t="shared" si="456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7"/>
        <v>VIGENTE</v>
      </c>
      <c r="U182" s="5"/>
      <c r="V182" s="2" t="s">
        <v>573</v>
      </c>
      <c r="W182" s="4">
        <v>45693</v>
      </c>
      <c r="X182" s="4">
        <f t="shared" si="587"/>
        <v>47519</v>
      </c>
      <c r="Y182" s="8">
        <f t="shared" ca="1" si="588"/>
        <v>1374</v>
      </c>
      <c r="Z182" s="5" t="str">
        <f t="shared" ca="1" si="605"/>
        <v>VIGENTE</v>
      </c>
      <c r="AA182" s="5"/>
      <c r="AB182" s="2" t="s">
        <v>574</v>
      </c>
      <c r="AC182" s="4">
        <v>45190</v>
      </c>
      <c r="AD182" s="4">
        <f>DATE(YEAR(AC182)+5,MONTH(AC182),DAY(AC182))</f>
        <v>47017</v>
      </c>
      <c r="AE182" s="8">
        <f t="shared" ca="1" si="614"/>
        <v>872</v>
      </c>
      <c r="AF182" s="5" t="str">
        <f t="shared" ca="1" si="45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8"/>
        <v>487</v>
      </c>
      <c r="AK182" s="5" t="str">
        <f t="shared" ca="1" si="602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9"/>
        <v>332</v>
      </c>
      <c r="AP182" s="5" t="str">
        <f t="shared" ca="1" si="460"/>
        <v>VIGENTE</v>
      </c>
      <c r="AQ182" s="3"/>
      <c r="AR182" s="4">
        <v>45904</v>
      </c>
      <c r="AS182" s="4">
        <f t="shared" si="608"/>
        <v>46634</v>
      </c>
      <c r="AT182" s="8">
        <f t="shared" ca="1" si="461"/>
        <v>489</v>
      </c>
      <c r="AU182" s="5" t="str">
        <f t="shared" ca="1" si="462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3"/>
        <v>512</v>
      </c>
      <c r="AZ182" s="5" t="str">
        <f t="shared" ca="1" si="464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5"/>
        <v>626</v>
      </c>
      <c r="BE182" s="5" t="str">
        <f t="shared" ca="1" si="466"/>
        <v>VIGENTE</v>
      </c>
      <c r="BF182" s="3"/>
      <c r="BG182" s="4">
        <v>46027</v>
      </c>
      <c r="BH182" s="4">
        <f t="shared" si="615"/>
        <v>46757</v>
      </c>
      <c r="BI182" s="8">
        <f t="shared" ca="1" si="467"/>
        <v>612</v>
      </c>
      <c r="BJ182" s="5" t="str">
        <f t="shared" ca="1" si="468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9"/>
        <v>184</v>
      </c>
      <c r="BO182" s="5" t="str">
        <f t="shared" ca="1" si="470"/>
        <v>VIGENTE</v>
      </c>
      <c r="BP182" s="3"/>
      <c r="BQ182" s="39">
        <v>45988</v>
      </c>
      <c r="BR182" s="4">
        <f>DATE(YEAR(BQ182)+2,MONTH(BQ182),DAY(BQ182))</f>
        <v>46718</v>
      </c>
      <c r="BS182" s="8">
        <f t="shared" ca="1" si="471"/>
        <v>573</v>
      </c>
      <c r="BT182" s="5" t="str">
        <f t="shared" ca="1" si="472"/>
        <v>VIGENTE</v>
      </c>
      <c r="BU182" s="3"/>
      <c r="BV182" s="4">
        <v>46126</v>
      </c>
      <c r="BW182" s="4">
        <f>DATE(YEAR(BV182)+2,MONTH(BV182),DAY(BV182)-1)</f>
        <v>46856</v>
      </c>
      <c r="BX182" s="8">
        <f t="shared" ca="1" si="473"/>
        <v>711</v>
      </c>
      <c r="BY182" s="5" t="str">
        <f t="shared" ca="1" si="474"/>
        <v>VIGENTE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5"/>
        <v>213</v>
      </c>
      <c r="CD182" s="5" t="str">
        <f t="shared" ca="1" si="476"/>
        <v>VIGENTE</v>
      </c>
      <c r="CE182" s="6"/>
      <c r="CF182" s="4">
        <v>45616</v>
      </c>
      <c r="CG182" s="4">
        <f t="shared" si="590"/>
        <v>47077</v>
      </c>
      <c r="CH182" s="8">
        <f t="shared" ca="1" si="591"/>
        <v>932</v>
      </c>
      <c r="CI182" s="5" t="str">
        <f t="shared" ca="1" si="573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7"/>
        <v>514</v>
      </c>
      <c r="CN182" s="5" t="str">
        <f t="shared" ca="1" si="478"/>
        <v>VIGENTE</v>
      </c>
      <c r="CO182" s="3"/>
      <c r="CP182" s="39">
        <v>45888</v>
      </c>
      <c r="CQ182" s="4">
        <f>DATE(YEAR(CP182)+2,MONTH(CP182),DAY(CP182))</f>
        <v>46618</v>
      </c>
      <c r="CR182" s="8">
        <f t="shared" ca="1" si="479"/>
        <v>473</v>
      </c>
      <c r="CS182" s="5" t="str">
        <f t="shared" ca="1" si="480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1"/>
        <v>490</v>
      </c>
      <c r="CX182" s="5" t="str">
        <f t="shared" ca="1" si="482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3"/>
        <v>585</v>
      </c>
      <c r="DC182" s="5" t="str">
        <f t="shared" ca="1" si="484"/>
        <v>VIGENTE</v>
      </c>
      <c r="DD182" s="3"/>
      <c r="DE182" s="39">
        <v>45996</v>
      </c>
      <c r="DF182" s="4">
        <f>DATE(YEAR(DE182)+2,MONTH(DE182),DAY(DE182))</f>
        <v>46726</v>
      </c>
      <c r="DG182" s="8">
        <f t="shared" ca="1" si="485"/>
        <v>581</v>
      </c>
      <c r="DH182" s="5" t="str">
        <f t="shared" ca="1" si="486"/>
        <v>VIGENTE</v>
      </c>
      <c r="DI182" s="3"/>
      <c r="DJ182" s="39">
        <v>45975</v>
      </c>
      <c r="DK182" s="4">
        <f>DATE(YEAR(DJ182)+2,MONTH(DJ182),DAY(DJ182))</f>
        <v>46705</v>
      </c>
      <c r="DL182" s="8">
        <f t="shared" ca="1" si="487"/>
        <v>560</v>
      </c>
      <c r="DM182" s="5" t="str">
        <f t="shared" ca="1" si="488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9"/>
        <v>567</v>
      </c>
      <c r="DR182" s="5" t="str">
        <f t="shared" ca="1" si="490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1"/>
        <v>638</v>
      </c>
      <c r="DW182" s="5" t="str">
        <f t="shared" ca="1" si="492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3"/>
        <v>605</v>
      </c>
      <c r="EB182" s="5" t="str">
        <f t="shared" ca="1" si="494"/>
        <v>VIGENTE</v>
      </c>
      <c r="EC182" s="3"/>
      <c r="ED182" s="39">
        <v>45913</v>
      </c>
      <c r="EE182" s="4">
        <f>DATE(YEAR(ED182)+2,MONTH(ED182),DAY(ED182))</f>
        <v>46643</v>
      </c>
      <c r="EF182" s="8">
        <f t="shared" ca="1" si="495"/>
        <v>498</v>
      </c>
      <c r="EG182" s="5" t="str">
        <f t="shared" ca="1" si="496"/>
        <v>VIGENTE</v>
      </c>
      <c r="EH182" s="3"/>
      <c r="EI182" s="3">
        <v>45911</v>
      </c>
      <c r="EJ182" s="4">
        <f t="shared" si="558"/>
        <v>46276</v>
      </c>
      <c r="EK182" s="8">
        <f t="shared" ca="1" si="497"/>
        <v>131</v>
      </c>
      <c r="EL182" s="5" t="str">
        <f t="shared" ca="1" si="498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9"/>
        <v>525</v>
      </c>
      <c r="EQ182" s="5" t="str">
        <f t="shared" ca="1" si="500"/>
        <v>VIGENTE</v>
      </c>
      <c r="ER182" s="3"/>
      <c r="ES182" s="39">
        <v>46042</v>
      </c>
      <c r="ET182" s="4">
        <f>DATE(YEAR(ES182)+2,MONTH(ES182),DAY(ES182))</f>
        <v>46772</v>
      </c>
      <c r="EU182" s="8">
        <f t="shared" ca="1" si="501"/>
        <v>627</v>
      </c>
      <c r="EV182" s="5" t="str">
        <f t="shared" ca="1" si="502"/>
        <v>VIGENTE</v>
      </c>
      <c r="EW182" s="3"/>
      <c r="EX182" s="4">
        <v>45917</v>
      </c>
      <c r="EY182" s="4">
        <f t="shared" si="609"/>
        <v>46647</v>
      </c>
      <c r="EZ182" s="8">
        <f t="shared" ca="1" si="503"/>
        <v>502</v>
      </c>
      <c r="FA182" s="5" t="str">
        <f t="shared" ca="1" si="504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5"/>
        <v>516</v>
      </c>
      <c r="FF182" s="5" t="str">
        <f t="shared" ca="1" si="506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7"/>
        <v>504</v>
      </c>
      <c r="FK182" s="5" t="str">
        <f t="shared" ca="1" si="508"/>
        <v>VIGENTE</v>
      </c>
      <c r="FL182" s="3"/>
      <c r="FM182" s="39">
        <v>45933</v>
      </c>
      <c r="FN182" s="4">
        <f>DATE(YEAR(FM182)+2,MONTH(FM182),DAY(FM182))</f>
        <v>46663</v>
      </c>
      <c r="FO182" s="8">
        <f t="shared" ca="1" si="509"/>
        <v>518</v>
      </c>
      <c r="FP182" s="5" t="str">
        <f t="shared" ca="1" si="510"/>
        <v>VIGENTE</v>
      </c>
      <c r="FQ182" s="3"/>
      <c r="FR182" s="39">
        <v>45957</v>
      </c>
      <c r="FS182" s="4">
        <f>DATE(YEAR(FR182)+2,MONTH(FR182),DAY(FR182))</f>
        <v>46687</v>
      </c>
      <c r="FT182" s="8">
        <f t="shared" ca="1" si="511"/>
        <v>542</v>
      </c>
      <c r="FU182" s="5" t="str">
        <f t="shared" ca="1" si="512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3"/>
        <v>526</v>
      </c>
      <c r="FZ182" s="5" t="str">
        <f t="shared" ca="1" si="514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5"/>
        <v>615</v>
      </c>
      <c r="GE182" s="5" t="str">
        <f t="shared" ca="1" si="516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7"/>
        <v>545</v>
      </c>
      <c r="GJ182" s="5" t="str">
        <f t="shared" ca="1" si="518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9"/>
        <v>530</v>
      </c>
      <c r="GO182" s="5" t="str">
        <f t="shared" ca="1" si="520"/>
        <v>VIGENTE</v>
      </c>
      <c r="GP182" s="4"/>
      <c r="GQ182" s="4">
        <v>45495</v>
      </c>
      <c r="GR182" s="4">
        <f t="shared" si="521"/>
        <v>47321</v>
      </c>
      <c r="GS182" s="8">
        <f t="shared" ca="1" si="601"/>
        <v>1176</v>
      </c>
      <c r="GT182" s="5" t="str">
        <f t="shared" ca="1" si="610"/>
        <v>VIGENTE</v>
      </c>
      <c r="GU182" s="3"/>
      <c r="GV182" s="4">
        <v>44979</v>
      </c>
      <c r="GW182" s="4">
        <f t="shared" si="522"/>
        <v>46805</v>
      </c>
      <c r="GX182" s="8">
        <f t="shared" ca="1" si="523"/>
        <v>660</v>
      </c>
      <c r="GY182" s="5" t="str">
        <f t="shared" ca="1" si="611"/>
        <v>VIGENTE</v>
      </c>
      <c r="GZ182" s="3"/>
      <c r="HA182" s="4">
        <v>45294</v>
      </c>
      <c r="HB182" s="4">
        <f t="shared" si="524"/>
        <v>47121</v>
      </c>
      <c r="HC182" s="8">
        <f t="shared" ca="1" si="525"/>
        <v>976</v>
      </c>
      <c r="HD182" s="5" t="str">
        <f t="shared" ca="1" si="61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6"/>
        <v>561</v>
      </c>
      <c r="HI182" s="5" t="str">
        <f t="shared" ca="1" si="613"/>
        <v>VIGENTE</v>
      </c>
      <c r="HJ182" s="2"/>
      <c r="HK182" s="6"/>
      <c r="HL182" s="4"/>
      <c r="HM182" s="8"/>
      <c r="HN182" s="5" t="str">
        <f t="shared" si="444"/>
        <v>NO APLICA</v>
      </c>
      <c r="HO182" s="2"/>
      <c r="HP182" s="2"/>
      <c r="HQ182" s="4"/>
      <c r="HR182" s="2"/>
      <c r="HS182" s="5" t="str">
        <f t="shared" si="526"/>
        <v>NO APLICA</v>
      </c>
      <c r="HT182" s="2"/>
      <c r="HU182" s="6"/>
      <c r="HV182" s="4"/>
      <c r="HW182" s="8"/>
      <c r="HX182" s="5" t="str">
        <f t="shared" si="527"/>
        <v>NO APLICA</v>
      </c>
      <c r="HY182" s="2"/>
      <c r="HZ182" s="6"/>
      <c r="IA182" s="4"/>
      <c r="IB182" s="8"/>
      <c r="IC182" s="5" t="str">
        <f t="shared" si="528"/>
        <v>NO APLICA</v>
      </c>
      <c r="ID182" s="2"/>
      <c r="IE182" s="6"/>
      <c r="IF182" s="4"/>
      <c r="IG182" s="8"/>
      <c r="IH182" s="5" t="str">
        <f t="shared" si="529"/>
        <v>NO APLICA</v>
      </c>
      <c r="II182" s="6"/>
      <c r="IJ182" s="6"/>
      <c r="IK182" s="4"/>
      <c r="IL182" s="8"/>
      <c r="IM182" s="5" t="str">
        <f t="shared" si="530"/>
        <v>NO APLICA</v>
      </c>
      <c r="IN182" s="2"/>
      <c r="IO182" s="6"/>
      <c r="IP182" s="4"/>
      <c r="IQ182" s="8"/>
      <c r="IR182" s="5" t="str">
        <f t="shared" si="531"/>
        <v>NO APLICA</v>
      </c>
      <c r="IS182" s="2"/>
      <c r="IT182" s="6"/>
      <c r="IU182" s="4"/>
      <c r="IV182" s="8"/>
      <c r="IW182" s="5" t="str">
        <f t="shared" si="532"/>
        <v>NO APLICA</v>
      </c>
      <c r="IX182" s="2"/>
      <c r="IY182" s="6"/>
      <c r="IZ182" s="4"/>
      <c r="JA182" s="8"/>
      <c r="JB182" s="5" t="str">
        <f t="shared" si="533"/>
        <v>NO APLICA</v>
      </c>
      <c r="JC182" s="3" t="s">
        <v>780</v>
      </c>
      <c r="JD182" s="3"/>
      <c r="JE182" s="4"/>
      <c r="JF182" s="8"/>
      <c r="JG182" s="5"/>
      <c r="JH182" s="3" t="s">
        <v>780</v>
      </c>
      <c r="JI182" s="6"/>
      <c r="JJ182" s="6"/>
      <c r="JK182" s="6"/>
      <c r="JL182" s="5"/>
      <c r="JM182" s="6" t="s">
        <v>780</v>
      </c>
      <c r="JN182" s="6"/>
      <c r="JO182" s="6"/>
      <c r="JP182" s="6"/>
      <c r="JQ182" s="5"/>
      <c r="JR182" s="6" t="s">
        <v>780</v>
      </c>
      <c r="JS182" s="6"/>
      <c r="JT182" s="6"/>
      <c r="JU182" s="6"/>
      <c r="JV182" s="5"/>
      <c r="JW182" s="6" t="s">
        <v>780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4"/>
        <v>NO APLICA</v>
      </c>
      <c r="KG182" s="5"/>
      <c r="KH182" s="2"/>
      <c r="KI182" s="4"/>
      <c r="KJ182" s="8"/>
      <c r="KK182" s="5" t="str">
        <f t="shared" si="559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5"/>
        <v>VIGENTE</v>
      </c>
      <c r="KQ182" s="5"/>
      <c r="KR182" s="2"/>
      <c r="KS182" s="4"/>
      <c r="KT182" s="8"/>
      <c r="KU182" s="5" t="str">
        <f t="shared" si="560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5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1"/>
        <v>VIGENTE</v>
      </c>
      <c r="LF182" s="6"/>
      <c r="LG182" s="6"/>
      <c r="LH182" s="4"/>
      <c r="LI182" s="8"/>
      <c r="LJ182" s="5" t="str">
        <f t="shared" si="600"/>
        <v>NO APLICA</v>
      </c>
      <c r="LK182" s="5"/>
      <c r="LL182" s="5"/>
      <c r="LM182" s="5"/>
      <c r="LN182" s="5"/>
      <c r="LO182" s="5" t="str">
        <f t="shared" si="566"/>
        <v>NO APLICA</v>
      </c>
      <c r="LP182" s="2"/>
      <c r="LQ182" s="6"/>
      <c r="LR182" s="4"/>
      <c r="LS182" s="8"/>
      <c r="LT182" s="5" t="str">
        <f t="shared" si="562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3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4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7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8"/>
        <v>VIGENTE</v>
      </c>
      <c r="MO182" s="5"/>
      <c r="MP182" s="2"/>
      <c r="MQ182" s="4"/>
      <c r="MR182" s="8"/>
      <c r="MS182" s="5" t="str">
        <f t="shared" si="539"/>
        <v>NO APLICA</v>
      </c>
      <c r="MT182" s="5"/>
      <c r="MU182" s="2"/>
      <c r="MV182" s="4"/>
      <c r="MW182" s="2"/>
      <c r="MX182" s="5" t="str">
        <f t="shared" si="540"/>
        <v>NO APLICA</v>
      </c>
      <c r="MY182" s="2"/>
      <c r="MZ182" s="6"/>
      <c r="NA182" s="4"/>
      <c r="NB182" s="8"/>
      <c r="NC182" s="5" t="str">
        <f t="shared" si="541"/>
        <v>NO APLICA</v>
      </c>
      <c r="ND182" s="2"/>
      <c r="NE182" s="6"/>
      <c r="NF182" s="4"/>
      <c r="NG182" s="8"/>
      <c r="NH182" s="5" t="str">
        <f t="shared" si="542"/>
        <v>NO APLICA</v>
      </c>
      <c r="NI182" s="2"/>
      <c r="NJ182" s="6"/>
      <c r="NK182" s="4"/>
      <c r="NL182" s="8"/>
      <c r="NM182" s="5" t="str">
        <f t="shared" si="543"/>
        <v>NO APLICA</v>
      </c>
      <c r="NN182" s="2"/>
      <c r="NO182" s="2"/>
      <c r="NP182" s="4"/>
      <c r="NQ182" s="2"/>
      <c r="NR182" s="5" t="str">
        <f t="shared" si="544"/>
        <v>NO APLICA</v>
      </c>
      <c r="NS182" s="2"/>
      <c r="NT182" s="2"/>
      <c r="NU182" s="4"/>
      <c r="NV182" s="2"/>
      <c r="NW182" s="5" t="str">
        <f t="shared" si="545"/>
        <v>NO APLICA</v>
      </c>
      <c r="NX182" s="6"/>
      <c r="NY182" s="6"/>
      <c r="NZ182" s="4"/>
      <c r="OA182" s="8"/>
      <c r="OB182" s="5" t="str">
        <f t="shared" si="546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7"/>
        <v>VIGENTE</v>
      </c>
      <c r="OH182" s="6"/>
      <c r="OI182" s="6"/>
      <c r="OJ182" s="4"/>
      <c r="OK182" s="8"/>
      <c r="OL182" s="5" t="str">
        <f t="shared" si="548"/>
        <v>NO APLICA</v>
      </c>
      <c r="OM182" s="6"/>
      <c r="ON182" s="6"/>
      <c r="OO182" s="6"/>
      <c r="OP182" s="6"/>
      <c r="OQ182" s="5" t="str">
        <f t="shared" si="549"/>
        <v>NO APLICA</v>
      </c>
      <c r="OR182" s="6"/>
      <c r="OS182" s="6"/>
      <c r="OT182" s="6"/>
      <c r="OU182" s="6"/>
      <c r="OV182" s="5" t="str">
        <f t="shared" si="550"/>
        <v>NO APLICA</v>
      </c>
      <c r="OW182" s="6"/>
      <c r="OX182" s="6"/>
      <c r="OY182" s="6"/>
      <c r="OZ182" s="6"/>
      <c r="PA182" s="5" t="str">
        <f t="shared" si="551"/>
        <v>NO APLICA</v>
      </c>
      <c r="PB182" s="6"/>
      <c r="PC182" s="6"/>
      <c r="PD182" s="6"/>
      <c r="PE182" s="6"/>
      <c r="PF182" s="5" t="str">
        <f t="shared" si="552"/>
        <v>NO APLICA</v>
      </c>
      <c r="PG182" s="6"/>
      <c r="PH182" s="6"/>
      <c r="PI182" s="6"/>
      <c r="PJ182" s="6"/>
      <c r="PK182" s="5" t="str">
        <f t="shared" si="553"/>
        <v>NO APLICA</v>
      </c>
      <c r="PL182" s="5"/>
      <c r="PM182" s="6"/>
      <c r="PN182" s="4"/>
      <c r="PO182" s="8"/>
      <c r="PP182" s="5" t="str">
        <f t="shared" si="554"/>
        <v>NO APLICA</v>
      </c>
      <c r="PQ182" s="6"/>
      <c r="PR182" s="6"/>
      <c r="PS182" s="6"/>
      <c r="PT182" s="6"/>
      <c r="PU182" s="5" t="str">
        <f t="shared" si="555"/>
        <v>NO APLICA</v>
      </c>
      <c r="PV182" s="5"/>
      <c r="PW182" s="6"/>
      <c r="PX182" s="6"/>
      <c r="PY182" s="6"/>
      <c r="PZ182" s="5" t="str">
        <f t="shared" si="556"/>
        <v>NO APLICA</v>
      </c>
    </row>
    <row r="183" spans="1:442" ht="15.6" hidden="1" thickTop="1" thickBot="1" x14ac:dyDescent="0.35">
      <c r="A183" s="26">
        <v>180</v>
      </c>
      <c r="B183" s="27">
        <v>1479</v>
      </c>
      <c r="C183" s="28" t="s">
        <v>575</v>
      </c>
      <c r="D183" s="29" t="s">
        <v>68</v>
      </c>
      <c r="E183" s="30" t="s">
        <v>77</v>
      </c>
      <c r="F183" s="5"/>
      <c r="G183" s="6"/>
      <c r="H183" s="4"/>
      <c r="I183" s="8"/>
      <c r="J183" s="5" t="str">
        <f t="shared" si="455"/>
        <v>NO APLICA</v>
      </c>
      <c r="K183" s="5"/>
      <c r="L183" s="6"/>
      <c r="M183" s="6"/>
      <c r="N183" s="8"/>
      <c r="O183" s="5" t="str">
        <f t="shared" si="456"/>
        <v>NO APLICA</v>
      </c>
      <c r="P183" s="6"/>
      <c r="Q183" s="6"/>
      <c r="R183" s="4"/>
      <c r="S183" s="8"/>
      <c r="T183" s="5" t="str">
        <f t="shared" si="557"/>
        <v>NO APLICA</v>
      </c>
      <c r="U183" s="5"/>
      <c r="V183" s="2" t="s">
        <v>576</v>
      </c>
      <c r="W183" s="4">
        <v>44829</v>
      </c>
      <c r="X183" s="4">
        <f t="shared" si="587"/>
        <v>46655</v>
      </c>
      <c r="Y183" s="8">
        <f t="shared" ca="1" si="588"/>
        <v>510</v>
      </c>
      <c r="Z183" s="5" t="str">
        <f t="shared" ca="1" si="605"/>
        <v>VIGENTE</v>
      </c>
      <c r="AA183" s="5"/>
      <c r="AB183" s="2" t="s">
        <v>577</v>
      </c>
      <c r="AC183" s="4">
        <v>44603</v>
      </c>
      <c r="AD183" s="4">
        <f>DATE(YEAR(AC183)+5,MONTH(AC183),DAY(AC183))</f>
        <v>46429</v>
      </c>
      <c r="AE183" s="8">
        <f t="shared" ca="1" si="614"/>
        <v>284</v>
      </c>
      <c r="AF183" s="5" t="str">
        <f t="shared" ca="1" si="45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8"/>
        <v>193</v>
      </c>
      <c r="AK183" s="5" t="str">
        <f t="shared" ca="1" si="602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9"/>
        <v>522</v>
      </c>
      <c r="AP183" s="5" t="str">
        <f t="shared" ca="1" si="460"/>
        <v>VIGENTE</v>
      </c>
      <c r="AQ183" s="3"/>
      <c r="AR183" s="4">
        <v>45967</v>
      </c>
      <c r="AS183" s="4">
        <f t="shared" si="608"/>
        <v>46697</v>
      </c>
      <c r="AT183" s="8">
        <f t="shared" ca="1" si="461"/>
        <v>552</v>
      </c>
      <c r="AU183" s="5" t="str">
        <f t="shared" ca="1" si="462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3"/>
        <v>557</v>
      </c>
      <c r="AZ183" s="5" t="str">
        <f t="shared" ca="1" si="464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5"/>
        <v>656</v>
      </c>
      <c r="BE183" s="5" t="str">
        <f t="shared" ca="1" si="466"/>
        <v>VIGENTE</v>
      </c>
      <c r="BF183" s="3"/>
      <c r="BG183" s="4">
        <v>46027</v>
      </c>
      <c r="BH183" s="4">
        <f t="shared" si="615"/>
        <v>46757</v>
      </c>
      <c r="BI183" s="8">
        <f t="shared" ca="1" si="467"/>
        <v>612</v>
      </c>
      <c r="BJ183" s="5" t="str">
        <f t="shared" ca="1" si="468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9"/>
        <v>620</v>
      </c>
      <c r="BO183" s="5" t="str">
        <f t="shared" ca="1" si="470"/>
        <v>VIGENTE</v>
      </c>
      <c r="BP183" s="3"/>
      <c r="BQ183" s="39">
        <v>46069</v>
      </c>
      <c r="BR183" s="4">
        <f>DATE(YEAR(BQ183)+2,MONTH(BQ183),DAY(BQ183))</f>
        <v>46799</v>
      </c>
      <c r="BS183" s="8">
        <f t="shared" ca="1" si="471"/>
        <v>654</v>
      </c>
      <c r="BT183" s="5" t="str">
        <f t="shared" ca="1" si="472"/>
        <v>VIGENTE</v>
      </c>
      <c r="BU183" s="3"/>
      <c r="BV183" s="4">
        <v>46116</v>
      </c>
      <c r="BW183" s="4">
        <f>DATE(YEAR(BV183)+2,MONTH(BV183),DAY(BV183)-1)</f>
        <v>46846</v>
      </c>
      <c r="BX183" s="8">
        <f t="shared" ca="1" si="473"/>
        <v>701</v>
      </c>
      <c r="BY183" s="5" t="str">
        <f t="shared" ca="1" si="474"/>
        <v>VIGENTE</v>
      </c>
      <c r="BZ183" s="3"/>
      <c r="CA183" s="4">
        <v>45954</v>
      </c>
      <c r="CB183" s="4">
        <f>DATE(YEAR(CA183)+2,MONTH(CA183),DAY(CA183))</f>
        <v>46684</v>
      </c>
      <c r="CC183" s="8">
        <f t="shared" ca="1" si="475"/>
        <v>539</v>
      </c>
      <c r="CD183" s="5" t="str">
        <f t="shared" ca="1" si="476"/>
        <v>VIGENTE</v>
      </c>
      <c r="CE183" s="6"/>
      <c r="CF183" s="4">
        <v>45241</v>
      </c>
      <c r="CG183" s="4">
        <f t="shared" si="590"/>
        <v>46702</v>
      </c>
      <c r="CH183" s="8">
        <f t="shared" ca="1" si="591"/>
        <v>557</v>
      </c>
      <c r="CI183" s="5" t="str">
        <f t="shared" ca="1" si="573"/>
        <v>VIGENTE</v>
      </c>
      <c r="CJ183" s="4"/>
      <c r="CK183" s="4">
        <v>46134</v>
      </c>
      <c r="CL183" s="4">
        <f>DATE(YEAR(CK183)+2,MONTH(CK183),DAY(CK183)-1)</f>
        <v>46864</v>
      </c>
      <c r="CM183" s="8">
        <f t="shared" ca="1" si="477"/>
        <v>719</v>
      </c>
      <c r="CN183" s="5" t="str">
        <f t="shared" ca="1" si="478"/>
        <v>VIGENTE</v>
      </c>
      <c r="CO183" s="3"/>
      <c r="CP183" s="39">
        <v>45513</v>
      </c>
      <c r="CQ183" s="4">
        <f>DATE(YEAR(CP183)+2,MONTH(CP183),DAY(CP183)-1)</f>
        <v>46242</v>
      </c>
      <c r="CR183" s="8">
        <f t="shared" ca="1" si="479"/>
        <v>97</v>
      </c>
      <c r="CS183" s="5" t="str">
        <f t="shared" ca="1" si="480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1"/>
        <v>223</v>
      </c>
      <c r="CX183" s="5" t="str">
        <f t="shared" ca="1" si="482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3"/>
        <v>249</v>
      </c>
      <c r="DC183" s="5" t="str">
        <f t="shared" ca="1" si="484"/>
        <v>VIGENTE</v>
      </c>
      <c r="DD183" s="3"/>
      <c r="DE183" s="39">
        <v>45723</v>
      </c>
      <c r="DF183" s="4">
        <f>DATE(YEAR(DE183)+2,MONTH(DE183),DAY(DE183)-1)</f>
        <v>46452</v>
      </c>
      <c r="DG183" s="8">
        <f t="shared" ca="1" si="485"/>
        <v>307</v>
      </c>
      <c r="DH183" s="5" t="str">
        <f t="shared" ca="1" si="486"/>
        <v>VIGENTE</v>
      </c>
      <c r="DI183" s="3"/>
      <c r="DJ183" s="39">
        <v>45779</v>
      </c>
      <c r="DK183" s="4">
        <f>DATE(YEAR(DJ183)+2,MONTH(DJ183),DAY(DJ183))</f>
        <v>46509</v>
      </c>
      <c r="DL183" s="8">
        <f t="shared" ca="1" si="487"/>
        <v>364</v>
      </c>
      <c r="DM183" s="5" t="str">
        <f t="shared" ca="1" si="488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9"/>
        <v>567</v>
      </c>
      <c r="DR183" s="5" t="str">
        <f t="shared" ca="1" si="490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1"/>
        <v>638</v>
      </c>
      <c r="DW183" s="5" t="str">
        <f t="shared" ca="1" si="492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3"/>
        <v>293</v>
      </c>
      <c r="EB183" s="5" t="str">
        <f t="shared" ca="1" si="494"/>
        <v>VIGENTE</v>
      </c>
      <c r="EC183" s="3"/>
      <c r="ED183" s="39">
        <v>45674</v>
      </c>
      <c r="EE183" s="4">
        <f>DATE(YEAR(ED183)+2,MONTH(ED183),DAY(ED183)-1)</f>
        <v>46403</v>
      </c>
      <c r="EF183" s="8">
        <f t="shared" ca="1" si="495"/>
        <v>258</v>
      </c>
      <c r="EG183" s="5" t="str">
        <f t="shared" ca="1" si="496"/>
        <v>VIGENTE</v>
      </c>
      <c r="EH183" s="4"/>
      <c r="EI183" s="4">
        <v>46115</v>
      </c>
      <c r="EJ183" s="4">
        <f t="shared" si="558"/>
        <v>46480</v>
      </c>
      <c r="EK183" s="8">
        <f t="shared" ca="1" si="497"/>
        <v>335</v>
      </c>
      <c r="EL183" s="5" t="str">
        <f t="shared" ca="1" si="498"/>
        <v>VIGENTE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9"/>
        <v>255</v>
      </c>
      <c r="EQ183" s="5" t="str">
        <f t="shared" ca="1" si="500"/>
        <v>VIGENTE</v>
      </c>
      <c r="ER183" s="3"/>
      <c r="ES183" s="39">
        <v>46062</v>
      </c>
      <c r="ET183" s="4">
        <f>DATE(YEAR(ES183)+2,MONTH(ES183),DAY(ES183))</f>
        <v>46792</v>
      </c>
      <c r="EU183" s="8">
        <f t="shared" ca="1" si="501"/>
        <v>647</v>
      </c>
      <c r="EV183" s="5" t="str">
        <f t="shared" ca="1" si="502"/>
        <v>VIGENTE</v>
      </c>
      <c r="EW183" s="3"/>
      <c r="EX183" s="4">
        <v>45953</v>
      </c>
      <c r="EY183" s="4">
        <f t="shared" si="609"/>
        <v>46683</v>
      </c>
      <c r="EZ183" s="8">
        <f t="shared" ca="1" si="503"/>
        <v>538</v>
      </c>
      <c r="FA183" s="5" t="str">
        <f t="shared" ca="1" si="504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5"/>
        <v>516</v>
      </c>
      <c r="FF183" s="5" t="str">
        <f t="shared" ca="1" si="506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7"/>
        <v>547</v>
      </c>
      <c r="FK183" s="5" t="str">
        <f t="shared" ca="1" si="508"/>
        <v>VIGENTE</v>
      </c>
      <c r="FL183" s="3"/>
      <c r="FM183" s="39">
        <v>45686</v>
      </c>
      <c r="FN183" s="4">
        <f>DATE(YEAR(FM183)+2,MONTH(FM183),DAY(FM183)-1)</f>
        <v>46415</v>
      </c>
      <c r="FO183" s="8">
        <f t="shared" ca="1" si="509"/>
        <v>270</v>
      </c>
      <c r="FP183" s="5" t="str">
        <f t="shared" ca="1" si="510"/>
        <v>VIGENTE</v>
      </c>
      <c r="FQ183" s="3"/>
      <c r="FR183" s="39">
        <v>45586</v>
      </c>
      <c r="FS183" s="4">
        <f>DATE(YEAR(FR183)+2,MONTH(FR183),DAY(FR183)-1)</f>
        <v>46315</v>
      </c>
      <c r="FT183" s="8">
        <f t="shared" ca="1" si="511"/>
        <v>170</v>
      </c>
      <c r="FU183" s="5" t="str">
        <f t="shared" ca="1" si="512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3"/>
        <v>120</v>
      </c>
      <c r="FZ183" s="5" t="str">
        <f t="shared" ca="1" si="514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5"/>
        <v>658</v>
      </c>
      <c r="GE183" s="5" t="str">
        <f t="shared" ca="1" si="516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7"/>
        <v>256</v>
      </c>
      <c r="GJ183" s="5" t="str">
        <f t="shared" ca="1" si="518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9"/>
        <v>508</v>
      </c>
      <c r="GO183" s="5" t="str">
        <f t="shared" ca="1" si="520"/>
        <v>VIGENTE</v>
      </c>
      <c r="GP183" s="4"/>
      <c r="GQ183" s="4">
        <v>45299</v>
      </c>
      <c r="GR183" s="4">
        <f t="shared" si="521"/>
        <v>47126</v>
      </c>
      <c r="GS183" s="8">
        <f t="shared" ca="1" si="601"/>
        <v>981</v>
      </c>
      <c r="GT183" s="5" t="str">
        <f t="shared" ca="1" si="610"/>
        <v>VIGENTE</v>
      </c>
      <c r="GU183" s="3"/>
      <c r="GV183" s="4">
        <v>45478</v>
      </c>
      <c r="GW183" s="4">
        <f t="shared" si="522"/>
        <v>47304</v>
      </c>
      <c r="GX183" s="8">
        <f t="shared" ca="1" si="523"/>
        <v>1159</v>
      </c>
      <c r="GY183" s="5" t="str">
        <f t="shared" ca="1" si="611"/>
        <v>VIGENTE</v>
      </c>
      <c r="GZ183" s="3"/>
      <c r="HA183" s="4">
        <v>45258</v>
      </c>
      <c r="HB183" s="4">
        <f t="shared" si="524"/>
        <v>47085</v>
      </c>
      <c r="HC183" s="8">
        <f t="shared" ca="1" si="525"/>
        <v>940</v>
      </c>
      <c r="HD183" s="5" t="str">
        <f t="shared" ca="1" si="61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6"/>
        <v>546</v>
      </c>
      <c r="HI183" s="5" t="str">
        <f t="shared" ca="1" si="613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4"/>
        <v>VIGENTE</v>
      </c>
      <c r="HO183" s="2"/>
      <c r="HP183" s="2"/>
      <c r="HQ183" s="4"/>
      <c r="HR183" s="2"/>
      <c r="HS183" s="5" t="str">
        <f t="shared" si="526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7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8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9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30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1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7">IU183-TODAY()</f>
        <v>1168</v>
      </c>
      <c r="IW183" s="5" t="str">
        <f t="shared" ca="1" si="532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8">IZ183-TODAY()</f>
        <v>1142</v>
      </c>
      <c r="JB183" s="5" t="str">
        <f t="shared" ca="1" si="533"/>
        <v>VIGENTE</v>
      </c>
      <c r="JC183" s="3" t="s">
        <v>780</v>
      </c>
      <c r="JD183" s="3"/>
      <c r="JE183" s="4"/>
      <c r="JF183" s="8"/>
      <c r="JG183" s="5"/>
      <c r="JH183" s="3" t="s">
        <v>780</v>
      </c>
      <c r="JI183" s="6"/>
      <c r="JJ183" s="6"/>
      <c r="JK183" s="6"/>
      <c r="JL183" s="5"/>
      <c r="JM183" s="6" t="s">
        <v>780</v>
      </c>
      <c r="JN183" s="6"/>
      <c r="JO183" s="6"/>
      <c r="JP183" s="6"/>
      <c r="JQ183" s="5"/>
      <c r="JR183" s="6" t="s">
        <v>780</v>
      </c>
      <c r="JS183" s="6"/>
      <c r="JT183" s="6"/>
      <c r="JU183" s="6"/>
      <c r="JV183" s="5"/>
      <c r="JW183" s="6" t="s">
        <v>780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4"/>
        <v>NO APLICA</v>
      </c>
      <c r="KG183" s="5"/>
      <c r="KH183" s="2"/>
      <c r="KI183" s="4"/>
      <c r="KJ183" s="8"/>
      <c r="KK183" s="5" t="str">
        <f t="shared" si="559"/>
        <v>NO APLICA</v>
      </c>
      <c r="KL183" s="5"/>
      <c r="KM183" s="2"/>
      <c r="KN183" s="4"/>
      <c r="KO183" s="8"/>
      <c r="KP183" s="5" t="str">
        <f t="shared" si="535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60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5"/>
        <v>VIGENTE</v>
      </c>
      <c r="LA183" s="5"/>
      <c r="LB183" s="6"/>
      <c r="LC183" s="4"/>
      <c r="LD183" s="8"/>
      <c r="LE183" s="5" t="str">
        <f t="shared" si="561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600"/>
        <v>VIGENTE</v>
      </c>
      <c r="LK183" s="5"/>
      <c r="LL183" s="5"/>
      <c r="LM183" s="4"/>
      <c r="LN183" s="8"/>
      <c r="LO183" s="5" t="str">
        <f t="shared" si="566"/>
        <v>NO APLICA</v>
      </c>
      <c r="LP183" s="2"/>
      <c r="LQ183" s="6"/>
      <c r="LR183" s="4"/>
      <c r="LS183" s="8"/>
      <c r="LT183" s="5" t="str">
        <f t="shared" si="562"/>
        <v>NO APLICA</v>
      </c>
      <c r="LU183" s="6"/>
      <c r="LV183" s="6"/>
      <c r="LW183" s="4"/>
      <c r="LX183" s="8"/>
      <c r="LY183" s="5" t="str">
        <f t="shared" si="563"/>
        <v>NO APLICA</v>
      </c>
      <c r="LZ183" s="6"/>
      <c r="MA183" s="6"/>
      <c r="MB183" s="4"/>
      <c r="MC183" s="8"/>
      <c r="MD183" s="5" t="str">
        <f t="shared" si="564"/>
        <v>NO APLICA</v>
      </c>
      <c r="ME183" s="2"/>
      <c r="MF183" s="2"/>
      <c r="MG183" s="4"/>
      <c r="MH183" s="8"/>
      <c r="MI183" s="5" t="str">
        <f t="shared" si="537"/>
        <v>NO APLICA</v>
      </c>
      <c r="MJ183" s="2"/>
      <c r="MK183" s="2"/>
      <c r="ML183" s="4"/>
      <c r="MM183" s="8"/>
      <c r="MN183" s="5" t="str">
        <f t="shared" si="538"/>
        <v>NO APLICA</v>
      </c>
      <c r="MO183" s="5"/>
      <c r="MP183" s="2"/>
      <c r="MQ183" s="4"/>
      <c r="MR183" s="8"/>
      <c r="MS183" s="5" t="str">
        <f t="shared" si="539"/>
        <v>NO APLICA</v>
      </c>
      <c r="MT183" s="5"/>
      <c r="MU183" s="2"/>
      <c r="MV183" s="4"/>
      <c r="MW183" s="2"/>
      <c r="MX183" s="5" t="str">
        <f t="shared" si="540"/>
        <v>NO APLICA</v>
      </c>
      <c r="MY183" s="2"/>
      <c r="MZ183" s="6"/>
      <c r="NA183" s="4"/>
      <c r="NB183" s="8"/>
      <c r="NC183" s="5" t="str">
        <f t="shared" si="541"/>
        <v>NO APLICA</v>
      </c>
      <c r="ND183" s="2"/>
      <c r="NE183" s="6"/>
      <c r="NF183" s="4"/>
      <c r="NG183" s="8"/>
      <c r="NH183" s="5" t="str">
        <f t="shared" si="542"/>
        <v>NO APLICA</v>
      </c>
      <c r="NI183" s="2"/>
      <c r="NJ183" s="6"/>
      <c r="NK183" s="4"/>
      <c r="NL183" s="8"/>
      <c r="NM183" s="5" t="str">
        <f t="shared" si="543"/>
        <v>NO APLICA</v>
      </c>
      <c r="NN183" s="2"/>
      <c r="NO183" s="2"/>
      <c r="NP183" s="4"/>
      <c r="NQ183" s="2"/>
      <c r="NR183" s="5" t="str">
        <f t="shared" si="544"/>
        <v>NO APLICA</v>
      </c>
      <c r="NS183" s="2"/>
      <c r="NT183" s="2"/>
      <c r="NU183" s="4"/>
      <c r="NV183" s="2"/>
      <c r="NW183" s="5" t="str">
        <f t="shared" si="545"/>
        <v>NO APLICA</v>
      </c>
      <c r="NX183" s="6"/>
      <c r="NY183" s="6"/>
      <c r="NZ183" s="4"/>
      <c r="OA183" s="8"/>
      <c r="OB183" s="5" t="str">
        <f t="shared" si="546"/>
        <v>NO APLICA</v>
      </c>
      <c r="OC183" s="6"/>
      <c r="OD183" s="6"/>
      <c r="OE183" s="6"/>
      <c r="OF183" s="6"/>
      <c r="OG183" s="5" t="str">
        <f t="shared" si="547"/>
        <v>NO APLICA</v>
      </c>
      <c r="OH183" s="6"/>
      <c r="OI183" s="6"/>
      <c r="OJ183" s="4"/>
      <c r="OK183" s="8"/>
      <c r="OL183" s="5" t="str">
        <f t="shared" si="548"/>
        <v>NO APLICA</v>
      </c>
      <c r="OM183" s="6"/>
      <c r="ON183" s="6"/>
      <c r="OO183" s="6"/>
      <c r="OP183" s="6"/>
      <c r="OQ183" s="5" t="str">
        <f t="shared" si="549"/>
        <v>NO APLICA</v>
      </c>
      <c r="OR183" s="6"/>
      <c r="OS183" s="6"/>
      <c r="OT183" s="6"/>
      <c r="OU183" s="6"/>
      <c r="OV183" s="5" t="str">
        <f t="shared" si="550"/>
        <v>NO APLICA</v>
      </c>
      <c r="OW183" s="6"/>
      <c r="OX183" s="6"/>
      <c r="OY183" s="6"/>
      <c r="OZ183" s="6"/>
      <c r="PA183" s="5" t="str">
        <f t="shared" si="551"/>
        <v>NO APLICA</v>
      </c>
      <c r="PB183" s="6"/>
      <c r="PC183" s="6"/>
      <c r="PD183" s="6"/>
      <c r="PE183" s="6"/>
      <c r="PF183" s="5" t="str">
        <f t="shared" si="552"/>
        <v>NO APLICA</v>
      </c>
      <c r="PG183" s="6"/>
      <c r="PH183" s="6"/>
      <c r="PI183" s="6"/>
      <c r="PJ183" s="6"/>
      <c r="PK183" s="5" t="str">
        <f t="shared" si="553"/>
        <v>NO APLICA</v>
      </c>
      <c r="PL183" s="5"/>
      <c r="PM183" s="6"/>
      <c r="PN183" s="4"/>
      <c r="PO183" s="8"/>
      <c r="PP183" s="5" t="str">
        <f t="shared" si="554"/>
        <v>NO APLICA</v>
      </c>
      <c r="PQ183" s="6"/>
      <c r="PR183" s="6"/>
      <c r="PS183" s="6"/>
      <c r="PT183" s="6"/>
      <c r="PU183" s="5" t="str">
        <f t="shared" si="555"/>
        <v>NO APLICA</v>
      </c>
      <c r="PV183" s="5"/>
      <c r="PW183" s="6"/>
      <c r="PX183" s="6"/>
      <c r="PY183" s="6"/>
      <c r="PZ183" s="5" t="str">
        <f t="shared" si="556"/>
        <v>NO APLICA</v>
      </c>
    </row>
    <row r="184" spans="1:442" ht="15.6" hidden="1" thickTop="1" thickBot="1" x14ac:dyDescent="0.35">
      <c r="A184" s="26">
        <v>181</v>
      </c>
      <c r="B184" s="27">
        <v>1489</v>
      </c>
      <c r="C184" s="28" t="s">
        <v>578</v>
      </c>
      <c r="D184" s="29" t="s">
        <v>68</v>
      </c>
      <c r="E184" s="30" t="s">
        <v>73</v>
      </c>
      <c r="F184" s="5"/>
      <c r="G184" s="6"/>
      <c r="H184" s="4"/>
      <c r="I184" s="8"/>
      <c r="J184" s="5" t="str">
        <f t="shared" si="455"/>
        <v>NO APLICA</v>
      </c>
      <c r="K184" s="5"/>
      <c r="L184" s="6"/>
      <c r="M184" s="6"/>
      <c r="N184" s="8"/>
      <c r="O184" s="5" t="str">
        <f t="shared" si="456"/>
        <v>NO APLICA</v>
      </c>
      <c r="P184" s="6"/>
      <c r="Q184" s="6"/>
      <c r="R184" s="4"/>
      <c r="S184" s="8"/>
      <c r="T184" s="5" t="str">
        <f t="shared" si="557"/>
        <v>NO APLICA</v>
      </c>
      <c r="U184" s="5"/>
      <c r="V184" s="2" t="s">
        <v>579</v>
      </c>
      <c r="W184" s="4">
        <v>44786</v>
      </c>
      <c r="X184" s="4">
        <f t="shared" si="587"/>
        <v>46612</v>
      </c>
      <c r="Y184" s="8">
        <f t="shared" ca="1" si="588"/>
        <v>467</v>
      </c>
      <c r="Z184" s="5" t="str">
        <f t="shared" ca="1" si="605"/>
        <v>VIGENTE</v>
      </c>
      <c r="AA184" s="5"/>
      <c r="AB184" s="2" t="s">
        <v>580</v>
      </c>
      <c r="AC184" s="4">
        <v>44988</v>
      </c>
      <c r="AD184" s="4">
        <f t="shared" ref="AD184:AD189" si="619">DATE(YEAR(AC184)+5,MONTH(AC184),DAY(AC184))</f>
        <v>46815</v>
      </c>
      <c r="AE184" s="8">
        <f t="shared" ca="1" si="614"/>
        <v>670</v>
      </c>
      <c r="AF184" s="5" t="str">
        <f t="shared" ca="1" si="457"/>
        <v>VIGENTE</v>
      </c>
      <c r="AG184" s="3"/>
      <c r="AH184" s="4">
        <v>45589</v>
      </c>
      <c r="AI184" s="4">
        <f t="shared" ref="AI184:AI188" si="620">DATE(YEAR(AH184)+2,MONTH(AH184),DAY(AH184)-1)</f>
        <v>46318</v>
      </c>
      <c r="AJ184" s="8">
        <f t="shared" ca="1" si="458"/>
        <v>173</v>
      </c>
      <c r="AK184" s="5" t="str">
        <f t="shared" ca="1" si="602"/>
        <v>VIGENTE</v>
      </c>
      <c r="AL184" s="3"/>
      <c r="AM184" s="4">
        <v>46084</v>
      </c>
      <c r="AN184" s="4">
        <f t="shared" ref="AN184:AN186" si="621">DATE(YEAR(AM184)+2,MONTH(AM184),DAY(AM184))</f>
        <v>46815</v>
      </c>
      <c r="AO184" s="8">
        <f t="shared" ca="1" si="459"/>
        <v>670</v>
      </c>
      <c r="AP184" s="5" t="str">
        <f t="shared" ca="1" si="460"/>
        <v>VIGENTE</v>
      </c>
      <c r="AQ184" s="3"/>
      <c r="AR184" s="4">
        <v>45505</v>
      </c>
      <c r="AS184" s="4">
        <f t="shared" ref="AS184" si="622">DATE(YEAR(AR184)+2,MONTH(AR184),DAY(AR184)-1)</f>
        <v>46234</v>
      </c>
      <c r="AT184" s="8">
        <f t="shared" ca="1" si="461"/>
        <v>89</v>
      </c>
      <c r="AU184" s="5" t="str">
        <f t="shared" ca="1" si="462"/>
        <v>POR VENCER</v>
      </c>
      <c r="AV184" s="3"/>
      <c r="AW184" s="4">
        <v>45464</v>
      </c>
      <c r="AX184" s="4">
        <f t="shared" ref="AX184:AX187" si="623">DATE(YEAR(AW184)+2,MONTH(AW184),DAY(AW184)-1)</f>
        <v>46193</v>
      </c>
      <c r="AY184" s="8">
        <f t="shared" ca="1" si="463"/>
        <v>48</v>
      </c>
      <c r="AZ184" s="5" t="str">
        <f t="shared" ca="1" si="464"/>
        <v>POR VENCER</v>
      </c>
      <c r="BA184" s="3"/>
      <c r="BB184" s="4">
        <v>45476</v>
      </c>
      <c r="BC184" s="4">
        <f t="shared" ref="BC184:BC190" si="624">DATE(YEAR(BB184)+2,MONTH(BB184),DAY(BB184)-1)</f>
        <v>46205</v>
      </c>
      <c r="BD184" s="8">
        <f t="shared" ca="1" si="465"/>
        <v>60</v>
      </c>
      <c r="BE184" s="5" t="str">
        <f t="shared" ca="1" si="466"/>
        <v>POR VENCER</v>
      </c>
      <c r="BF184" s="3"/>
      <c r="BG184" s="4">
        <v>46067</v>
      </c>
      <c r="BH184" s="4">
        <f t="shared" si="615"/>
        <v>46797</v>
      </c>
      <c r="BI184" s="8">
        <f t="shared" ca="1" si="467"/>
        <v>652</v>
      </c>
      <c r="BJ184" s="5" t="str">
        <f t="shared" ca="1" si="468"/>
        <v>VIGENTE</v>
      </c>
      <c r="BK184" s="3"/>
      <c r="BL184" s="4">
        <v>46035</v>
      </c>
      <c r="BM184" s="4">
        <f t="shared" ref="BM184:BM186" si="625">DATE(YEAR(BL184)+2,MONTH(BL184),DAY(BL184))</f>
        <v>46765</v>
      </c>
      <c r="BN184" s="8">
        <f t="shared" ca="1" si="469"/>
        <v>620</v>
      </c>
      <c r="BO184" s="5" t="str">
        <f t="shared" ca="1" si="470"/>
        <v>VIGENTE</v>
      </c>
      <c r="BP184" s="3"/>
      <c r="BQ184" s="39">
        <v>46069</v>
      </c>
      <c r="BR184" s="4">
        <f t="shared" ref="BR184" si="626">DATE(YEAR(BQ184)+2,MONTH(BQ184),DAY(BQ184))</f>
        <v>46799</v>
      </c>
      <c r="BS184" s="8">
        <f t="shared" ca="1" si="471"/>
        <v>654</v>
      </c>
      <c r="BT184" s="5" t="str">
        <f t="shared" ca="1" si="472"/>
        <v>VIGENTE</v>
      </c>
      <c r="BU184" s="3"/>
      <c r="BV184" s="4">
        <v>45736</v>
      </c>
      <c r="BW184" s="4">
        <f t="shared" ref="BW184:BW188" si="627">DATE(YEAR(BV184)+2,MONTH(BV184),DAY(BV184)-1)</f>
        <v>46465</v>
      </c>
      <c r="BX184" s="8">
        <f t="shared" ca="1" si="473"/>
        <v>320</v>
      </c>
      <c r="BY184" s="5" t="str">
        <f t="shared" ca="1" si="474"/>
        <v>VIGENTE</v>
      </c>
      <c r="BZ184" s="3"/>
      <c r="CA184" s="4">
        <v>45480</v>
      </c>
      <c r="CB184" s="4">
        <f t="shared" ref="CB184:CB187" si="628">DATE(YEAR(CA184)+2,MONTH(CA184),DAY(CA184)-1)</f>
        <v>46209</v>
      </c>
      <c r="CC184" s="8">
        <f t="shared" ca="1" si="475"/>
        <v>64</v>
      </c>
      <c r="CD184" s="5" t="str">
        <f t="shared" ca="1" si="476"/>
        <v>POR VENCER</v>
      </c>
      <c r="CE184" s="6"/>
      <c r="CF184" s="4">
        <v>45282</v>
      </c>
      <c r="CG184" s="4">
        <f t="shared" si="590"/>
        <v>46743</v>
      </c>
      <c r="CH184" s="8">
        <f t="shared" ca="1" si="591"/>
        <v>598</v>
      </c>
      <c r="CI184" s="5" t="str">
        <f t="shared" ca="1" si="573"/>
        <v>VIGENTE</v>
      </c>
      <c r="CJ184" s="4"/>
      <c r="CK184" s="4">
        <v>45688</v>
      </c>
      <c r="CL184" s="4">
        <f t="shared" ref="CL184:CL190" si="629">DATE(YEAR(CK184)+2,MONTH(CK184),DAY(CK184)-1)</f>
        <v>46417</v>
      </c>
      <c r="CM184" s="8">
        <f t="shared" ca="1" si="477"/>
        <v>272</v>
      </c>
      <c r="CN184" s="5" t="str">
        <f t="shared" ca="1" si="478"/>
        <v>VIGENTE</v>
      </c>
      <c r="CO184" s="3"/>
      <c r="CP184" s="39">
        <v>45684</v>
      </c>
      <c r="CQ184" s="4">
        <f t="shared" ref="CQ184:CQ190" si="630">DATE(YEAR(CP184)+2,MONTH(CP184),DAY(CP184)-1)</f>
        <v>46413</v>
      </c>
      <c r="CR184" s="8">
        <f t="shared" ca="1" si="479"/>
        <v>268</v>
      </c>
      <c r="CS184" s="5" t="str">
        <f t="shared" ca="1" si="480"/>
        <v>VIGENTE</v>
      </c>
      <c r="CT184" s="3"/>
      <c r="CU184" s="4">
        <v>45645</v>
      </c>
      <c r="CV184" s="4">
        <f t="shared" ref="CV184:CV188" si="631">DATE(YEAR(CU184)+2,MONTH(CU184),DAY(CU184)-1)</f>
        <v>46374</v>
      </c>
      <c r="CW184" s="8">
        <f t="shared" ca="1" si="481"/>
        <v>229</v>
      </c>
      <c r="CX184" s="5" t="str">
        <f t="shared" ca="1" si="482"/>
        <v>VIGENTE</v>
      </c>
      <c r="CY184" s="3"/>
      <c r="CZ184" s="4">
        <v>45665</v>
      </c>
      <c r="DA184" s="4">
        <f t="shared" ref="DA184:DA188" si="632">DATE(YEAR(CZ184)+2,MONTH(CZ184),DAY(CZ184)-1)</f>
        <v>46394</v>
      </c>
      <c r="DB184" s="8">
        <f t="shared" ca="1" si="483"/>
        <v>249</v>
      </c>
      <c r="DC184" s="5" t="str">
        <f t="shared" ca="1" si="484"/>
        <v>VIGENTE</v>
      </c>
      <c r="DD184" s="3"/>
      <c r="DE184" s="39">
        <v>45689</v>
      </c>
      <c r="DF184" s="4">
        <f t="shared" ref="DF184:DF190" si="633">DATE(YEAR(DE184)+2,MONTH(DE184),DAY(DE184)-1)</f>
        <v>46418</v>
      </c>
      <c r="DG184" s="8">
        <f t="shared" ca="1" si="485"/>
        <v>273</v>
      </c>
      <c r="DH184" s="5" t="str">
        <f t="shared" ca="1" si="486"/>
        <v>VIGENTE</v>
      </c>
      <c r="DI184" s="3"/>
      <c r="DJ184" s="39">
        <v>46073</v>
      </c>
      <c r="DK184" s="4">
        <f t="shared" ref="DK184:DK186" si="634">DATE(YEAR(DJ184)+2,MONTH(DJ184),DAY(DJ184))</f>
        <v>46803</v>
      </c>
      <c r="DL184" s="8">
        <f t="shared" ca="1" si="487"/>
        <v>658</v>
      </c>
      <c r="DM184" s="5" t="str">
        <f t="shared" ca="1" si="488"/>
        <v>VIGENTE</v>
      </c>
      <c r="DN184" s="3"/>
      <c r="DO184" s="4">
        <v>45731</v>
      </c>
      <c r="DP184" s="4">
        <f t="shared" ref="DP184:DP187" si="635">DATE(YEAR(DO184)+2,MONTH(DO184),DAY(DO184)-1)</f>
        <v>46460</v>
      </c>
      <c r="DQ184" s="8">
        <f t="shared" ca="1" si="489"/>
        <v>315</v>
      </c>
      <c r="DR184" s="5" t="str">
        <f t="shared" ca="1" si="490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1"/>
        <v>657</v>
      </c>
      <c r="DW184" s="5" t="str">
        <f t="shared" ca="1" si="492"/>
        <v>VIGENTE</v>
      </c>
      <c r="DX184" s="3"/>
      <c r="DY184" s="4">
        <v>45709</v>
      </c>
      <c r="DZ184" s="4">
        <f t="shared" ref="DZ184:DZ190" si="636">DATE(YEAR(DY184)+2,MONTH(DY184),DAY(DY184)-1)</f>
        <v>46438</v>
      </c>
      <c r="EA184" s="8">
        <f t="shared" ca="1" si="493"/>
        <v>293</v>
      </c>
      <c r="EB184" s="5" t="str">
        <f t="shared" ca="1" si="494"/>
        <v>VIGENTE</v>
      </c>
      <c r="EC184" s="3"/>
      <c r="ED184" s="39">
        <v>46104</v>
      </c>
      <c r="EE184" s="4">
        <f t="shared" ref="EE184:EE189" si="637">DATE(YEAR(ED184)+2,MONTH(ED184),DAY(ED184))</f>
        <v>46835</v>
      </c>
      <c r="EF184" s="8">
        <f t="shared" ca="1" si="495"/>
        <v>690</v>
      </c>
      <c r="EG184" s="5" t="str">
        <f t="shared" ca="1" si="496"/>
        <v>VIGENTE</v>
      </c>
      <c r="EH184" s="3"/>
      <c r="EI184" s="4">
        <v>45948</v>
      </c>
      <c r="EJ184" s="4">
        <f t="shared" si="558"/>
        <v>46313</v>
      </c>
      <c r="EK184" s="8">
        <f t="shared" ca="1" si="497"/>
        <v>168</v>
      </c>
      <c r="EL184" s="5" t="str">
        <f t="shared" ca="1" si="498"/>
        <v>VIGENTE</v>
      </c>
      <c r="EM184" s="3"/>
      <c r="EN184" s="4">
        <v>46135</v>
      </c>
      <c r="EO184" s="4">
        <f t="shared" ref="EO184:EO190" si="638">DATE(YEAR(EN184)+2,MONTH(EN184),DAY(EN184)-1)</f>
        <v>46865</v>
      </c>
      <c r="EP184" s="8">
        <f t="shared" ca="1" si="499"/>
        <v>720</v>
      </c>
      <c r="EQ184" s="5" t="str">
        <f t="shared" ca="1" si="500"/>
        <v>VIGENTE</v>
      </c>
      <c r="ER184" s="3"/>
      <c r="ES184" s="39">
        <v>46094</v>
      </c>
      <c r="ET184" s="4">
        <f t="shared" ref="ET184:ET186" si="639">DATE(YEAR(ES184)+2,MONTH(ES184),DAY(ES184))</f>
        <v>46825</v>
      </c>
      <c r="EU184" s="8">
        <f t="shared" ca="1" si="501"/>
        <v>680</v>
      </c>
      <c r="EV184" s="5" t="str">
        <f t="shared" ca="1" si="502"/>
        <v>VIGENTE</v>
      </c>
      <c r="EW184" s="3"/>
      <c r="EX184" s="4">
        <v>46070</v>
      </c>
      <c r="EY184" s="4">
        <f t="shared" si="609"/>
        <v>46800</v>
      </c>
      <c r="EZ184" s="8">
        <f t="shared" ca="1" si="503"/>
        <v>655</v>
      </c>
      <c r="FA184" s="5" t="str">
        <f t="shared" ca="1" si="504"/>
        <v>VIGENTE</v>
      </c>
      <c r="FB184" s="3"/>
      <c r="FC184" s="4">
        <v>46091</v>
      </c>
      <c r="FD184" s="4">
        <f t="shared" ref="FD184:FD186" si="640">DATE(YEAR(FC184)+2,MONTH(FC184),DAY(FC184))</f>
        <v>46822</v>
      </c>
      <c r="FE184" s="8">
        <f t="shared" ca="1" si="505"/>
        <v>677</v>
      </c>
      <c r="FF184" s="5" t="str">
        <f t="shared" ca="1" si="506"/>
        <v>VIGENTE</v>
      </c>
      <c r="FG184" s="3"/>
      <c r="FH184" s="4">
        <v>45506</v>
      </c>
      <c r="FI184" s="4">
        <f t="shared" ref="FI184:FI187" si="641">DATE(YEAR(FH184)+2,MONTH(FH184),DAY(FH184)-1)</f>
        <v>46235</v>
      </c>
      <c r="FJ184" s="8">
        <f t="shared" ca="1" si="507"/>
        <v>90</v>
      </c>
      <c r="FK184" s="5" t="str">
        <f t="shared" ca="1" si="508"/>
        <v>POR VENCER</v>
      </c>
      <c r="FL184" s="3"/>
      <c r="FM184" s="39">
        <v>46049</v>
      </c>
      <c r="FN184" s="4">
        <f t="shared" ref="FN184:FN186" si="642">DATE(YEAR(FM184)+2,MONTH(FM184),DAY(FM184))</f>
        <v>46779</v>
      </c>
      <c r="FO184" s="8">
        <f t="shared" ca="1" si="509"/>
        <v>634</v>
      </c>
      <c r="FP184" s="5" t="str">
        <f t="shared" ca="1" si="510"/>
        <v>VIGENTE</v>
      </c>
      <c r="FQ184" s="3"/>
      <c r="FR184" s="39">
        <v>46132</v>
      </c>
      <c r="FS184" s="4">
        <f t="shared" ref="FS184:FS190" si="643">DATE(YEAR(FR184)+2,MONTH(FR184),DAY(FR184)-1)</f>
        <v>46862</v>
      </c>
      <c r="FT184" s="8">
        <f t="shared" ca="1" si="511"/>
        <v>717</v>
      </c>
      <c r="FU184" s="5" t="str">
        <f t="shared" ca="1" si="512"/>
        <v>VIGENTE</v>
      </c>
      <c r="FV184" s="3"/>
      <c r="FW184" s="4">
        <v>45581</v>
      </c>
      <c r="FX184" s="4">
        <f t="shared" ref="FX184:FX188" si="644">DATE(YEAR(FW184)+2,MONTH(FW184),DAY(FW184)-1)</f>
        <v>46310</v>
      </c>
      <c r="FY184" s="8">
        <f t="shared" ca="1" si="513"/>
        <v>165</v>
      </c>
      <c r="FZ184" s="5" t="str">
        <f t="shared" ca="1" si="514"/>
        <v>VIGENTE</v>
      </c>
      <c r="GA184" s="3"/>
      <c r="GB184" s="4">
        <v>45507</v>
      </c>
      <c r="GC184" s="4">
        <f t="shared" ref="GC184:GC190" si="645">DATE(YEAR(GB184)+2,MONTH(GB184),DAY(GB184)-1)</f>
        <v>46236</v>
      </c>
      <c r="GD184" s="8">
        <f t="shared" ca="1" si="515"/>
        <v>91</v>
      </c>
      <c r="GE184" s="5" t="str">
        <f t="shared" ca="1" si="516"/>
        <v>VIGENTE</v>
      </c>
      <c r="GF184" s="3"/>
      <c r="GG184" s="4">
        <v>45472</v>
      </c>
      <c r="GH184" s="4">
        <f t="shared" ref="GH184:GH187" si="646">DATE(YEAR(GG184)+2,MONTH(GG184),DAY(GG184)-1)</f>
        <v>46201</v>
      </c>
      <c r="GI184" s="8">
        <f t="shared" ca="1" si="517"/>
        <v>56</v>
      </c>
      <c r="GJ184" s="5" t="str">
        <f t="shared" ca="1" si="518"/>
        <v>POR VENCER</v>
      </c>
      <c r="GK184" s="3"/>
      <c r="GL184" s="4">
        <v>45687</v>
      </c>
      <c r="GM184" s="4">
        <f t="shared" ref="GM184:GM189" si="647">DATE(YEAR(GL184)+2,MONTH(GL184),DAY(GL184)-1)</f>
        <v>46416</v>
      </c>
      <c r="GN184" s="8">
        <f t="shared" ca="1" si="519"/>
        <v>271</v>
      </c>
      <c r="GO184" s="5" t="str">
        <f t="shared" ca="1" si="520"/>
        <v>VIGENTE</v>
      </c>
      <c r="GP184" s="4"/>
      <c r="GQ184" s="4">
        <v>45421</v>
      </c>
      <c r="GR184" s="4">
        <f t="shared" si="521"/>
        <v>47247</v>
      </c>
      <c r="GS184" s="8">
        <f t="shared" ca="1" si="601"/>
        <v>1102</v>
      </c>
      <c r="GT184" s="5" t="str">
        <f t="shared" ca="1" si="610"/>
        <v>VIGENTE</v>
      </c>
      <c r="GU184" s="3"/>
      <c r="GV184" s="4">
        <v>45432</v>
      </c>
      <c r="GW184" s="4">
        <f t="shared" si="522"/>
        <v>47258</v>
      </c>
      <c r="GX184" s="8">
        <f t="shared" ca="1" si="523"/>
        <v>1113</v>
      </c>
      <c r="GY184" s="5" t="str">
        <f t="shared" ca="1" si="611"/>
        <v>VIGENTE</v>
      </c>
      <c r="GZ184" s="2"/>
      <c r="HA184" s="4">
        <v>45016</v>
      </c>
      <c r="HB184" s="4">
        <f t="shared" si="524"/>
        <v>46843</v>
      </c>
      <c r="HC184" s="8">
        <f t="shared" ca="1" si="525"/>
        <v>698</v>
      </c>
      <c r="HD184" s="5" t="str">
        <f t="shared" ca="1" si="612"/>
        <v>VIGENTE</v>
      </c>
      <c r="HE184" s="6"/>
      <c r="HF184" s="4">
        <v>44956</v>
      </c>
      <c r="HG184" s="4">
        <f t="shared" ref="HG184:HG189" si="648">DATE(YEAR(HF184)+5,MONTH(HF184),DAY(HF184))</f>
        <v>46782</v>
      </c>
      <c r="HH184" s="8">
        <f t="shared" ca="1" si="616"/>
        <v>637</v>
      </c>
      <c r="HI184" s="5" t="str">
        <f t="shared" ca="1" si="613"/>
        <v>VIGENTE</v>
      </c>
      <c r="HJ184" s="2"/>
      <c r="HK184" s="6"/>
      <c r="HL184" s="4"/>
      <c r="HM184" s="8"/>
      <c r="HN184" s="5" t="str">
        <f t="shared" si="444"/>
        <v>NO APLICA</v>
      </c>
      <c r="HO184" s="2"/>
      <c r="HP184" s="2"/>
      <c r="HQ184" s="4"/>
      <c r="HR184" s="2"/>
      <c r="HS184" s="5" t="str">
        <f t="shared" si="526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7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8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9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30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1"/>
        <v>VIGENTE</v>
      </c>
      <c r="IS184" s="3"/>
      <c r="IT184" s="4">
        <v>45423</v>
      </c>
      <c r="IU184" s="4">
        <f t="shared" ref="IU184:IU188" si="649">DATE(YEAR(IT184)+5,MONTH(IT184),DAY(IT184))</f>
        <v>47249</v>
      </c>
      <c r="IV184" s="8">
        <f t="shared" ca="1" si="617"/>
        <v>1104</v>
      </c>
      <c r="IW184" s="5" t="str">
        <f t="shared" ca="1" si="532"/>
        <v>VIGENTE</v>
      </c>
      <c r="IX184" s="2"/>
      <c r="IY184" s="4">
        <v>44973</v>
      </c>
      <c r="IZ184" s="4">
        <f t="shared" ref="IZ184:IZ188" si="650">DATE(YEAR(IY184)+5,MONTH(IY184),DAY(IY184))</f>
        <v>46799</v>
      </c>
      <c r="JA184" s="8">
        <f t="shared" ca="1" si="618"/>
        <v>654</v>
      </c>
      <c r="JB184" s="5" t="str">
        <f t="shared" ca="1" si="533"/>
        <v>VIGENTE</v>
      </c>
      <c r="JC184" s="3" t="s">
        <v>780</v>
      </c>
      <c r="JD184" s="3"/>
      <c r="JE184" s="4"/>
      <c r="JF184" s="8"/>
      <c r="JG184" s="5"/>
      <c r="JH184" s="3" t="s">
        <v>780</v>
      </c>
      <c r="JI184" s="6"/>
      <c r="JJ184" s="6"/>
      <c r="JK184" s="6"/>
      <c r="JL184" s="5"/>
      <c r="JM184" s="6" t="s">
        <v>780</v>
      </c>
      <c r="JN184" s="6"/>
      <c r="JO184" s="6"/>
      <c r="JP184" s="6"/>
      <c r="JQ184" s="5"/>
      <c r="JR184" s="6" t="s">
        <v>780</v>
      </c>
      <c r="JS184" s="6"/>
      <c r="JT184" s="6"/>
      <c r="JU184" s="6"/>
      <c r="JV184" s="5"/>
      <c r="JW184" s="6" t="s">
        <v>780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4"/>
        <v>NO APLICA</v>
      </c>
      <c r="KG184" s="5"/>
      <c r="KH184" s="2"/>
      <c r="KI184" s="4"/>
      <c r="KJ184" s="8"/>
      <c r="KK184" s="5" t="str">
        <f t="shared" si="559"/>
        <v>NO APLICA</v>
      </c>
      <c r="KL184" s="5"/>
      <c r="KM184" s="2"/>
      <c r="KN184" s="4"/>
      <c r="KO184" s="8"/>
      <c r="KP184" s="5" t="str">
        <f t="shared" si="535"/>
        <v>NO APLICA</v>
      </c>
      <c r="KQ184" s="5"/>
      <c r="KR184" s="2"/>
      <c r="KS184" s="4"/>
      <c r="KT184" s="8"/>
      <c r="KU184" s="5" t="str">
        <f t="shared" si="560"/>
        <v>NO APLICA</v>
      </c>
      <c r="KV184" s="2"/>
      <c r="KW184" s="6"/>
      <c r="KX184" s="4"/>
      <c r="KY184" s="8"/>
      <c r="KZ184" s="5" t="str">
        <f t="shared" si="565"/>
        <v>NO APLICA</v>
      </c>
      <c r="LA184" s="5"/>
      <c r="LB184" s="6"/>
      <c r="LC184" s="4"/>
      <c r="LD184" s="8"/>
      <c r="LE184" s="5" t="str">
        <f t="shared" si="561"/>
        <v>NO APLICA</v>
      </c>
      <c r="LF184" s="6"/>
      <c r="LG184" s="6"/>
      <c r="LH184" s="4"/>
      <c r="LI184" s="8"/>
      <c r="LJ184" s="5" t="str">
        <f t="shared" si="600"/>
        <v>NO APLICA</v>
      </c>
      <c r="LK184" s="5"/>
      <c r="LL184" s="5"/>
      <c r="LM184" s="5"/>
      <c r="LN184" s="5"/>
      <c r="LO184" s="5" t="str">
        <f t="shared" si="566"/>
        <v>NO APLICA</v>
      </c>
      <c r="LP184" s="2"/>
      <c r="LQ184" s="6"/>
      <c r="LR184" s="4"/>
      <c r="LS184" s="8"/>
      <c r="LT184" s="5" t="str">
        <f t="shared" si="562"/>
        <v>NO APLICA</v>
      </c>
      <c r="LU184" s="6"/>
      <c r="LV184" s="6"/>
      <c r="LW184" s="4"/>
      <c r="LX184" s="8"/>
      <c r="LY184" s="5" t="str">
        <f t="shared" si="563"/>
        <v>NO APLICA</v>
      </c>
      <c r="LZ184" s="6"/>
      <c r="MA184" s="6"/>
      <c r="MB184" s="4"/>
      <c r="MC184" s="8"/>
      <c r="MD184" s="5" t="str">
        <f t="shared" si="564"/>
        <v>NO APLICA</v>
      </c>
      <c r="ME184" s="2"/>
      <c r="MF184" s="2"/>
      <c r="MG184" s="4"/>
      <c r="MH184" s="2"/>
      <c r="MI184" s="5" t="str">
        <f t="shared" si="537"/>
        <v>NO APLICA</v>
      </c>
      <c r="MJ184" s="2"/>
      <c r="MK184" s="2"/>
      <c r="ML184" s="4"/>
      <c r="MM184" s="8"/>
      <c r="MN184" s="5" t="str">
        <f t="shared" si="538"/>
        <v>NO APLICA</v>
      </c>
      <c r="MO184" s="5"/>
      <c r="MP184" s="2"/>
      <c r="MQ184" s="4"/>
      <c r="MR184" s="8"/>
      <c r="MS184" s="5" t="str">
        <f t="shared" si="539"/>
        <v>NO APLICA</v>
      </c>
      <c r="MT184" s="5"/>
      <c r="MU184" s="2"/>
      <c r="MV184" s="4"/>
      <c r="MW184" s="2"/>
      <c r="MX184" s="5" t="str">
        <f t="shared" si="540"/>
        <v>NO APLICA</v>
      </c>
      <c r="MY184" s="2"/>
      <c r="MZ184" s="6"/>
      <c r="NA184" s="4"/>
      <c r="NB184" s="8"/>
      <c r="NC184" s="5" t="str">
        <f t="shared" si="541"/>
        <v>NO APLICA</v>
      </c>
      <c r="ND184" s="2"/>
      <c r="NE184" s="6"/>
      <c r="NF184" s="4"/>
      <c r="NG184" s="8"/>
      <c r="NH184" s="5" t="str">
        <f t="shared" si="542"/>
        <v>NO APLICA</v>
      </c>
      <c r="NI184" s="2"/>
      <c r="NJ184" s="6"/>
      <c r="NK184" s="4"/>
      <c r="NL184" s="8"/>
      <c r="NM184" s="5" t="str">
        <f t="shared" si="543"/>
        <v>NO APLICA</v>
      </c>
      <c r="NN184" s="2"/>
      <c r="NO184" s="2"/>
      <c r="NP184" s="4"/>
      <c r="NQ184" s="2"/>
      <c r="NR184" s="5" t="str">
        <f t="shared" si="544"/>
        <v>NO APLICA</v>
      </c>
      <c r="NS184" s="2"/>
      <c r="NT184" s="2"/>
      <c r="NU184" s="4"/>
      <c r="NV184" s="2"/>
      <c r="NW184" s="5" t="str">
        <f t="shared" si="545"/>
        <v>NO APLICA</v>
      </c>
      <c r="NX184" s="6"/>
      <c r="NY184" s="6"/>
      <c r="NZ184" s="4"/>
      <c r="OA184" s="8"/>
      <c r="OB184" s="5" t="str">
        <f t="shared" si="546"/>
        <v>NO APLICA</v>
      </c>
      <c r="OC184" s="6"/>
      <c r="OD184" s="6"/>
      <c r="OE184" s="6"/>
      <c r="OF184" s="6"/>
      <c r="OG184" s="5" t="str">
        <f t="shared" si="547"/>
        <v>NO APLICA</v>
      </c>
      <c r="OH184" s="6"/>
      <c r="OI184" s="6"/>
      <c r="OJ184" s="4"/>
      <c r="OK184" s="8"/>
      <c r="OL184" s="5" t="str">
        <f t="shared" si="548"/>
        <v>NO APLICA</v>
      </c>
      <c r="OM184" s="6"/>
      <c r="ON184" s="6"/>
      <c r="OO184" s="6"/>
      <c r="OP184" s="6"/>
      <c r="OQ184" s="5" t="str">
        <f t="shared" si="549"/>
        <v>NO APLICA</v>
      </c>
      <c r="OR184" s="6"/>
      <c r="OS184" s="6"/>
      <c r="OT184" s="6"/>
      <c r="OU184" s="6"/>
      <c r="OV184" s="5" t="str">
        <f t="shared" si="550"/>
        <v>NO APLICA</v>
      </c>
      <c r="OW184" s="6"/>
      <c r="OX184" s="6"/>
      <c r="OY184" s="6"/>
      <c r="OZ184" s="6"/>
      <c r="PA184" s="5" t="str">
        <f t="shared" si="551"/>
        <v>NO APLICA</v>
      </c>
      <c r="PB184" s="6"/>
      <c r="PC184" s="6"/>
      <c r="PD184" s="6"/>
      <c r="PE184" s="6"/>
      <c r="PF184" s="5" t="str">
        <f t="shared" si="552"/>
        <v>NO APLICA</v>
      </c>
      <c r="PG184" s="6"/>
      <c r="PH184" s="6"/>
      <c r="PI184" s="6"/>
      <c r="PJ184" s="6"/>
      <c r="PK184" s="5" t="str">
        <f t="shared" si="553"/>
        <v>NO APLICA</v>
      </c>
      <c r="PL184" s="5"/>
      <c r="PM184" s="6"/>
      <c r="PN184" s="4"/>
      <c r="PO184" s="8"/>
      <c r="PP184" s="5" t="str">
        <f t="shared" si="554"/>
        <v>NO APLICA</v>
      </c>
      <c r="PQ184" s="6"/>
      <c r="PR184" s="6"/>
      <c r="PS184" s="6"/>
      <c r="PT184" s="6"/>
      <c r="PU184" s="5" t="str">
        <f t="shared" si="555"/>
        <v>NO APLICA</v>
      </c>
      <c r="PV184" s="5"/>
      <c r="PW184" s="6"/>
      <c r="PX184" s="6"/>
      <c r="PY184" s="6"/>
      <c r="PZ184" s="5" t="str">
        <f t="shared" si="556"/>
        <v>NO APLICA</v>
      </c>
    </row>
    <row r="185" spans="1:442" ht="15.6" hidden="1" thickTop="1" thickBot="1" x14ac:dyDescent="0.35">
      <c r="A185" s="26">
        <v>182</v>
      </c>
      <c r="B185" s="27">
        <v>1378</v>
      </c>
      <c r="C185" s="28" t="s">
        <v>581</v>
      </c>
      <c r="D185" s="29" t="s">
        <v>68</v>
      </c>
      <c r="E185" s="30" t="s">
        <v>73</v>
      </c>
      <c r="F185" s="5"/>
      <c r="G185" s="6"/>
      <c r="H185" s="4"/>
      <c r="I185" s="8"/>
      <c r="J185" s="5" t="str">
        <f t="shared" si="455"/>
        <v>NO APLICA</v>
      </c>
      <c r="K185" s="5"/>
      <c r="L185" s="6"/>
      <c r="M185" s="6"/>
      <c r="N185" s="8"/>
      <c r="O185" s="5" t="str">
        <f t="shared" si="456"/>
        <v>NO APLICA</v>
      </c>
      <c r="P185" s="6"/>
      <c r="Q185" s="6"/>
      <c r="R185" s="4"/>
      <c r="S185" s="8"/>
      <c r="T185" s="5" t="str">
        <f t="shared" si="557"/>
        <v>NO APLICA</v>
      </c>
      <c r="U185" s="5"/>
      <c r="V185" s="2" t="s">
        <v>582</v>
      </c>
      <c r="W185" s="4">
        <v>44590</v>
      </c>
      <c r="X185" s="4">
        <f t="shared" si="587"/>
        <v>46416</v>
      </c>
      <c r="Y185" s="8">
        <f t="shared" ca="1" si="588"/>
        <v>271</v>
      </c>
      <c r="Z185" s="5" t="str">
        <f t="shared" ca="1" si="605"/>
        <v>VIGENTE</v>
      </c>
      <c r="AA185" s="5"/>
      <c r="AB185" s="2" t="s">
        <v>583</v>
      </c>
      <c r="AC185" s="4">
        <v>44824</v>
      </c>
      <c r="AD185" s="4">
        <f t="shared" si="619"/>
        <v>46650</v>
      </c>
      <c r="AE185" s="8">
        <f t="shared" ca="1" si="614"/>
        <v>505</v>
      </c>
      <c r="AF185" s="5" t="str">
        <f t="shared" ca="1" si="457"/>
        <v>VIGENTE</v>
      </c>
      <c r="AG185" s="3"/>
      <c r="AH185" s="4">
        <v>46002</v>
      </c>
      <c r="AI185" s="4">
        <f t="shared" ref="AI185:AI186" si="651">DATE(YEAR(AH185)+2,MONTH(AH185),DAY(AH185))</f>
        <v>46732</v>
      </c>
      <c r="AJ185" s="8">
        <f t="shared" ca="1" si="458"/>
        <v>587</v>
      </c>
      <c r="AK185" s="5" t="str">
        <f t="shared" ca="1" si="602"/>
        <v>VIGENTE</v>
      </c>
      <c r="AL185" s="3"/>
      <c r="AM185" s="4">
        <v>45959</v>
      </c>
      <c r="AN185" s="4">
        <f t="shared" si="621"/>
        <v>46689</v>
      </c>
      <c r="AO185" s="8">
        <f t="shared" ca="1" si="459"/>
        <v>544</v>
      </c>
      <c r="AP185" s="5" t="str">
        <f t="shared" ca="1" si="460"/>
        <v>VIGENTE</v>
      </c>
      <c r="AQ185" s="3"/>
      <c r="AR185" s="4">
        <v>45967</v>
      </c>
      <c r="AS185" s="4">
        <f t="shared" ref="AS185:AS186" si="652">DATE(YEAR(AR185)+2,MONTH(AR185),DAY(AR185))</f>
        <v>46697</v>
      </c>
      <c r="AT185" s="8">
        <f t="shared" ca="1" si="461"/>
        <v>552</v>
      </c>
      <c r="AU185" s="5" t="str">
        <f t="shared" ca="1" si="462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3"/>
        <v>557</v>
      </c>
      <c r="AZ185" s="5" t="str">
        <f t="shared" ca="1" si="464"/>
        <v>VIGENTE</v>
      </c>
      <c r="BA185" s="3"/>
      <c r="BB185" s="4">
        <v>45930</v>
      </c>
      <c r="BC185" s="4">
        <f t="shared" ref="BC185:BC186" si="653">DATE(YEAR(BB185)+2,MONTH(BB185),DAY(BB185))</f>
        <v>46660</v>
      </c>
      <c r="BD185" s="8">
        <f t="shared" ca="1" si="465"/>
        <v>515</v>
      </c>
      <c r="BE185" s="5" t="str">
        <f t="shared" ca="1" si="466"/>
        <v>VIGENTE</v>
      </c>
      <c r="BF185" s="3"/>
      <c r="BG185" s="4">
        <v>45987</v>
      </c>
      <c r="BH185" s="4">
        <f t="shared" si="615"/>
        <v>46717</v>
      </c>
      <c r="BI185" s="8">
        <f t="shared" ca="1" si="467"/>
        <v>572</v>
      </c>
      <c r="BJ185" s="5" t="str">
        <f t="shared" ca="1" si="468"/>
        <v>VIGENTE</v>
      </c>
      <c r="BK185" s="3"/>
      <c r="BL185" s="4">
        <v>46051</v>
      </c>
      <c r="BM185" s="4">
        <f t="shared" si="625"/>
        <v>46781</v>
      </c>
      <c r="BN185" s="8">
        <f t="shared" ca="1" si="469"/>
        <v>636</v>
      </c>
      <c r="BO185" s="5" t="str">
        <f t="shared" ca="1" si="470"/>
        <v>VIGENTE</v>
      </c>
      <c r="BP185" s="3"/>
      <c r="BQ185" s="39">
        <v>45841</v>
      </c>
      <c r="BR185" s="4">
        <f>DATE(YEAR(BQ185)+2,MONTH(BQ185),DAY(BQ185))</f>
        <v>46571</v>
      </c>
      <c r="BS185" s="8">
        <f t="shared" ca="1" si="471"/>
        <v>426</v>
      </c>
      <c r="BT185" s="5" t="str">
        <f t="shared" ca="1" si="472"/>
        <v>VIGENTE</v>
      </c>
      <c r="BU185" s="3"/>
      <c r="BV185" s="4">
        <v>45950</v>
      </c>
      <c r="BW185" s="4">
        <f t="shared" ref="BW185:BW186" si="654">DATE(YEAR(BV185)+2,MONTH(BV185),DAY(BV185))</f>
        <v>46680</v>
      </c>
      <c r="BX185" s="8">
        <f t="shared" ca="1" si="473"/>
        <v>535</v>
      </c>
      <c r="BY185" s="5" t="str">
        <f t="shared" ca="1" si="474"/>
        <v>VIGENTE</v>
      </c>
      <c r="BZ185" s="3"/>
      <c r="CA185" s="4">
        <v>45954</v>
      </c>
      <c r="CB185" s="4">
        <f t="shared" ref="CB185:CB186" si="655">DATE(YEAR(CA185)+2,MONTH(CA185),DAY(CA185))</f>
        <v>46684</v>
      </c>
      <c r="CC185" s="8">
        <f t="shared" ca="1" si="475"/>
        <v>539</v>
      </c>
      <c r="CD185" s="5" t="str">
        <f t="shared" ca="1" si="476"/>
        <v>VIGENTE</v>
      </c>
      <c r="CE185" s="6"/>
      <c r="CF185" s="4">
        <v>45247</v>
      </c>
      <c r="CG185" s="4">
        <f t="shared" si="590"/>
        <v>46708</v>
      </c>
      <c r="CH185" s="8">
        <f t="shared" ca="1" si="591"/>
        <v>563</v>
      </c>
      <c r="CI185" s="5" t="str">
        <f t="shared" ca="1" si="573"/>
        <v>VIGENTE</v>
      </c>
      <c r="CJ185" s="4"/>
      <c r="CK185" s="4">
        <v>45688</v>
      </c>
      <c r="CL185" s="4">
        <f t="shared" si="629"/>
        <v>46417</v>
      </c>
      <c r="CM185" s="8">
        <f t="shared" ca="1" si="477"/>
        <v>272</v>
      </c>
      <c r="CN185" s="5" t="str">
        <f t="shared" ca="1" si="478"/>
        <v>VIGENTE</v>
      </c>
      <c r="CO185" s="3"/>
      <c r="CP185" s="39">
        <v>45979</v>
      </c>
      <c r="CQ185" s="4">
        <f t="shared" ref="CQ185:CQ186" si="656">DATE(YEAR(CP185)+2,MONTH(CP185),DAY(CP185))</f>
        <v>46709</v>
      </c>
      <c r="CR185" s="8">
        <f t="shared" ca="1" si="479"/>
        <v>564</v>
      </c>
      <c r="CS185" s="5" t="str">
        <f t="shared" ca="1" si="480"/>
        <v>VIGENTE</v>
      </c>
      <c r="CT185" s="3"/>
      <c r="CU185" s="4">
        <v>45639</v>
      </c>
      <c r="CV185" s="4">
        <f t="shared" si="631"/>
        <v>46368</v>
      </c>
      <c r="CW185" s="8">
        <f t="shared" ca="1" si="481"/>
        <v>223</v>
      </c>
      <c r="CX185" s="5" t="str">
        <f t="shared" ca="1" si="482"/>
        <v>VIGENTE</v>
      </c>
      <c r="CY185" s="3"/>
      <c r="CZ185" s="4">
        <v>45665</v>
      </c>
      <c r="DA185" s="4">
        <f t="shared" si="632"/>
        <v>46394</v>
      </c>
      <c r="DB185" s="8">
        <f t="shared" ca="1" si="483"/>
        <v>249</v>
      </c>
      <c r="DC185" s="5" t="str">
        <f t="shared" ca="1" si="484"/>
        <v>VIGENTE</v>
      </c>
      <c r="DD185" s="3"/>
      <c r="DE185" s="39">
        <v>45689</v>
      </c>
      <c r="DF185" s="4">
        <f t="shared" si="633"/>
        <v>46418</v>
      </c>
      <c r="DG185" s="8">
        <f t="shared" ca="1" si="485"/>
        <v>273</v>
      </c>
      <c r="DH185" s="5" t="str">
        <f t="shared" ca="1" si="486"/>
        <v>VIGENTE</v>
      </c>
      <c r="DI185" s="3"/>
      <c r="DJ185" s="39">
        <v>45955</v>
      </c>
      <c r="DK185" s="4">
        <f t="shared" si="634"/>
        <v>46685</v>
      </c>
      <c r="DL185" s="8">
        <f t="shared" ca="1" si="487"/>
        <v>540</v>
      </c>
      <c r="DM185" s="5" t="str">
        <f t="shared" ca="1" si="488"/>
        <v>VIGENTE</v>
      </c>
      <c r="DN185" s="3"/>
      <c r="DO185" s="4">
        <v>45473</v>
      </c>
      <c r="DP185" s="4">
        <f t="shared" si="635"/>
        <v>46202</v>
      </c>
      <c r="DQ185" s="8">
        <f t="shared" ca="1" si="489"/>
        <v>57</v>
      </c>
      <c r="DR185" s="5" t="str">
        <f t="shared" ca="1" si="490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1"/>
        <v>603</v>
      </c>
      <c r="DW185" s="5" t="str">
        <f t="shared" ca="1" si="492"/>
        <v>VIGENTE</v>
      </c>
      <c r="DX185" s="3"/>
      <c r="DY185" s="4">
        <v>46020</v>
      </c>
      <c r="DZ185" s="4">
        <f t="shared" ref="DZ185:DZ186" si="657">DATE(YEAR(DY185)+2,MONTH(DY185),DAY(DY185))</f>
        <v>46750</v>
      </c>
      <c r="EA185" s="8">
        <f t="shared" ca="1" si="493"/>
        <v>605</v>
      </c>
      <c r="EB185" s="5" t="str">
        <f t="shared" ca="1" si="494"/>
        <v>VIGENTE</v>
      </c>
      <c r="EC185" s="3"/>
      <c r="ED185" s="39">
        <v>45938</v>
      </c>
      <c r="EE185" s="4">
        <f t="shared" si="637"/>
        <v>46668</v>
      </c>
      <c r="EF185" s="8">
        <f t="shared" ca="1" si="495"/>
        <v>523</v>
      </c>
      <c r="EG185" s="5" t="str">
        <f t="shared" ca="1" si="496"/>
        <v>VIGENTE</v>
      </c>
      <c r="EH185" s="3"/>
      <c r="EI185" s="4">
        <v>45948</v>
      </c>
      <c r="EJ185" s="4">
        <f t="shared" si="558"/>
        <v>46313</v>
      </c>
      <c r="EK185" s="8">
        <f t="shared" ca="1" si="497"/>
        <v>168</v>
      </c>
      <c r="EL185" s="5" t="str">
        <f t="shared" ca="1" si="498"/>
        <v>VIGENTE</v>
      </c>
      <c r="EM185" s="3"/>
      <c r="EN185" s="4">
        <v>45940</v>
      </c>
      <c r="EO185" s="4">
        <f t="shared" ref="EO185:EO186" si="658">DATE(YEAR(EN185)+2,MONTH(EN185),DAY(EN185))</f>
        <v>46670</v>
      </c>
      <c r="EP185" s="8">
        <f t="shared" ca="1" si="499"/>
        <v>525</v>
      </c>
      <c r="EQ185" s="5" t="str">
        <f t="shared" ca="1" si="500"/>
        <v>VIGENTE</v>
      </c>
      <c r="ER185" s="3"/>
      <c r="ES185" s="39">
        <v>45824</v>
      </c>
      <c r="ET185" s="4">
        <f t="shared" si="639"/>
        <v>46554</v>
      </c>
      <c r="EU185" s="8">
        <f t="shared" ca="1" si="501"/>
        <v>409</v>
      </c>
      <c r="EV185" s="5" t="str">
        <f t="shared" ca="1" si="502"/>
        <v>VIGENTE</v>
      </c>
      <c r="EW185" s="3"/>
      <c r="EX185" s="4">
        <v>45953</v>
      </c>
      <c r="EY185" s="4">
        <f t="shared" si="609"/>
        <v>46683</v>
      </c>
      <c r="EZ185" s="8">
        <f t="shared" ca="1" si="503"/>
        <v>538</v>
      </c>
      <c r="FA185" s="5" t="str">
        <f t="shared" ca="1" si="504"/>
        <v>VIGENTE</v>
      </c>
      <c r="FB185" s="3"/>
      <c r="FC185" s="4">
        <v>45951</v>
      </c>
      <c r="FD185" s="4">
        <f t="shared" si="640"/>
        <v>46681</v>
      </c>
      <c r="FE185" s="8">
        <f t="shared" ca="1" si="505"/>
        <v>536</v>
      </c>
      <c r="FF185" s="5" t="str">
        <f t="shared" ca="1" si="506"/>
        <v>VIGENTE</v>
      </c>
      <c r="FG185" s="3"/>
      <c r="FH185" s="4">
        <v>46009</v>
      </c>
      <c r="FI185" s="4">
        <f t="shared" ref="FI185:FI186" si="659">DATE(YEAR(FH185)+2,MONTH(FH185),DAY(FH185))</f>
        <v>46739</v>
      </c>
      <c r="FJ185" s="8">
        <f t="shared" ca="1" si="507"/>
        <v>594</v>
      </c>
      <c r="FK185" s="5" t="str">
        <f t="shared" ca="1" si="508"/>
        <v>VIGENTE</v>
      </c>
      <c r="FL185" s="3"/>
      <c r="FM185" s="39">
        <v>45920</v>
      </c>
      <c r="FN185" s="4">
        <f t="shared" si="642"/>
        <v>46650</v>
      </c>
      <c r="FO185" s="8">
        <f t="shared" ca="1" si="509"/>
        <v>505</v>
      </c>
      <c r="FP185" s="5" t="str">
        <f t="shared" ca="1" si="510"/>
        <v>VIGENTE</v>
      </c>
      <c r="FQ185" s="3"/>
      <c r="FR185" s="39">
        <v>45957</v>
      </c>
      <c r="FS185" s="4">
        <f t="shared" ref="FS185:FS186" si="660">DATE(YEAR(FR185)+2,MONTH(FR185),DAY(FR185))</f>
        <v>46687</v>
      </c>
      <c r="FT185" s="8">
        <f t="shared" ca="1" si="511"/>
        <v>542</v>
      </c>
      <c r="FU185" s="5" t="str">
        <f t="shared" ca="1" si="512"/>
        <v>VIGENTE</v>
      </c>
      <c r="FV185" s="3"/>
      <c r="FW185" s="4">
        <v>45547</v>
      </c>
      <c r="FX185" s="4">
        <f t="shared" si="644"/>
        <v>46276</v>
      </c>
      <c r="FY185" s="8">
        <f t="shared" ca="1" si="513"/>
        <v>131</v>
      </c>
      <c r="FZ185" s="5" t="str">
        <f t="shared" ca="1" si="514"/>
        <v>VIGENTE</v>
      </c>
      <c r="GA185" s="3"/>
      <c r="GB185" s="4">
        <v>45925</v>
      </c>
      <c r="GC185" s="4">
        <f t="shared" ref="GC185:GC186" si="661">DATE(YEAR(GB185)+2,MONTH(GB185),DAY(GB185))</f>
        <v>46655</v>
      </c>
      <c r="GD185" s="8">
        <f t="shared" ca="1" si="515"/>
        <v>510</v>
      </c>
      <c r="GE185" s="5" t="str">
        <f t="shared" ca="1" si="516"/>
        <v>VIGENTE</v>
      </c>
      <c r="GF185" s="3"/>
      <c r="GG185" s="4">
        <v>45912</v>
      </c>
      <c r="GH185" s="4">
        <f t="shared" ref="GH185:GH186" si="662">DATE(YEAR(GG185)+2,MONTH(GG185),DAY(GG185))</f>
        <v>46642</v>
      </c>
      <c r="GI185" s="8">
        <f t="shared" ca="1" si="517"/>
        <v>497</v>
      </c>
      <c r="GJ185" s="5" t="str">
        <f t="shared" ca="1" si="518"/>
        <v>VIGENTE</v>
      </c>
      <c r="GK185" s="3"/>
      <c r="GL185" s="4">
        <v>45923</v>
      </c>
      <c r="GM185" s="4">
        <f t="shared" ref="GM185:GM186" si="663">DATE(YEAR(GL185)+2,MONTH(GL185),DAY(GL185))</f>
        <v>46653</v>
      </c>
      <c r="GN185" s="8">
        <f t="shared" ca="1" si="519"/>
        <v>508</v>
      </c>
      <c r="GO185" s="5" t="str">
        <f t="shared" ca="1" si="520"/>
        <v>VIGENTE</v>
      </c>
      <c r="GP185" s="4"/>
      <c r="GQ185" s="4">
        <v>45299</v>
      </c>
      <c r="GR185" s="4">
        <f t="shared" si="521"/>
        <v>47126</v>
      </c>
      <c r="GS185" s="8">
        <f t="shared" ca="1" si="601"/>
        <v>981</v>
      </c>
      <c r="GT185" s="5" t="str">
        <f t="shared" ca="1" si="610"/>
        <v>VIGENTE</v>
      </c>
      <c r="GU185" s="3"/>
      <c r="GV185" s="4">
        <v>45200</v>
      </c>
      <c r="GW185" s="4">
        <f t="shared" si="522"/>
        <v>47027</v>
      </c>
      <c r="GX185" s="8">
        <f t="shared" ca="1" si="523"/>
        <v>882</v>
      </c>
      <c r="GY185" s="5" t="str">
        <f t="shared" ca="1" si="611"/>
        <v>VIGENTE</v>
      </c>
      <c r="GZ185" s="3"/>
      <c r="HA185" s="4">
        <v>45258</v>
      </c>
      <c r="HB185" s="4">
        <f t="shared" si="524"/>
        <v>47085</v>
      </c>
      <c r="HC185" s="8">
        <f t="shared" ca="1" si="525"/>
        <v>940</v>
      </c>
      <c r="HD185" s="5" t="str">
        <f t="shared" ca="1" si="612"/>
        <v>VIGENTE</v>
      </c>
      <c r="HE185" s="6"/>
      <c r="HF185" s="4">
        <v>44921</v>
      </c>
      <c r="HG185" s="4">
        <f t="shared" si="648"/>
        <v>46747</v>
      </c>
      <c r="HH185" s="8">
        <f t="shared" ca="1" si="616"/>
        <v>602</v>
      </c>
      <c r="HI185" s="5" t="str">
        <f t="shared" ca="1" si="613"/>
        <v>VIGENTE</v>
      </c>
      <c r="HJ185" s="2"/>
      <c r="HK185" s="6"/>
      <c r="HL185" s="4"/>
      <c r="HM185" s="8"/>
      <c r="HN185" s="5" t="str">
        <f t="shared" si="444"/>
        <v>NO APLICA</v>
      </c>
      <c r="HO185" s="2"/>
      <c r="HP185" s="2"/>
      <c r="HQ185" s="4"/>
      <c r="HR185" s="2"/>
      <c r="HS185" s="5" t="str">
        <f t="shared" si="526"/>
        <v>NO APLICA</v>
      </c>
      <c r="HT185" s="2"/>
      <c r="HU185" s="6"/>
      <c r="HV185" s="4"/>
      <c r="HW185" s="8"/>
      <c r="HX185" s="5" t="str">
        <f t="shared" si="527"/>
        <v>NO APLICA</v>
      </c>
      <c r="HY185" s="2"/>
      <c r="HZ185" s="6"/>
      <c r="IA185" s="4"/>
      <c r="IB185" s="8"/>
      <c r="IC185" s="5" t="str">
        <f t="shared" si="528"/>
        <v>NO APLICA</v>
      </c>
      <c r="ID185" s="2"/>
      <c r="IE185" s="6"/>
      <c r="IF185" s="4"/>
      <c r="IG185" s="8"/>
      <c r="IH185" s="5" t="str">
        <f t="shared" si="529"/>
        <v>NO APLICA</v>
      </c>
      <c r="II185" s="6"/>
      <c r="IJ185" s="6"/>
      <c r="IK185" s="4"/>
      <c r="IL185" s="8"/>
      <c r="IM185" s="5" t="str">
        <f t="shared" si="530"/>
        <v>NO APLICA</v>
      </c>
      <c r="IN185" s="2"/>
      <c r="IO185" s="6"/>
      <c r="IP185" s="4"/>
      <c r="IQ185" s="8"/>
      <c r="IR185" s="5" t="str">
        <f t="shared" si="531"/>
        <v>NO APLICA</v>
      </c>
      <c r="IS185" s="2"/>
      <c r="IT185" s="4">
        <v>45350</v>
      </c>
      <c r="IU185" s="4">
        <f t="shared" si="649"/>
        <v>47177</v>
      </c>
      <c r="IV185" s="8">
        <f t="shared" ca="1" si="617"/>
        <v>1032</v>
      </c>
      <c r="IW185" s="5" t="str">
        <f t="shared" ca="1" si="532"/>
        <v>VIGENTE</v>
      </c>
      <c r="IX185" s="2"/>
      <c r="IY185" s="4">
        <v>45339</v>
      </c>
      <c r="IZ185" s="4">
        <f t="shared" si="650"/>
        <v>47166</v>
      </c>
      <c r="JA185" s="8">
        <f t="shared" ca="1" si="618"/>
        <v>1021</v>
      </c>
      <c r="JB185" s="5" t="str">
        <f t="shared" ca="1" si="533"/>
        <v>VIGENTE</v>
      </c>
      <c r="JC185" s="3" t="s">
        <v>780</v>
      </c>
      <c r="JD185" s="3"/>
      <c r="JE185" s="4"/>
      <c r="JF185" s="8"/>
      <c r="JG185" s="5"/>
      <c r="JH185" s="3" t="s">
        <v>780</v>
      </c>
      <c r="JI185" s="6"/>
      <c r="JJ185" s="6"/>
      <c r="JK185" s="6"/>
      <c r="JL185" s="5"/>
      <c r="JM185" s="6" t="s">
        <v>780</v>
      </c>
      <c r="JN185" s="6"/>
      <c r="JO185" s="6"/>
      <c r="JP185" s="6"/>
      <c r="JQ185" s="5"/>
      <c r="JR185" s="6" t="s">
        <v>780</v>
      </c>
      <c r="JS185" s="6"/>
      <c r="JT185" s="6"/>
      <c r="JU185" s="6"/>
      <c r="JV185" s="5"/>
      <c r="JW185" s="6" t="s">
        <v>780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4"/>
        <v>NO APLICA</v>
      </c>
      <c r="KG185" s="5"/>
      <c r="KH185" s="2"/>
      <c r="KI185" s="4"/>
      <c r="KJ185" s="8"/>
      <c r="KK185" s="5" t="str">
        <f t="shared" si="559"/>
        <v>NO APLICA</v>
      </c>
      <c r="KL185" s="5"/>
      <c r="KM185" s="2"/>
      <c r="KN185" s="4"/>
      <c r="KO185" s="8"/>
      <c r="KP185" s="5" t="str">
        <f t="shared" si="535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5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6"/>
        <v>NO APLICA</v>
      </c>
      <c r="LP185" s="2"/>
      <c r="LQ185" s="6"/>
      <c r="LR185" s="4"/>
      <c r="LS185" s="8"/>
      <c r="LT185" s="5" t="str">
        <f t="shared" si="562"/>
        <v>NO APLICA</v>
      </c>
      <c r="LU185" s="6"/>
      <c r="LV185" s="6"/>
      <c r="LW185" s="4"/>
      <c r="LX185" s="8"/>
      <c r="LY185" s="5" t="str">
        <f t="shared" si="563"/>
        <v>NO APLICA</v>
      </c>
      <c r="LZ185" s="6"/>
      <c r="MA185" s="6"/>
      <c r="MB185" s="4"/>
      <c r="MC185" s="8"/>
      <c r="MD185" s="5" t="str">
        <f t="shared" si="564"/>
        <v>NO APLICA</v>
      </c>
      <c r="ME185" s="2"/>
      <c r="MF185" s="2"/>
      <c r="MG185" s="4"/>
      <c r="MH185" s="8"/>
      <c r="MI185" s="5" t="str">
        <f t="shared" si="537"/>
        <v>NO APLICA</v>
      </c>
      <c r="MJ185" s="2"/>
      <c r="MK185" s="2"/>
      <c r="ML185" s="4"/>
      <c r="MM185" s="8"/>
      <c r="MN185" s="5" t="str">
        <f t="shared" si="538"/>
        <v>NO APLICA</v>
      </c>
      <c r="MO185" s="5"/>
      <c r="MP185" s="2"/>
      <c r="MQ185" s="4"/>
      <c r="MR185" s="8"/>
      <c r="MS185" s="5" t="str">
        <f t="shared" si="539"/>
        <v>NO APLICA</v>
      </c>
      <c r="MT185" s="5"/>
      <c r="MU185" s="2"/>
      <c r="MV185" s="4"/>
      <c r="MW185" s="2"/>
      <c r="MX185" s="5" t="str">
        <f t="shared" si="540"/>
        <v>NO APLICA</v>
      </c>
      <c r="MY185" s="2"/>
      <c r="MZ185" s="6"/>
      <c r="NA185" s="4"/>
      <c r="NB185" s="8"/>
      <c r="NC185" s="5" t="str">
        <f t="shared" si="541"/>
        <v>NO APLICA</v>
      </c>
      <c r="ND185" s="2"/>
      <c r="NE185" s="6"/>
      <c r="NF185" s="4"/>
      <c r="NG185" s="8"/>
      <c r="NH185" s="5" t="str">
        <f t="shared" si="542"/>
        <v>NO APLICA</v>
      </c>
      <c r="NI185" s="2"/>
      <c r="NJ185" s="6"/>
      <c r="NK185" s="4"/>
      <c r="NL185" s="8"/>
      <c r="NM185" s="5" t="str">
        <f t="shared" si="543"/>
        <v>NO APLICA</v>
      </c>
      <c r="NN185" s="2"/>
      <c r="NO185" s="2"/>
      <c r="NP185" s="4"/>
      <c r="NQ185" s="2"/>
      <c r="NR185" s="5" t="str">
        <f t="shared" si="544"/>
        <v>NO APLICA</v>
      </c>
      <c r="NS185" s="2"/>
      <c r="NT185" s="2"/>
      <c r="NU185" s="4"/>
      <c r="NV185" s="2"/>
      <c r="NW185" s="5" t="str">
        <f t="shared" si="545"/>
        <v>NO APLICA</v>
      </c>
      <c r="NX185" s="6"/>
      <c r="NY185" s="6"/>
      <c r="NZ185" s="4"/>
      <c r="OA185" s="8"/>
      <c r="OB185" s="5" t="str">
        <f t="shared" si="546"/>
        <v>NO APLICA</v>
      </c>
      <c r="OC185" s="6"/>
      <c r="OD185" s="6"/>
      <c r="OE185" s="6"/>
      <c r="OF185" s="6"/>
      <c r="OG185" s="5" t="str">
        <f t="shared" si="547"/>
        <v>NO APLICA</v>
      </c>
      <c r="OH185" s="6"/>
      <c r="OI185" s="6"/>
      <c r="OJ185" s="4"/>
      <c r="OK185" s="8"/>
      <c r="OL185" s="5" t="str">
        <f t="shared" si="548"/>
        <v>NO APLICA</v>
      </c>
      <c r="OM185" s="6"/>
      <c r="ON185" s="6"/>
      <c r="OO185" s="6"/>
      <c r="OP185" s="6"/>
      <c r="OQ185" s="5" t="str">
        <f t="shared" si="549"/>
        <v>NO APLICA</v>
      </c>
      <c r="OR185" s="6"/>
      <c r="OS185" s="6"/>
      <c r="OT185" s="6"/>
      <c r="OU185" s="6"/>
      <c r="OV185" s="5" t="str">
        <f t="shared" si="550"/>
        <v>NO APLICA</v>
      </c>
      <c r="OW185" s="6"/>
      <c r="OX185" s="6"/>
      <c r="OY185" s="6"/>
      <c r="OZ185" s="6"/>
      <c r="PA185" s="5" t="str">
        <f t="shared" si="551"/>
        <v>NO APLICA</v>
      </c>
      <c r="PB185" s="6"/>
      <c r="PC185" s="6"/>
      <c r="PD185" s="6"/>
      <c r="PE185" s="6"/>
      <c r="PF185" s="5" t="str">
        <f t="shared" si="552"/>
        <v>NO APLICA</v>
      </c>
      <c r="PG185" s="6"/>
      <c r="PH185" s="6"/>
      <c r="PI185" s="6"/>
      <c r="PJ185" s="6"/>
      <c r="PK185" s="5" t="str">
        <f t="shared" si="553"/>
        <v>NO APLICA</v>
      </c>
      <c r="PL185" s="5"/>
      <c r="PM185" s="6"/>
      <c r="PN185" s="4"/>
      <c r="PO185" s="8"/>
      <c r="PP185" s="5" t="str">
        <f t="shared" si="554"/>
        <v>NO APLICA</v>
      </c>
      <c r="PQ185" s="6"/>
      <c r="PR185" s="6"/>
      <c r="PS185" s="6"/>
      <c r="PT185" s="6"/>
      <c r="PU185" s="5" t="str">
        <f t="shared" si="555"/>
        <v>NO APLICA</v>
      </c>
      <c r="PV185" s="5"/>
      <c r="PW185" s="6"/>
      <c r="PX185" s="6"/>
      <c r="PY185" s="6"/>
      <c r="PZ185" s="5" t="str">
        <f t="shared" si="556"/>
        <v>NO APLICA</v>
      </c>
    </row>
    <row r="186" spans="1:442" ht="15.6" hidden="1" thickTop="1" thickBot="1" x14ac:dyDescent="0.35">
      <c r="A186" s="26">
        <v>183</v>
      </c>
      <c r="B186" s="27">
        <v>983</v>
      </c>
      <c r="C186" s="28" t="s">
        <v>584</v>
      </c>
      <c r="D186" s="29" t="s">
        <v>64</v>
      </c>
      <c r="E186" s="30" t="s">
        <v>377</v>
      </c>
      <c r="F186" s="5"/>
      <c r="G186" s="6"/>
      <c r="H186" s="4"/>
      <c r="I186" s="8"/>
      <c r="J186" s="5" t="str">
        <f t="shared" si="455"/>
        <v>NO APLICA</v>
      </c>
      <c r="K186" s="5"/>
      <c r="L186" s="6"/>
      <c r="M186" s="6"/>
      <c r="N186" s="8"/>
      <c r="O186" s="5" t="str">
        <f t="shared" si="456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585</v>
      </c>
      <c r="W186" s="4">
        <v>44716</v>
      </c>
      <c r="X186" s="4">
        <f t="shared" si="587"/>
        <v>46542</v>
      </c>
      <c r="Y186" s="8">
        <f t="shared" ca="1" si="588"/>
        <v>397</v>
      </c>
      <c r="Z186" s="5" t="str">
        <f t="shared" ca="1" si="605"/>
        <v>VIGENTE</v>
      </c>
      <c r="AA186" s="5"/>
      <c r="AB186" s="2" t="s">
        <v>586</v>
      </c>
      <c r="AC186" s="4">
        <v>45162</v>
      </c>
      <c r="AD186" s="4">
        <f t="shared" si="619"/>
        <v>46989</v>
      </c>
      <c r="AE186" s="8">
        <f t="shared" ca="1" si="614"/>
        <v>844</v>
      </c>
      <c r="AF186" s="5" t="str">
        <f t="shared" ca="1" si="457"/>
        <v>VIGENTE</v>
      </c>
      <c r="AG186" s="3"/>
      <c r="AH186" s="4">
        <v>45936</v>
      </c>
      <c r="AI186" s="4">
        <f t="shared" si="651"/>
        <v>46666</v>
      </c>
      <c r="AJ186" s="8">
        <f t="shared" ca="1" si="458"/>
        <v>521</v>
      </c>
      <c r="AK186" s="5" t="str">
        <f t="shared" ca="1" si="602"/>
        <v>VIGENTE</v>
      </c>
      <c r="AL186" s="3"/>
      <c r="AM186" s="4">
        <v>45937</v>
      </c>
      <c r="AN186" s="4">
        <f t="shared" si="621"/>
        <v>46667</v>
      </c>
      <c r="AO186" s="8">
        <f t="shared" ca="1" si="459"/>
        <v>522</v>
      </c>
      <c r="AP186" s="5" t="str">
        <f t="shared" ca="1" si="460"/>
        <v>VIGENTE</v>
      </c>
      <c r="AQ186" s="3"/>
      <c r="AR186" s="4">
        <v>45904</v>
      </c>
      <c r="AS186" s="4">
        <f t="shared" si="652"/>
        <v>46634</v>
      </c>
      <c r="AT186" s="8">
        <f t="shared" ca="1" si="461"/>
        <v>489</v>
      </c>
      <c r="AU186" s="5" t="str">
        <f t="shared" ca="1" si="462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3"/>
        <v>512</v>
      </c>
      <c r="AZ186" s="5" t="str">
        <f t="shared" ca="1" si="464"/>
        <v>VIGENTE</v>
      </c>
      <c r="BA186" s="3"/>
      <c r="BB186" s="4">
        <v>45930</v>
      </c>
      <c r="BC186" s="4">
        <f t="shared" si="653"/>
        <v>46660</v>
      </c>
      <c r="BD186" s="8">
        <f t="shared" ca="1" si="465"/>
        <v>515</v>
      </c>
      <c r="BE186" s="5" t="str">
        <f t="shared" ca="1" si="466"/>
        <v>VIGENTE</v>
      </c>
      <c r="BF186" s="3"/>
      <c r="BG186" s="4">
        <v>45997</v>
      </c>
      <c r="BH186" s="4">
        <f t="shared" si="615"/>
        <v>46727</v>
      </c>
      <c r="BI186" s="8">
        <f t="shared" ca="1" si="467"/>
        <v>582</v>
      </c>
      <c r="BJ186" s="5" t="str">
        <f t="shared" ca="1" si="468"/>
        <v>VIGENTE</v>
      </c>
      <c r="BK186" s="3"/>
      <c r="BL186" s="4">
        <v>46051</v>
      </c>
      <c r="BM186" s="4">
        <f t="shared" si="625"/>
        <v>46781</v>
      </c>
      <c r="BN186" s="8">
        <f t="shared" ca="1" si="469"/>
        <v>636</v>
      </c>
      <c r="BO186" s="5" t="str">
        <f t="shared" ca="1" si="470"/>
        <v>VIGENTE</v>
      </c>
      <c r="BP186" s="3"/>
      <c r="BQ186" s="39">
        <v>45841</v>
      </c>
      <c r="BR186" s="4">
        <f>DATE(YEAR(BQ186)+2,MONTH(BQ186),DAY(BQ186))</f>
        <v>46571</v>
      </c>
      <c r="BS186" s="8">
        <f t="shared" ca="1" si="471"/>
        <v>426</v>
      </c>
      <c r="BT186" s="5" t="str">
        <f t="shared" ca="1" si="472"/>
        <v>VIGENTE</v>
      </c>
      <c r="BU186" s="3"/>
      <c r="BV186" s="4">
        <v>45950</v>
      </c>
      <c r="BW186" s="4">
        <f t="shared" si="654"/>
        <v>46680</v>
      </c>
      <c r="BX186" s="8">
        <f t="shared" ca="1" si="473"/>
        <v>535</v>
      </c>
      <c r="BY186" s="5" t="str">
        <f t="shared" ca="1" si="474"/>
        <v>VIGENTE</v>
      </c>
      <c r="BZ186" s="3"/>
      <c r="CA186" s="4">
        <v>45944</v>
      </c>
      <c r="CB186" s="4">
        <f t="shared" si="655"/>
        <v>46674</v>
      </c>
      <c r="CC186" s="8">
        <f t="shared" ca="1" si="475"/>
        <v>529</v>
      </c>
      <c r="CD186" s="5" t="str">
        <f t="shared" ca="1" si="476"/>
        <v>VIGENTE</v>
      </c>
      <c r="CE186" s="6"/>
      <c r="CF186" s="4">
        <v>45828</v>
      </c>
      <c r="CG186" s="4">
        <f t="shared" si="590"/>
        <v>47289</v>
      </c>
      <c r="CH186" s="8">
        <f t="shared" ca="1" si="591"/>
        <v>1144</v>
      </c>
      <c r="CI186" s="5" t="str">
        <f t="shared" ca="1" si="573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7"/>
        <v>514</v>
      </c>
      <c r="CN186" s="5" t="str">
        <f t="shared" ca="1" si="478"/>
        <v>VIGENTE</v>
      </c>
      <c r="CO186" s="3"/>
      <c r="CP186" s="39">
        <v>45888</v>
      </c>
      <c r="CQ186" s="4">
        <f t="shared" si="656"/>
        <v>46618</v>
      </c>
      <c r="CR186" s="8">
        <f t="shared" ca="1" si="479"/>
        <v>473</v>
      </c>
      <c r="CS186" s="5" t="str">
        <f t="shared" ca="1" si="480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1"/>
        <v>490</v>
      </c>
      <c r="CX186" s="5" t="str">
        <f t="shared" ca="1" si="482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3"/>
        <v>509</v>
      </c>
      <c r="DC186" s="5" t="str">
        <f t="shared" ca="1" si="484"/>
        <v>VIGENTE</v>
      </c>
      <c r="DD186" s="3"/>
      <c r="DE186" s="39">
        <v>45896</v>
      </c>
      <c r="DF186" s="4">
        <f>DATE(YEAR(DE186)+2,MONTH(DE186),DAY(DE186))</f>
        <v>46626</v>
      </c>
      <c r="DG186" s="8">
        <f t="shared" ca="1" si="485"/>
        <v>481</v>
      </c>
      <c r="DH186" s="5" t="str">
        <f t="shared" ca="1" si="486"/>
        <v>VIGENTE</v>
      </c>
      <c r="DI186" s="3"/>
      <c r="DJ186" s="39">
        <v>45899</v>
      </c>
      <c r="DK186" s="4">
        <f t="shared" si="634"/>
        <v>46629</v>
      </c>
      <c r="DL186" s="8">
        <f t="shared" ca="1" si="487"/>
        <v>484</v>
      </c>
      <c r="DM186" s="5" t="str">
        <f t="shared" ca="1" si="488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9"/>
        <v>567</v>
      </c>
      <c r="DR186" s="5" t="str">
        <f t="shared" ca="1" si="490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1"/>
        <v>470</v>
      </c>
      <c r="DW186" s="5" t="str">
        <f t="shared" ca="1" si="492"/>
        <v>VIGENTE</v>
      </c>
      <c r="DX186" s="3"/>
      <c r="DY186" s="4">
        <v>46020</v>
      </c>
      <c r="DZ186" s="4">
        <f t="shared" si="657"/>
        <v>46750</v>
      </c>
      <c r="EA186" s="8">
        <f t="shared" ca="1" si="493"/>
        <v>605</v>
      </c>
      <c r="EB186" s="5" t="str">
        <f t="shared" ca="1" si="494"/>
        <v>VIGENTE</v>
      </c>
      <c r="EC186" s="3"/>
      <c r="ED186" s="39">
        <v>45938</v>
      </c>
      <c r="EE186" s="4">
        <f t="shared" si="637"/>
        <v>46668</v>
      </c>
      <c r="EF186" s="8">
        <f t="shared" ca="1" si="495"/>
        <v>523</v>
      </c>
      <c r="EG186" s="5" t="str">
        <f t="shared" ca="1" si="496"/>
        <v>VIGENTE</v>
      </c>
      <c r="EH186" s="3"/>
      <c r="EI186" s="3">
        <v>45911</v>
      </c>
      <c r="EJ186" s="4">
        <f t="shared" si="558"/>
        <v>46276</v>
      </c>
      <c r="EK186" s="8">
        <f t="shared" ca="1" si="497"/>
        <v>131</v>
      </c>
      <c r="EL186" s="5" t="str">
        <f t="shared" ca="1" si="498"/>
        <v>VIGENTE</v>
      </c>
      <c r="EM186" s="3"/>
      <c r="EN186" s="4">
        <v>45940</v>
      </c>
      <c r="EO186" s="4">
        <f t="shared" si="658"/>
        <v>46670</v>
      </c>
      <c r="EP186" s="8">
        <f t="shared" ca="1" si="499"/>
        <v>525</v>
      </c>
      <c r="EQ186" s="5" t="str">
        <f t="shared" ca="1" si="500"/>
        <v>VIGENTE</v>
      </c>
      <c r="ER186" s="3"/>
      <c r="ES186" s="39">
        <v>45922</v>
      </c>
      <c r="ET186" s="4">
        <f t="shared" si="639"/>
        <v>46652</v>
      </c>
      <c r="EU186" s="8">
        <f t="shared" ca="1" si="501"/>
        <v>507</v>
      </c>
      <c r="EV186" s="5" t="str">
        <f t="shared" ca="1" si="502"/>
        <v>VIGENTE</v>
      </c>
      <c r="EW186" s="3"/>
      <c r="EX186" s="4">
        <v>45917</v>
      </c>
      <c r="EY186" s="4">
        <f t="shared" si="609"/>
        <v>46647</v>
      </c>
      <c r="EZ186" s="8">
        <f t="shared" ca="1" si="503"/>
        <v>502</v>
      </c>
      <c r="FA186" s="5" t="str">
        <f t="shared" ca="1" si="504"/>
        <v>VIGENTE</v>
      </c>
      <c r="FB186" s="3"/>
      <c r="FC186" s="4">
        <v>45931</v>
      </c>
      <c r="FD186" s="4">
        <f t="shared" si="640"/>
        <v>46661</v>
      </c>
      <c r="FE186" s="8">
        <f t="shared" ca="1" si="505"/>
        <v>516</v>
      </c>
      <c r="FF186" s="5" t="str">
        <f t="shared" ca="1" si="506"/>
        <v>VIGENTE</v>
      </c>
      <c r="FG186" s="3"/>
      <c r="FH186" s="4">
        <v>45919</v>
      </c>
      <c r="FI186" s="4">
        <f t="shared" si="659"/>
        <v>46649</v>
      </c>
      <c r="FJ186" s="8">
        <f t="shared" ca="1" si="507"/>
        <v>504</v>
      </c>
      <c r="FK186" s="5" t="str">
        <f t="shared" ca="1" si="508"/>
        <v>VIGENTE</v>
      </c>
      <c r="FL186" s="3"/>
      <c r="FM186" s="39">
        <v>45933</v>
      </c>
      <c r="FN186" s="4">
        <f t="shared" si="642"/>
        <v>46663</v>
      </c>
      <c r="FO186" s="8">
        <f t="shared" ca="1" si="509"/>
        <v>518</v>
      </c>
      <c r="FP186" s="5" t="str">
        <f t="shared" ca="1" si="510"/>
        <v>VIGENTE</v>
      </c>
      <c r="FQ186" s="3"/>
      <c r="FR186" s="39">
        <v>45957</v>
      </c>
      <c r="FS186" s="4">
        <f t="shared" si="660"/>
        <v>46687</v>
      </c>
      <c r="FT186" s="8">
        <f t="shared" ca="1" si="511"/>
        <v>542</v>
      </c>
      <c r="FU186" s="5" t="str">
        <f t="shared" ca="1" si="512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3"/>
        <v>546</v>
      </c>
      <c r="FZ186" s="5" t="str">
        <f t="shared" ca="1" si="514"/>
        <v>VIGENTE</v>
      </c>
      <c r="GA186" s="3"/>
      <c r="GB186" s="4">
        <v>45925</v>
      </c>
      <c r="GC186" s="4">
        <f t="shared" si="661"/>
        <v>46655</v>
      </c>
      <c r="GD186" s="8">
        <f t="shared" ca="1" si="515"/>
        <v>510</v>
      </c>
      <c r="GE186" s="5" t="str">
        <f t="shared" ca="1" si="516"/>
        <v>VIGENTE</v>
      </c>
      <c r="GF186" s="3"/>
      <c r="GG186" s="4">
        <v>45912</v>
      </c>
      <c r="GH186" s="4">
        <f t="shared" si="662"/>
        <v>46642</v>
      </c>
      <c r="GI186" s="8">
        <f t="shared" ca="1" si="517"/>
        <v>497</v>
      </c>
      <c r="GJ186" s="5" t="str">
        <f t="shared" ca="1" si="518"/>
        <v>VIGENTE</v>
      </c>
      <c r="GK186" s="3"/>
      <c r="GL186" s="4">
        <v>45945</v>
      </c>
      <c r="GM186" s="4">
        <f t="shared" si="663"/>
        <v>46675</v>
      </c>
      <c r="GN186" s="8">
        <f t="shared" ca="1" si="519"/>
        <v>530</v>
      </c>
      <c r="GO186" s="5" t="str">
        <f t="shared" ca="1" si="520"/>
        <v>VIGENTE</v>
      </c>
      <c r="GP186" s="4"/>
      <c r="GQ186" s="4">
        <v>45048</v>
      </c>
      <c r="GR186" s="4">
        <f t="shared" si="521"/>
        <v>46875</v>
      </c>
      <c r="GS186" s="8">
        <f t="shared" ca="1" si="601"/>
        <v>730</v>
      </c>
      <c r="GT186" s="5" t="str">
        <f t="shared" ca="1" si="610"/>
        <v>VIGENTE</v>
      </c>
      <c r="GU186" s="3"/>
      <c r="GV186" s="4">
        <v>45006</v>
      </c>
      <c r="GW186" s="4">
        <f t="shared" si="522"/>
        <v>46833</v>
      </c>
      <c r="GX186" s="8">
        <f t="shared" ca="1" si="523"/>
        <v>688</v>
      </c>
      <c r="GY186" s="5" t="str">
        <f t="shared" ca="1" si="611"/>
        <v>VIGENTE</v>
      </c>
      <c r="GZ186" s="2"/>
      <c r="HA186" s="4">
        <v>45073</v>
      </c>
      <c r="HB186" s="4">
        <f t="shared" si="524"/>
        <v>46900</v>
      </c>
      <c r="HC186" s="8">
        <f t="shared" ca="1" si="525"/>
        <v>755</v>
      </c>
      <c r="HD186" s="5" t="str">
        <f t="shared" ca="1" si="612"/>
        <v>VIGENTE</v>
      </c>
      <c r="HE186" s="6"/>
      <c r="HF186" s="4">
        <v>45020</v>
      </c>
      <c r="HG186" s="4">
        <f t="shared" si="648"/>
        <v>46847</v>
      </c>
      <c r="HH186" s="8">
        <f t="shared" ca="1" si="616"/>
        <v>702</v>
      </c>
      <c r="HI186" s="5" t="str">
        <f t="shared" ca="1" si="613"/>
        <v>VIGENTE</v>
      </c>
      <c r="HJ186" s="2"/>
      <c r="HK186" s="6"/>
      <c r="HL186" s="4"/>
      <c r="HM186" s="8"/>
      <c r="HN186" s="5" t="str">
        <f t="shared" si="444"/>
        <v>NO APLICA</v>
      </c>
      <c r="HO186" s="2"/>
      <c r="HP186" s="2"/>
      <c r="HQ186" s="4"/>
      <c r="HR186" s="2"/>
      <c r="HS186" s="5" t="str">
        <f t="shared" si="526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9"/>
        <v>46889</v>
      </c>
      <c r="IV186" s="8">
        <f t="shared" ca="1" si="617"/>
        <v>744</v>
      </c>
      <c r="IW186" s="5" t="str">
        <f t="shared" ca="1" si="532"/>
        <v>VIGENTE</v>
      </c>
      <c r="IX186" s="2"/>
      <c r="IY186" s="4">
        <v>44996</v>
      </c>
      <c r="IZ186" s="4">
        <f t="shared" si="650"/>
        <v>46823</v>
      </c>
      <c r="JA186" s="8">
        <f t="shared" ca="1" si="618"/>
        <v>678</v>
      </c>
      <c r="JB186" s="5" t="str">
        <f t="shared" ca="1" si="533"/>
        <v>VIGENTE</v>
      </c>
      <c r="JC186" s="3" t="s">
        <v>780</v>
      </c>
      <c r="JD186" s="3"/>
      <c r="JE186" s="4"/>
      <c r="JF186" s="8"/>
      <c r="JG186" s="5"/>
      <c r="JH186" s="3" t="s">
        <v>780</v>
      </c>
      <c r="JI186" s="6"/>
      <c r="JJ186" s="6"/>
      <c r="JK186" s="6"/>
      <c r="JL186" s="5"/>
      <c r="JM186" s="6" t="s">
        <v>780</v>
      </c>
      <c r="JN186" s="6"/>
      <c r="JO186" s="6"/>
      <c r="JP186" s="6"/>
      <c r="JQ186" s="5"/>
      <c r="JR186" s="6" t="s">
        <v>780</v>
      </c>
      <c r="JS186" s="6"/>
      <c r="JT186" s="6"/>
      <c r="JU186" s="6"/>
      <c r="JV186" s="5"/>
      <c r="JW186" s="6" t="s">
        <v>780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4"/>
        <v>NO APLICA</v>
      </c>
      <c r="KG186" s="5"/>
      <c r="KH186" s="2"/>
      <c r="KI186" s="4"/>
      <c r="KJ186" s="8"/>
      <c r="KK186" s="5" t="str">
        <f t="shared" si="559"/>
        <v>NO APLICA</v>
      </c>
      <c r="KL186" s="5"/>
      <c r="KM186" s="2"/>
      <c r="KN186" s="4"/>
      <c r="KO186" s="8"/>
      <c r="KP186" s="5" t="str">
        <f t="shared" si="535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00"/>
        <v>NO APLICA</v>
      </c>
      <c r="LK186" s="5"/>
      <c r="LL186" s="5"/>
      <c r="LM186" s="4"/>
      <c r="LN186" s="8"/>
      <c r="LO186" s="5" t="str">
        <f t="shared" si="566"/>
        <v>NO APLICA</v>
      </c>
      <c r="LP186" s="2"/>
      <c r="LQ186" s="6"/>
      <c r="LR186" s="4"/>
      <c r="LS186" s="8"/>
      <c r="LT186" s="5" t="str">
        <f t="shared" si="562"/>
        <v>NO APLICA</v>
      </c>
      <c r="LU186" s="6"/>
      <c r="LV186" s="6"/>
      <c r="LW186" s="4"/>
      <c r="LX186" s="8"/>
      <c r="LY186" s="5" t="str">
        <f t="shared" si="563"/>
        <v>NO APLICA</v>
      </c>
      <c r="LZ186" s="6"/>
      <c r="MA186" s="6"/>
      <c r="MB186" s="4"/>
      <c r="MC186" s="8"/>
      <c r="MD186" s="5" t="str">
        <f t="shared" si="564"/>
        <v>NO APLICA</v>
      </c>
      <c r="ME186" s="2"/>
      <c r="MF186" s="2"/>
      <c r="MG186" s="4"/>
      <c r="MH186" s="8"/>
      <c r="MI186" s="5" t="str">
        <f t="shared" si="537"/>
        <v>NO APLICA</v>
      </c>
      <c r="MJ186" s="2"/>
      <c r="MK186" s="2"/>
      <c r="ML186" s="4"/>
      <c r="MM186" s="8"/>
      <c r="MN186" s="5" t="str">
        <f t="shared" si="538"/>
        <v>NO APLICA</v>
      </c>
      <c r="MO186" s="5"/>
      <c r="MP186" s="2"/>
      <c r="MQ186" s="4"/>
      <c r="MR186" s="8"/>
      <c r="MS186" s="5" t="str">
        <f t="shared" si="539"/>
        <v>NO APLICA</v>
      </c>
      <c r="MT186" s="5"/>
      <c r="MU186" s="2"/>
      <c r="MV186" s="4"/>
      <c r="MW186" s="2"/>
      <c r="MX186" s="5" t="str">
        <f t="shared" si="540"/>
        <v>NO APLICA</v>
      </c>
      <c r="MY186" s="2"/>
      <c r="MZ186" s="6"/>
      <c r="NA186" s="4"/>
      <c r="NB186" s="8"/>
      <c r="NC186" s="5" t="str">
        <f t="shared" si="541"/>
        <v>NO APLICA</v>
      </c>
      <c r="ND186" s="2"/>
      <c r="NE186" s="6"/>
      <c r="NF186" s="4"/>
      <c r="NG186" s="8"/>
      <c r="NH186" s="5" t="str">
        <f t="shared" si="542"/>
        <v>NO APLICA</v>
      </c>
      <c r="NI186" s="2"/>
      <c r="NJ186" s="6"/>
      <c r="NK186" s="4"/>
      <c r="NL186" s="8"/>
      <c r="NM186" s="5" t="str">
        <f t="shared" si="543"/>
        <v>NO APLICA</v>
      </c>
      <c r="NN186" s="2"/>
      <c r="NO186" s="2"/>
      <c r="NP186" s="4"/>
      <c r="NQ186" s="8"/>
      <c r="NR186" s="5" t="str">
        <f t="shared" si="544"/>
        <v>NO APLICA</v>
      </c>
      <c r="NS186" s="2"/>
      <c r="NT186" s="2"/>
      <c r="NU186" s="2"/>
      <c r="NV186" s="2"/>
      <c r="NW186" s="5" t="str">
        <f t="shared" si="545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7"/>
        <v>NO APLICA</v>
      </c>
      <c r="OH186" s="2"/>
      <c r="OI186" s="2"/>
      <c r="OJ186" s="4"/>
      <c r="OK186" s="8"/>
      <c r="OL186" s="5" t="str">
        <f t="shared" si="548"/>
        <v>NO APLICA</v>
      </c>
      <c r="OM186" s="6"/>
      <c r="ON186" s="6"/>
      <c r="OO186" s="6"/>
      <c r="OP186" s="6"/>
      <c r="OQ186" s="5" t="str">
        <f t="shared" si="549"/>
        <v>NO APLICA</v>
      </c>
      <c r="OR186" s="6"/>
      <c r="OS186" s="6"/>
      <c r="OT186" s="6"/>
      <c r="OU186" s="6"/>
      <c r="OV186" s="5" t="str">
        <f t="shared" si="550"/>
        <v>NO APLICA</v>
      </c>
      <c r="OW186" s="6"/>
      <c r="OX186" s="6"/>
      <c r="OY186" s="6"/>
      <c r="OZ186" s="6"/>
      <c r="PA186" s="5" t="str">
        <f t="shared" si="551"/>
        <v>NO APLICA</v>
      </c>
      <c r="PB186" s="6"/>
      <c r="PC186" s="6"/>
      <c r="PD186" s="6"/>
      <c r="PE186" s="6"/>
      <c r="PF186" s="5" t="str">
        <f t="shared" si="552"/>
        <v>NO APLICA</v>
      </c>
      <c r="PG186" s="6"/>
      <c r="PH186" s="6"/>
      <c r="PI186" s="6"/>
      <c r="PJ186" s="6"/>
      <c r="PK186" s="5" t="str">
        <f t="shared" si="553"/>
        <v>NO APLICA</v>
      </c>
      <c r="PL186" s="5"/>
      <c r="PM186" s="6"/>
      <c r="PN186" s="4"/>
      <c r="PO186" s="8"/>
      <c r="PP186" s="5" t="str">
        <f t="shared" si="554"/>
        <v>NO APLICA</v>
      </c>
      <c r="PQ186" s="6"/>
      <c r="PR186" s="6"/>
      <c r="PS186" s="6"/>
      <c r="PT186" s="6"/>
      <c r="PU186" s="5" t="str">
        <f t="shared" si="555"/>
        <v>NO APLICA</v>
      </c>
      <c r="PV186" s="5"/>
      <c r="PW186" s="6"/>
      <c r="PX186" s="6"/>
      <c r="PY186" s="6"/>
      <c r="PZ186" s="5" t="str">
        <f t="shared" si="556"/>
        <v>NO APLICA</v>
      </c>
    </row>
    <row r="187" spans="1:442" ht="15.6" hidden="1" thickTop="1" thickBot="1" x14ac:dyDescent="0.35">
      <c r="A187" s="26">
        <v>184</v>
      </c>
      <c r="B187" s="31">
        <v>1344</v>
      </c>
      <c r="C187" s="28" t="s">
        <v>587</v>
      </c>
      <c r="D187" s="29" t="s">
        <v>68</v>
      </c>
      <c r="E187" s="30" t="s">
        <v>73</v>
      </c>
      <c r="F187" s="2"/>
      <c r="G187" s="6"/>
      <c r="H187" s="4"/>
      <c r="I187" s="8"/>
      <c r="J187" s="5" t="str">
        <f t="shared" si="455"/>
        <v>NO APLICA</v>
      </c>
      <c r="K187" s="5"/>
      <c r="L187" s="6"/>
      <c r="M187" s="6"/>
      <c r="N187" s="8"/>
      <c r="O187" s="5" t="str">
        <f t="shared" si="456"/>
        <v>NO APLICA</v>
      </c>
      <c r="P187" s="6"/>
      <c r="Q187" s="6"/>
      <c r="R187" s="4"/>
      <c r="S187" s="8"/>
      <c r="T187" s="5" t="str">
        <f t="shared" si="557"/>
        <v>NO APLICA</v>
      </c>
      <c r="U187" s="5"/>
      <c r="V187" s="2" t="s">
        <v>588</v>
      </c>
      <c r="W187" s="4">
        <v>45849</v>
      </c>
      <c r="X187" s="4">
        <f t="shared" si="587"/>
        <v>47675</v>
      </c>
      <c r="Y187" s="8">
        <f t="shared" ca="1" si="588"/>
        <v>1530</v>
      </c>
      <c r="Z187" s="5" t="str">
        <f t="shared" ca="1" si="605"/>
        <v>VIGENTE</v>
      </c>
      <c r="AA187" s="5"/>
      <c r="AB187" s="2" t="s">
        <v>589</v>
      </c>
      <c r="AC187" s="4">
        <v>45136</v>
      </c>
      <c r="AD187" s="4">
        <f t="shared" si="619"/>
        <v>46963</v>
      </c>
      <c r="AE187" s="8">
        <f t="shared" ca="1" si="614"/>
        <v>818</v>
      </c>
      <c r="AF187" s="5" t="str">
        <f t="shared" ca="1" si="457"/>
        <v>VIGENTE</v>
      </c>
      <c r="AG187" s="3"/>
      <c r="AH187" s="4">
        <v>45609</v>
      </c>
      <c r="AI187" s="4">
        <f t="shared" si="620"/>
        <v>46338</v>
      </c>
      <c r="AJ187" s="8">
        <f t="shared" ca="1" si="458"/>
        <v>193</v>
      </c>
      <c r="AK187" s="5" t="str">
        <f t="shared" ca="1" si="602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9"/>
        <v>100</v>
      </c>
      <c r="AP187" s="5" t="str">
        <f t="shared" ca="1" si="460"/>
        <v>VIGENTE</v>
      </c>
      <c r="AQ187" s="3"/>
      <c r="AR187" s="4">
        <v>45529</v>
      </c>
      <c r="AS187" s="4">
        <f t="shared" ref="AS187" si="664">DATE(YEAR(AR187)+2,MONTH(AR187),DAY(AR187)-1)</f>
        <v>46258</v>
      </c>
      <c r="AT187" s="8">
        <f t="shared" ca="1" si="461"/>
        <v>113</v>
      </c>
      <c r="AU187" s="5" t="str">
        <f t="shared" ca="1" si="462"/>
        <v>VIGENTE</v>
      </c>
      <c r="AV187" s="3"/>
      <c r="AW187" s="4">
        <v>45523</v>
      </c>
      <c r="AX187" s="4">
        <f t="shared" si="623"/>
        <v>46252</v>
      </c>
      <c r="AY187" s="8">
        <f t="shared" ca="1" si="463"/>
        <v>107</v>
      </c>
      <c r="AZ187" s="5" t="str">
        <f t="shared" ca="1" si="464"/>
        <v>VIGENTE</v>
      </c>
      <c r="BA187" s="3"/>
      <c r="BB187" s="4">
        <v>45534</v>
      </c>
      <c r="BC187" s="4">
        <f t="shared" si="624"/>
        <v>46263</v>
      </c>
      <c r="BD187" s="8">
        <f t="shared" ca="1" si="465"/>
        <v>118</v>
      </c>
      <c r="BE187" s="5" t="str">
        <f t="shared" ca="1" si="466"/>
        <v>VIGENTE</v>
      </c>
      <c r="BF187" s="3"/>
      <c r="BG187" s="4">
        <v>45531</v>
      </c>
      <c r="BH187" s="4">
        <f t="shared" ref="BH187" si="665">DATE(YEAR(BG187)+2,MONTH(BG187),DAY(BG187)-1)</f>
        <v>46260</v>
      </c>
      <c r="BI187" s="8">
        <f t="shared" ca="1" si="467"/>
        <v>115</v>
      </c>
      <c r="BJ187" s="5" t="str">
        <f t="shared" ca="1" si="468"/>
        <v>VIGENTE</v>
      </c>
      <c r="BK187" s="3"/>
      <c r="BL187" s="4">
        <v>45519</v>
      </c>
      <c r="BM187" s="4">
        <f t="shared" ref="BM187" si="666">DATE(YEAR(BL187)+2,MONTH(BL187),DAY(BL187)-1)</f>
        <v>46248</v>
      </c>
      <c r="BN187" s="8">
        <f t="shared" ca="1" si="469"/>
        <v>103</v>
      </c>
      <c r="BO187" s="5" t="str">
        <f t="shared" ca="1" si="470"/>
        <v>VIGENTE</v>
      </c>
      <c r="BP187" s="3"/>
      <c r="BQ187" s="39">
        <v>45532</v>
      </c>
      <c r="BR187" s="4">
        <f>DATE(YEAR(BQ187)+2,MONTH(BQ187),DAY(BQ187)-1)</f>
        <v>46261</v>
      </c>
      <c r="BS187" s="8">
        <f t="shared" ca="1" si="471"/>
        <v>116</v>
      </c>
      <c r="BT187" s="5" t="str">
        <f t="shared" ca="1" si="472"/>
        <v>VIGENTE</v>
      </c>
      <c r="BU187" s="3"/>
      <c r="BV187" s="4">
        <v>46116</v>
      </c>
      <c r="BW187" s="4">
        <f t="shared" si="627"/>
        <v>46846</v>
      </c>
      <c r="BX187" s="8">
        <f t="shared" ca="1" si="473"/>
        <v>701</v>
      </c>
      <c r="BY187" s="5" t="str">
        <f t="shared" ca="1" si="474"/>
        <v>VIGENTE</v>
      </c>
      <c r="BZ187" s="3"/>
      <c r="CA187" s="4">
        <v>45730</v>
      </c>
      <c r="CB187" s="4">
        <f t="shared" si="628"/>
        <v>46459</v>
      </c>
      <c r="CC187" s="8">
        <f t="shared" ca="1" si="475"/>
        <v>314</v>
      </c>
      <c r="CD187" s="5" t="str">
        <f t="shared" ca="1" si="476"/>
        <v>VIGENTE</v>
      </c>
      <c r="CE187" s="6"/>
      <c r="CF187" s="4">
        <v>45262</v>
      </c>
      <c r="CG187" s="4">
        <f t="shared" si="590"/>
        <v>46723</v>
      </c>
      <c r="CH187" s="8">
        <f t="shared" ca="1" si="591"/>
        <v>578</v>
      </c>
      <c r="CI187" s="5" t="str">
        <f t="shared" ca="1" si="573"/>
        <v>VIGENTE</v>
      </c>
      <c r="CJ187" s="4"/>
      <c r="CK187" s="4">
        <v>46134</v>
      </c>
      <c r="CL187" s="4">
        <f t="shared" si="629"/>
        <v>46864</v>
      </c>
      <c r="CM187" s="8">
        <f t="shared" ca="1" si="477"/>
        <v>719</v>
      </c>
      <c r="CN187" s="5" t="str">
        <f t="shared" ca="1" si="478"/>
        <v>VIGENTE</v>
      </c>
      <c r="CO187" s="3"/>
      <c r="CP187" s="39">
        <v>45481</v>
      </c>
      <c r="CQ187" s="4">
        <f t="shared" si="630"/>
        <v>46210</v>
      </c>
      <c r="CR187" s="8">
        <f t="shared" ca="1" si="479"/>
        <v>65</v>
      </c>
      <c r="CS187" s="5" t="str">
        <f t="shared" ca="1" si="480"/>
        <v>POR VENCER</v>
      </c>
      <c r="CT187" s="3"/>
      <c r="CU187" s="4">
        <v>45639</v>
      </c>
      <c r="CV187" s="4">
        <f t="shared" si="631"/>
        <v>46368</v>
      </c>
      <c r="CW187" s="8">
        <f t="shared" ca="1" si="481"/>
        <v>223</v>
      </c>
      <c r="CX187" s="5" t="str">
        <f t="shared" ca="1" si="482"/>
        <v>VIGENTE</v>
      </c>
      <c r="CY187" s="3"/>
      <c r="CZ187" s="4">
        <v>45681</v>
      </c>
      <c r="DA187" s="4">
        <f t="shared" si="632"/>
        <v>46410</v>
      </c>
      <c r="DB187" s="8">
        <f t="shared" ca="1" si="483"/>
        <v>265</v>
      </c>
      <c r="DC187" s="5" t="str">
        <f t="shared" ca="1" si="484"/>
        <v>VIGENTE</v>
      </c>
      <c r="DD187" s="3"/>
      <c r="DE187" s="39">
        <v>45689</v>
      </c>
      <c r="DF187" s="4">
        <f t="shared" si="633"/>
        <v>46418</v>
      </c>
      <c r="DG187" s="8">
        <f t="shared" ca="1" si="485"/>
        <v>273</v>
      </c>
      <c r="DH187" s="5" t="str">
        <f t="shared" ca="1" si="486"/>
        <v>VIGENTE</v>
      </c>
      <c r="DI187" s="3"/>
      <c r="DJ187" s="39">
        <v>45580</v>
      </c>
      <c r="DK187" s="4">
        <f t="shared" ref="DK187" si="667">DATE(YEAR(DJ187)+2,MONTH(DJ187),DAY(DJ187)-1)</f>
        <v>46309</v>
      </c>
      <c r="DL187" s="8">
        <f t="shared" ca="1" si="487"/>
        <v>164</v>
      </c>
      <c r="DM187" s="5" t="str">
        <f t="shared" ca="1" si="488"/>
        <v>VIGENTE</v>
      </c>
      <c r="DN187" s="3"/>
      <c r="DO187" s="4">
        <v>45577</v>
      </c>
      <c r="DP187" s="4">
        <f t="shared" si="635"/>
        <v>46306</v>
      </c>
      <c r="DQ187" s="8">
        <f t="shared" ca="1" si="489"/>
        <v>161</v>
      </c>
      <c r="DR187" s="5" t="str">
        <f t="shared" ca="1" si="490"/>
        <v>VIGENTE</v>
      </c>
      <c r="DS187" s="3"/>
      <c r="DT187" s="4">
        <v>45619</v>
      </c>
      <c r="DU187" s="4">
        <f t="shared" ref="DU187:DU190" si="668">DATE(YEAR(DT187)+2,MONTH(DT187),DAY(DT187)-1)</f>
        <v>46348</v>
      </c>
      <c r="DV187" s="8">
        <f t="shared" ca="1" si="491"/>
        <v>203</v>
      </c>
      <c r="DW187" s="5" t="str">
        <f t="shared" ca="1" si="492"/>
        <v>VIGENTE</v>
      </c>
      <c r="DX187" s="3"/>
      <c r="DY187" s="4">
        <v>45751</v>
      </c>
      <c r="DZ187" s="4">
        <f t="shared" si="636"/>
        <v>46480</v>
      </c>
      <c r="EA187" s="8">
        <f t="shared" ca="1" si="493"/>
        <v>335</v>
      </c>
      <c r="EB187" s="5" t="str">
        <f t="shared" ca="1" si="494"/>
        <v>VIGENTE</v>
      </c>
      <c r="EC187" s="3"/>
      <c r="ED187" s="39">
        <v>45768</v>
      </c>
      <c r="EE187" s="4">
        <f t="shared" si="637"/>
        <v>46498</v>
      </c>
      <c r="EF187" s="8">
        <f t="shared" ca="1" si="495"/>
        <v>353</v>
      </c>
      <c r="EG187" s="5" t="str">
        <f t="shared" ca="1" si="496"/>
        <v>VIGENTE</v>
      </c>
      <c r="EH187" s="3"/>
      <c r="EI187" s="3">
        <v>46107</v>
      </c>
      <c r="EJ187" s="4">
        <f t="shared" si="558"/>
        <v>46472</v>
      </c>
      <c r="EK187" s="8">
        <f t="shared" ca="1" si="497"/>
        <v>327</v>
      </c>
      <c r="EL187" s="5" t="str">
        <f t="shared" ca="1" si="498"/>
        <v>VIGENTE</v>
      </c>
      <c r="EM187" s="3"/>
      <c r="EN187" s="4">
        <v>45660</v>
      </c>
      <c r="EO187" s="4">
        <f t="shared" si="638"/>
        <v>46389</v>
      </c>
      <c r="EP187" s="8">
        <f t="shared" ca="1" si="499"/>
        <v>244</v>
      </c>
      <c r="EQ187" s="5" t="str">
        <f t="shared" ca="1" si="500"/>
        <v>VIGENTE</v>
      </c>
      <c r="ER187" s="3"/>
      <c r="ES187" s="39">
        <v>45524</v>
      </c>
      <c r="ET187" s="4">
        <f t="shared" ref="ET187:ET190" si="669">DATE(YEAR(ES187)+2,MONTH(ES187),DAY(ES187)-1)</f>
        <v>46253</v>
      </c>
      <c r="EU187" s="8">
        <f t="shared" ca="1" si="501"/>
        <v>108</v>
      </c>
      <c r="EV187" s="5" t="str">
        <f t="shared" ca="1" si="502"/>
        <v>VIGENTE</v>
      </c>
      <c r="EW187" s="3"/>
      <c r="EX187" s="4">
        <v>45694</v>
      </c>
      <c r="EY187" s="4">
        <f t="shared" ref="EY187" si="670">DATE(YEAR(EX187)+2,MONTH(EX187),DAY(EX187)-1)</f>
        <v>46423</v>
      </c>
      <c r="EZ187" s="8">
        <f t="shared" ca="1" si="503"/>
        <v>278</v>
      </c>
      <c r="FA187" s="5" t="str">
        <f t="shared" ca="1" si="504"/>
        <v>VIGENTE</v>
      </c>
      <c r="FB187" s="3"/>
      <c r="FC187" s="4">
        <v>45611</v>
      </c>
      <c r="FD187" s="4">
        <f t="shared" ref="FD187:FD190" si="671">DATE(YEAR(FC187)+2,MONTH(FC187),DAY(FC187)-1)</f>
        <v>46340</v>
      </c>
      <c r="FE187" s="8">
        <f t="shared" ca="1" si="505"/>
        <v>195</v>
      </c>
      <c r="FF187" s="5" t="str">
        <f t="shared" ca="1" si="506"/>
        <v>VIGENTE</v>
      </c>
      <c r="FG187" s="3"/>
      <c r="FH187" s="4">
        <v>45668</v>
      </c>
      <c r="FI187" s="4">
        <f t="shared" si="641"/>
        <v>46397</v>
      </c>
      <c r="FJ187" s="8">
        <f t="shared" ca="1" si="507"/>
        <v>252</v>
      </c>
      <c r="FK187" s="5" t="str">
        <f t="shared" ca="1" si="508"/>
        <v>VIGENTE</v>
      </c>
      <c r="FL187" s="3"/>
      <c r="FM187" s="39">
        <v>45530</v>
      </c>
      <c r="FN187" s="4">
        <f t="shared" ref="FN187:FN190" si="672">DATE(YEAR(FM187)+2,MONTH(FM187),DAY(FM187)-1)</f>
        <v>46259</v>
      </c>
      <c r="FO187" s="8">
        <f t="shared" ca="1" si="509"/>
        <v>114</v>
      </c>
      <c r="FP187" s="5" t="str">
        <f t="shared" ca="1" si="510"/>
        <v>VIGENTE</v>
      </c>
      <c r="FQ187" s="3"/>
      <c r="FR187" s="39">
        <v>45605</v>
      </c>
      <c r="FS187" s="4">
        <f t="shared" si="643"/>
        <v>46334</v>
      </c>
      <c r="FT187" s="8">
        <f t="shared" ca="1" si="511"/>
        <v>189</v>
      </c>
      <c r="FU187" s="5" t="str">
        <f t="shared" ca="1" si="512"/>
        <v>VIGENTE</v>
      </c>
      <c r="FV187" s="3"/>
      <c r="FW187" s="4">
        <v>45581</v>
      </c>
      <c r="FX187" s="4">
        <f t="shared" si="644"/>
        <v>46310</v>
      </c>
      <c r="FY187" s="8">
        <f t="shared" ca="1" si="513"/>
        <v>165</v>
      </c>
      <c r="FZ187" s="5" t="str">
        <f t="shared" ca="1" si="514"/>
        <v>VIGENTE</v>
      </c>
      <c r="GA187" s="3"/>
      <c r="GB187" s="4">
        <v>45595</v>
      </c>
      <c r="GC187" s="4">
        <f t="shared" si="645"/>
        <v>46324</v>
      </c>
      <c r="GD187" s="8">
        <f t="shared" ca="1" si="515"/>
        <v>179</v>
      </c>
      <c r="GE187" s="5" t="str">
        <f t="shared" ca="1" si="516"/>
        <v>VIGENTE</v>
      </c>
      <c r="GF187" s="3"/>
      <c r="GG187" s="4">
        <v>45579</v>
      </c>
      <c r="GH187" s="4">
        <f t="shared" si="646"/>
        <v>46308</v>
      </c>
      <c r="GI187" s="8">
        <f t="shared" ca="1" si="517"/>
        <v>163</v>
      </c>
      <c r="GJ187" s="5" t="str">
        <f t="shared" ca="1" si="518"/>
        <v>VIGENTE</v>
      </c>
      <c r="GK187" s="3"/>
      <c r="GL187" s="4">
        <v>45557</v>
      </c>
      <c r="GM187" s="4">
        <f t="shared" si="647"/>
        <v>46286</v>
      </c>
      <c r="GN187" s="8">
        <f t="shared" ca="1" si="519"/>
        <v>141</v>
      </c>
      <c r="GO187" s="5" t="str">
        <f t="shared" ca="1" si="520"/>
        <v>VIGENTE</v>
      </c>
      <c r="GP187" s="4"/>
      <c r="GQ187" s="4">
        <v>44912</v>
      </c>
      <c r="GR187" s="4">
        <f t="shared" si="521"/>
        <v>46738</v>
      </c>
      <c r="GS187" s="8">
        <f t="shared" ca="1" si="601"/>
        <v>593</v>
      </c>
      <c r="GT187" s="5" t="str">
        <f t="shared" ca="1" si="610"/>
        <v>VIGENTE</v>
      </c>
      <c r="GU187" s="3"/>
      <c r="GV187" s="4">
        <v>44910</v>
      </c>
      <c r="GW187" s="4">
        <f t="shared" si="522"/>
        <v>46736</v>
      </c>
      <c r="GX187" s="8">
        <f t="shared" ca="1" si="523"/>
        <v>591</v>
      </c>
      <c r="GY187" s="5" t="str">
        <f t="shared" ca="1" si="611"/>
        <v>VIGENTE</v>
      </c>
      <c r="GZ187" s="2"/>
      <c r="HA187" s="4">
        <v>44911</v>
      </c>
      <c r="HB187" s="4">
        <f t="shared" si="524"/>
        <v>46737</v>
      </c>
      <c r="HC187" s="8">
        <f t="shared" ca="1" si="525"/>
        <v>592</v>
      </c>
      <c r="HD187" s="5" t="str">
        <f t="shared" ca="1" si="612"/>
        <v>VIGENTE</v>
      </c>
      <c r="HE187" s="6"/>
      <c r="HF187" s="4">
        <v>45020</v>
      </c>
      <c r="HG187" s="4">
        <f t="shared" si="648"/>
        <v>46847</v>
      </c>
      <c r="HH187" s="8">
        <f t="shared" ca="1" si="616"/>
        <v>702</v>
      </c>
      <c r="HI187" s="5" t="str">
        <f t="shared" ca="1" si="613"/>
        <v>VIGENTE</v>
      </c>
      <c r="HJ187" s="2"/>
      <c r="HK187" s="6"/>
      <c r="HL187" s="4"/>
      <c r="HM187" s="8"/>
      <c r="HN187" s="5" t="str">
        <f t="shared" si="444"/>
        <v>NO APLICA</v>
      </c>
      <c r="HO187" s="2"/>
      <c r="HP187" s="2"/>
      <c r="HQ187" s="4"/>
      <c r="HR187" s="2"/>
      <c r="HS187" s="5" t="str">
        <f t="shared" si="526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9"/>
        <v>46840</v>
      </c>
      <c r="IV187" s="8">
        <f t="shared" ca="1" si="617"/>
        <v>695</v>
      </c>
      <c r="IW187" s="5" t="str">
        <f t="shared" ca="1" si="532"/>
        <v>VIGENTE</v>
      </c>
      <c r="IX187" s="2"/>
      <c r="IY187" s="4">
        <v>44973</v>
      </c>
      <c r="IZ187" s="4">
        <f t="shared" si="650"/>
        <v>46799</v>
      </c>
      <c r="JA187" s="8">
        <f t="shared" ca="1" si="618"/>
        <v>654</v>
      </c>
      <c r="JB187" s="5" t="str">
        <f t="shared" ca="1" si="533"/>
        <v>VIGENTE</v>
      </c>
      <c r="JC187" s="3" t="s">
        <v>780</v>
      </c>
      <c r="JD187" s="3"/>
      <c r="JE187" s="4"/>
      <c r="JF187" s="8"/>
      <c r="JG187" s="5"/>
      <c r="JH187" s="3" t="s">
        <v>780</v>
      </c>
      <c r="JI187" s="6"/>
      <c r="JJ187" s="6"/>
      <c r="JK187" s="6"/>
      <c r="JL187" s="5"/>
      <c r="JM187" s="6" t="s">
        <v>780</v>
      </c>
      <c r="JN187" s="6"/>
      <c r="JO187" s="6"/>
      <c r="JP187" s="6"/>
      <c r="JQ187" s="5"/>
      <c r="JR187" s="6" t="s">
        <v>780</v>
      </c>
      <c r="JS187" s="6"/>
      <c r="JT187" s="6"/>
      <c r="JU187" s="6"/>
      <c r="JV187" s="5"/>
      <c r="JW187" s="6" t="s">
        <v>780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4"/>
        <v>NO APLICA</v>
      </c>
      <c r="KG187" s="5"/>
      <c r="KH187" s="2"/>
      <c r="KI187" s="4"/>
      <c r="KJ187" s="8"/>
      <c r="KK187" s="5" t="str">
        <f t="shared" si="559"/>
        <v>NO APLICA</v>
      </c>
      <c r="KL187" s="5"/>
      <c r="KM187" s="2"/>
      <c r="KN187" s="4"/>
      <c r="KO187" s="8"/>
      <c r="KP187" s="5" t="str">
        <f t="shared" si="535"/>
        <v>NO APLICA</v>
      </c>
      <c r="KQ187" s="5"/>
      <c r="KR187" s="2"/>
      <c r="KS187" s="4"/>
      <c r="KT187" s="8"/>
      <c r="KU187" s="5" t="str">
        <f t="shared" si="560"/>
        <v>NO APLICA</v>
      </c>
      <c r="KV187" s="2"/>
      <c r="KW187" s="6"/>
      <c r="KX187" s="4"/>
      <c r="KY187" s="8"/>
      <c r="KZ187" s="5" t="str">
        <f t="shared" si="565"/>
        <v>NO APLICA</v>
      </c>
      <c r="LA187" s="5"/>
      <c r="LB187" s="6"/>
      <c r="LC187" s="4"/>
      <c r="LD187" s="8"/>
      <c r="LE187" s="5" t="str">
        <f t="shared" si="561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6"/>
        <v>NO APLICA</v>
      </c>
      <c r="LP187" s="2"/>
      <c r="LQ187" s="6"/>
      <c r="LR187" s="4"/>
      <c r="LS187" s="8"/>
      <c r="LT187" s="5" t="str">
        <f t="shared" si="562"/>
        <v>NO APLICA</v>
      </c>
      <c r="LU187" s="6"/>
      <c r="LV187" s="6"/>
      <c r="LW187" s="4"/>
      <c r="LX187" s="8"/>
      <c r="LY187" s="5" t="str">
        <f t="shared" si="563"/>
        <v>NO APLICA</v>
      </c>
      <c r="LZ187" s="6"/>
      <c r="MA187" s="6"/>
      <c r="MB187" s="4"/>
      <c r="MC187" s="8"/>
      <c r="MD187" s="5" t="str">
        <f t="shared" si="564"/>
        <v>NO APLICA</v>
      </c>
      <c r="ME187" s="2"/>
      <c r="MF187" s="2"/>
      <c r="MG187" s="4"/>
      <c r="MH187" s="8"/>
      <c r="MI187" s="5" t="str">
        <f t="shared" si="537"/>
        <v>NO APLICA</v>
      </c>
      <c r="MJ187" s="2"/>
      <c r="MK187" s="2"/>
      <c r="ML187" s="4"/>
      <c r="MM187" s="8"/>
      <c r="MN187" s="5" t="str">
        <f t="shared" si="538"/>
        <v>NO APLICA</v>
      </c>
      <c r="MO187" s="5"/>
      <c r="MP187" s="2"/>
      <c r="MQ187" s="4"/>
      <c r="MR187" s="8"/>
      <c r="MS187" s="5" t="str">
        <f t="shared" si="539"/>
        <v>NO APLICA</v>
      </c>
      <c r="MT187" s="5"/>
      <c r="MU187" s="2"/>
      <c r="MV187" s="4"/>
      <c r="MW187" s="2"/>
      <c r="MX187" s="5" t="str">
        <f t="shared" si="540"/>
        <v>NO APLICA</v>
      </c>
      <c r="MY187" s="2"/>
      <c r="MZ187" s="6"/>
      <c r="NA187" s="4"/>
      <c r="NB187" s="8"/>
      <c r="NC187" s="5" t="str">
        <f t="shared" si="541"/>
        <v>NO APLICA</v>
      </c>
      <c r="ND187" s="2"/>
      <c r="NE187" s="6"/>
      <c r="NF187" s="4"/>
      <c r="NG187" s="8"/>
      <c r="NH187" s="5" t="str">
        <f t="shared" si="542"/>
        <v>NO APLICA</v>
      </c>
      <c r="NI187" s="2"/>
      <c r="NJ187" s="6"/>
      <c r="NK187" s="4"/>
      <c r="NL187" s="8"/>
      <c r="NM187" s="5" t="str">
        <f t="shared" si="543"/>
        <v>NO APLICA</v>
      </c>
      <c r="NN187" s="2"/>
      <c r="NO187" s="2"/>
      <c r="NP187" s="4"/>
      <c r="NQ187" s="2"/>
      <c r="NR187" s="5" t="str">
        <f t="shared" si="544"/>
        <v>NO APLICA</v>
      </c>
      <c r="NS187" s="2"/>
      <c r="NT187" s="2"/>
      <c r="NU187" s="4"/>
      <c r="NV187" s="2"/>
      <c r="NW187" s="5" t="str">
        <f t="shared" si="545"/>
        <v>NO APLICA</v>
      </c>
      <c r="NX187" s="6"/>
      <c r="NY187" s="6"/>
      <c r="NZ187" s="4"/>
      <c r="OA187" s="8"/>
      <c r="OB187" s="5" t="str">
        <f t="shared" si="546"/>
        <v>NO APLICA</v>
      </c>
      <c r="OC187" s="6"/>
      <c r="OD187" s="6"/>
      <c r="OE187" s="6"/>
      <c r="OF187" s="6"/>
      <c r="OG187" s="5" t="str">
        <f t="shared" si="547"/>
        <v>NO APLICA</v>
      </c>
      <c r="OH187" s="6"/>
      <c r="OI187" s="6"/>
      <c r="OJ187" s="4"/>
      <c r="OK187" s="8"/>
      <c r="OL187" s="5" t="str">
        <f t="shared" si="548"/>
        <v>NO APLICA</v>
      </c>
      <c r="OM187" s="6"/>
      <c r="ON187" s="6"/>
      <c r="OO187" s="6"/>
      <c r="OP187" s="6"/>
      <c r="OQ187" s="5" t="str">
        <f t="shared" si="549"/>
        <v>NO APLICA</v>
      </c>
      <c r="OR187" s="6"/>
      <c r="OS187" s="6"/>
      <c r="OT187" s="6"/>
      <c r="OU187" s="6"/>
      <c r="OV187" s="5" t="str">
        <f t="shared" si="550"/>
        <v>NO APLICA</v>
      </c>
      <c r="OW187" s="6"/>
      <c r="OX187" s="6"/>
      <c r="OY187" s="6"/>
      <c r="OZ187" s="6"/>
      <c r="PA187" s="5" t="str">
        <f t="shared" si="551"/>
        <v>NO APLICA</v>
      </c>
      <c r="PB187" s="6"/>
      <c r="PC187" s="6"/>
      <c r="PD187" s="6"/>
      <c r="PE187" s="6"/>
      <c r="PF187" s="5" t="str">
        <f t="shared" si="552"/>
        <v>NO APLICA</v>
      </c>
      <c r="PG187" s="6"/>
      <c r="PH187" s="6"/>
      <c r="PI187" s="6"/>
      <c r="PJ187" s="6"/>
      <c r="PK187" s="5" t="str">
        <f t="shared" si="553"/>
        <v>NO APLICA</v>
      </c>
      <c r="PL187" s="5"/>
      <c r="PM187" s="6"/>
      <c r="PN187" s="4"/>
      <c r="PO187" s="8"/>
      <c r="PP187" s="5" t="str">
        <f t="shared" si="554"/>
        <v>NO APLICA</v>
      </c>
      <c r="PQ187" s="6"/>
      <c r="PR187" s="6"/>
      <c r="PS187" s="6"/>
      <c r="PT187" s="6"/>
      <c r="PU187" s="5" t="str">
        <f t="shared" si="555"/>
        <v>NO APLICA</v>
      </c>
      <c r="PV187" s="5"/>
      <c r="PW187" s="6"/>
      <c r="PX187" s="6"/>
      <c r="PY187" s="6"/>
      <c r="PZ187" s="5" t="str">
        <f t="shared" si="556"/>
        <v>NO APLICA</v>
      </c>
    </row>
    <row r="188" spans="1:442" ht="15.6" hidden="1" thickTop="1" thickBot="1" x14ac:dyDescent="0.35">
      <c r="A188" s="26">
        <v>185</v>
      </c>
      <c r="B188" s="27">
        <v>1424</v>
      </c>
      <c r="C188" s="28" t="s">
        <v>590</v>
      </c>
      <c r="D188" s="29" t="s">
        <v>68</v>
      </c>
      <c r="E188" s="30" t="s">
        <v>73</v>
      </c>
      <c r="F188" s="5"/>
      <c r="G188" s="6"/>
      <c r="H188" s="4"/>
      <c r="I188" s="8"/>
      <c r="J188" s="5" t="str">
        <f t="shared" si="455"/>
        <v>NO APLICA</v>
      </c>
      <c r="K188" s="5"/>
      <c r="L188" s="6"/>
      <c r="M188" s="6"/>
      <c r="N188" s="8"/>
      <c r="O188" s="5" t="str">
        <f t="shared" si="456"/>
        <v>NO APLICA</v>
      </c>
      <c r="P188" s="6"/>
      <c r="Q188" s="6"/>
      <c r="R188" s="4"/>
      <c r="S188" s="8"/>
      <c r="T188" s="5" t="str">
        <f t="shared" si="557"/>
        <v>NO APLICA</v>
      </c>
      <c r="U188" s="5"/>
      <c r="V188" s="2" t="s">
        <v>591</v>
      </c>
      <c r="W188" s="4">
        <v>45337</v>
      </c>
      <c r="X188" s="4">
        <f t="shared" si="587"/>
        <v>47164</v>
      </c>
      <c r="Y188" s="8">
        <f t="shared" ca="1" si="588"/>
        <v>1019</v>
      </c>
      <c r="Z188" s="5" t="str">
        <f t="shared" ca="1" si="605"/>
        <v>VIGENTE</v>
      </c>
      <c r="AA188" s="5"/>
      <c r="AB188" s="2" t="s">
        <v>592</v>
      </c>
      <c r="AC188" s="4">
        <v>44824</v>
      </c>
      <c r="AD188" s="4">
        <f t="shared" si="619"/>
        <v>46650</v>
      </c>
      <c r="AE188" s="8">
        <f t="shared" ca="1" si="614"/>
        <v>505</v>
      </c>
      <c r="AF188" s="5" t="str">
        <f t="shared" ca="1" si="457"/>
        <v>VIGENTE</v>
      </c>
      <c r="AG188" s="3"/>
      <c r="AH188" s="4">
        <v>45609</v>
      </c>
      <c r="AI188" s="4">
        <f t="shared" si="620"/>
        <v>46338</v>
      </c>
      <c r="AJ188" s="8">
        <f t="shared" ca="1" si="458"/>
        <v>193</v>
      </c>
      <c r="AK188" s="5" t="str">
        <f t="shared" ca="1" si="602"/>
        <v>VIGENTE</v>
      </c>
      <c r="AL188" s="3"/>
      <c r="AM188" s="4">
        <v>45926</v>
      </c>
      <c r="AN188" s="4">
        <f t="shared" ref="AN188:AN191" si="673">DATE(YEAR(AM188)+2,MONTH(AM188),DAY(AM188))</f>
        <v>46656</v>
      </c>
      <c r="AO188" s="8">
        <f t="shared" ca="1" si="459"/>
        <v>511</v>
      </c>
      <c r="AP188" s="5" t="str">
        <f t="shared" ca="1" si="460"/>
        <v>VIGENTE</v>
      </c>
      <c r="AQ188" s="3"/>
      <c r="AR188" s="4">
        <v>45904</v>
      </c>
      <c r="AS188" s="4">
        <f t="shared" ref="AS188:AS191" si="674">DATE(YEAR(AR188)+2,MONTH(AR188),DAY(AR188))</f>
        <v>46634</v>
      </c>
      <c r="AT188" s="8">
        <f t="shared" ca="1" si="461"/>
        <v>489</v>
      </c>
      <c r="AU188" s="5" t="str">
        <f t="shared" ca="1" si="462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3"/>
        <v>512</v>
      </c>
      <c r="AZ188" s="5" t="str">
        <f t="shared" ca="1" si="464"/>
        <v>VIGENTE</v>
      </c>
      <c r="BA188" s="3"/>
      <c r="BB188" s="4">
        <v>45901</v>
      </c>
      <c r="BC188" s="4">
        <f t="shared" ref="BC188:BC189" si="675">DATE(YEAR(BB188)+2,MONTH(BB188),DAY(BB188))</f>
        <v>46631</v>
      </c>
      <c r="BD188" s="8">
        <f t="shared" ca="1" si="465"/>
        <v>486</v>
      </c>
      <c r="BE188" s="5" t="str">
        <f t="shared" ca="1" si="466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7"/>
        <v>553</v>
      </c>
      <c r="BJ188" s="5" t="str">
        <f t="shared" ca="1" si="468"/>
        <v>VIGENTE</v>
      </c>
      <c r="BK188" s="3"/>
      <c r="BL188" s="4">
        <v>46035</v>
      </c>
      <c r="BM188" s="4">
        <f t="shared" ref="BM188:BM191" si="676">DATE(YEAR(BL188)+2,MONTH(BL188),DAY(BL188))</f>
        <v>46765</v>
      </c>
      <c r="BN188" s="8">
        <f t="shared" ca="1" si="469"/>
        <v>620</v>
      </c>
      <c r="BO188" s="5" t="str">
        <f t="shared" ca="1" si="470"/>
        <v>VIGENTE</v>
      </c>
      <c r="BP188" s="3"/>
      <c r="BQ188" s="39">
        <v>46120</v>
      </c>
      <c r="BR188" s="4">
        <f>DATE(YEAR(BQ188)+2,MONTH(BQ188),DAY(BQ188)-1)</f>
        <v>46850</v>
      </c>
      <c r="BS188" s="8">
        <f t="shared" ca="1" si="471"/>
        <v>705</v>
      </c>
      <c r="BT188" s="5" t="str">
        <f t="shared" ca="1" si="472"/>
        <v>VIGENTE</v>
      </c>
      <c r="BU188" s="3"/>
      <c r="BV188" s="4">
        <v>46116</v>
      </c>
      <c r="BW188" s="4">
        <f t="shared" si="627"/>
        <v>46846</v>
      </c>
      <c r="BX188" s="8">
        <f t="shared" ca="1" si="473"/>
        <v>701</v>
      </c>
      <c r="BY188" s="5" t="str">
        <f t="shared" ca="1" si="474"/>
        <v>VIGENTE</v>
      </c>
      <c r="BZ188" s="3"/>
      <c r="CA188" s="3">
        <v>45894</v>
      </c>
      <c r="CB188" s="4">
        <f t="shared" ref="CB188:CB191" si="677">DATE(YEAR(CA188)+2,MONTH(CA188),DAY(CA188))</f>
        <v>46624</v>
      </c>
      <c r="CC188" s="8">
        <f t="shared" ca="1" si="475"/>
        <v>479</v>
      </c>
      <c r="CD188" s="5" t="str">
        <f t="shared" ca="1" si="476"/>
        <v>VIGENTE</v>
      </c>
      <c r="CE188" s="6"/>
      <c r="CF188" s="4">
        <v>45227</v>
      </c>
      <c r="CG188" s="4">
        <f t="shared" si="590"/>
        <v>46688</v>
      </c>
      <c r="CH188" s="8">
        <f t="shared" ca="1" si="591"/>
        <v>543</v>
      </c>
      <c r="CI188" s="5" t="str">
        <f t="shared" ca="1" si="573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7"/>
        <v>514</v>
      </c>
      <c r="CN188" s="5" t="str">
        <f t="shared" ca="1" si="478"/>
        <v>VIGENTE</v>
      </c>
      <c r="CO188" s="3"/>
      <c r="CP188" s="39">
        <v>45898</v>
      </c>
      <c r="CQ188" s="4">
        <f t="shared" ref="CQ188:CQ189" si="678">DATE(YEAR(CP188)+2,MONTH(CP188),DAY(CP188))</f>
        <v>46628</v>
      </c>
      <c r="CR188" s="8">
        <f t="shared" ca="1" si="479"/>
        <v>483</v>
      </c>
      <c r="CS188" s="5" t="str">
        <f t="shared" ca="1" si="480"/>
        <v>VIGENTE</v>
      </c>
      <c r="CT188" s="3"/>
      <c r="CU188" s="4">
        <v>45631</v>
      </c>
      <c r="CV188" s="4">
        <f t="shared" si="631"/>
        <v>46360</v>
      </c>
      <c r="CW188" s="8">
        <f t="shared" ca="1" si="481"/>
        <v>215</v>
      </c>
      <c r="CX188" s="5" t="str">
        <f t="shared" ca="1" si="482"/>
        <v>VIGENTE</v>
      </c>
      <c r="CY188" s="3"/>
      <c r="CZ188" s="4">
        <v>45665</v>
      </c>
      <c r="DA188" s="4">
        <f t="shared" si="632"/>
        <v>46394</v>
      </c>
      <c r="DB188" s="8">
        <f t="shared" ca="1" si="483"/>
        <v>249</v>
      </c>
      <c r="DC188" s="5" t="str">
        <f t="shared" ca="1" si="484"/>
        <v>VIGENTE</v>
      </c>
      <c r="DD188" s="3"/>
      <c r="DE188" s="39">
        <v>45689</v>
      </c>
      <c r="DF188" s="4">
        <f t="shared" si="633"/>
        <v>46418</v>
      </c>
      <c r="DG188" s="8">
        <f t="shared" ca="1" si="485"/>
        <v>273</v>
      </c>
      <c r="DH188" s="5" t="str">
        <f t="shared" ca="1" si="486"/>
        <v>VIGENTE</v>
      </c>
      <c r="DI188" s="3"/>
      <c r="DJ188" s="39">
        <v>45899</v>
      </c>
      <c r="DK188" s="4">
        <f t="shared" ref="DK188:DK191" si="679">DATE(YEAR(DJ188)+2,MONTH(DJ188),DAY(DJ188))</f>
        <v>46629</v>
      </c>
      <c r="DL188" s="8">
        <f t="shared" ca="1" si="487"/>
        <v>484</v>
      </c>
      <c r="DM188" s="5" t="str">
        <f t="shared" ca="1" si="488"/>
        <v>VIGENTE</v>
      </c>
      <c r="DN188" s="3"/>
      <c r="DO188" s="4">
        <v>45982</v>
      </c>
      <c r="DP188" s="4">
        <f t="shared" ref="DP188:DP191" si="680">DATE(YEAR(DO188)+2,MONTH(DO188),DAY(DO188))</f>
        <v>46712</v>
      </c>
      <c r="DQ188" s="8">
        <f t="shared" ca="1" si="489"/>
        <v>567</v>
      </c>
      <c r="DR188" s="5" t="str">
        <f t="shared" ca="1" si="490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1"/>
        <v>503</v>
      </c>
      <c r="DW188" s="5" t="str">
        <f t="shared" ca="1" si="492"/>
        <v>VIGENTE</v>
      </c>
      <c r="DX188" s="3"/>
      <c r="DY188" s="4">
        <v>45915</v>
      </c>
      <c r="DZ188" s="4">
        <f t="shared" ref="DZ188:DZ189" si="681">DATE(YEAR(DY188)+2,MONTH(DY188),DAY(DY188))</f>
        <v>46645</v>
      </c>
      <c r="EA188" s="8">
        <f t="shared" ca="1" si="493"/>
        <v>500</v>
      </c>
      <c r="EB188" s="5" t="str">
        <f t="shared" ca="1" si="494"/>
        <v>VIGENTE</v>
      </c>
      <c r="EC188" s="3"/>
      <c r="ED188" s="39">
        <v>45883</v>
      </c>
      <c r="EE188" s="4">
        <f t="shared" si="637"/>
        <v>46613</v>
      </c>
      <c r="EF188" s="8">
        <f t="shared" ca="1" si="495"/>
        <v>468</v>
      </c>
      <c r="EG188" s="5" t="str">
        <f t="shared" ca="1" si="496"/>
        <v>VIGENTE</v>
      </c>
      <c r="EH188" s="3"/>
      <c r="EI188" s="4">
        <v>45948</v>
      </c>
      <c r="EJ188" s="4">
        <f t="shared" si="558"/>
        <v>46313</v>
      </c>
      <c r="EK188" s="8">
        <f t="shared" ca="1" si="497"/>
        <v>168</v>
      </c>
      <c r="EL188" s="5" t="str">
        <f t="shared" ca="1" si="498"/>
        <v>VIGENTE</v>
      </c>
      <c r="EM188" s="3"/>
      <c r="EN188" s="4">
        <v>45983</v>
      </c>
      <c r="EO188" s="4">
        <f t="shared" ref="EO188:EO189" si="682">DATE(YEAR(EN188)+2,MONTH(EN188),DAY(EN188))</f>
        <v>46713</v>
      </c>
      <c r="EP188" s="8">
        <f t="shared" ca="1" si="499"/>
        <v>568</v>
      </c>
      <c r="EQ188" s="5" t="str">
        <f t="shared" ca="1" si="500"/>
        <v>VIGENTE</v>
      </c>
      <c r="ER188" s="3"/>
      <c r="ES188" s="39">
        <v>45999</v>
      </c>
      <c r="ET188" s="4">
        <f t="shared" ref="ET188:ET189" si="683">DATE(YEAR(ES188)+2,MONTH(ES188),DAY(ES188))</f>
        <v>46729</v>
      </c>
      <c r="EU188" s="8">
        <f t="shared" ca="1" si="501"/>
        <v>584</v>
      </c>
      <c r="EV188" s="5" t="str">
        <f t="shared" ca="1" si="502"/>
        <v>VIGENTE</v>
      </c>
      <c r="EW188" s="3"/>
      <c r="EX188" s="4">
        <v>45917</v>
      </c>
      <c r="EY188" s="4">
        <f t="shared" ref="EY188:EY191" si="684">DATE(YEAR(EX188)+2,MONTH(EX188),DAY(EX188))</f>
        <v>46647</v>
      </c>
      <c r="EZ188" s="8">
        <f t="shared" ca="1" si="503"/>
        <v>502</v>
      </c>
      <c r="FA188" s="5" t="str">
        <f t="shared" ca="1" si="504"/>
        <v>VIGENTE</v>
      </c>
      <c r="FB188" s="3"/>
      <c r="FC188" s="4">
        <v>45922</v>
      </c>
      <c r="FD188" s="4">
        <f t="shared" ref="FD188:FD189" si="685">DATE(YEAR(FC188)+2,MONTH(FC188),DAY(FC188))</f>
        <v>46652</v>
      </c>
      <c r="FE188" s="8">
        <f t="shared" ca="1" si="505"/>
        <v>507</v>
      </c>
      <c r="FF188" s="5" t="str">
        <f t="shared" ca="1" si="506"/>
        <v>VIGENTE</v>
      </c>
      <c r="FG188" s="3"/>
      <c r="FH188" s="4">
        <v>45932</v>
      </c>
      <c r="FI188" s="4">
        <f t="shared" ref="FI188:FI191" si="686">DATE(YEAR(FH188)+2,MONTH(FH188),DAY(FH188))</f>
        <v>46662</v>
      </c>
      <c r="FJ188" s="8">
        <f t="shared" ca="1" si="507"/>
        <v>517</v>
      </c>
      <c r="FK188" s="5" t="str">
        <f t="shared" ca="1" si="508"/>
        <v>VIGENTE</v>
      </c>
      <c r="FL188" s="3"/>
      <c r="FM188" s="39">
        <v>45920</v>
      </c>
      <c r="FN188" s="4">
        <f t="shared" ref="FN188:FN189" si="687">DATE(YEAR(FM188)+2,MONTH(FM188),DAY(FM188))</f>
        <v>46650</v>
      </c>
      <c r="FO188" s="8">
        <f t="shared" ca="1" si="509"/>
        <v>505</v>
      </c>
      <c r="FP188" s="5" t="str">
        <f t="shared" ca="1" si="510"/>
        <v>VIGENTE</v>
      </c>
      <c r="FQ188" s="3"/>
      <c r="FR188" s="39">
        <v>45957</v>
      </c>
      <c r="FS188" s="4">
        <f t="shared" ref="FS188:FS189" si="688">DATE(YEAR(FR188)+2,MONTH(FR188),DAY(FR188))</f>
        <v>46687</v>
      </c>
      <c r="FT188" s="8">
        <f t="shared" ca="1" si="511"/>
        <v>542</v>
      </c>
      <c r="FU188" s="5" t="str">
        <f t="shared" ca="1" si="512"/>
        <v>VIGENTE</v>
      </c>
      <c r="FV188" s="3"/>
      <c r="FW188" s="4">
        <v>45587</v>
      </c>
      <c r="FX188" s="4">
        <f t="shared" si="644"/>
        <v>46316</v>
      </c>
      <c r="FY188" s="8">
        <f t="shared" ca="1" si="513"/>
        <v>171</v>
      </c>
      <c r="FZ188" s="5" t="str">
        <f t="shared" ca="1" si="514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5"/>
        <v>510</v>
      </c>
      <c r="GE188" s="5" t="str">
        <f t="shared" ca="1" si="516"/>
        <v>VIGENTE</v>
      </c>
      <c r="GF188" s="3"/>
      <c r="GG188" s="4">
        <v>45912</v>
      </c>
      <c r="GH188" s="4">
        <f t="shared" ref="GH188:GH191" si="689">DATE(YEAR(GG188)+2,MONTH(GG188),DAY(GG188))</f>
        <v>46642</v>
      </c>
      <c r="GI188" s="8">
        <f t="shared" ca="1" si="517"/>
        <v>497</v>
      </c>
      <c r="GJ188" s="5" t="str">
        <f t="shared" ca="1" si="518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9"/>
        <v>508</v>
      </c>
      <c r="GO188" s="5" t="str">
        <f t="shared" ca="1" si="520"/>
        <v>VIGENTE</v>
      </c>
      <c r="GP188" s="4"/>
      <c r="GQ188" s="4">
        <v>45244</v>
      </c>
      <c r="GR188" s="4">
        <f t="shared" si="521"/>
        <v>47071</v>
      </c>
      <c r="GS188" s="8">
        <f t="shared" ca="1" si="601"/>
        <v>926</v>
      </c>
      <c r="GT188" s="5" t="str">
        <f t="shared" ca="1" si="610"/>
        <v>VIGENTE</v>
      </c>
      <c r="GU188" s="4"/>
      <c r="GV188" s="4">
        <v>45245</v>
      </c>
      <c r="GW188" s="4">
        <f t="shared" si="522"/>
        <v>47072</v>
      </c>
      <c r="GX188" s="8">
        <f t="shared" ca="1" si="523"/>
        <v>927</v>
      </c>
      <c r="GY188" s="5" t="str">
        <f t="shared" ca="1" si="611"/>
        <v>VIGENTE</v>
      </c>
      <c r="GZ188" s="3"/>
      <c r="HA188" s="4">
        <v>45249</v>
      </c>
      <c r="HB188" s="4">
        <f t="shared" si="524"/>
        <v>47076</v>
      </c>
      <c r="HC188" s="8">
        <f t="shared" ca="1" si="525"/>
        <v>931</v>
      </c>
      <c r="HD188" s="5" t="str">
        <f t="shared" ca="1" si="612"/>
        <v>VIGENTE</v>
      </c>
      <c r="HE188" s="6"/>
      <c r="HF188" s="4">
        <v>44879</v>
      </c>
      <c r="HG188" s="4">
        <f t="shared" si="648"/>
        <v>46705</v>
      </c>
      <c r="HH188" s="8">
        <f t="shared" ca="1" si="616"/>
        <v>560</v>
      </c>
      <c r="HI188" s="5" t="str">
        <f t="shared" ca="1" si="613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9"/>
        <v>47060</v>
      </c>
      <c r="IV188" s="8">
        <f t="shared" ca="1" si="617"/>
        <v>915</v>
      </c>
      <c r="IW188" s="5" t="str">
        <f t="shared" ca="1" si="532"/>
        <v>VIGENTE</v>
      </c>
      <c r="IX188" s="3"/>
      <c r="IY188" s="4">
        <v>45261</v>
      </c>
      <c r="IZ188" s="4">
        <f t="shared" si="650"/>
        <v>47088</v>
      </c>
      <c r="JA188" s="8">
        <f t="shared" ca="1" si="618"/>
        <v>943</v>
      </c>
      <c r="JB188" s="5" t="str">
        <f t="shared" ca="1" si="533"/>
        <v>VIGENTE</v>
      </c>
      <c r="JC188" s="3" t="s">
        <v>780</v>
      </c>
      <c r="JD188" s="3"/>
      <c r="JE188" s="4"/>
      <c r="JF188" s="8"/>
      <c r="JG188" s="5"/>
      <c r="JH188" s="3" t="s">
        <v>780</v>
      </c>
      <c r="JI188" s="6"/>
      <c r="JJ188" s="6"/>
      <c r="JK188" s="6"/>
      <c r="JL188" s="5"/>
      <c r="JM188" s="6" t="s">
        <v>780</v>
      </c>
      <c r="JN188" s="6"/>
      <c r="JO188" s="6"/>
      <c r="JP188" s="6"/>
      <c r="JQ188" s="5"/>
      <c r="JR188" s="6" t="s">
        <v>780</v>
      </c>
      <c r="JS188" s="6"/>
      <c r="JT188" s="6"/>
      <c r="JU188" s="6"/>
      <c r="JV188" s="5"/>
      <c r="JW188" s="6" t="s">
        <v>780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4"/>
        <v>NO APLICA</v>
      </c>
      <c r="KG188" s="5"/>
      <c r="KH188" s="2"/>
      <c r="KI188" s="4"/>
      <c r="KJ188" s="8"/>
      <c r="KK188" s="5" t="str">
        <f t="shared" si="559"/>
        <v>NO APLICA</v>
      </c>
      <c r="KL188" s="5"/>
      <c r="KM188" s="2"/>
      <c r="KN188" s="4"/>
      <c r="KO188" s="8"/>
      <c r="KP188" s="5" t="str">
        <f t="shared" si="535"/>
        <v>NO APLICA</v>
      </c>
      <c r="KQ188" s="5"/>
      <c r="KR188" s="2"/>
      <c r="KS188" s="4"/>
      <c r="KT188" s="8"/>
      <c r="KU188" s="5" t="str">
        <f t="shared" si="560"/>
        <v>NO APLICA</v>
      </c>
      <c r="KV188" s="2"/>
      <c r="KW188" s="6"/>
      <c r="KX188" s="4"/>
      <c r="KY188" s="8"/>
      <c r="KZ188" s="5" t="str">
        <f t="shared" si="565"/>
        <v>NO APLICA</v>
      </c>
      <c r="LA188" s="5"/>
      <c r="LB188" s="6"/>
      <c r="LC188" s="4"/>
      <c r="LD188" s="8"/>
      <c r="LE188" s="5" t="str">
        <f t="shared" si="561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6"/>
        <v>NO APLICA</v>
      </c>
      <c r="LP188" s="2"/>
      <c r="LQ188" s="6"/>
      <c r="LR188" s="4"/>
      <c r="LS188" s="8"/>
      <c r="LT188" s="5" t="str">
        <f t="shared" si="562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7"/>
        <v>NO APLICA</v>
      </c>
      <c r="MJ188" s="2"/>
      <c r="MK188" s="2"/>
      <c r="ML188" s="4"/>
      <c r="MM188" s="8"/>
      <c r="MN188" s="5" t="str">
        <f t="shared" si="538"/>
        <v>NO APLICA</v>
      </c>
      <c r="MO188" s="5"/>
      <c r="MP188" s="2"/>
      <c r="MQ188" s="4"/>
      <c r="MR188" s="8"/>
      <c r="MS188" s="5" t="str">
        <f t="shared" si="539"/>
        <v>NO APLICA</v>
      </c>
      <c r="MT188" s="5"/>
      <c r="MU188" s="2"/>
      <c r="MV188" s="4"/>
      <c r="MW188" s="2"/>
      <c r="MX188" s="5" t="str">
        <f t="shared" si="540"/>
        <v>NO APLICA</v>
      </c>
      <c r="MY188" s="2"/>
      <c r="MZ188" s="6"/>
      <c r="NA188" s="4"/>
      <c r="NB188" s="8"/>
      <c r="NC188" s="5" t="str">
        <f t="shared" si="541"/>
        <v>NO APLICA</v>
      </c>
      <c r="ND188" s="2"/>
      <c r="NE188" s="6"/>
      <c r="NF188" s="4"/>
      <c r="NG188" s="8"/>
      <c r="NH188" s="5" t="str">
        <f t="shared" si="542"/>
        <v>NO APLICA</v>
      </c>
      <c r="NI188" s="2"/>
      <c r="NJ188" s="6"/>
      <c r="NK188" s="4"/>
      <c r="NL188" s="8"/>
      <c r="NM188" s="5" t="str">
        <f t="shared" si="543"/>
        <v>NO APLICA</v>
      </c>
      <c r="NN188" s="2"/>
      <c r="NO188" s="2"/>
      <c r="NP188" s="4"/>
      <c r="NQ188" s="2"/>
      <c r="NR188" s="5" t="str">
        <f t="shared" si="544"/>
        <v>NO APLICA</v>
      </c>
      <c r="NS188" s="2"/>
      <c r="NT188" s="2"/>
      <c r="NU188" s="4"/>
      <c r="NV188" s="2"/>
      <c r="NW188" s="5" t="str">
        <f t="shared" si="545"/>
        <v>NO APLICA</v>
      </c>
      <c r="NX188" s="6"/>
      <c r="NY188" s="6"/>
      <c r="NZ188" s="4"/>
      <c r="OA188" s="8"/>
      <c r="OB188" s="5" t="str">
        <f t="shared" si="546"/>
        <v>NO APLICA</v>
      </c>
      <c r="OC188" s="6"/>
      <c r="OD188" s="6"/>
      <c r="OE188" s="6"/>
      <c r="OF188" s="6"/>
      <c r="OG188" s="5" t="str">
        <f t="shared" si="547"/>
        <v>NO APLICA</v>
      </c>
      <c r="OH188" s="6"/>
      <c r="OI188" s="6"/>
      <c r="OJ188" s="4"/>
      <c r="OK188" s="8"/>
      <c r="OL188" s="5" t="str">
        <f t="shared" si="548"/>
        <v>NO APLICA</v>
      </c>
      <c r="OM188" s="6"/>
      <c r="ON188" s="6"/>
      <c r="OO188" s="6"/>
      <c r="OP188" s="6"/>
      <c r="OQ188" s="5" t="str">
        <f t="shared" si="549"/>
        <v>NO APLICA</v>
      </c>
      <c r="OR188" s="6"/>
      <c r="OS188" s="6"/>
      <c r="OT188" s="6"/>
      <c r="OU188" s="6"/>
      <c r="OV188" s="5" t="str">
        <f t="shared" si="550"/>
        <v>NO APLICA</v>
      </c>
      <c r="OW188" s="6"/>
      <c r="OX188" s="6"/>
      <c r="OY188" s="6"/>
      <c r="OZ188" s="6"/>
      <c r="PA188" s="5" t="str">
        <f t="shared" si="551"/>
        <v>NO APLICA</v>
      </c>
      <c r="PB188" s="6"/>
      <c r="PC188" s="6"/>
      <c r="PD188" s="6"/>
      <c r="PE188" s="6"/>
      <c r="PF188" s="5" t="str">
        <f t="shared" si="552"/>
        <v>NO APLICA</v>
      </c>
      <c r="PG188" s="6"/>
      <c r="PH188" s="6"/>
      <c r="PI188" s="6"/>
      <c r="PJ188" s="6"/>
      <c r="PK188" s="5" t="str">
        <f t="shared" si="553"/>
        <v>NO APLICA</v>
      </c>
      <c r="PL188" s="5"/>
      <c r="PM188" s="6"/>
      <c r="PN188" s="4"/>
      <c r="PO188" s="8"/>
      <c r="PP188" s="5" t="str">
        <f t="shared" si="554"/>
        <v>NO APLICA</v>
      </c>
      <c r="PQ188" s="6"/>
      <c r="PR188" s="6"/>
      <c r="PS188" s="6"/>
      <c r="PT188" s="6"/>
      <c r="PU188" s="5" t="str">
        <f t="shared" si="555"/>
        <v>NO APLICA</v>
      </c>
      <c r="PV188" s="5"/>
      <c r="PW188" s="6"/>
      <c r="PX188" s="6"/>
      <c r="PY188" s="6"/>
      <c r="PZ188" s="5" t="str">
        <f t="shared" si="556"/>
        <v>NO APLICA</v>
      </c>
    </row>
    <row r="189" spans="1:442" ht="15.6" hidden="1" thickTop="1" thickBot="1" x14ac:dyDescent="0.35">
      <c r="A189" s="26">
        <v>186</v>
      </c>
      <c r="B189" s="31">
        <v>1699</v>
      </c>
      <c r="C189" s="28" t="s">
        <v>593</v>
      </c>
      <c r="D189" s="29" t="s">
        <v>68</v>
      </c>
      <c r="E189" s="30" t="s">
        <v>73</v>
      </c>
      <c r="F189" s="5"/>
      <c r="G189" s="6"/>
      <c r="H189" s="4"/>
      <c r="I189" s="8"/>
      <c r="J189" s="5" t="str">
        <f t="shared" si="455"/>
        <v>NO APLICA</v>
      </c>
      <c r="K189" s="5"/>
      <c r="L189" s="6"/>
      <c r="M189" s="6"/>
      <c r="N189" s="8"/>
      <c r="O189" s="5" t="str">
        <f t="shared" si="456"/>
        <v>NO APLICA</v>
      </c>
      <c r="P189" s="4"/>
      <c r="Q189" s="4"/>
      <c r="R189" s="4"/>
      <c r="S189" s="8"/>
      <c r="T189" s="5" t="str">
        <f t="shared" si="557"/>
        <v>NO APLICA</v>
      </c>
      <c r="U189" s="5"/>
      <c r="V189" s="2" t="s">
        <v>594</v>
      </c>
      <c r="W189" s="4">
        <v>45156</v>
      </c>
      <c r="X189" s="4">
        <f t="shared" si="587"/>
        <v>46983</v>
      </c>
      <c r="Y189" s="8">
        <f t="shared" ca="1" si="588"/>
        <v>838</v>
      </c>
      <c r="Z189" s="5" t="str">
        <f t="shared" ca="1" si="605"/>
        <v>VIGENTE</v>
      </c>
      <c r="AA189" s="5"/>
      <c r="AB189" s="2" t="s">
        <v>595</v>
      </c>
      <c r="AC189" s="4">
        <v>45162</v>
      </c>
      <c r="AD189" s="4">
        <f t="shared" si="619"/>
        <v>46989</v>
      </c>
      <c r="AE189" s="8">
        <f t="shared" ca="1" si="614"/>
        <v>844</v>
      </c>
      <c r="AF189" s="5" t="str">
        <f t="shared" ca="1" si="457"/>
        <v>VIGENTE</v>
      </c>
      <c r="AG189" s="3"/>
      <c r="AH189" s="4">
        <v>46006</v>
      </c>
      <c r="AI189" s="4">
        <f t="shared" ref="AI189:AI191" si="690">DATE(YEAR(AH189)+2,MONTH(AH189),DAY(AH189))</f>
        <v>46736</v>
      </c>
      <c r="AJ189" s="8">
        <f t="shared" ca="1" si="458"/>
        <v>591</v>
      </c>
      <c r="AK189" s="5" t="str">
        <f t="shared" ca="1" si="602"/>
        <v>VIGENTE</v>
      </c>
      <c r="AL189" s="3"/>
      <c r="AM189" s="4">
        <v>45959</v>
      </c>
      <c r="AN189" s="4">
        <f t="shared" si="673"/>
        <v>46689</v>
      </c>
      <c r="AO189" s="8">
        <f t="shared" ca="1" si="459"/>
        <v>544</v>
      </c>
      <c r="AP189" s="5" t="str">
        <f t="shared" ca="1" si="460"/>
        <v>VIGENTE</v>
      </c>
      <c r="AQ189" s="3"/>
      <c r="AR189" s="4">
        <v>45971</v>
      </c>
      <c r="AS189" s="4">
        <f t="shared" si="674"/>
        <v>46701</v>
      </c>
      <c r="AT189" s="8">
        <f t="shared" ca="1" si="461"/>
        <v>556</v>
      </c>
      <c r="AU189" s="5" t="str">
        <f t="shared" ca="1" si="462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3"/>
        <v>537</v>
      </c>
      <c r="AZ189" s="5" t="str">
        <f t="shared" ca="1" si="464"/>
        <v>VIGENTE</v>
      </c>
      <c r="BA189" s="3"/>
      <c r="BB189" s="4">
        <v>46041</v>
      </c>
      <c r="BC189" s="4">
        <f t="shared" si="675"/>
        <v>46771</v>
      </c>
      <c r="BD189" s="8">
        <f t="shared" ca="1" si="465"/>
        <v>626</v>
      </c>
      <c r="BE189" s="5" t="str">
        <f t="shared" ca="1" si="466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7"/>
        <v>572</v>
      </c>
      <c r="BJ189" s="5" t="str">
        <f t="shared" ca="1" si="468"/>
        <v>VIGENTE</v>
      </c>
      <c r="BK189" s="3"/>
      <c r="BL189" s="4">
        <v>46007</v>
      </c>
      <c r="BM189" s="4">
        <f t="shared" si="676"/>
        <v>46737</v>
      </c>
      <c r="BN189" s="8">
        <f t="shared" ca="1" si="469"/>
        <v>592</v>
      </c>
      <c r="BO189" s="5" t="str">
        <f t="shared" ca="1" si="470"/>
        <v>VIGENTE</v>
      </c>
      <c r="BP189" s="4"/>
      <c r="BQ189" s="39">
        <v>45981</v>
      </c>
      <c r="BR189" s="4">
        <f>DATE(YEAR(BQ189)+2,MONTH(BQ189),DAY(BQ189))</f>
        <v>46711</v>
      </c>
      <c r="BS189" s="8">
        <f t="shared" ca="1" si="471"/>
        <v>566</v>
      </c>
      <c r="BT189" s="5" t="str">
        <f t="shared" ca="1" si="472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3"/>
        <v>616</v>
      </c>
      <c r="BY189" s="5" t="str">
        <f t="shared" ca="1" si="474"/>
        <v>VIGENTE</v>
      </c>
      <c r="BZ189" s="2"/>
      <c r="CA189" s="4">
        <v>45986</v>
      </c>
      <c r="CB189" s="4">
        <f t="shared" si="677"/>
        <v>46716</v>
      </c>
      <c r="CC189" s="8">
        <f t="shared" ca="1" si="475"/>
        <v>571</v>
      </c>
      <c r="CD189" s="5" t="str">
        <f t="shared" ca="1" si="476"/>
        <v>VIGENTE</v>
      </c>
      <c r="CE189" s="6"/>
      <c r="CF189" s="4">
        <v>45164</v>
      </c>
      <c r="CG189" s="4">
        <f t="shared" si="590"/>
        <v>46625</v>
      </c>
      <c r="CH189" s="8">
        <f t="shared" ca="1" si="591"/>
        <v>480</v>
      </c>
      <c r="CI189" s="5" t="str">
        <f t="shared" ca="1" si="573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7"/>
        <v>603</v>
      </c>
      <c r="CN189" s="5" t="str">
        <f t="shared" ca="1" si="478"/>
        <v>VIGENTE</v>
      </c>
      <c r="CO189" s="4"/>
      <c r="CP189" s="39">
        <v>45979</v>
      </c>
      <c r="CQ189" s="4">
        <f t="shared" si="678"/>
        <v>46709</v>
      </c>
      <c r="CR189" s="8">
        <f t="shared" ca="1" si="479"/>
        <v>564</v>
      </c>
      <c r="CS189" s="5" t="str">
        <f t="shared" ca="1" si="480"/>
        <v>VIGENTE</v>
      </c>
      <c r="CT189" s="2"/>
      <c r="CU189" s="4">
        <v>45939</v>
      </c>
      <c r="CV189" s="4">
        <f t="shared" ref="CV189:CV191" si="691">DATE(YEAR(CU189)+2,MONTH(CU189),DAY(CU189))</f>
        <v>46669</v>
      </c>
      <c r="CW189" s="8">
        <f t="shared" ca="1" si="481"/>
        <v>524</v>
      </c>
      <c r="CX189" s="5" t="str">
        <f t="shared" ca="1" si="482"/>
        <v>VIGENTE</v>
      </c>
      <c r="CY189" s="3"/>
      <c r="CZ189" s="4">
        <v>46000</v>
      </c>
      <c r="DA189" s="4">
        <f t="shared" ref="DA189:DA191" si="692">DATE(YEAR(CZ189)+2,MONTH(CZ189),DAY(CZ189))</f>
        <v>46730</v>
      </c>
      <c r="DB189" s="8">
        <f t="shared" ca="1" si="483"/>
        <v>585</v>
      </c>
      <c r="DC189" s="5" t="str">
        <f t="shared" ca="1" si="484"/>
        <v>VIGENTE</v>
      </c>
      <c r="DD189" s="4"/>
      <c r="DE189" s="39">
        <v>46045</v>
      </c>
      <c r="DF189" s="4">
        <f>DATE(YEAR(DE189)+2,MONTH(DE189),DAY(DE189))</f>
        <v>46775</v>
      </c>
      <c r="DG189" s="8">
        <f t="shared" ca="1" si="485"/>
        <v>630</v>
      </c>
      <c r="DH189" s="5" t="str">
        <f t="shared" ca="1" si="486"/>
        <v>VIGENTE</v>
      </c>
      <c r="DI189" s="3"/>
      <c r="DJ189" s="39">
        <v>45955</v>
      </c>
      <c r="DK189" s="4">
        <f t="shared" si="679"/>
        <v>46685</v>
      </c>
      <c r="DL189" s="8">
        <f t="shared" ca="1" si="487"/>
        <v>540</v>
      </c>
      <c r="DM189" s="5" t="str">
        <f t="shared" ca="1" si="488"/>
        <v>VIGENTE</v>
      </c>
      <c r="DN189" s="3"/>
      <c r="DO189" s="4">
        <v>45982</v>
      </c>
      <c r="DP189" s="4">
        <f t="shared" si="680"/>
        <v>46712</v>
      </c>
      <c r="DQ189" s="8">
        <f t="shared" ca="1" si="489"/>
        <v>567</v>
      </c>
      <c r="DR189" s="5" t="str">
        <f t="shared" ca="1" si="490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1"/>
        <v>588</v>
      </c>
      <c r="DW189" s="5" t="str">
        <f t="shared" ca="1" si="492"/>
        <v>VIGENTE</v>
      </c>
      <c r="DX189" s="4"/>
      <c r="DY189" s="4">
        <v>46032</v>
      </c>
      <c r="DZ189" s="4">
        <f t="shared" si="681"/>
        <v>46762</v>
      </c>
      <c r="EA189" s="8">
        <f t="shared" ca="1" si="493"/>
        <v>617</v>
      </c>
      <c r="EB189" s="5" t="str">
        <f t="shared" ca="1" si="494"/>
        <v>VIGENTE</v>
      </c>
      <c r="EC189" s="4"/>
      <c r="ED189" s="39">
        <v>45994</v>
      </c>
      <c r="EE189" s="4">
        <f t="shared" si="637"/>
        <v>46724</v>
      </c>
      <c r="EF189" s="8">
        <f t="shared" ca="1" si="495"/>
        <v>579</v>
      </c>
      <c r="EG189" s="5" t="str">
        <f t="shared" ca="1" si="496"/>
        <v>VIGENTE</v>
      </c>
      <c r="EH189" s="3"/>
      <c r="EI189" s="4">
        <v>46123</v>
      </c>
      <c r="EJ189" s="4">
        <f t="shared" si="558"/>
        <v>46488</v>
      </c>
      <c r="EK189" s="8">
        <f t="shared" ca="1" si="497"/>
        <v>343</v>
      </c>
      <c r="EL189" s="5" t="str">
        <f t="shared" ca="1" si="498"/>
        <v>VIGENTE</v>
      </c>
      <c r="EM189" s="3"/>
      <c r="EN189" s="4">
        <v>45995</v>
      </c>
      <c r="EO189" s="4">
        <f t="shared" si="682"/>
        <v>46725</v>
      </c>
      <c r="EP189" s="8">
        <f t="shared" ca="1" si="499"/>
        <v>580</v>
      </c>
      <c r="EQ189" s="5" t="str">
        <f t="shared" ca="1" si="500"/>
        <v>VIGENTE</v>
      </c>
      <c r="ER189" s="2"/>
      <c r="ES189" s="39">
        <v>45999</v>
      </c>
      <c r="ET189" s="4">
        <f t="shared" si="683"/>
        <v>46729</v>
      </c>
      <c r="EU189" s="8">
        <f t="shared" ca="1" si="501"/>
        <v>584</v>
      </c>
      <c r="EV189" s="5" t="str">
        <f t="shared" ca="1" si="502"/>
        <v>VIGENTE</v>
      </c>
      <c r="EW189" s="3"/>
      <c r="EX189" s="4">
        <v>46063</v>
      </c>
      <c r="EY189" s="4">
        <f t="shared" si="684"/>
        <v>46793</v>
      </c>
      <c r="EZ189" s="8">
        <f t="shared" ca="1" si="503"/>
        <v>648</v>
      </c>
      <c r="FA189" s="5" t="str">
        <f t="shared" ca="1" si="504"/>
        <v>VIGENTE</v>
      </c>
      <c r="FB189" s="2"/>
      <c r="FC189" s="4">
        <v>45988</v>
      </c>
      <c r="FD189" s="4">
        <f t="shared" si="685"/>
        <v>46718</v>
      </c>
      <c r="FE189" s="8">
        <f t="shared" ca="1" si="505"/>
        <v>573</v>
      </c>
      <c r="FF189" s="5" t="str">
        <f t="shared" ca="1" si="506"/>
        <v>VIGENTE</v>
      </c>
      <c r="FG189" s="2"/>
      <c r="FH189" s="4">
        <v>45992</v>
      </c>
      <c r="FI189" s="4">
        <f t="shared" si="686"/>
        <v>46722</v>
      </c>
      <c r="FJ189" s="8">
        <f t="shared" ca="1" si="507"/>
        <v>577</v>
      </c>
      <c r="FK189" s="5" t="str">
        <f t="shared" ca="1" si="508"/>
        <v>VIGENTE</v>
      </c>
      <c r="FL189" s="4"/>
      <c r="FM189" s="39">
        <v>46039</v>
      </c>
      <c r="FN189" s="4">
        <f t="shared" si="687"/>
        <v>46769</v>
      </c>
      <c r="FO189" s="8">
        <f t="shared" ca="1" si="509"/>
        <v>624</v>
      </c>
      <c r="FP189" s="5" t="str">
        <f t="shared" ca="1" si="510"/>
        <v>VIGENTE</v>
      </c>
      <c r="FQ189" s="4"/>
      <c r="FR189" s="39">
        <v>46034</v>
      </c>
      <c r="FS189" s="4">
        <f t="shared" si="688"/>
        <v>46764</v>
      </c>
      <c r="FT189" s="8">
        <f t="shared" ca="1" si="511"/>
        <v>619</v>
      </c>
      <c r="FU189" s="5" t="str">
        <f t="shared" ca="1" si="512"/>
        <v>VIGENTE</v>
      </c>
      <c r="FV189" s="3"/>
      <c r="FW189" s="4">
        <v>45993</v>
      </c>
      <c r="FX189" s="4">
        <f t="shared" ref="FX189:FX191" si="693">DATE(YEAR(FW189)+2,MONTH(FW189),DAY(FW189))</f>
        <v>46723</v>
      </c>
      <c r="FY189" s="8">
        <f t="shared" ca="1" si="513"/>
        <v>578</v>
      </c>
      <c r="FZ189" s="5" t="str">
        <f t="shared" ca="1" si="514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5"/>
        <v>510</v>
      </c>
      <c r="GE189" s="5" t="str">
        <f t="shared" ca="1" si="516"/>
        <v>VIGENTE</v>
      </c>
      <c r="GF189" s="3"/>
      <c r="GG189" s="4">
        <v>45960</v>
      </c>
      <c r="GH189" s="4">
        <f t="shared" si="689"/>
        <v>46690</v>
      </c>
      <c r="GI189" s="8">
        <f t="shared" ca="1" si="517"/>
        <v>545</v>
      </c>
      <c r="GJ189" s="5" t="str">
        <f t="shared" ca="1" si="518"/>
        <v>VIGENTE</v>
      </c>
      <c r="GK189" s="3"/>
      <c r="GL189" s="4">
        <v>45499</v>
      </c>
      <c r="GM189" s="4">
        <f t="shared" si="647"/>
        <v>46228</v>
      </c>
      <c r="GN189" s="8">
        <f t="shared" ca="1" si="519"/>
        <v>83</v>
      </c>
      <c r="GO189" s="5" t="str">
        <f t="shared" ca="1" si="520"/>
        <v>VIGENTE</v>
      </c>
      <c r="GP189" s="4"/>
      <c r="GQ189" s="4">
        <v>45299</v>
      </c>
      <c r="GR189" s="4">
        <f t="shared" si="521"/>
        <v>47126</v>
      </c>
      <c r="GS189" s="8">
        <f t="shared" ca="1" si="601"/>
        <v>981</v>
      </c>
      <c r="GT189" s="5" t="str">
        <f t="shared" ca="1" si="610"/>
        <v>VIGENTE</v>
      </c>
      <c r="GU189" s="3"/>
      <c r="GV189" s="4">
        <v>45329</v>
      </c>
      <c r="GW189" s="4">
        <f t="shared" si="522"/>
        <v>47156</v>
      </c>
      <c r="GX189" s="8">
        <f t="shared" ca="1" si="523"/>
        <v>1011</v>
      </c>
      <c r="GY189" s="5" t="str">
        <f t="shared" ca="1" si="611"/>
        <v>VIGENTE</v>
      </c>
      <c r="GZ189" s="2"/>
      <c r="HA189" s="4">
        <v>45343</v>
      </c>
      <c r="HB189" s="4">
        <f t="shared" si="524"/>
        <v>47170</v>
      </c>
      <c r="HC189" s="8">
        <f t="shared" ca="1" si="525"/>
        <v>1025</v>
      </c>
      <c r="HD189" s="5" t="str">
        <f t="shared" ca="1" si="612"/>
        <v>VIGENTE</v>
      </c>
      <c r="HE189" s="6"/>
      <c r="HF189" s="4">
        <v>45317</v>
      </c>
      <c r="HG189" s="4">
        <f t="shared" si="648"/>
        <v>47144</v>
      </c>
      <c r="HH189" s="8">
        <f t="shared" ca="1" si="616"/>
        <v>999</v>
      </c>
      <c r="HI189" s="5" t="str">
        <f t="shared" ca="1" si="613"/>
        <v>VIGENTE</v>
      </c>
      <c r="HJ189" s="2"/>
      <c r="HK189" s="6"/>
      <c r="HL189" s="4"/>
      <c r="HM189" s="8"/>
      <c r="HN189" s="5" t="str">
        <f t="shared" ref="HN189:HN240" si="694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6"/>
        <v>NO APLICA</v>
      </c>
      <c r="HT189" s="2"/>
      <c r="HU189" s="6"/>
      <c r="HV189" s="4"/>
      <c r="HW189" s="8"/>
      <c r="HX189" s="5" t="str">
        <f t="shared" si="527"/>
        <v>NO APLICA</v>
      </c>
      <c r="HY189" s="2"/>
      <c r="HZ189" s="6"/>
      <c r="IA189" s="4"/>
      <c r="IB189" s="8"/>
      <c r="IC189" s="5" t="str">
        <f t="shared" si="528"/>
        <v>NO APLICA</v>
      </c>
      <c r="ID189" s="2"/>
      <c r="IE189" s="6"/>
      <c r="IF189" s="4"/>
      <c r="IG189" s="8"/>
      <c r="IH189" s="5" t="str">
        <f t="shared" si="529"/>
        <v>NO APLICA</v>
      </c>
      <c r="II189" s="6"/>
      <c r="IJ189" s="6"/>
      <c r="IK189" s="4"/>
      <c r="IL189" s="8"/>
      <c r="IM189" s="5" t="str">
        <f t="shared" si="530"/>
        <v>NO APLICA</v>
      </c>
      <c r="IN189" s="2"/>
      <c r="IO189" s="6"/>
      <c r="IP189" s="4"/>
      <c r="IQ189" s="8"/>
      <c r="IR189" s="5" t="str">
        <f t="shared" si="531"/>
        <v>NO APLICA</v>
      </c>
      <c r="IS189" s="2"/>
      <c r="IT189" s="6"/>
      <c r="IU189" s="4"/>
      <c r="IV189" s="8"/>
      <c r="IW189" s="5" t="str">
        <f t="shared" si="532"/>
        <v>NO APLICA</v>
      </c>
      <c r="IX189" s="2"/>
      <c r="IY189" s="6"/>
      <c r="IZ189" s="4"/>
      <c r="JA189" s="8"/>
      <c r="JB189" s="5" t="str">
        <f t="shared" si="533"/>
        <v>NO APLICA</v>
      </c>
      <c r="JC189" s="3" t="s">
        <v>780</v>
      </c>
      <c r="JD189" s="3"/>
      <c r="JE189" s="4"/>
      <c r="JF189" s="8"/>
      <c r="JG189" s="5"/>
      <c r="JH189" s="3" t="s">
        <v>780</v>
      </c>
      <c r="JI189" s="6"/>
      <c r="JJ189" s="6"/>
      <c r="JK189" s="6"/>
      <c r="JL189" s="5"/>
      <c r="JM189" s="6" t="s">
        <v>780</v>
      </c>
      <c r="JN189" s="6"/>
      <c r="JO189" s="6"/>
      <c r="JP189" s="6"/>
      <c r="JQ189" s="5"/>
      <c r="JR189" s="6" t="s">
        <v>780</v>
      </c>
      <c r="JS189" s="6"/>
      <c r="JT189" s="6"/>
      <c r="JU189" s="6"/>
      <c r="JV189" s="5"/>
      <c r="JW189" s="6" t="s">
        <v>780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4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5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5"/>
        <v>NO APLICA</v>
      </c>
      <c r="LA189" s="5"/>
      <c r="LB189" s="6"/>
      <c r="LC189" s="4"/>
      <c r="LD189" s="8"/>
      <c r="LE189" s="5" t="str">
        <f t="shared" si="561"/>
        <v>NO APLICA</v>
      </c>
      <c r="LF189" s="6"/>
      <c r="LG189" s="6"/>
      <c r="LH189" s="4"/>
      <c r="LI189" s="8"/>
      <c r="LJ189" s="5" t="str">
        <f t="shared" si="600"/>
        <v>NO APLICA</v>
      </c>
      <c r="LK189" s="5"/>
      <c r="LL189" s="5"/>
      <c r="LM189" s="4"/>
      <c r="LN189" s="8"/>
      <c r="LO189" s="5" t="str">
        <f t="shared" si="566"/>
        <v>NO APLICA</v>
      </c>
      <c r="LP189" s="2"/>
      <c r="LQ189" s="6"/>
      <c r="LR189" s="4"/>
      <c r="LS189" s="8"/>
      <c r="LT189" s="5" t="str">
        <f t="shared" si="562"/>
        <v>NO APLICA</v>
      </c>
      <c r="LU189" s="6"/>
      <c r="LV189" s="6"/>
      <c r="LW189" s="4"/>
      <c r="LX189" s="8"/>
      <c r="LY189" s="5" t="str">
        <f t="shared" si="563"/>
        <v>NO APLICA</v>
      </c>
      <c r="LZ189" s="6"/>
      <c r="MA189" s="6"/>
      <c r="MB189" s="4"/>
      <c r="MC189" s="8"/>
      <c r="MD189" s="5" t="str">
        <f t="shared" si="564"/>
        <v>NO APLICA</v>
      </c>
      <c r="ME189" s="2"/>
      <c r="MF189" s="2"/>
      <c r="MG189" s="4"/>
      <c r="MH189" s="8"/>
      <c r="MI189" s="5" t="str">
        <f t="shared" si="537"/>
        <v>NO APLICA</v>
      </c>
      <c r="MJ189" s="2"/>
      <c r="MK189" s="2"/>
      <c r="ML189" s="4"/>
      <c r="MM189" s="8"/>
      <c r="MN189" s="5" t="str">
        <f t="shared" si="538"/>
        <v>NO APLICA</v>
      </c>
      <c r="MO189" s="5"/>
      <c r="MP189" s="2"/>
      <c r="MQ189" s="4"/>
      <c r="MR189" s="8"/>
      <c r="MS189" s="5" t="str">
        <f t="shared" si="539"/>
        <v>NO APLICA</v>
      </c>
      <c r="MT189" s="5"/>
      <c r="MU189" s="2"/>
      <c r="MV189" s="4"/>
      <c r="MW189" s="2"/>
      <c r="MX189" s="5" t="str">
        <f t="shared" si="540"/>
        <v>NO APLICA</v>
      </c>
      <c r="MY189" s="2"/>
      <c r="MZ189" s="6"/>
      <c r="NA189" s="4"/>
      <c r="NB189" s="8"/>
      <c r="NC189" s="5" t="str">
        <f t="shared" si="541"/>
        <v>NO APLICA</v>
      </c>
      <c r="ND189" s="2"/>
      <c r="NE189" s="6"/>
      <c r="NF189" s="4"/>
      <c r="NG189" s="8"/>
      <c r="NH189" s="5" t="str">
        <f t="shared" si="542"/>
        <v>NO APLICA</v>
      </c>
      <c r="NI189" s="2"/>
      <c r="NJ189" s="6"/>
      <c r="NK189" s="4"/>
      <c r="NL189" s="8"/>
      <c r="NM189" s="5" t="str">
        <f t="shared" si="543"/>
        <v>NO APLICA</v>
      </c>
      <c r="NN189" s="2"/>
      <c r="NO189" s="2"/>
      <c r="NP189" s="4"/>
      <c r="NQ189" s="8"/>
      <c r="NR189" s="5" t="str">
        <f t="shared" si="544"/>
        <v>NO APLICA</v>
      </c>
      <c r="NS189" s="2"/>
      <c r="NT189" s="2"/>
      <c r="NU189" s="4"/>
      <c r="NV189" s="2"/>
      <c r="NW189" s="5" t="str">
        <f t="shared" si="545"/>
        <v>NO APLICA</v>
      </c>
      <c r="NX189" s="6"/>
      <c r="NY189" s="6"/>
      <c r="NZ189" s="4"/>
      <c r="OA189" s="8"/>
      <c r="OB189" s="5" t="str">
        <f t="shared" si="546"/>
        <v>NO APLICA</v>
      </c>
      <c r="OC189" s="6"/>
      <c r="OD189" s="6"/>
      <c r="OE189" s="6"/>
      <c r="OF189" s="6"/>
      <c r="OG189" s="5" t="str">
        <f t="shared" si="547"/>
        <v>NO APLICA</v>
      </c>
      <c r="OH189" s="6"/>
      <c r="OI189" s="6"/>
      <c r="OJ189" s="4"/>
      <c r="OK189" s="8"/>
      <c r="OL189" s="5" t="str">
        <f t="shared" si="548"/>
        <v>NO APLICA</v>
      </c>
      <c r="OM189" s="6"/>
      <c r="ON189" s="6"/>
      <c r="OO189" s="6"/>
      <c r="OP189" s="6"/>
      <c r="OQ189" s="5" t="str">
        <f t="shared" si="549"/>
        <v>NO APLICA</v>
      </c>
      <c r="OR189" s="6"/>
      <c r="OS189" s="6"/>
      <c r="OT189" s="6"/>
      <c r="OU189" s="6"/>
      <c r="OV189" s="5" t="str">
        <f t="shared" si="550"/>
        <v>NO APLICA</v>
      </c>
      <c r="OW189" s="6"/>
      <c r="OX189" s="6"/>
      <c r="OY189" s="6"/>
      <c r="OZ189" s="6"/>
      <c r="PA189" s="5" t="str">
        <f t="shared" si="551"/>
        <v>NO APLICA</v>
      </c>
      <c r="PB189" s="6"/>
      <c r="PC189" s="6"/>
      <c r="PD189" s="6"/>
      <c r="PE189" s="6"/>
      <c r="PF189" s="5" t="str">
        <f t="shared" si="552"/>
        <v>NO APLICA</v>
      </c>
      <c r="PG189" s="6"/>
      <c r="PH189" s="6"/>
      <c r="PI189" s="6"/>
      <c r="PJ189" s="6"/>
      <c r="PK189" s="5" t="str">
        <f t="shared" si="553"/>
        <v>NO APLICA</v>
      </c>
      <c r="PL189" s="5"/>
      <c r="PM189" s="6"/>
      <c r="PN189" s="4"/>
      <c r="PO189" s="8"/>
      <c r="PP189" s="5" t="str">
        <f t="shared" si="554"/>
        <v>NO APLICA</v>
      </c>
      <c r="PQ189" s="6"/>
      <c r="PR189" s="6"/>
      <c r="PS189" s="6"/>
      <c r="PT189" s="6"/>
      <c r="PU189" s="5" t="str">
        <f t="shared" si="555"/>
        <v>NO APLICA</v>
      </c>
      <c r="PV189" s="5"/>
      <c r="PW189" s="6"/>
      <c r="PX189" s="6"/>
      <c r="PY189" s="6"/>
      <c r="PZ189" s="5" t="str">
        <f t="shared" si="556"/>
        <v>NO APLICA</v>
      </c>
    </row>
    <row r="190" spans="1:442" ht="15.6" hidden="1" thickTop="1" thickBot="1" x14ac:dyDescent="0.35">
      <c r="A190" s="26">
        <v>187</v>
      </c>
      <c r="B190" s="27">
        <v>815</v>
      </c>
      <c r="C190" s="28" t="s">
        <v>596</v>
      </c>
      <c r="D190" s="29" t="s">
        <v>113</v>
      </c>
      <c r="E190" s="30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6"/>
        <v>NO APLICA</v>
      </c>
      <c r="P190" s="6"/>
      <c r="Q190" s="6"/>
      <c r="R190" s="4"/>
      <c r="S190" s="8"/>
      <c r="T190" s="5" t="str">
        <f t="shared" si="557"/>
        <v>NO APLICA</v>
      </c>
      <c r="U190" s="5"/>
      <c r="V190" s="2" t="s">
        <v>597</v>
      </c>
      <c r="W190" s="4">
        <v>44801</v>
      </c>
      <c r="X190" s="4">
        <f t="shared" si="587"/>
        <v>46627</v>
      </c>
      <c r="Y190" s="8">
        <f t="shared" ca="1" si="588"/>
        <v>482</v>
      </c>
      <c r="Z190" s="5" t="str">
        <f t="shared" ca="1" si="605"/>
        <v>VIGENTE</v>
      </c>
      <c r="AA190" s="5"/>
      <c r="AB190" s="2"/>
      <c r="AC190" s="6"/>
      <c r="AD190" s="4"/>
      <c r="AE190" s="8"/>
      <c r="AF190" s="5" t="str">
        <f t="shared" si="457"/>
        <v>NO APLICA</v>
      </c>
      <c r="AG190" s="3"/>
      <c r="AH190" s="4">
        <v>45936</v>
      </c>
      <c r="AI190" s="4">
        <f t="shared" si="690"/>
        <v>46666</v>
      </c>
      <c r="AJ190" s="8">
        <f t="shared" ca="1" si="458"/>
        <v>521</v>
      </c>
      <c r="AK190" s="5" t="str">
        <f t="shared" ca="1" si="602"/>
        <v>VIGENTE</v>
      </c>
      <c r="AL190" s="3"/>
      <c r="AM190" s="4">
        <v>45903</v>
      </c>
      <c r="AN190" s="4">
        <f t="shared" si="673"/>
        <v>46633</v>
      </c>
      <c r="AO190" s="8">
        <f t="shared" ca="1" si="459"/>
        <v>488</v>
      </c>
      <c r="AP190" s="5" t="str">
        <f t="shared" ca="1" si="460"/>
        <v>VIGENTE</v>
      </c>
      <c r="AQ190" s="3"/>
      <c r="AR190" s="4">
        <v>45904</v>
      </c>
      <c r="AS190" s="4">
        <f t="shared" si="674"/>
        <v>46634</v>
      </c>
      <c r="AT190" s="8">
        <f t="shared" ca="1" si="461"/>
        <v>489</v>
      </c>
      <c r="AU190" s="5" t="str">
        <f t="shared" ca="1" si="462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3"/>
        <v>575</v>
      </c>
      <c r="AZ190" s="5" t="str">
        <f t="shared" ca="1" si="464"/>
        <v>VIGENTE</v>
      </c>
      <c r="BA190" s="3"/>
      <c r="BB190" s="4">
        <v>45603</v>
      </c>
      <c r="BC190" s="4">
        <f t="shared" si="624"/>
        <v>46332</v>
      </c>
      <c r="BD190" s="8">
        <f t="shared" ca="1" si="465"/>
        <v>187</v>
      </c>
      <c r="BE190" s="5" t="str">
        <f t="shared" ca="1" si="466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7"/>
        <v>553</v>
      </c>
      <c r="BJ190" s="5" t="str">
        <f t="shared" ca="1" si="468"/>
        <v>VIGENTE</v>
      </c>
      <c r="BK190" s="3"/>
      <c r="BL190" s="4">
        <v>46090</v>
      </c>
      <c r="BM190" s="4">
        <f t="shared" si="676"/>
        <v>46821</v>
      </c>
      <c r="BN190" s="8">
        <f t="shared" ca="1" si="469"/>
        <v>676</v>
      </c>
      <c r="BO190" s="5" t="str">
        <f t="shared" ca="1" si="470"/>
        <v>VIGENTE</v>
      </c>
      <c r="BP190" s="3"/>
      <c r="BQ190" s="39">
        <v>46120</v>
      </c>
      <c r="BR190" s="4">
        <f>DATE(YEAR(BQ190)+2,MONTH(BQ190),DAY(BQ190)-1)</f>
        <v>46850</v>
      </c>
      <c r="BS190" s="8">
        <f t="shared" ca="1" si="471"/>
        <v>705</v>
      </c>
      <c r="BT190" s="5" t="str">
        <f t="shared" ca="1" si="472"/>
        <v>VIGENTE</v>
      </c>
      <c r="BU190" s="3"/>
      <c r="BV190" s="4">
        <v>45853</v>
      </c>
      <c r="BW190" s="4">
        <f>DATE(YEAR(BV190)+2,MONTH(BV190),DAY(BV190))</f>
        <v>46583</v>
      </c>
      <c r="BX190" s="8">
        <f t="shared" ca="1" si="473"/>
        <v>438</v>
      </c>
      <c r="BY190" s="5" t="str">
        <f t="shared" ca="1" si="474"/>
        <v>VIGENTE</v>
      </c>
      <c r="BZ190" s="3"/>
      <c r="CA190" s="4">
        <v>45944</v>
      </c>
      <c r="CB190" s="4">
        <f t="shared" si="677"/>
        <v>46674</v>
      </c>
      <c r="CC190" s="8">
        <f t="shared" ca="1" si="475"/>
        <v>529</v>
      </c>
      <c r="CD190" s="5" t="str">
        <f t="shared" ca="1" si="476"/>
        <v>VIGENTE</v>
      </c>
      <c r="CE190" s="6"/>
      <c r="CF190" s="4">
        <v>45616</v>
      </c>
      <c r="CG190" s="4">
        <f t="shared" si="590"/>
        <v>47077</v>
      </c>
      <c r="CH190" s="8">
        <f t="shared" ca="1" si="591"/>
        <v>932</v>
      </c>
      <c r="CI190" s="5" t="str">
        <f t="shared" ca="1" si="573"/>
        <v>VIGENTE</v>
      </c>
      <c r="CJ190" s="4"/>
      <c r="CK190" s="4">
        <v>45504</v>
      </c>
      <c r="CL190" s="4">
        <f t="shared" si="629"/>
        <v>46233</v>
      </c>
      <c r="CM190" s="8">
        <f t="shared" ca="1" si="477"/>
        <v>88</v>
      </c>
      <c r="CN190" s="5" t="str">
        <f t="shared" ca="1" si="478"/>
        <v>POR VENCER</v>
      </c>
      <c r="CO190" s="3"/>
      <c r="CP190" s="39">
        <v>45517</v>
      </c>
      <c r="CQ190" s="4">
        <f t="shared" si="630"/>
        <v>46246</v>
      </c>
      <c r="CR190" s="8">
        <f t="shared" ca="1" si="479"/>
        <v>101</v>
      </c>
      <c r="CS190" s="5" t="str">
        <f t="shared" ca="1" si="480"/>
        <v>VIGENTE</v>
      </c>
      <c r="CT190" s="3"/>
      <c r="CU190" s="4">
        <v>45905</v>
      </c>
      <c r="CV190" s="4">
        <f t="shared" si="691"/>
        <v>46635</v>
      </c>
      <c r="CW190" s="8">
        <f t="shared" ca="1" si="481"/>
        <v>490</v>
      </c>
      <c r="CX190" s="5" t="str">
        <f t="shared" ca="1" si="482"/>
        <v>VIGENTE</v>
      </c>
      <c r="CY190" s="3"/>
      <c r="CZ190" s="4">
        <v>45924</v>
      </c>
      <c r="DA190" s="4">
        <f t="shared" si="692"/>
        <v>46654</v>
      </c>
      <c r="DB190" s="8">
        <f t="shared" ca="1" si="483"/>
        <v>509</v>
      </c>
      <c r="DC190" s="5" t="str">
        <f t="shared" ca="1" si="484"/>
        <v>VIGENTE</v>
      </c>
      <c r="DD190" s="3"/>
      <c r="DE190" s="39">
        <v>46123</v>
      </c>
      <c r="DF190" s="4">
        <f t="shared" si="633"/>
        <v>46853</v>
      </c>
      <c r="DG190" s="8">
        <f t="shared" ca="1" si="485"/>
        <v>708</v>
      </c>
      <c r="DH190" s="5" t="str">
        <f t="shared" ca="1" si="486"/>
        <v>VIGENTE</v>
      </c>
      <c r="DI190" s="3"/>
      <c r="DJ190" s="39">
        <v>45899</v>
      </c>
      <c r="DK190" s="4">
        <f t="shared" si="679"/>
        <v>46629</v>
      </c>
      <c r="DL190" s="8">
        <f t="shared" ca="1" si="487"/>
        <v>484</v>
      </c>
      <c r="DM190" s="5" t="str">
        <f t="shared" ca="1" si="488"/>
        <v>VIGENTE</v>
      </c>
      <c r="DN190" s="3"/>
      <c r="DO190" s="4">
        <v>45982</v>
      </c>
      <c r="DP190" s="4">
        <f t="shared" si="680"/>
        <v>46712</v>
      </c>
      <c r="DQ190" s="8">
        <f t="shared" ca="1" si="489"/>
        <v>567</v>
      </c>
      <c r="DR190" s="5" t="str">
        <f t="shared" ca="1" si="490"/>
        <v>VIGENTE</v>
      </c>
      <c r="DS190" s="3"/>
      <c r="DT190" s="4">
        <v>45608</v>
      </c>
      <c r="DU190" s="4">
        <f t="shared" si="668"/>
        <v>46337</v>
      </c>
      <c r="DV190" s="8">
        <f t="shared" ca="1" si="491"/>
        <v>192</v>
      </c>
      <c r="DW190" s="5" t="str">
        <f t="shared" ca="1" si="492"/>
        <v>VIGENTE</v>
      </c>
      <c r="DX190" s="3"/>
      <c r="DY190" s="4">
        <v>45612</v>
      </c>
      <c r="DZ190" s="4">
        <f t="shared" si="636"/>
        <v>46341</v>
      </c>
      <c r="EA190" s="8">
        <f t="shared" ca="1" si="493"/>
        <v>196</v>
      </c>
      <c r="EB190" s="5" t="str">
        <f t="shared" ca="1" si="494"/>
        <v>VIGENTE</v>
      </c>
      <c r="EC190" s="3"/>
      <c r="ED190" s="39">
        <v>45674</v>
      </c>
      <c r="EE190" s="4">
        <f>DATE(YEAR(ED190)+2,MONTH(ED190),DAY(ED190)-1)</f>
        <v>46403</v>
      </c>
      <c r="EF190" s="8">
        <f t="shared" ca="1" si="495"/>
        <v>258</v>
      </c>
      <c r="EG190" s="5" t="str">
        <f t="shared" ca="1" si="496"/>
        <v>VIGENTE</v>
      </c>
      <c r="EH190" s="3"/>
      <c r="EI190" s="3">
        <v>46085</v>
      </c>
      <c r="EJ190" s="4">
        <f t="shared" si="558"/>
        <v>46450</v>
      </c>
      <c r="EK190" s="8">
        <f t="shared" ca="1" si="497"/>
        <v>305</v>
      </c>
      <c r="EL190" s="5" t="str">
        <f t="shared" ca="1" si="498"/>
        <v>VIGENTE</v>
      </c>
      <c r="EM190" s="3"/>
      <c r="EN190" s="4">
        <v>45465</v>
      </c>
      <c r="EO190" s="4">
        <f t="shared" si="638"/>
        <v>46194</v>
      </c>
      <c r="EP190" s="8">
        <f t="shared" ca="1" si="499"/>
        <v>49</v>
      </c>
      <c r="EQ190" s="5" t="str">
        <f t="shared" ca="1" si="500"/>
        <v>POR VENCER</v>
      </c>
      <c r="ER190" s="3"/>
      <c r="ES190" s="39">
        <v>45575</v>
      </c>
      <c r="ET190" s="4">
        <f t="shared" si="669"/>
        <v>46304</v>
      </c>
      <c r="EU190" s="8">
        <f t="shared" ca="1" si="501"/>
        <v>159</v>
      </c>
      <c r="EV190" s="5" t="str">
        <f t="shared" ca="1" si="502"/>
        <v>VIGENTE</v>
      </c>
      <c r="EW190" s="3"/>
      <c r="EX190" s="4">
        <v>45917</v>
      </c>
      <c r="EY190" s="4">
        <f t="shared" si="684"/>
        <v>46647</v>
      </c>
      <c r="EZ190" s="8">
        <f t="shared" ca="1" si="503"/>
        <v>502</v>
      </c>
      <c r="FA190" s="5" t="str">
        <f t="shared" ca="1" si="504"/>
        <v>VIGENTE</v>
      </c>
      <c r="FB190" s="3"/>
      <c r="FC190" s="4">
        <v>45611</v>
      </c>
      <c r="FD190" s="4">
        <f t="shared" si="671"/>
        <v>46340</v>
      </c>
      <c r="FE190" s="8">
        <f t="shared" ca="1" si="505"/>
        <v>195</v>
      </c>
      <c r="FF190" s="5" t="str">
        <f t="shared" ca="1" si="506"/>
        <v>VIGENTE</v>
      </c>
      <c r="FG190" s="3"/>
      <c r="FH190" s="4">
        <v>45932</v>
      </c>
      <c r="FI190" s="4">
        <f t="shared" si="686"/>
        <v>46662</v>
      </c>
      <c r="FJ190" s="8">
        <f t="shared" ca="1" si="507"/>
        <v>517</v>
      </c>
      <c r="FK190" s="5" t="str">
        <f t="shared" ca="1" si="508"/>
        <v>VIGENTE</v>
      </c>
      <c r="FL190" s="3"/>
      <c r="FM190" s="39">
        <v>45588</v>
      </c>
      <c r="FN190" s="4">
        <f t="shared" si="672"/>
        <v>46317</v>
      </c>
      <c r="FO190" s="8">
        <f t="shared" ca="1" si="509"/>
        <v>172</v>
      </c>
      <c r="FP190" s="5" t="str">
        <f t="shared" ca="1" si="510"/>
        <v>VIGENTE</v>
      </c>
      <c r="FQ190" s="3"/>
      <c r="FR190" s="39">
        <v>45466</v>
      </c>
      <c r="FS190" s="4">
        <f t="shared" si="643"/>
        <v>46195</v>
      </c>
      <c r="FT190" s="8">
        <f t="shared" ca="1" si="511"/>
        <v>50</v>
      </c>
      <c r="FU190" s="5" t="str">
        <f t="shared" ca="1" si="512"/>
        <v>POR VENCER</v>
      </c>
      <c r="FV190" s="3"/>
      <c r="FW190" s="4">
        <v>45941</v>
      </c>
      <c r="FX190" s="4">
        <f t="shared" si="693"/>
        <v>46671</v>
      </c>
      <c r="FY190" s="8">
        <f t="shared" ca="1" si="513"/>
        <v>526</v>
      </c>
      <c r="FZ190" s="5" t="str">
        <f t="shared" ca="1" si="514"/>
        <v>VIGENTE</v>
      </c>
      <c r="GA190" s="3"/>
      <c r="GB190" s="4">
        <v>45667</v>
      </c>
      <c r="GC190" s="4">
        <f t="shared" si="645"/>
        <v>46396</v>
      </c>
      <c r="GD190" s="8">
        <f t="shared" ca="1" si="515"/>
        <v>251</v>
      </c>
      <c r="GE190" s="5" t="str">
        <f t="shared" ca="1" si="516"/>
        <v>VIGENTE</v>
      </c>
      <c r="GF190" s="3"/>
      <c r="GG190" s="4">
        <v>46092</v>
      </c>
      <c r="GH190" s="4">
        <f t="shared" si="689"/>
        <v>46823</v>
      </c>
      <c r="GI190" s="8">
        <f t="shared" ca="1" si="517"/>
        <v>678</v>
      </c>
      <c r="GJ190" s="5" t="str">
        <f t="shared" ca="1" si="518"/>
        <v>VIGENTE</v>
      </c>
      <c r="GK190" s="3"/>
      <c r="GL190" s="4">
        <v>45945</v>
      </c>
      <c r="GM190" s="4">
        <f t="shared" ref="GM190:GM191" si="695">DATE(YEAR(GL190)+2,MONTH(GL190),DAY(GL190))</f>
        <v>46675</v>
      </c>
      <c r="GN190" s="8">
        <f t="shared" ca="1" si="519"/>
        <v>530</v>
      </c>
      <c r="GO190" s="5" t="str">
        <f t="shared" ca="1" si="520"/>
        <v>VIGENTE</v>
      </c>
      <c r="GP190" s="4"/>
      <c r="GQ190" s="4">
        <v>45048</v>
      </c>
      <c r="GR190" s="4">
        <f t="shared" si="521"/>
        <v>46875</v>
      </c>
      <c r="GS190" s="8">
        <f t="shared" ca="1" si="601"/>
        <v>730</v>
      </c>
      <c r="GT190" s="5" t="str">
        <f t="shared" ca="1" si="610"/>
        <v>VIGENTE</v>
      </c>
      <c r="GU190" s="3"/>
      <c r="GV190" s="4">
        <v>44979</v>
      </c>
      <c r="GW190" s="4">
        <f t="shared" si="522"/>
        <v>46805</v>
      </c>
      <c r="GX190" s="8">
        <f t="shared" ca="1" si="523"/>
        <v>660</v>
      </c>
      <c r="GY190" s="5" t="str">
        <f t="shared" ca="1" si="611"/>
        <v>VIGENTE</v>
      </c>
      <c r="GZ190" s="2"/>
      <c r="HA190" s="4">
        <v>45003</v>
      </c>
      <c r="HB190" s="4">
        <f t="shared" si="524"/>
        <v>46830</v>
      </c>
      <c r="HC190" s="8">
        <f t="shared" ca="1" si="525"/>
        <v>685</v>
      </c>
      <c r="HD190" s="5" t="str">
        <f t="shared" ca="1" si="612"/>
        <v>VIGENTE</v>
      </c>
      <c r="HE190" s="6"/>
      <c r="HF190" s="6"/>
      <c r="HG190" s="4"/>
      <c r="HH190" s="8"/>
      <c r="HI190" s="5" t="str">
        <f t="shared" si="613"/>
        <v>NO APLICA</v>
      </c>
      <c r="HJ190" s="2"/>
      <c r="HK190" s="6"/>
      <c r="HL190" s="4"/>
      <c r="HM190" s="8"/>
      <c r="HN190" s="5" t="str">
        <f t="shared" si="694"/>
        <v>NO APLICA</v>
      </c>
      <c r="HO190" s="2"/>
      <c r="HP190" s="2"/>
      <c r="HQ190" s="4"/>
      <c r="HR190" s="2"/>
      <c r="HS190" s="5" t="str">
        <f t="shared" si="526"/>
        <v>NO APLICA</v>
      </c>
      <c r="HT190" s="2"/>
      <c r="HU190" s="6"/>
      <c r="HV190" s="4"/>
      <c r="HW190" s="8"/>
      <c r="HX190" s="5" t="str">
        <f t="shared" si="527"/>
        <v>NO APLICA</v>
      </c>
      <c r="HY190" s="2"/>
      <c r="HZ190" s="6"/>
      <c r="IA190" s="4"/>
      <c r="IB190" s="8"/>
      <c r="IC190" s="5" t="str">
        <f t="shared" si="528"/>
        <v>NO APLICA</v>
      </c>
      <c r="ID190" s="2"/>
      <c r="IE190" s="6"/>
      <c r="IF190" s="4"/>
      <c r="IG190" s="8"/>
      <c r="IH190" s="5" t="str">
        <f t="shared" si="529"/>
        <v>NO APLICA</v>
      </c>
      <c r="II190" s="6"/>
      <c r="IJ190" s="6"/>
      <c r="IK190" s="4"/>
      <c r="IL190" s="8"/>
      <c r="IM190" s="5" t="str">
        <f t="shared" si="530"/>
        <v>NO APLICA</v>
      </c>
      <c r="IN190" s="2"/>
      <c r="IO190" s="6"/>
      <c r="IP190" s="4"/>
      <c r="IQ190" s="8"/>
      <c r="IR190" s="5" t="str">
        <f t="shared" si="531"/>
        <v>NO APLICA</v>
      </c>
      <c r="IS190" s="2"/>
      <c r="IT190" s="6"/>
      <c r="IU190" s="4"/>
      <c r="IV190" s="8"/>
      <c r="IW190" s="5" t="str">
        <f t="shared" si="532"/>
        <v>NO APLICA</v>
      </c>
      <c r="IX190" s="2"/>
      <c r="IY190" s="6"/>
      <c r="IZ190" s="4"/>
      <c r="JA190" s="8"/>
      <c r="JB190" s="5" t="str">
        <f t="shared" si="533"/>
        <v>NO APLICA</v>
      </c>
      <c r="JC190" s="3" t="s">
        <v>780</v>
      </c>
      <c r="JD190" s="3"/>
      <c r="JE190" s="4"/>
      <c r="JF190" s="8"/>
      <c r="JG190" s="5"/>
      <c r="JH190" s="3" t="s">
        <v>780</v>
      </c>
      <c r="JI190" s="6"/>
      <c r="JJ190" s="6"/>
      <c r="JK190" s="6"/>
      <c r="JL190" s="5"/>
      <c r="JM190" s="6" t="s">
        <v>780</v>
      </c>
      <c r="JN190" s="6"/>
      <c r="JO190" s="6"/>
      <c r="JP190" s="6"/>
      <c r="JQ190" s="5"/>
      <c r="JR190" s="6" t="s">
        <v>780</v>
      </c>
      <c r="JS190" s="6"/>
      <c r="JT190" s="6"/>
      <c r="JU190" s="6"/>
      <c r="JV190" s="5"/>
      <c r="JW190" s="6" t="s">
        <v>780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4"/>
        <v>NO APLICA</v>
      </c>
      <c r="KG190" s="5"/>
      <c r="KH190" s="2"/>
      <c r="KI190" s="4"/>
      <c r="KJ190" s="8"/>
      <c r="KK190" s="5" t="str">
        <f t="shared" si="559"/>
        <v>NO APLICA</v>
      </c>
      <c r="KL190" s="5"/>
      <c r="KM190" s="2"/>
      <c r="KN190" s="4"/>
      <c r="KO190" s="8"/>
      <c r="KP190" s="5" t="str">
        <f t="shared" si="535"/>
        <v>NO APLICA</v>
      </c>
      <c r="KQ190" s="5"/>
      <c r="KR190" s="2"/>
      <c r="KS190" s="4"/>
      <c r="KT190" s="8"/>
      <c r="KU190" s="5" t="str">
        <f t="shared" si="560"/>
        <v>NO APLICA</v>
      </c>
      <c r="KV190" s="2"/>
      <c r="KW190" s="6"/>
      <c r="KX190" s="4"/>
      <c r="KY190" s="8"/>
      <c r="KZ190" s="5" t="str">
        <f t="shared" si="565"/>
        <v>NO APLICA</v>
      </c>
      <c r="LA190" s="5"/>
      <c r="LB190" s="6"/>
      <c r="LC190" s="4"/>
      <c r="LD190" s="8"/>
      <c r="LE190" s="5" t="str">
        <f t="shared" si="561"/>
        <v>NO APLICA</v>
      </c>
      <c r="LF190" s="6"/>
      <c r="LG190" s="6"/>
      <c r="LH190" s="4"/>
      <c r="LI190" s="8"/>
      <c r="LJ190" s="5" t="str">
        <f t="shared" si="600"/>
        <v>NO APLICA</v>
      </c>
      <c r="LK190" s="5"/>
      <c r="LL190" s="5"/>
      <c r="LM190" s="5"/>
      <c r="LN190" s="5"/>
      <c r="LO190" s="5" t="str">
        <f t="shared" si="566"/>
        <v>NO APLICA</v>
      </c>
      <c r="LP190" s="2"/>
      <c r="LQ190" s="6"/>
      <c r="LR190" s="4"/>
      <c r="LS190" s="8"/>
      <c r="LT190" s="5" t="str">
        <f t="shared" si="562"/>
        <v>NO APLICA</v>
      </c>
      <c r="LU190" s="6"/>
      <c r="LV190" s="6"/>
      <c r="LW190" s="4"/>
      <c r="LX190" s="8"/>
      <c r="LY190" s="5" t="str">
        <f t="shared" si="563"/>
        <v>NO APLICA</v>
      </c>
      <c r="LZ190" s="6"/>
      <c r="MA190" s="6"/>
      <c r="MB190" s="4"/>
      <c r="MC190" s="8"/>
      <c r="MD190" s="5" t="str">
        <f t="shared" si="564"/>
        <v>NO APLICA</v>
      </c>
      <c r="ME190" s="2"/>
      <c r="MF190" s="2"/>
      <c r="MG190" s="4"/>
      <c r="MH190" s="8"/>
      <c r="MI190" s="5" t="str">
        <f t="shared" si="537"/>
        <v>NO APLICA</v>
      </c>
      <c r="MJ190" s="2"/>
      <c r="MK190" s="2"/>
      <c r="ML190" s="4"/>
      <c r="MM190" s="8"/>
      <c r="MN190" s="5" t="str">
        <f t="shared" si="538"/>
        <v>NO APLICA</v>
      </c>
      <c r="MO190" s="5"/>
      <c r="MP190" s="2"/>
      <c r="MQ190" s="4"/>
      <c r="MR190" s="8"/>
      <c r="MS190" s="5" t="str">
        <f t="shared" si="539"/>
        <v>NO APLICA</v>
      </c>
      <c r="MT190" s="5"/>
      <c r="MU190" s="2"/>
      <c r="MV190" s="4"/>
      <c r="MW190" s="2"/>
      <c r="MX190" s="5" t="str">
        <f t="shared" si="540"/>
        <v>NO APLICA</v>
      </c>
      <c r="MY190" s="2"/>
      <c r="MZ190" s="6"/>
      <c r="NA190" s="4"/>
      <c r="NB190" s="8"/>
      <c r="NC190" s="5" t="str">
        <f t="shared" si="541"/>
        <v>NO APLICA</v>
      </c>
      <c r="ND190" s="2"/>
      <c r="NE190" s="6"/>
      <c r="NF190" s="4"/>
      <c r="NG190" s="8"/>
      <c r="NH190" s="5" t="str">
        <f t="shared" si="542"/>
        <v>NO APLICA</v>
      </c>
      <c r="NI190" s="2"/>
      <c r="NJ190" s="6"/>
      <c r="NK190" s="4"/>
      <c r="NL190" s="8"/>
      <c r="NM190" s="5" t="str">
        <f t="shared" si="543"/>
        <v>NO APLICA</v>
      </c>
      <c r="NN190" s="2"/>
      <c r="NO190" s="2"/>
      <c r="NP190" s="4"/>
      <c r="NQ190" s="2"/>
      <c r="NR190" s="5" t="str">
        <f t="shared" si="544"/>
        <v>NO APLICA</v>
      </c>
      <c r="NS190" s="2"/>
      <c r="NT190" s="2"/>
      <c r="NU190" s="2"/>
      <c r="NV190" s="2"/>
      <c r="NW190" s="5" t="str">
        <f t="shared" si="545"/>
        <v>NO APLICA</v>
      </c>
      <c r="NX190" s="6"/>
      <c r="NY190" s="6"/>
      <c r="NZ190" s="4"/>
      <c r="OA190" s="8"/>
      <c r="OB190" s="5" t="str">
        <f t="shared" si="546"/>
        <v>NO APLICA</v>
      </c>
      <c r="OC190" s="6"/>
      <c r="OD190" s="6"/>
      <c r="OE190" s="6"/>
      <c r="OF190" s="6"/>
      <c r="OG190" s="5" t="str">
        <f t="shared" si="547"/>
        <v>NO APLICA</v>
      </c>
      <c r="OH190" s="6"/>
      <c r="OI190" s="6"/>
      <c r="OJ190" s="4"/>
      <c r="OK190" s="8"/>
      <c r="OL190" s="5" t="str">
        <f t="shared" si="548"/>
        <v>NO APLICA</v>
      </c>
      <c r="OM190" s="6"/>
      <c r="ON190" s="6"/>
      <c r="OO190" s="6"/>
      <c r="OP190" s="6"/>
      <c r="OQ190" s="5" t="str">
        <f t="shared" si="549"/>
        <v>NO APLICA</v>
      </c>
      <c r="OR190" s="6"/>
      <c r="OS190" s="6"/>
      <c r="OT190" s="6"/>
      <c r="OU190" s="6"/>
      <c r="OV190" s="5" t="str">
        <f t="shared" si="550"/>
        <v>NO APLICA</v>
      </c>
      <c r="OW190" s="6"/>
      <c r="OX190" s="6"/>
      <c r="OY190" s="6"/>
      <c r="OZ190" s="6"/>
      <c r="PA190" s="5" t="str">
        <f t="shared" si="551"/>
        <v>NO APLICA</v>
      </c>
      <c r="PB190" s="6"/>
      <c r="PC190" s="6"/>
      <c r="PD190" s="6"/>
      <c r="PE190" s="6"/>
      <c r="PF190" s="5" t="str">
        <f t="shared" si="552"/>
        <v>NO APLICA</v>
      </c>
      <c r="PG190" s="6"/>
      <c r="PH190" s="6"/>
      <c r="PI190" s="6"/>
      <c r="PJ190" s="6"/>
      <c r="PK190" s="5" t="str">
        <f t="shared" si="553"/>
        <v>NO APLICA</v>
      </c>
      <c r="PL190" s="5"/>
      <c r="PM190" s="6"/>
      <c r="PN190" s="4"/>
      <c r="PO190" s="8"/>
      <c r="PP190" s="5" t="str">
        <f t="shared" si="554"/>
        <v>NO APLICA</v>
      </c>
      <c r="PQ190" s="6"/>
      <c r="PR190" s="6"/>
      <c r="PS190" s="6"/>
      <c r="PT190" s="6"/>
      <c r="PU190" s="5" t="str">
        <f t="shared" si="555"/>
        <v>NO APLICA</v>
      </c>
      <c r="PV190" s="5"/>
      <c r="PW190" s="6"/>
      <c r="PX190" s="6"/>
      <c r="PY190" s="6"/>
      <c r="PZ190" s="5" t="str">
        <f t="shared" si="556"/>
        <v>NO APLICA</v>
      </c>
    </row>
    <row r="191" spans="1:442" ht="15.6" hidden="1" thickTop="1" thickBot="1" x14ac:dyDescent="0.35">
      <c r="A191" s="26">
        <v>188</v>
      </c>
      <c r="B191" s="31">
        <v>1677</v>
      </c>
      <c r="C191" s="28" t="s">
        <v>598</v>
      </c>
      <c r="D191" s="29" t="s">
        <v>64</v>
      </c>
      <c r="E191" s="30" t="s">
        <v>81</v>
      </c>
      <c r="F191" s="6"/>
      <c r="G191" s="6"/>
      <c r="H191" s="6"/>
      <c r="I191" s="8"/>
      <c r="J191" s="5" t="str">
        <f t="shared" ref="J191:J240" si="69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6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599</v>
      </c>
      <c r="W191" s="4">
        <v>45142</v>
      </c>
      <c r="X191" s="4">
        <f t="shared" si="587"/>
        <v>46969</v>
      </c>
      <c r="Y191" s="8">
        <f t="shared" ca="1" si="588"/>
        <v>824</v>
      </c>
      <c r="Z191" s="5" t="str">
        <f t="shared" ca="1" si="605"/>
        <v>VIGENTE</v>
      </c>
      <c r="AA191" s="5"/>
      <c r="AB191" s="2" t="s">
        <v>600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7"/>
        <v>VIGENTE</v>
      </c>
      <c r="AG191" s="6"/>
      <c r="AH191" s="4">
        <v>45936</v>
      </c>
      <c r="AI191" s="4">
        <f t="shared" si="690"/>
        <v>46666</v>
      </c>
      <c r="AJ191" s="8">
        <f t="shared" ca="1" si="458"/>
        <v>521</v>
      </c>
      <c r="AK191" s="5" t="str">
        <f t="shared" ca="1" si="602"/>
        <v>VIGENTE</v>
      </c>
      <c r="AL191" s="6"/>
      <c r="AM191" s="4">
        <v>45937</v>
      </c>
      <c r="AN191" s="4">
        <f t="shared" si="673"/>
        <v>46667</v>
      </c>
      <c r="AO191" s="8">
        <f t="shared" ca="1" si="459"/>
        <v>522</v>
      </c>
      <c r="AP191" s="5" t="str">
        <f t="shared" ca="1" si="460"/>
        <v>VIGENTE</v>
      </c>
      <c r="AQ191" s="6"/>
      <c r="AR191" s="4">
        <v>45904</v>
      </c>
      <c r="AS191" s="4">
        <f t="shared" si="674"/>
        <v>46634</v>
      </c>
      <c r="AT191" s="8">
        <f t="shared" ca="1" si="461"/>
        <v>489</v>
      </c>
      <c r="AU191" s="5" t="str">
        <f t="shared" ca="1" si="462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3"/>
        <v>557</v>
      </c>
      <c r="AZ191" s="5" t="str">
        <f t="shared" ca="1" si="464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5"/>
        <v>626</v>
      </c>
      <c r="BE191" s="5" t="str">
        <f t="shared" ca="1" si="466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7"/>
        <v>582</v>
      </c>
      <c r="BJ191" s="5" t="str">
        <f t="shared" ca="1" si="468"/>
        <v>VIGENTE</v>
      </c>
      <c r="BK191" s="4"/>
      <c r="BL191" s="4">
        <v>46017</v>
      </c>
      <c r="BM191" s="4">
        <f t="shared" si="676"/>
        <v>46747</v>
      </c>
      <c r="BN191" s="8">
        <f t="shared" ca="1" si="469"/>
        <v>602</v>
      </c>
      <c r="BO191" s="5" t="str">
        <f t="shared" ca="1" si="470"/>
        <v>VIGENTE</v>
      </c>
      <c r="BP191" s="4"/>
      <c r="BQ191" s="39">
        <v>45988</v>
      </c>
      <c r="BR191" s="4">
        <f>DATE(YEAR(BQ191)+2,MONTH(BQ191),DAY(BQ191))</f>
        <v>46718</v>
      </c>
      <c r="BS191" s="8">
        <f t="shared" ca="1" si="471"/>
        <v>573</v>
      </c>
      <c r="BT191" s="5" t="str">
        <f t="shared" ca="1" si="472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3"/>
        <v>616</v>
      </c>
      <c r="BY191" s="5" t="str">
        <f t="shared" ca="1" si="474"/>
        <v>VIGENTE</v>
      </c>
      <c r="BZ191" s="6"/>
      <c r="CA191" s="4">
        <v>45986</v>
      </c>
      <c r="CB191" s="4">
        <f t="shared" si="677"/>
        <v>46716</v>
      </c>
      <c r="CC191" s="8">
        <f t="shared" ca="1" si="475"/>
        <v>571</v>
      </c>
      <c r="CD191" s="5" t="str">
        <f t="shared" ca="1" si="476"/>
        <v>VIGENTE</v>
      </c>
      <c r="CE191" s="6"/>
      <c r="CF191" s="4">
        <v>45828</v>
      </c>
      <c r="CG191" s="4">
        <f t="shared" si="590"/>
        <v>47289</v>
      </c>
      <c r="CH191" s="8">
        <f t="shared" ca="1" si="591"/>
        <v>1144</v>
      </c>
      <c r="CI191" s="5" t="str">
        <f t="shared" ca="1" si="573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7"/>
        <v>603</v>
      </c>
      <c r="CN191" s="5" t="str">
        <f t="shared" ca="1" si="478"/>
        <v>VIGENTE</v>
      </c>
      <c r="CO191" s="4"/>
      <c r="CP191" s="39">
        <v>45979</v>
      </c>
      <c r="CQ191" s="4">
        <f>DATE(YEAR(CP191)+2,MONTH(CP191),DAY(CP191))</f>
        <v>46709</v>
      </c>
      <c r="CR191" s="8">
        <f t="shared" ca="1" si="479"/>
        <v>564</v>
      </c>
      <c r="CS191" s="5" t="str">
        <f t="shared" ca="1" si="480"/>
        <v>VIGENTE</v>
      </c>
      <c r="CT191" s="6"/>
      <c r="CU191" s="4">
        <v>45905</v>
      </c>
      <c r="CV191" s="4">
        <f t="shared" si="691"/>
        <v>46635</v>
      </c>
      <c r="CW191" s="8">
        <f t="shared" ca="1" si="481"/>
        <v>490</v>
      </c>
      <c r="CX191" s="5" t="str">
        <f t="shared" ca="1" si="482"/>
        <v>VIGENTE</v>
      </c>
      <c r="CY191" s="4"/>
      <c r="CZ191" s="4">
        <v>46000</v>
      </c>
      <c r="DA191" s="4">
        <f t="shared" si="692"/>
        <v>46730</v>
      </c>
      <c r="DB191" s="8">
        <f t="shared" ca="1" si="483"/>
        <v>585</v>
      </c>
      <c r="DC191" s="5" t="str">
        <f t="shared" ca="1" si="484"/>
        <v>VIGENTE</v>
      </c>
      <c r="DD191" s="3"/>
      <c r="DE191" s="39">
        <v>45996</v>
      </c>
      <c r="DF191" s="4">
        <f>DATE(YEAR(DE191)+2,MONTH(DE191),DAY(DE191))</f>
        <v>46726</v>
      </c>
      <c r="DG191" s="8">
        <f t="shared" ca="1" si="485"/>
        <v>581</v>
      </c>
      <c r="DH191" s="5" t="str">
        <f t="shared" ca="1" si="486"/>
        <v>VIGENTE</v>
      </c>
      <c r="DI191" s="4"/>
      <c r="DJ191" s="39">
        <v>45975</v>
      </c>
      <c r="DK191" s="4">
        <f t="shared" si="679"/>
        <v>46705</v>
      </c>
      <c r="DL191" s="8">
        <f t="shared" ca="1" si="487"/>
        <v>560</v>
      </c>
      <c r="DM191" s="5" t="str">
        <f t="shared" ca="1" si="488"/>
        <v>VIGENTE</v>
      </c>
      <c r="DN191" s="4"/>
      <c r="DO191" s="4">
        <v>45982</v>
      </c>
      <c r="DP191" s="4">
        <f t="shared" si="680"/>
        <v>46712</v>
      </c>
      <c r="DQ191" s="8">
        <f t="shared" ca="1" si="489"/>
        <v>567</v>
      </c>
      <c r="DR191" s="5" t="str">
        <f t="shared" ca="1" si="490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1"/>
        <v>594</v>
      </c>
      <c r="DW191" s="5" t="str">
        <f t="shared" ca="1" si="492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3"/>
        <v>617</v>
      </c>
      <c r="EB191" s="5" t="str">
        <f t="shared" ca="1" si="494"/>
        <v>VIGENTE</v>
      </c>
      <c r="EC191" s="4"/>
      <c r="ED191" s="39">
        <v>45994</v>
      </c>
      <c r="EE191" s="4">
        <f>DATE(YEAR(ED191)+2,MONTH(ED191),DAY(ED191))</f>
        <v>46724</v>
      </c>
      <c r="EF191" s="8">
        <f t="shared" ca="1" si="495"/>
        <v>579</v>
      </c>
      <c r="EG191" s="5" t="str">
        <f t="shared" ca="1" si="496"/>
        <v>VIGENTE</v>
      </c>
      <c r="EH191" s="3"/>
      <c r="EI191" s="3">
        <v>46015</v>
      </c>
      <c r="EJ191" s="4">
        <f t="shared" si="558"/>
        <v>46380</v>
      </c>
      <c r="EK191" s="8">
        <f t="shared" ca="1" si="497"/>
        <v>235</v>
      </c>
      <c r="EL191" s="5" t="str">
        <f t="shared" ca="1" si="498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9"/>
        <v>568</v>
      </c>
      <c r="EQ191" s="5" t="str">
        <f t="shared" ca="1" si="500"/>
        <v>VIGENTE</v>
      </c>
      <c r="ER191" s="6"/>
      <c r="ES191" s="39">
        <v>45999</v>
      </c>
      <c r="ET191" s="4">
        <f>DATE(YEAR(ES191)+2,MONTH(ES191),DAY(ES191))</f>
        <v>46729</v>
      </c>
      <c r="EU191" s="8">
        <f t="shared" ca="1" si="501"/>
        <v>584</v>
      </c>
      <c r="EV191" s="5" t="str">
        <f t="shared" ca="1" si="502"/>
        <v>VIGENTE</v>
      </c>
      <c r="EW191" s="4"/>
      <c r="EX191" s="4">
        <v>46037</v>
      </c>
      <c r="EY191" s="4">
        <f t="shared" si="684"/>
        <v>46767</v>
      </c>
      <c r="EZ191" s="8">
        <f t="shared" ca="1" si="503"/>
        <v>622</v>
      </c>
      <c r="FA191" s="5" t="str">
        <f t="shared" ca="1" si="504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5"/>
        <v>595</v>
      </c>
      <c r="FF191" s="5" t="str">
        <f t="shared" ca="1" si="506"/>
        <v>VIGENTE</v>
      </c>
      <c r="FG191" s="4"/>
      <c r="FH191" s="4">
        <v>45962</v>
      </c>
      <c r="FI191" s="4">
        <f t="shared" si="686"/>
        <v>46692</v>
      </c>
      <c r="FJ191" s="8">
        <f t="shared" ca="1" si="507"/>
        <v>547</v>
      </c>
      <c r="FK191" s="5" t="str">
        <f t="shared" ca="1" si="508"/>
        <v>VIGENTE</v>
      </c>
      <c r="FL191" s="4"/>
      <c r="FM191" s="39">
        <v>46039</v>
      </c>
      <c r="FN191" s="4">
        <f>DATE(YEAR(FM191)+2,MONTH(FM191),DAY(FM191))</f>
        <v>46769</v>
      </c>
      <c r="FO191" s="8">
        <f t="shared" ca="1" si="509"/>
        <v>624</v>
      </c>
      <c r="FP191" s="5" t="str">
        <f t="shared" ca="1" si="510"/>
        <v>VIGENTE</v>
      </c>
      <c r="FQ191" s="4"/>
      <c r="FR191" s="39">
        <v>46034</v>
      </c>
      <c r="FS191" s="4">
        <f>DATE(YEAR(FR191)+2,MONTH(FR191),DAY(FR191))</f>
        <v>46764</v>
      </c>
      <c r="FT191" s="8">
        <f t="shared" ca="1" si="511"/>
        <v>619</v>
      </c>
      <c r="FU191" s="5" t="str">
        <f t="shared" ca="1" si="512"/>
        <v>VIGENTE</v>
      </c>
      <c r="FV191" s="4"/>
      <c r="FW191" s="4">
        <v>46004</v>
      </c>
      <c r="FX191" s="4">
        <f t="shared" si="693"/>
        <v>46734</v>
      </c>
      <c r="FY191" s="8">
        <f t="shared" ca="1" si="513"/>
        <v>589</v>
      </c>
      <c r="FZ191" s="5" t="str">
        <f t="shared" ca="1" si="514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5"/>
        <v>510</v>
      </c>
      <c r="GE191" s="5" t="str">
        <f t="shared" ca="1" si="516"/>
        <v>VIGENTE</v>
      </c>
      <c r="GF191" s="4"/>
      <c r="GG191" s="4">
        <v>45960</v>
      </c>
      <c r="GH191" s="4">
        <f t="shared" si="689"/>
        <v>46690</v>
      </c>
      <c r="GI191" s="8">
        <f t="shared" ca="1" si="517"/>
        <v>545</v>
      </c>
      <c r="GJ191" s="5" t="str">
        <f t="shared" ca="1" si="518"/>
        <v>VIGENTE</v>
      </c>
      <c r="GK191" s="3"/>
      <c r="GL191" s="4">
        <v>46044</v>
      </c>
      <c r="GM191" s="4">
        <f t="shared" si="695"/>
        <v>46774</v>
      </c>
      <c r="GN191" s="8">
        <f t="shared" ca="1" si="519"/>
        <v>629</v>
      </c>
      <c r="GO191" s="5" t="str">
        <f t="shared" ca="1" si="520"/>
        <v>VIGENTE</v>
      </c>
      <c r="GP191" s="4"/>
      <c r="GQ191" s="4">
        <v>45299</v>
      </c>
      <c r="GR191" s="4">
        <f t="shared" si="521"/>
        <v>47126</v>
      </c>
      <c r="GS191" s="8">
        <f t="shared" ca="1" si="601"/>
        <v>981</v>
      </c>
      <c r="GT191" s="5" t="str">
        <f t="shared" ca="1" si="610"/>
        <v>VIGENTE</v>
      </c>
      <c r="GU191" s="4"/>
      <c r="GV191" s="4">
        <v>45329</v>
      </c>
      <c r="GW191" s="4">
        <f t="shared" si="522"/>
        <v>47156</v>
      </c>
      <c r="GX191" s="8">
        <f t="shared" ca="1" si="523"/>
        <v>1011</v>
      </c>
      <c r="GY191" s="5" t="str">
        <f t="shared" ca="1" si="611"/>
        <v>VIGENTE</v>
      </c>
      <c r="GZ191" s="6"/>
      <c r="HA191" s="4">
        <v>45343</v>
      </c>
      <c r="HB191" s="4">
        <f t="shared" si="524"/>
        <v>47170</v>
      </c>
      <c r="HC191" s="8">
        <f t="shared" ca="1" si="525"/>
        <v>1025</v>
      </c>
      <c r="HD191" s="5" t="str">
        <f t="shared" ca="1" si="61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4"/>
        <v>NO APLICA</v>
      </c>
      <c r="HO191" s="2"/>
      <c r="HP191" s="2"/>
      <c r="HQ191" s="4"/>
      <c r="HR191" s="2"/>
      <c r="HS191" s="5" t="str">
        <f t="shared" si="526"/>
        <v>NO APLICA</v>
      </c>
      <c r="HT191" s="6"/>
      <c r="HU191" s="6"/>
      <c r="HV191" s="4"/>
      <c r="HW191" s="8"/>
      <c r="HX191" s="5" t="str">
        <f t="shared" si="527"/>
        <v>NO APLICA</v>
      </c>
      <c r="HY191" s="6"/>
      <c r="HZ191" s="6"/>
      <c r="IA191" s="4"/>
      <c r="IB191" s="8"/>
      <c r="IC191" s="5" t="str">
        <f t="shared" si="528"/>
        <v>NO APLICA</v>
      </c>
      <c r="ID191" s="6"/>
      <c r="IE191" s="6"/>
      <c r="IF191" s="4"/>
      <c r="IG191" s="8"/>
      <c r="IH191" s="5" t="str">
        <f t="shared" si="529"/>
        <v>NO APLICA</v>
      </c>
      <c r="II191" s="6"/>
      <c r="IJ191" s="6"/>
      <c r="IK191" s="4"/>
      <c r="IL191" s="8"/>
      <c r="IM191" s="5" t="str">
        <f t="shared" si="530"/>
        <v>NO APLICA</v>
      </c>
      <c r="IN191" s="6"/>
      <c r="IO191" s="6"/>
      <c r="IP191" s="4"/>
      <c r="IQ191" s="8"/>
      <c r="IR191" s="5" t="str">
        <f t="shared" si="531"/>
        <v>NO APLICA</v>
      </c>
      <c r="IS191" s="6"/>
      <c r="IT191" s="6"/>
      <c r="IU191" s="4"/>
      <c r="IV191" s="8"/>
      <c r="IW191" s="5" t="str">
        <f t="shared" si="532"/>
        <v>NO APLICA</v>
      </c>
      <c r="IX191" s="6"/>
      <c r="IY191" s="6"/>
      <c r="IZ191" s="4"/>
      <c r="JA191" s="8"/>
      <c r="JB191" s="5" t="str">
        <f t="shared" si="533"/>
        <v>NO APLICA</v>
      </c>
      <c r="JC191" s="3" t="s">
        <v>780</v>
      </c>
      <c r="JD191" s="3"/>
      <c r="JE191" s="4"/>
      <c r="JF191" s="8"/>
      <c r="JG191" s="5"/>
      <c r="JH191" s="3" t="s">
        <v>780</v>
      </c>
      <c r="JI191" s="6"/>
      <c r="JJ191" s="6"/>
      <c r="JK191" s="6"/>
      <c r="JL191" s="5"/>
      <c r="JM191" s="6" t="s">
        <v>780</v>
      </c>
      <c r="JN191" s="6"/>
      <c r="JO191" s="6"/>
      <c r="JP191" s="6"/>
      <c r="JQ191" s="5"/>
      <c r="JR191" s="6" t="s">
        <v>780</v>
      </c>
      <c r="JS191" s="6"/>
      <c r="JT191" s="6"/>
      <c r="JU191" s="6"/>
      <c r="JV191" s="5"/>
      <c r="JW191" s="6" t="s">
        <v>780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4"/>
        <v>NO APLICA</v>
      </c>
      <c r="KG191" s="5"/>
      <c r="KH191" s="2"/>
      <c r="KI191" s="4"/>
      <c r="KJ191" s="8"/>
      <c r="KK191" s="5" t="str">
        <f t="shared" si="559"/>
        <v>NO APLICA</v>
      </c>
      <c r="KL191" s="5"/>
      <c r="KM191" s="2"/>
      <c r="KN191" s="4"/>
      <c r="KO191" s="8"/>
      <c r="KP191" s="5" t="str">
        <f t="shared" si="535"/>
        <v>NO APLICA</v>
      </c>
      <c r="KQ191" s="5"/>
      <c r="KR191" s="2"/>
      <c r="KS191" s="4"/>
      <c r="KT191" s="8"/>
      <c r="KU191" s="5" t="str">
        <f t="shared" si="560"/>
        <v>NO APLICA</v>
      </c>
      <c r="KV191" s="6"/>
      <c r="KW191" s="6"/>
      <c r="KX191" s="4"/>
      <c r="KY191" s="8"/>
      <c r="KZ191" s="5" t="str">
        <f t="shared" si="565"/>
        <v>NO APLICA</v>
      </c>
      <c r="LA191" s="5"/>
      <c r="LB191" s="6"/>
      <c r="LC191" s="4"/>
      <c r="LD191" s="8"/>
      <c r="LE191" s="5" t="str">
        <f t="shared" si="561"/>
        <v>NO APLICA</v>
      </c>
      <c r="LF191" s="6"/>
      <c r="LG191" s="6"/>
      <c r="LH191" s="4"/>
      <c r="LI191" s="8"/>
      <c r="LJ191" s="5" t="str">
        <f t="shared" si="600"/>
        <v>NO APLICA</v>
      </c>
      <c r="LK191" s="5"/>
      <c r="LL191" s="5"/>
      <c r="LM191" s="5"/>
      <c r="LN191" s="5"/>
      <c r="LO191" s="5" t="str">
        <f t="shared" si="566"/>
        <v>NO APLICA</v>
      </c>
      <c r="LP191" s="6"/>
      <c r="LQ191" s="6"/>
      <c r="LR191" s="4"/>
      <c r="LS191" s="8"/>
      <c r="LT191" s="5" t="str">
        <f t="shared" si="562"/>
        <v>NO APLICA</v>
      </c>
      <c r="LU191" s="6"/>
      <c r="LV191" s="6"/>
      <c r="LW191" s="4"/>
      <c r="LX191" s="8"/>
      <c r="LY191" s="5" t="str">
        <f t="shared" si="563"/>
        <v>NO APLICA</v>
      </c>
      <c r="LZ191" s="6"/>
      <c r="MA191" s="6"/>
      <c r="MB191" s="4"/>
      <c r="MC191" s="8"/>
      <c r="MD191" s="5" t="str">
        <f t="shared" si="564"/>
        <v>NO APLICA</v>
      </c>
      <c r="ME191" s="2"/>
      <c r="MF191" s="2"/>
      <c r="MG191" s="4"/>
      <c r="MH191" s="8"/>
      <c r="MI191" s="5" t="str">
        <f t="shared" si="537"/>
        <v>NO APLICA</v>
      </c>
      <c r="MJ191" s="2"/>
      <c r="MK191" s="2"/>
      <c r="ML191" s="4"/>
      <c r="MM191" s="8"/>
      <c r="MN191" s="5" t="str">
        <f t="shared" si="538"/>
        <v>NO APLICA</v>
      </c>
      <c r="MO191" s="5"/>
      <c r="MP191" s="2"/>
      <c r="MQ191" s="4"/>
      <c r="MR191" s="8"/>
      <c r="MS191" s="5" t="str">
        <f t="shared" si="539"/>
        <v>NO APLICA</v>
      </c>
      <c r="MT191" s="5"/>
      <c r="MU191" s="2"/>
      <c r="MV191" s="4"/>
      <c r="MW191" s="2"/>
      <c r="MX191" s="5" t="str">
        <f t="shared" si="540"/>
        <v>NO APLICA</v>
      </c>
      <c r="MY191" s="6"/>
      <c r="MZ191" s="6"/>
      <c r="NA191" s="4"/>
      <c r="NB191" s="8"/>
      <c r="NC191" s="5" t="str">
        <f t="shared" si="541"/>
        <v>NO APLICA</v>
      </c>
      <c r="ND191" s="6"/>
      <c r="NE191" s="6"/>
      <c r="NF191" s="4"/>
      <c r="NG191" s="8"/>
      <c r="NH191" s="5" t="str">
        <f t="shared" si="542"/>
        <v>NO APLICA</v>
      </c>
      <c r="NI191" s="6"/>
      <c r="NJ191" s="6"/>
      <c r="NK191" s="4"/>
      <c r="NL191" s="8"/>
      <c r="NM191" s="5" t="str">
        <f t="shared" si="543"/>
        <v>NO APLICA</v>
      </c>
      <c r="NN191" s="2"/>
      <c r="NO191" s="2"/>
      <c r="NP191" s="4"/>
      <c r="NQ191" s="2"/>
      <c r="NR191" s="5" t="str">
        <f t="shared" si="544"/>
        <v>NO APLICA</v>
      </c>
      <c r="NS191" s="2"/>
      <c r="NT191" s="2"/>
      <c r="NU191" s="4"/>
      <c r="NV191" s="2"/>
      <c r="NW191" s="5" t="str">
        <f t="shared" si="545"/>
        <v>NO APLICA</v>
      </c>
      <c r="NX191" s="6"/>
      <c r="NY191" s="6"/>
      <c r="NZ191" s="4"/>
      <c r="OA191" s="8"/>
      <c r="OB191" s="5" t="str">
        <f t="shared" si="546"/>
        <v>NO APLICA</v>
      </c>
      <c r="OC191" s="6"/>
      <c r="OD191" s="6"/>
      <c r="OE191" s="6"/>
      <c r="OF191" s="6"/>
      <c r="OG191" s="5" t="str">
        <f t="shared" si="547"/>
        <v>NO APLICA</v>
      </c>
      <c r="OH191" s="6"/>
      <c r="OI191" s="6"/>
      <c r="OJ191" s="4"/>
      <c r="OK191" s="8"/>
      <c r="OL191" s="5" t="str">
        <f t="shared" si="548"/>
        <v>NO APLICA</v>
      </c>
      <c r="OM191" s="6"/>
      <c r="ON191" s="6"/>
      <c r="OO191" s="6"/>
      <c r="OP191" s="6"/>
      <c r="OQ191" s="5" t="str">
        <f t="shared" si="549"/>
        <v>NO APLICA</v>
      </c>
      <c r="OR191" s="6"/>
      <c r="OS191" s="6"/>
      <c r="OT191" s="6"/>
      <c r="OU191" s="6"/>
      <c r="OV191" s="5" t="str">
        <f t="shared" si="550"/>
        <v>NO APLICA</v>
      </c>
      <c r="OW191" s="6"/>
      <c r="OX191" s="6"/>
      <c r="OY191" s="6"/>
      <c r="OZ191" s="6"/>
      <c r="PA191" s="5" t="str">
        <f t="shared" si="551"/>
        <v>NO APLICA</v>
      </c>
      <c r="PB191" s="6"/>
      <c r="PC191" s="6"/>
      <c r="PD191" s="6"/>
      <c r="PE191" s="6"/>
      <c r="PF191" s="5" t="str">
        <f t="shared" si="552"/>
        <v>NO APLICA</v>
      </c>
      <c r="PG191" s="6"/>
      <c r="PH191" s="6"/>
      <c r="PI191" s="6"/>
      <c r="PJ191" s="6"/>
      <c r="PK191" s="5" t="str">
        <f t="shared" si="553"/>
        <v>NO APLICA</v>
      </c>
      <c r="PL191" s="5"/>
      <c r="PM191" s="6"/>
      <c r="PN191" s="4"/>
      <c r="PO191" s="8"/>
      <c r="PP191" s="5" t="str">
        <f t="shared" si="554"/>
        <v>NO APLICA</v>
      </c>
      <c r="PQ191" s="6"/>
      <c r="PR191" s="6"/>
      <c r="PS191" s="6"/>
      <c r="PT191" s="6"/>
      <c r="PU191" s="5" t="str">
        <f t="shared" si="555"/>
        <v>NO APLICA</v>
      </c>
      <c r="PV191" s="5"/>
      <c r="PW191" s="6"/>
      <c r="PX191" s="6"/>
      <c r="PY191" s="6"/>
      <c r="PZ191" s="5" t="str">
        <f t="shared" si="556"/>
        <v>NO APLICA</v>
      </c>
    </row>
    <row r="192" spans="1:442" ht="15.6" hidden="1" thickTop="1" thickBot="1" x14ac:dyDescent="0.35">
      <c r="A192" s="26">
        <v>189</v>
      </c>
      <c r="B192" s="31">
        <v>1357</v>
      </c>
      <c r="C192" s="28" t="s">
        <v>601</v>
      </c>
      <c r="D192" s="29" t="s">
        <v>113</v>
      </c>
      <c r="E192" s="30" t="s">
        <v>602</v>
      </c>
      <c r="F192" s="6"/>
      <c r="G192" s="6"/>
      <c r="H192" s="6"/>
      <c r="I192" s="6"/>
      <c r="J192" s="5" t="str">
        <f t="shared" si="696"/>
        <v>NO APLICA</v>
      </c>
      <c r="K192" s="6"/>
      <c r="L192" s="6"/>
      <c r="M192" s="6"/>
      <c r="N192" s="6"/>
      <c r="O192" s="5" t="str">
        <f t="shared" si="456"/>
        <v>NO APLICA</v>
      </c>
      <c r="P192" s="6"/>
      <c r="Q192" s="6"/>
      <c r="R192" s="6"/>
      <c r="S192" s="6"/>
      <c r="T192" s="5" t="str">
        <f t="shared" ref="T192:T240" si="69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5"/>
        <v>NO APLICA</v>
      </c>
      <c r="AA192" s="5"/>
      <c r="AB192" s="6"/>
      <c r="AC192" s="6"/>
      <c r="AD192" s="6"/>
      <c r="AE192" s="6"/>
      <c r="AF192" s="5" t="str">
        <f t="shared" si="457"/>
        <v>NO APLICA</v>
      </c>
      <c r="AG192" s="4"/>
      <c r="AH192" s="4"/>
      <c r="AI192" s="4"/>
      <c r="AJ192" s="6"/>
      <c r="AK192" s="5" t="str">
        <f t="shared" si="602"/>
        <v>NO APLICA</v>
      </c>
      <c r="AL192" s="4"/>
      <c r="AM192" s="4"/>
      <c r="AN192" s="4"/>
      <c r="AO192" s="6"/>
      <c r="AP192" s="5" t="str">
        <f t="shared" si="460"/>
        <v>NO APLICA</v>
      </c>
      <c r="AQ192" s="4"/>
      <c r="AR192" s="4"/>
      <c r="AS192" s="4"/>
      <c r="AT192" s="6"/>
      <c r="AU192" s="5" t="str">
        <f t="shared" si="462"/>
        <v>NO APLICA</v>
      </c>
      <c r="AV192" s="4"/>
      <c r="AW192" s="4"/>
      <c r="AX192" s="4"/>
      <c r="AY192" s="6"/>
      <c r="AZ192" s="5" t="str">
        <f t="shared" si="464"/>
        <v>NO APLICA</v>
      </c>
      <c r="BA192" s="4"/>
      <c r="BB192" s="4"/>
      <c r="BC192" s="4"/>
      <c r="BD192" s="6"/>
      <c r="BE192" s="5" t="str">
        <f t="shared" si="466"/>
        <v>NO APLICA</v>
      </c>
      <c r="BF192" s="4"/>
      <c r="BG192" s="4"/>
      <c r="BH192" s="4"/>
      <c r="BI192" s="6"/>
      <c r="BJ192" s="5" t="str">
        <f t="shared" si="468"/>
        <v>NO APLICA</v>
      </c>
      <c r="BK192" s="4"/>
      <c r="BL192" s="4"/>
      <c r="BM192" s="4"/>
      <c r="BN192" s="6"/>
      <c r="BO192" s="5" t="str">
        <f t="shared" si="470"/>
        <v>NO APLICA</v>
      </c>
      <c r="BP192" s="4"/>
      <c r="BQ192" s="4"/>
      <c r="BR192" s="4"/>
      <c r="BS192" s="6"/>
      <c r="BT192" s="5" t="str">
        <f t="shared" si="472"/>
        <v>NO APLICA</v>
      </c>
      <c r="BU192" s="4"/>
      <c r="BV192" s="4"/>
      <c r="BW192" s="4"/>
      <c r="BX192" s="6"/>
      <c r="BY192" s="5" t="str">
        <f t="shared" si="474"/>
        <v>NO APLICA</v>
      </c>
      <c r="BZ192" s="4"/>
      <c r="CA192" s="4"/>
      <c r="CB192" s="4"/>
      <c r="CC192" s="6"/>
      <c r="CD192" s="5" t="str">
        <f t="shared" si="476"/>
        <v>NO APLICA</v>
      </c>
      <c r="CE192" s="6"/>
      <c r="CF192" s="6"/>
      <c r="CG192" s="6"/>
      <c r="CH192" s="6"/>
      <c r="CI192" s="5" t="str">
        <f t="shared" si="573"/>
        <v>NO APLICA</v>
      </c>
      <c r="CJ192" s="4"/>
      <c r="CK192" s="4"/>
      <c r="CL192" s="4"/>
      <c r="CM192" s="6"/>
      <c r="CN192" s="5" t="str">
        <f t="shared" si="478"/>
        <v>NO APLICA</v>
      </c>
      <c r="CO192" s="4"/>
      <c r="CP192" s="4"/>
      <c r="CQ192" s="4"/>
      <c r="CR192" s="6"/>
      <c r="CS192" s="5" t="str">
        <f t="shared" si="480"/>
        <v>NO APLICA</v>
      </c>
      <c r="CT192" s="4"/>
      <c r="CU192" s="4"/>
      <c r="CV192" s="4"/>
      <c r="CW192" s="6"/>
      <c r="CX192" s="5" t="str">
        <f t="shared" si="482"/>
        <v>NO APLICA</v>
      </c>
      <c r="CY192" s="4"/>
      <c r="CZ192" s="4"/>
      <c r="DA192" s="4"/>
      <c r="DB192" s="6"/>
      <c r="DC192" s="5" t="str">
        <f t="shared" si="484"/>
        <v>NO APLICA</v>
      </c>
      <c r="DD192" s="4"/>
      <c r="DE192" s="4"/>
      <c r="DF192" s="4"/>
      <c r="DG192" s="6"/>
      <c r="DH192" s="5" t="str">
        <f t="shared" si="486"/>
        <v>NO APLICA</v>
      </c>
      <c r="DI192" s="4"/>
      <c r="DJ192" s="4"/>
      <c r="DK192" s="4"/>
      <c r="DL192" s="6"/>
      <c r="DM192" s="5" t="str">
        <f t="shared" si="488"/>
        <v>NO APLICA</v>
      </c>
      <c r="DN192" s="4"/>
      <c r="DO192" s="4"/>
      <c r="DP192" s="4"/>
      <c r="DQ192" s="6"/>
      <c r="DR192" s="5" t="str">
        <f t="shared" si="490"/>
        <v>NO APLICA</v>
      </c>
      <c r="DS192" s="4"/>
      <c r="DT192" s="4"/>
      <c r="DU192" s="4"/>
      <c r="DV192" s="6"/>
      <c r="DW192" s="5" t="str">
        <f t="shared" si="492"/>
        <v>NO APLICA</v>
      </c>
      <c r="DX192" s="4"/>
      <c r="DY192" s="4"/>
      <c r="DZ192" s="4"/>
      <c r="EA192" s="6"/>
      <c r="EB192" s="5" t="str">
        <f t="shared" si="494"/>
        <v>NO APLICA</v>
      </c>
      <c r="EC192" s="4"/>
      <c r="ED192" s="4"/>
      <c r="EE192" s="4"/>
      <c r="EF192" s="6"/>
      <c r="EG192" s="5" t="str">
        <f t="shared" si="496"/>
        <v>NO APLICA</v>
      </c>
      <c r="EH192" s="4"/>
      <c r="EI192" s="4"/>
      <c r="EJ192" s="4"/>
      <c r="EK192" s="8"/>
      <c r="EL192" s="5" t="str">
        <f t="shared" si="498"/>
        <v>NO APLICA</v>
      </c>
      <c r="EM192" s="4"/>
      <c r="EN192" s="4"/>
      <c r="EO192" s="4"/>
      <c r="EP192" s="8"/>
      <c r="EQ192" s="5" t="str">
        <f t="shared" si="500"/>
        <v>NO APLICA</v>
      </c>
      <c r="ER192" s="4"/>
      <c r="ES192" s="4"/>
      <c r="ET192" s="4"/>
      <c r="EU192" s="8"/>
      <c r="EV192" s="5" t="str">
        <f t="shared" si="502"/>
        <v>NO APLICA</v>
      </c>
      <c r="EW192" s="4"/>
      <c r="EX192" s="4"/>
      <c r="EY192" s="4"/>
      <c r="EZ192" s="6"/>
      <c r="FA192" s="5" t="str">
        <f t="shared" si="504"/>
        <v>NO APLICA</v>
      </c>
      <c r="FB192" s="4"/>
      <c r="FC192" s="4"/>
      <c r="FD192" s="4"/>
      <c r="FE192" s="6"/>
      <c r="FF192" s="5" t="str">
        <f t="shared" si="506"/>
        <v>NO APLICA</v>
      </c>
      <c r="FG192" s="4"/>
      <c r="FH192" s="4"/>
      <c r="FI192" s="4"/>
      <c r="FJ192" s="6"/>
      <c r="FK192" s="5" t="str">
        <f t="shared" si="508"/>
        <v>NO APLICA</v>
      </c>
      <c r="FL192" s="4"/>
      <c r="FM192" s="4"/>
      <c r="FN192" s="4"/>
      <c r="FO192" s="6"/>
      <c r="FP192" s="5" t="str">
        <f t="shared" si="510"/>
        <v>NO APLICA</v>
      </c>
      <c r="FQ192" s="4"/>
      <c r="FR192" s="4"/>
      <c r="FS192" s="4"/>
      <c r="FT192" s="6"/>
      <c r="FU192" s="5" t="str">
        <f t="shared" si="512"/>
        <v>NO APLICA</v>
      </c>
      <c r="FV192" s="4"/>
      <c r="FW192" s="4"/>
      <c r="FX192" s="4"/>
      <c r="FY192" s="6"/>
      <c r="FZ192" s="5" t="str">
        <f t="shared" si="514"/>
        <v>NO APLICA</v>
      </c>
      <c r="GA192" s="4"/>
      <c r="GB192" s="4"/>
      <c r="GC192" s="4"/>
      <c r="GD192" s="6"/>
      <c r="GE192" s="5" t="str">
        <f t="shared" si="516"/>
        <v>NO APLICA</v>
      </c>
      <c r="GF192" s="4"/>
      <c r="GG192" s="4"/>
      <c r="GH192" s="4"/>
      <c r="GI192" s="8"/>
      <c r="GJ192" s="5" t="str">
        <f t="shared" si="518"/>
        <v>NO APLICA</v>
      </c>
      <c r="GK192" s="4"/>
      <c r="GL192" s="6"/>
      <c r="GM192" s="6"/>
      <c r="GN192" s="6"/>
      <c r="GO192" s="5" t="str">
        <f t="shared" si="520"/>
        <v>NO APLICA</v>
      </c>
      <c r="GP192" s="4"/>
      <c r="GQ192" s="6"/>
      <c r="GR192" s="6"/>
      <c r="GS192" s="6"/>
      <c r="GT192" s="5" t="str">
        <f t="shared" si="610"/>
        <v>NO APLICA</v>
      </c>
      <c r="GU192" s="4"/>
      <c r="GV192" s="6"/>
      <c r="GW192" s="6"/>
      <c r="GX192" s="6"/>
      <c r="GY192" s="5" t="str">
        <f t="shared" si="611"/>
        <v>NO APLICA</v>
      </c>
      <c r="GZ192" s="6"/>
      <c r="HA192" s="6"/>
      <c r="HB192" s="6"/>
      <c r="HC192" s="6"/>
      <c r="HD192" s="5" t="str">
        <f t="shared" si="612"/>
        <v>NO APLICA</v>
      </c>
      <c r="HE192" s="6"/>
      <c r="HF192" s="6"/>
      <c r="HG192" s="4"/>
      <c r="HH192" s="8"/>
      <c r="HI192" s="5" t="str">
        <f t="shared" ref="HI192:HI240" si="698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4"/>
        <v>NO APLICA</v>
      </c>
      <c r="HO192" s="6"/>
      <c r="HP192" s="6"/>
      <c r="HQ192" s="6"/>
      <c r="HR192" s="6"/>
      <c r="HS192" s="5" t="str">
        <f t="shared" si="526"/>
        <v>NO APLICA</v>
      </c>
      <c r="HT192" s="6"/>
      <c r="HU192" s="6"/>
      <c r="HV192" s="6"/>
      <c r="HW192" s="6"/>
      <c r="HX192" s="5" t="str">
        <f t="shared" si="527"/>
        <v>NO APLICA</v>
      </c>
      <c r="HY192" s="6"/>
      <c r="HZ192" s="6"/>
      <c r="IA192" s="6"/>
      <c r="IB192" s="6"/>
      <c r="IC192" s="5" t="str">
        <f t="shared" si="528"/>
        <v>NO APLICA</v>
      </c>
      <c r="ID192" s="6"/>
      <c r="IE192" s="6"/>
      <c r="IF192" s="6"/>
      <c r="IG192" s="6"/>
      <c r="IH192" s="5" t="str">
        <f t="shared" si="529"/>
        <v>NO APLICA</v>
      </c>
      <c r="II192" s="6"/>
      <c r="IJ192" s="6"/>
      <c r="IK192" s="6"/>
      <c r="IL192" s="6"/>
      <c r="IM192" s="5" t="str">
        <f t="shared" si="530"/>
        <v>NO APLICA</v>
      </c>
      <c r="IN192" s="6"/>
      <c r="IO192" s="6"/>
      <c r="IP192" s="6"/>
      <c r="IQ192" s="6"/>
      <c r="IR192" s="5" t="str">
        <f t="shared" si="531"/>
        <v>NO APLICA</v>
      </c>
      <c r="IS192" s="6"/>
      <c r="IT192" s="6"/>
      <c r="IU192" s="6"/>
      <c r="IV192" s="6"/>
      <c r="IW192" s="5" t="str">
        <f t="shared" si="532"/>
        <v>NO APLICA</v>
      </c>
      <c r="IX192" s="6"/>
      <c r="IY192" s="6"/>
      <c r="IZ192" s="6"/>
      <c r="JA192" s="6"/>
      <c r="JB192" s="5" t="str">
        <f t="shared" si="533"/>
        <v>NO APLICA</v>
      </c>
      <c r="JC192" s="3" t="s">
        <v>780</v>
      </c>
      <c r="JD192" s="6"/>
      <c r="JE192" s="6"/>
      <c r="JF192" s="6"/>
      <c r="JG192" s="5"/>
      <c r="JH192" s="3" t="s">
        <v>780</v>
      </c>
      <c r="JI192" s="6"/>
      <c r="JJ192" s="6"/>
      <c r="JK192" s="6"/>
      <c r="JL192" s="5"/>
      <c r="JM192" s="6" t="s">
        <v>780</v>
      </c>
      <c r="JN192" s="6"/>
      <c r="JO192" s="6"/>
      <c r="JP192" s="6"/>
      <c r="JQ192" s="5"/>
      <c r="JR192" s="6" t="s">
        <v>780</v>
      </c>
      <c r="JS192" s="6"/>
      <c r="JT192" s="6"/>
      <c r="JU192" s="6"/>
      <c r="JV192" s="5"/>
      <c r="JW192" s="6" t="s">
        <v>780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4"/>
        <v>NO APLICA</v>
      </c>
      <c r="KG192" s="5"/>
      <c r="KH192" s="6"/>
      <c r="KI192" s="6"/>
      <c r="KJ192" s="6"/>
      <c r="KK192" s="5" t="str">
        <f t="shared" si="559"/>
        <v>NO APLICA</v>
      </c>
      <c r="KL192" s="5"/>
      <c r="KM192" s="6"/>
      <c r="KN192" s="6"/>
      <c r="KO192" s="6"/>
      <c r="KP192" s="5" t="str">
        <f t="shared" si="535"/>
        <v>NO APLICA</v>
      </c>
      <c r="KQ192" s="5"/>
      <c r="KR192" s="6"/>
      <c r="KS192" s="6"/>
      <c r="KT192" s="6"/>
      <c r="KU192" s="5" t="str">
        <f t="shared" si="560"/>
        <v>NO APLICA</v>
      </c>
      <c r="KV192" s="6"/>
      <c r="KW192" s="6"/>
      <c r="KX192" s="6"/>
      <c r="KY192" s="6"/>
      <c r="KZ192" s="5" t="str">
        <f t="shared" si="565"/>
        <v>NO APLICA</v>
      </c>
      <c r="LA192" s="5"/>
      <c r="LB192" s="6"/>
      <c r="LC192" s="6"/>
      <c r="LD192" s="6"/>
      <c r="LE192" s="5" t="str">
        <f t="shared" si="561"/>
        <v>NO APLICA</v>
      </c>
      <c r="LF192" s="6"/>
      <c r="LG192" s="6"/>
      <c r="LH192" s="6"/>
      <c r="LI192" s="6"/>
      <c r="LJ192" s="5" t="str">
        <f t="shared" si="600"/>
        <v>NO APLICA</v>
      </c>
      <c r="LK192" s="5"/>
      <c r="LL192" s="5"/>
      <c r="LM192" s="4"/>
      <c r="LN192" s="8"/>
      <c r="LO192" s="5" t="str">
        <f t="shared" si="566"/>
        <v>NO APLICA</v>
      </c>
      <c r="LP192" s="6"/>
      <c r="LQ192" s="6"/>
      <c r="LR192" s="6"/>
      <c r="LS192" s="6"/>
      <c r="LT192" s="5" t="str">
        <f t="shared" si="562"/>
        <v>NO APLICA</v>
      </c>
      <c r="LU192" s="6"/>
      <c r="LV192" s="6"/>
      <c r="LW192" s="6"/>
      <c r="LX192" s="6"/>
      <c r="LY192" s="5" t="str">
        <f t="shared" si="563"/>
        <v>NO APLICA</v>
      </c>
      <c r="LZ192" s="6"/>
      <c r="MA192" s="6"/>
      <c r="MB192" s="6"/>
      <c r="MC192" s="6"/>
      <c r="MD192" s="5" t="str">
        <f t="shared" si="564"/>
        <v>NO APLICA</v>
      </c>
      <c r="ME192" s="6"/>
      <c r="MF192" s="6"/>
      <c r="MG192" s="6"/>
      <c r="MH192" s="6"/>
      <c r="MI192" s="5" t="str">
        <f t="shared" si="537"/>
        <v>NO APLICA</v>
      </c>
      <c r="MJ192" s="6"/>
      <c r="MK192" s="6"/>
      <c r="ML192" s="6"/>
      <c r="MM192" s="6"/>
      <c r="MN192" s="5" t="str">
        <f t="shared" si="538"/>
        <v>NO APLICA</v>
      </c>
      <c r="MO192" s="5"/>
      <c r="MP192" s="6"/>
      <c r="MQ192" s="6"/>
      <c r="MR192" s="6"/>
      <c r="MS192" s="5" t="str">
        <f t="shared" si="539"/>
        <v>NO APLICA</v>
      </c>
      <c r="MT192" s="5"/>
      <c r="MU192" s="6"/>
      <c r="MV192" s="6"/>
      <c r="MW192" s="6"/>
      <c r="MX192" s="5" t="str">
        <f t="shared" si="540"/>
        <v>NO APLICA</v>
      </c>
      <c r="MY192" s="6"/>
      <c r="MZ192" s="6"/>
      <c r="NA192" s="6"/>
      <c r="NB192" s="6"/>
      <c r="NC192" s="5" t="str">
        <f t="shared" si="541"/>
        <v>NO APLICA</v>
      </c>
      <c r="ND192" s="6"/>
      <c r="NE192" s="6"/>
      <c r="NF192" s="6"/>
      <c r="NG192" s="6"/>
      <c r="NH192" s="5" t="str">
        <f t="shared" si="542"/>
        <v>NO APLICA</v>
      </c>
      <c r="NI192" s="6"/>
      <c r="NJ192" s="6"/>
      <c r="NK192" s="6"/>
      <c r="NL192" s="6"/>
      <c r="NM192" s="5" t="str">
        <f t="shared" si="543"/>
        <v>NO APLICA</v>
      </c>
      <c r="NN192" s="6"/>
      <c r="NO192" s="6"/>
      <c r="NP192" s="6"/>
      <c r="NQ192" s="6"/>
      <c r="NR192" s="5" t="str">
        <f t="shared" si="544"/>
        <v>NO APLICA</v>
      </c>
      <c r="NS192" s="6"/>
      <c r="NT192" s="6"/>
      <c r="NU192" s="6"/>
      <c r="NV192" s="6"/>
      <c r="NW192" s="5" t="str">
        <f t="shared" si="545"/>
        <v>NO APLICA</v>
      </c>
      <c r="NX192" s="6"/>
      <c r="NY192" s="6"/>
      <c r="NZ192" s="6"/>
      <c r="OA192" s="6"/>
      <c r="OB192" s="5" t="str">
        <f t="shared" si="546"/>
        <v>NO APLICA</v>
      </c>
      <c r="OC192" s="6"/>
      <c r="OD192" s="6"/>
      <c r="OE192" s="6"/>
      <c r="OF192" s="6"/>
      <c r="OG192" s="5" t="str">
        <f t="shared" si="547"/>
        <v>NO APLICA</v>
      </c>
      <c r="OH192" s="6"/>
      <c r="OI192" s="6"/>
      <c r="OJ192" s="6"/>
      <c r="OK192" s="6"/>
      <c r="OL192" s="5" t="str">
        <f t="shared" si="548"/>
        <v>NO APLICA</v>
      </c>
      <c r="OM192" s="6"/>
      <c r="ON192" s="6"/>
      <c r="OO192" s="6"/>
      <c r="OP192" s="6"/>
      <c r="OQ192" s="5" t="str">
        <f t="shared" si="549"/>
        <v>NO APLICA</v>
      </c>
      <c r="OR192" s="6"/>
      <c r="OS192" s="6"/>
      <c r="OT192" s="6"/>
      <c r="OU192" s="6"/>
      <c r="OV192" s="5" t="str">
        <f t="shared" si="550"/>
        <v>NO APLICA</v>
      </c>
      <c r="OW192" s="6"/>
      <c r="OX192" s="6"/>
      <c r="OY192" s="6"/>
      <c r="OZ192" s="6"/>
      <c r="PA192" s="5" t="str">
        <f t="shared" si="551"/>
        <v>NO APLICA</v>
      </c>
      <c r="PB192" s="6"/>
      <c r="PC192" s="6"/>
      <c r="PD192" s="6"/>
      <c r="PE192" s="6"/>
      <c r="PF192" s="5" t="str">
        <f t="shared" si="552"/>
        <v>NO APLICA</v>
      </c>
      <c r="PG192" s="6"/>
      <c r="PH192" s="6"/>
      <c r="PI192" s="6"/>
      <c r="PJ192" s="6"/>
      <c r="PK192" s="5" t="str">
        <f t="shared" si="553"/>
        <v>NO APLICA</v>
      </c>
      <c r="PL192" s="5"/>
      <c r="PM192" s="6"/>
      <c r="PN192" s="6"/>
      <c r="PO192" s="6"/>
      <c r="PP192" s="5" t="str">
        <f t="shared" si="554"/>
        <v>NO APLICA</v>
      </c>
      <c r="PQ192" s="6"/>
      <c r="PR192" s="6"/>
      <c r="PS192" s="6"/>
      <c r="PT192" s="6"/>
      <c r="PU192" s="5" t="str">
        <f t="shared" si="555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6"/>
        <v>VIGENTE</v>
      </c>
    </row>
    <row r="193" spans="1:442" ht="15.6" hidden="1" thickTop="1" thickBot="1" x14ac:dyDescent="0.35">
      <c r="A193" s="26">
        <v>190</v>
      </c>
      <c r="B193" s="31">
        <v>663</v>
      </c>
      <c r="C193" s="28" t="s">
        <v>603</v>
      </c>
      <c r="D193" s="29" t="s">
        <v>604</v>
      </c>
      <c r="E193" s="30" t="s">
        <v>605</v>
      </c>
      <c r="F193" s="3"/>
      <c r="G193" s="4"/>
      <c r="H193" s="4"/>
      <c r="I193" s="8"/>
      <c r="J193" s="5" t="str">
        <f t="shared" si="696"/>
        <v>NO APLICA</v>
      </c>
      <c r="K193" s="2"/>
      <c r="L193" s="2"/>
      <c r="M193" s="2"/>
      <c r="N193" s="2"/>
      <c r="O193" s="5" t="str">
        <f t="shared" si="456"/>
        <v>NO APLICA</v>
      </c>
      <c r="P193" s="6"/>
      <c r="Q193" s="6"/>
      <c r="R193" s="4"/>
      <c r="S193" s="8"/>
      <c r="T193" s="5" t="str">
        <f t="shared" si="697"/>
        <v>NO APLICA</v>
      </c>
      <c r="U193" s="5"/>
      <c r="V193" s="2"/>
      <c r="W193" s="4"/>
      <c r="X193" s="4"/>
      <c r="Y193" s="8"/>
      <c r="Z193" s="5" t="str">
        <f t="shared" si="605"/>
        <v>NO APLICA</v>
      </c>
      <c r="AA193" s="5"/>
      <c r="AB193" s="2"/>
      <c r="AC193" s="6"/>
      <c r="AD193" s="4"/>
      <c r="AE193" s="8"/>
      <c r="AF193" s="5" t="str">
        <f t="shared" si="457"/>
        <v>NO APLICA</v>
      </c>
      <c r="AG193" s="2"/>
      <c r="AH193" s="4"/>
      <c r="AI193" s="4"/>
      <c r="AJ193" s="8"/>
      <c r="AK193" s="5" t="str">
        <f t="shared" si="602"/>
        <v>NO APLICA</v>
      </c>
      <c r="AL193" s="2"/>
      <c r="AM193" s="4"/>
      <c r="AN193" s="4"/>
      <c r="AO193" s="8"/>
      <c r="AP193" s="5" t="str">
        <f t="shared" si="460"/>
        <v>NO APLICA</v>
      </c>
      <c r="AQ193" s="2"/>
      <c r="AR193" s="4"/>
      <c r="AS193" s="4"/>
      <c r="AT193" s="8"/>
      <c r="AU193" s="5" t="str">
        <f t="shared" si="462"/>
        <v>NO APLICA</v>
      </c>
      <c r="AV193" s="2"/>
      <c r="AW193" s="4"/>
      <c r="AX193" s="4"/>
      <c r="AY193" s="8"/>
      <c r="AZ193" s="5" t="str">
        <f t="shared" si="464"/>
        <v>NO APLICA</v>
      </c>
      <c r="BA193" s="3"/>
      <c r="BB193" s="4"/>
      <c r="BC193" s="4"/>
      <c r="BD193" s="8"/>
      <c r="BE193" s="5" t="str">
        <f t="shared" si="466"/>
        <v>NO APLICA</v>
      </c>
      <c r="BF193" s="2"/>
      <c r="BG193" s="4"/>
      <c r="BH193" s="4"/>
      <c r="BI193" s="8"/>
      <c r="BJ193" s="5" t="str">
        <f t="shared" si="468"/>
        <v>NO APLICA</v>
      </c>
      <c r="BK193" s="3"/>
      <c r="BL193" s="4"/>
      <c r="BM193" s="4"/>
      <c r="BN193" s="8"/>
      <c r="BO193" s="5" t="str">
        <f t="shared" si="470"/>
        <v>NO APLICA</v>
      </c>
      <c r="BP193" s="3"/>
      <c r="BQ193" s="39"/>
      <c r="BR193" s="4"/>
      <c r="BS193" s="8"/>
      <c r="BT193" s="5" t="str">
        <f t="shared" si="472"/>
        <v>NO APLICA</v>
      </c>
      <c r="BU193" s="2"/>
      <c r="BV193" s="4"/>
      <c r="BW193" s="4"/>
      <c r="BX193" s="8"/>
      <c r="BY193" s="5" t="str">
        <f t="shared" si="474"/>
        <v>NO APLICA</v>
      </c>
      <c r="BZ193" s="2"/>
      <c r="CA193" s="4"/>
      <c r="CB193" s="4"/>
      <c r="CC193" s="8"/>
      <c r="CD193" s="5" t="str">
        <f t="shared" si="476"/>
        <v>NO APLICA</v>
      </c>
      <c r="CE193" s="6"/>
      <c r="CF193" s="4"/>
      <c r="CG193" s="4"/>
      <c r="CH193" s="8"/>
      <c r="CI193" s="5" t="str">
        <f t="shared" si="573"/>
        <v>NO APLICA</v>
      </c>
      <c r="CJ193" s="6"/>
      <c r="CK193" s="4"/>
      <c r="CL193" s="4"/>
      <c r="CM193" s="8"/>
      <c r="CN193" s="5" t="str">
        <f t="shared" si="478"/>
        <v>NO APLICA</v>
      </c>
      <c r="CO193" s="2"/>
      <c r="CP193" s="39"/>
      <c r="CQ193" s="4"/>
      <c r="CR193" s="8"/>
      <c r="CS193" s="5" t="str">
        <f t="shared" si="480"/>
        <v>NO APLICA</v>
      </c>
      <c r="CT193" s="2"/>
      <c r="CU193" s="4"/>
      <c r="CV193" s="4"/>
      <c r="CW193" s="8"/>
      <c r="CX193" s="5" t="str">
        <f t="shared" si="482"/>
        <v>NO APLICA</v>
      </c>
      <c r="CY193" s="3"/>
      <c r="CZ193" s="4"/>
      <c r="DA193" s="4"/>
      <c r="DB193" s="8"/>
      <c r="DC193" s="5" t="str">
        <f t="shared" si="484"/>
        <v>NO APLICA</v>
      </c>
      <c r="DD193" s="3"/>
      <c r="DE193" s="39"/>
      <c r="DF193" s="4"/>
      <c r="DG193" s="8"/>
      <c r="DH193" s="5" t="str">
        <f t="shared" si="486"/>
        <v>NO APLICA</v>
      </c>
      <c r="DI193" s="2"/>
      <c r="DJ193" s="39"/>
      <c r="DK193" s="4"/>
      <c r="DL193" s="8"/>
      <c r="DM193" s="5" t="str">
        <f t="shared" si="488"/>
        <v>NO APLICA</v>
      </c>
      <c r="DN193" s="3"/>
      <c r="DO193" s="4"/>
      <c r="DP193" s="4"/>
      <c r="DQ193" s="8"/>
      <c r="DR193" s="5" t="str">
        <f t="shared" si="490"/>
        <v>NO APLICA</v>
      </c>
      <c r="DS193" s="2"/>
      <c r="DT193" s="4"/>
      <c r="DU193" s="4"/>
      <c r="DV193" s="8"/>
      <c r="DW193" s="5" t="str">
        <f t="shared" si="492"/>
        <v>NO APLICA</v>
      </c>
      <c r="DX193" s="3"/>
      <c r="DY193" s="4"/>
      <c r="DZ193" s="4"/>
      <c r="EA193" s="8"/>
      <c r="EB193" s="5" t="str">
        <f t="shared" si="494"/>
        <v>NO APLICA</v>
      </c>
      <c r="EC193" s="3"/>
      <c r="ED193" s="39"/>
      <c r="EE193" s="4"/>
      <c r="EF193" s="8"/>
      <c r="EG193" s="5" t="str">
        <f t="shared" si="496"/>
        <v>NO APLICA</v>
      </c>
      <c r="EH193" s="2"/>
      <c r="EI193" s="4"/>
      <c r="EJ193" s="4"/>
      <c r="EK193" s="8"/>
      <c r="EL193" s="5" t="str">
        <f t="shared" si="498"/>
        <v>NO APLICA</v>
      </c>
      <c r="EM193" s="3"/>
      <c r="EN193" s="4"/>
      <c r="EO193" s="4"/>
      <c r="EP193" s="8"/>
      <c r="EQ193" s="5" t="str">
        <f t="shared" si="500"/>
        <v>NO APLICA</v>
      </c>
      <c r="ER193" s="2"/>
      <c r="ES193" s="39"/>
      <c r="ET193" s="4"/>
      <c r="EU193" s="8"/>
      <c r="EV193" s="5" t="str">
        <f t="shared" si="502"/>
        <v>NO APLICA</v>
      </c>
      <c r="EW193" s="2"/>
      <c r="EX193" s="4"/>
      <c r="EY193" s="4"/>
      <c r="EZ193" s="8"/>
      <c r="FA193" s="5" t="str">
        <f t="shared" si="504"/>
        <v>NO APLICA</v>
      </c>
      <c r="FB193" s="2"/>
      <c r="FC193" s="4"/>
      <c r="FD193" s="4"/>
      <c r="FE193" s="8"/>
      <c r="FF193" s="5" t="str">
        <f t="shared" si="506"/>
        <v>NO APLICA</v>
      </c>
      <c r="FG193" s="2"/>
      <c r="FH193" s="4"/>
      <c r="FI193" s="4"/>
      <c r="FJ193" s="8"/>
      <c r="FK193" s="5" t="str">
        <f t="shared" si="508"/>
        <v>NO APLICA</v>
      </c>
      <c r="FL193" s="3"/>
      <c r="FM193" s="39"/>
      <c r="FN193" s="4"/>
      <c r="FO193" s="8"/>
      <c r="FP193" s="5" t="str">
        <f t="shared" si="510"/>
        <v>NO APLICA</v>
      </c>
      <c r="FQ193" s="3"/>
      <c r="FR193" s="39"/>
      <c r="FS193" s="4"/>
      <c r="FT193" s="8"/>
      <c r="FU193" s="5" t="str">
        <f t="shared" si="512"/>
        <v>NO APLICA</v>
      </c>
      <c r="FV193" s="3"/>
      <c r="FW193" s="4"/>
      <c r="FX193" s="4"/>
      <c r="FY193" s="8"/>
      <c r="FZ193" s="5" t="str">
        <f t="shared" si="514"/>
        <v>NO APLICA</v>
      </c>
      <c r="GA193" s="3"/>
      <c r="GB193" s="4"/>
      <c r="GC193" s="4"/>
      <c r="GD193" s="8"/>
      <c r="GE193" s="5" t="str">
        <f t="shared" si="516"/>
        <v>NO APLICA</v>
      </c>
      <c r="GF193" s="3"/>
      <c r="GG193" s="4"/>
      <c r="GH193" s="4"/>
      <c r="GI193" s="8"/>
      <c r="GJ193" s="5" t="str">
        <f t="shared" si="518"/>
        <v>NO APLICA</v>
      </c>
      <c r="GK193" s="3"/>
      <c r="GL193" s="4"/>
      <c r="GM193" s="4"/>
      <c r="GN193" s="8"/>
      <c r="GO193" s="5" t="str">
        <f t="shared" si="520"/>
        <v>NO APLICA</v>
      </c>
      <c r="GP193" s="4"/>
      <c r="GQ193" s="4"/>
      <c r="GR193" s="4"/>
      <c r="GS193" s="8"/>
      <c r="GT193" s="5" t="str">
        <f t="shared" si="610"/>
        <v>NO APLICA</v>
      </c>
      <c r="GU193" s="3"/>
      <c r="GV193" s="4"/>
      <c r="GW193" s="4"/>
      <c r="GX193" s="8"/>
      <c r="GY193" s="5" t="str">
        <f t="shared" si="611"/>
        <v>NO APLICA</v>
      </c>
      <c r="GZ193" s="2"/>
      <c r="HA193" s="4"/>
      <c r="HB193" s="4"/>
      <c r="HC193" s="8"/>
      <c r="HD193" s="5" t="str">
        <f t="shared" si="612"/>
        <v>NO APLICA</v>
      </c>
      <c r="HE193" s="6"/>
      <c r="HF193" s="6"/>
      <c r="HG193" s="4"/>
      <c r="HH193" s="8"/>
      <c r="HI193" s="5" t="str">
        <f t="shared" si="698"/>
        <v>NO APLICA</v>
      </c>
      <c r="HJ193" s="2"/>
      <c r="HK193" s="6"/>
      <c r="HL193" s="4"/>
      <c r="HM193" s="8"/>
      <c r="HN193" s="5" t="str">
        <f t="shared" si="694"/>
        <v>NO APLICA</v>
      </c>
      <c r="HO193" s="2"/>
      <c r="HP193" s="2"/>
      <c r="HQ193" s="4"/>
      <c r="HR193" s="2"/>
      <c r="HS193" s="5" t="str">
        <f t="shared" si="526"/>
        <v>NO APLICA</v>
      </c>
      <c r="HT193" s="2"/>
      <c r="HU193" s="6"/>
      <c r="HV193" s="4"/>
      <c r="HW193" s="8"/>
      <c r="HX193" s="5" t="str">
        <f t="shared" si="527"/>
        <v>NO APLICA</v>
      </c>
      <c r="HY193" s="2"/>
      <c r="HZ193" s="6"/>
      <c r="IA193" s="4"/>
      <c r="IB193" s="8"/>
      <c r="IC193" s="5" t="str">
        <f t="shared" si="528"/>
        <v>NO APLICA</v>
      </c>
      <c r="ID193" s="2"/>
      <c r="IE193" s="6"/>
      <c r="IF193" s="4"/>
      <c r="IG193" s="8"/>
      <c r="IH193" s="5" t="str">
        <f t="shared" si="529"/>
        <v>NO APLICA</v>
      </c>
      <c r="II193" s="6"/>
      <c r="IJ193" s="6"/>
      <c r="IK193" s="4"/>
      <c r="IL193" s="8"/>
      <c r="IM193" s="5" t="str">
        <f t="shared" si="530"/>
        <v>NO APLICA</v>
      </c>
      <c r="IN193" s="2"/>
      <c r="IO193" s="6"/>
      <c r="IP193" s="4"/>
      <c r="IQ193" s="8"/>
      <c r="IR193" s="5" t="str">
        <f t="shared" si="531"/>
        <v>NO APLICA</v>
      </c>
      <c r="IS193" s="2"/>
      <c r="IT193" s="6"/>
      <c r="IU193" s="4"/>
      <c r="IV193" s="8"/>
      <c r="IW193" s="5" t="str">
        <f t="shared" si="532"/>
        <v>NO APLICA</v>
      </c>
      <c r="IX193" s="2"/>
      <c r="IY193" s="6"/>
      <c r="IZ193" s="4"/>
      <c r="JA193" s="8"/>
      <c r="JB193" s="5" t="str">
        <f t="shared" si="533"/>
        <v>NO APLICA</v>
      </c>
      <c r="JC193" s="3" t="s">
        <v>780</v>
      </c>
      <c r="JD193" s="3"/>
      <c r="JE193" s="4"/>
      <c r="JF193" s="8"/>
      <c r="JG193" s="5"/>
      <c r="JH193" s="3" t="s">
        <v>780</v>
      </c>
      <c r="JI193" s="6"/>
      <c r="JJ193" s="6"/>
      <c r="JK193" s="6"/>
      <c r="JL193" s="5"/>
      <c r="JM193" s="6" t="s">
        <v>780</v>
      </c>
      <c r="JN193" s="6"/>
      <c r="JO193" s="6"/>
      <c r="JP193" s="6"/>
      <c r="JQ193" s="5"/>
      <c r="JR193" s="6" t="s">
        <v>780</v>
      </c>
      <c r="JS193" s="6"/>
      <c r="JT193" s="6"/>
      <c r="JU193" s="6"/>
      <c r="JV193" s="5"/>
      <c r="JW193" s="6" t="s">
        <v>780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4"/>
        <v>NO APLICA</v>
      </c>
      <c r="KG193" s="5"/>
      <c r="KH193" s="2"/>
      <c r="KI193" s="4"/>
      <c r="KJ193" s="8"/>
      <c r="KK193" s="5" t="str">
        <f t="shared" si="559"/>
        <v>NO APLICA</v>
      </c>
      <c r="KL193" s="5"/>
      <c r="KM193" s="2"/>
      <c r="KN193" s="4"/>
      <c r="KO193" s="8"/>
      <c r="KP193" s="5" t="str">
        <f t="shared" si="535"/>
        <v>NO APLICA</v>
      </c>
      <c r="KQ193" s="5"/>
      <c r="KR193" s="2"/>
      <c r="KS193" s="4"/>
      <c r="KT193" s="8"/>
      <c r="KU193" s="5" t="str">
        <f t="shared" si="560"/>
        <v>NO APLICA</v>
      </c>
      <c r="KV193" s="2"/>
      <c r="KW193" s="6"/>
      <c r="KX193" s="4"/>
      <c r="KY193" s="8"/>
      <c r="KZ193" s="5" t="str">
        <f t="shared" si="565"/>
        <v>NO APLICA</v>
      </c>
      <c r="LA193" s="5"/>
      <c r="LB193" s="6"/>
      <c r="LC193" s="4"/>
      <c r="LD193" s="8"/>
      <c r="LE193" s="5" t="str">
        <f t="shared" si="561"/>
        <v>NO APLICA</v>
      </c>
      <c r="LF193" s="6"/>
      <c r="LG193" s="6"/>
      <c r="LH193" s="4"/>
      <c r="LI193" s="8"/>
      <c r="LJ193" s="5" t="str">
        <f t="shared" si="600"/>
        <v>NO APLICA</v>
      </c>
      <c r="LK193" s="5"/>
      <c r="LL193" s="5"/>
      <c r="LM193" s="4"/>
      <c r="LN193" s="8"/>
      <c r="LO193" s="5" t="str">
        <f t="shared" si="566"/>
        <v>NO APLICA</v>
      </c>
      <c r="LP193" s="2"/>
      <c r="LQ193" s="6"/>
      <c r="LR193" s="4"/>
      <c r="LS193" s="8"/>
      <c r="LT193" s="5" t="str">
        <f t="shared" si="562"/>
        <v>NO APLICA</v>
      </c>
      <c r="LU193" s="6"/>
      <c r="LV193" s="6"/>
      <c r="LW193" s="4"/>
      <c r="LX193" s="8"/>
      <c r="LY193" s="5" t="str">
        <f t="shared" si="563"/>
        <v>NO APLICA</v>
      </c>
      <c r="LZ193" s="6"/>
      <c r="MA193" s="6"/>
      <c r="MB193" s="4"/>
      <c r="MC193" s="8"/>
      <c r="MD193" s="5" t="str">
        <f t="shared" si="564"/>
        <v>NO APLICA</v>
      </c>
      <c r="ME193" s="2"/>
      <c r="MF193" s="2"/>
      <c r="MG193" s="4"/>
      <c r="MH193" s="8"/>
      <c r="MI193" s="5" t="str">
        <f t="shared" si="537"/>
        <v>NO APLICA</v>
      </c>
      <c r="MJ193" s="2"/>
      <c r="MK193" s="2"/>
      <c r="ML193" s="4"/>
      <c r="MM193" s="8"/>
      <c r="MN193" s="5" t="str">
        <f t="shared" si="538"/>
        <v>NO APLICA</v>
      </c>
      <c r="MO193" s="5"/>
      <c r="MP193" s="2"/>
      <c r="MQ193" s="4"/>
      <c r="MR193" s="8"/>
      <c r="MS193" s="5" t="str">
        <f t="shared" si="539"/>
        <v>NO APLICA</v>
      </c>
      <c r="MT193" s="5"/>
      <c r="MU193" s="2"/>
      <c r="MV193" s="4"/>
      <c r="MW193" s="2"/>
      <c r="MX193" s="5" t="str">
        <f t="shared" si="540"/>
        <v>NO APLICA</v>
      </c>
      <c r="MY193" s="2"/>
      <c r="MZ193" s="6"/>
      <c r="NA193" s="4"/>
      <c r="NB193" s="8"/>
      <c r="NC193" s="5" t="str">
        <f t="shared" si="541"/>
        <v>NO APLICA</v>
      </c>
      <c r="ND193" s="2"/>
      <c r="NE193" s="6"/>
      <c r="NF193" s="4"/>
      <c r="NG193" s="8"/>
      <c r="NH193" s="5" t="str">
        <f t="shared" si="542"/>
        <v>NO APLICA</v>
      </c>
      <c r="NI193" s="2"/>
      <c r="NJ193" s="6"/>
      <c r="NK193" s="4"/>
      <c r="NL193" s="8"/>
      <c r="NM193" s="5" t="str">
        <f t="shared" si="543"/>
        <v>NO APLICA</v>
      </c>
      <c r="NN193" s="2"/>
      <c r="NO193" s="2"/>
      <c r="NP193" s="4"/>
      <c r="NQ193" s="8"/>
      <c r="NR193" s="5" t="str">
        <f t="shared" si="544"/>
        <v>NO APLICA</v>
      </c>
      <c r="NS193" s="2"/>
      <c r="NT193" s="2"/>
      <c r="NU193" s="4"/>
      <c r="NV193" s="2"/>
      <c r="NW193" s="5" t="str">
        <f t="shared" si="545"/>
        <v>NO APLICA</v>
      </c>
      <c r="NX193" s="6"/>
      <c r="NY193" s="6"/>
      <c r="NZ193" s="4"/>
      <c r="OA193" s="8"/>
      <c r="OB193" s="5" t="str">
        <f t="shared" si="546"/>
        <v>NO APLICA</v>
      </c>
      <c r="OC193" s="6"/>
      <c r="OD193" s="6"/>
      <c r="OE193" s="6"/>
      <c r="OF193" s="6"/>
      <c r="OG193" s="5" t="str">
        <f t="shared" si="547"/>
        <v>NO APLICA</v>
      </c>
      <c r="OH193" s="6"/>
      <c r="OI193" s="6"/>
      <c r="OJ193" s="4"/>
      <c r="OK193" s="8"/>
      <c r="OL193" s="5" t="str">
        <f t="shared" si="548"/>
        <v>NO APLICA</v>
      </c>
      <c r="OM193" s="6"/>
      <c r="ON193" s="6"/>
      <c r="OO193" s="6"/>
      <c r="OP193" s="6"/>
      <c r="OQ193" s="5" t="str">
        <f t="shared" si="549"/>
        <v>NO APLICA</v>
      </c>
      <c r="OR193" s="6"/>
      <c r="OS193" s="6"/>
      <c r="OT193" s="6"/>
      <c r="OU193" s="6"/>
      <c r="OV193" s="5" t="str">
        <f t="shared" si="550"/>
        <v>NO APLICA</v>
      </c>
      <c r="OW193" s="6"/>
      <c r="OX193" s="6"/>
      <c r="OY193" s="6"/>
      <c r="OZ193" s="6"/>
      <c r="PA193" s="5" t="str">
        <f t="shared" si="551"/>
        <v>NO APLICA</v>
      </c>
      <c r="PB193" s="6"/>
      <c r="PC193" s="6"/>
      <c r="PD193" s="6"/>
      <c r="PE193" s="6"/>
      <c r="PF193" s="5" t="str">
        <f t="shared" si="552"/>
        <v>NO APLICA</v>
      </c>
      <c r="PG193" s="6"/>
      <c r="PH193" s="6"/>
      <c r="PI193" s="6"/>
      <c r="PJ193" s="6"/>
      <c r="PK193" s="5" t="str">
        <f t="shared" si="553"/>
        <v>NO APLICA</v>
      </c>
      <c r="PL193" s="5"/>
      <c r="PM193" s="6"/>
      <c r="PN193" s="4"/>
      <c r="PO193" s="8"/>
      <c r="PP193" s="5" t="str">
        <f t="shared" si="554"/>
        <v>NO APLICA</v>
      </c>
      <c r="PQ193" s="6"/>
      <c r="PR193" s="6"/>
      <c r="PS193" s="6"/>
      <c r="PT193" s="6"/>
      <c r="PU193" s="5" t="str">
        <f t="shared" si="555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6"/>
        <v>VIGENTE</v>
      </c>
    </row>
    <row r="194" spans="1:442" ht="15.6" hidden="1" thickTop="1" thickBot="1" x14ac:dyDescent="0.35">
      <c r="A194" s="26">
        <v>191</v>
      </c>
      <c r="B194" s="31">
        <v>1690</v>
      </c>
      <c r="C194" s="28" t="s">
        <v>606</v>
      </c>
      <c r="D194" s="29" t="s">
        <v>113</v>
      </c>
      <c r="E194" s="30" t="s">
        <v>602</v>
      </c>
      <c r="F194" s="3"/>
      <c r="G194" s="4"/>
      <c r="H194" s="4"/>
      <c r="I194" s="8"/>
      <c r="J194" s="5" t="str">
        <f t="shared" si="696"/>
        <v>NO APLICA</v>
      </c>
      <c r="K194" s="2"/>
      <c r="L194" s="2"/>
      <c r="M194" s="2"/>
      <c r="N194" s="2"/>
      <c r="O194" s="5" t="str">
        <f t="shared" si="456"/>
        <v>NO APLICA</v>
      </c>
      <c r="P194" s="6"/>
      <c r="Q194" s="6"/>
      <c r="R194" s="4"/>
      <c r="S194" s="8"/>
      <c r="T194" s="5" t="str">
        <f t="shared" si="697"/>
        <v>NO APLICA</v>
      </c>
      <c r="U194" s="5"/>
      <c r="V194" s="2"/>
      <c r="W194" s="4"/>
      <c r="X194" s="4"/>
      <c r="Y194" s="8"/>
      <c r="Z194" s="5" t="str">
        <f t="shared" si="605"/>
        <v>NO APLICA</v>
      </c>
      <c r="AA194" s="5"/>
      <c r="AB194" s="2"/>
      <c r="AC194" s="6"/>
      <c r="AD194" s="4"/>
      <c r="AE194" s="8"/>
      <c r="AF194" s="5" t="str">
        <f t="shared" si="457"/>
        <v>NO APLICA</v>
      </c>
      <c r="AG194" s="2"/>
      <c r="AH194" s="4"/>
      <c r="AI194" s="4"/>
      <c r="AJ194" s="8"/>
      <c r="AK194" s="5" t="str">
        <f t="shared" si="602"/>
        <v>NO APLICA</v>
      </c>
      <c r="AL194" s="2"/>
      <c r="AM194" s="4"/>
      <c r="AN194" s="4"/>
      <c r="AO194" s="8"/>
      <c r="AP194" s="5" t="str">
        <f t="shared" si="460"/>
        <v>NO APLICA</v>
      </c>
      <c r="AQ194" s="2"/>
      <c r="AR194" s="4"/>
      <c r="AS194" s="4"/>
      <c r="AT194" s="8"/>
      <c r="AU194" s="5" t="str">
        <f t="shared" si="462"/>
        <v>NO APLICA</v>
      </c>
      <c r="AV194" s="2"/>
      <c r="AW194" s="4"/>
      <c r="AX194" s="4"/>
      <c r="AY194" s="8"/>
      <c r="AZ194" s="5" t="str">
        <f t="shared" si="464"/>
        <v>NO APLICA</v>
      </c>
      <c r="BA194" s="3"/>
      <c r="BB194" s="4"/>
      <c r="BC194" s="4"/>
      <c r="BD194" s="8"/>
      <c r="BE194" s="5" t="str">
        <f t="shared" si="466"/>
        <v>NO APLICA</v>
      </c>
      <c r="BF194" s="2"/>
      <c r="BG194" s="4"/>
      <c r="BH194" s="4"/>
      <c r="BI194" s="8"/>
      <c r="BJ194" s="5" t="str">
        <f t="shared" si="468"/>
        <v>NO APLICA</v>
      </c>
      <c r="BK194" s="3"/>
      <c r="BL194" s="4"/>
      <c r="BM194" s="4"/>
      <c r="BN194" s="8"/>
      <c r="BO194" s="5" t="str">
        <f t="shared" si="470"/>
        <v>NO APLICA</v>
      </c>
      <c r="BP194" s="3"/>
      <c r="BQ194" s="39"/>
      <c r="BR194" s="4"/>
      <c r="BS194" s="8"/>
      <c r="BT194" s="5" t="str">
        <f t="shared" si="472"/>
        <v>NO APLICA</v>
      </c>
      <c r="BU194" s="2"/>
      <c r="BV194" s="4"/>
      <c r="BW194" s="4"/>
      <c r="BX194" s="8"/>
      <c r="BY194" s="5" t="str">
        <f t="shared" si="474"/>
        <v>NO APLICA</v>
      </c>
      <c r="BZ194" s="2"/>
      <c r="CA194" s="4"/>
      <c r="CB194" s="4"/>
      <c r="CC194" s="8"/>
      <c r="CD194" s="5" t="str">
        <f t="shared" si="476"/>
        <v>NO APLICA</v>
      </c>
      <c r="CE194" s="6"/>
      <c r="CF194" s="4"/>
      <c r="CG194" s="4"/>
      <c r="CH194" s="8"/>
      <c r="CI194" s="5" t="str">
        <f t="shared" si="573"/>
        <v>NO APLICA</v>
      </c>
      <c r="CJ194" s="6"/>
      <c r="CK194" s="4"/>
      <c r="CL194" s="4"/>
      <c r="CM194" s="8"/>
      <c r="CN194" s="5" t="str">
        <f t="shared" si="478"/>
        <v>NO APLICA</v>
      </c>
      <c r="CO194" s="2"/>
      <c r="CP194" s="39"/>
      <c r="CQ194" s="4"/>
      <c r="CR194" s="8"/>
      <c r="CS194" s="5" t="str">
        <f t="shared" si="480"/>
        <v>NO APLICA</v>
      </c>
      <c r="CT194" s="2"/>
      <c r="CU194" s="4"/>
      <c r="CV194" s="4"/>
      <c r="CW194" s="8"/>
      <c r="CX194" s="5" t="str">
        <f t="shared" si="482"/>
        <v>NO APLICA</v>
      </c>
      <c r="CY194" s="3"/>
      <c r="CZ194" s="4"/>
      <c r="DA194" s="4"/>
      <c r="DB194" s="8"/>
      <c r="DC194" s="5" t="str">
        <f t="shared" si="484"/>
        <v>NO APLICA</v>
      </c>
      <c r="DD194" s="3"/>
      <c r="DE194" s="39"/>
      <c r="DF194" s="4"/>
      <c r="DG194" s="8"/>
      <c r="DH194" s="5" t="str">
        <f t="shared" si="486"/>
        <v>NO APLICA</v>
      </c>
      <c r="DI194" s="2"/>
      <c r="DJ194" s="39"/>
      <c r="DK194" s="4"/>
      <c r="DL194" s="8"/>
      <c r="DM194" s="5" t="str">
        <f t="shared" si="488"/>
        <v>NO APLICA</v>
      </c>
      <c r="DN194" s="3"/>
      <c r="DO194" s="4"/>
      <c r="DP194" s="4"/>
      <c r="DQ194" s="8"/>
      <c r="DR194" s="5" t="str">
        <f t="shared" si="490"/>
        <v>NO APLICA</v>
      </c>
      <c r="DS194" s="2"/>
      <c r="DT194" s="4"/>
      <c r="DU194" s="4"/>
      <c r="DV194" s="8"/>
      <c r="DW194" s="5" t="str">
        <f t="shared" si="492"/>
        <v>NO APLICA</v>
      </c>
      <c r="DX194" s="3"/>
      <c r="DY194" s="4"/>
      <c r="DZ194" s="4"/>
      <c r="EA194" s="8"/>
      <c r="EB194" s="5" t="str">
        <f t="shared" si="494"/>
        <v>NO APLICA</v>
      </c>
      <c r="EC194" s="3"/>
      <c r="ED194" s="39"/>
      <c r="EE194" s="4"/>
      <c r="EF194" s="8"/>
      <c r="EG194" s="5" t="str">
        <f t="shared" si="496"/>
        <v>NO APLICA</v>
      </c>
      <c r="EH194" s="2"/>
      <c r="EI194" s="4"/>
      <c r="EJ194" s="4"/>
      <c r="EK194" s="8"/>
      <c r="EL194" s="5" t="str">
        <f t="shared" si="498"/>
        <v>NO APLICA</v>
      </c>
      <c r="EM194" s="3"/>
      <c r="EN194" s="4"/>
      <c r="EO194" s="4"/>
      <c r="EP194" s="8"/>
      <c r="EQ194" s="5" t="str">
        <f t="shared" si="500"/>
        <v>NO APLICA</v>
      </c>
      <c r="ER194" s="2"/>
      <c r="ES194" s="39"/>
      <c r="ET194" s="4"/>
      <c r="EU194" s="8"/>
      <c r="EV194" s="5" t="str">
        <f t="shared" si="502"/>
        <v>NO APLICA</v>
      </c>
      <c r="EW194" s="2"/>
      <c r="EX194" s="4"/>
      <c r="EY194" s="4"/>
      <c r="EZ194" s="8"/>
      <c r="FA194" s="5" t="str">
        <f t="shared" si="504"/>
        <v>NO APLICA</v>
      </c>
      <c r="FB194" s="2"/>
      <c r="FC194" s="4"/>
      <c r="FD194" s="4"/>
      <c r="FE194" s="8"/>
      <c r="FF194" s="5" t="str">
        <f t="shared" si="506"/>
        <v>NO APLICA</v>
      </c>
      <c r="FG194" s="2"/>
      <c r="FH194" s="4"/>
      <c r="FI194" s="4"/>
      <c r="FJ194" s="8"/>
      <c r="FK194" s="5" t="str">
        <f t="shared" si="508"/>
        <v>NO APLICA</v>
      </c>
      <c r="FL194" s="3"/>
      <c r="FM194" s="39"/>
      <c r="FN194" s="4"/>
      <c r="FO194" s="8"/>
      <c r="FP194" s="5" t="str">
        <f t="shared" si="510"/>
        <v>NO APLICA</v>
      </c>
      <c r="FQ194" s="3"/>
      <c r="FR194" s="39"/>
      <c r="FS194" s="4"/>
      <c r="FT194" s="8"/>
      <c r="FU194" s="5" t="str">
        <f t="shared" si="512"/>
        <v>NO APLICA</v>
      </c>
      <c r="FV194" s="3"/>
      <c r="FW194" s="4"/>
      <c r="FX194" s="4"/>
      <c r="FY194" s="8"/>
      <c r="FZ194" s="5" t="str">
        <f t="shared" si="514"/>
        <v>NO APLICA</v>
      </c>
      <c r="GA194" s="3"/>
      <c r="GB194" s="4"/>
      <c r="GC194" s="4"/>
      <c r="GD194" s="8"/>
      <c r="GE194" s="5" t="str">
        <f t="shared" si="516"/>
        <v>NO APLICA</v>
      </c>
      <c r="GF194" s="3"/>
      <c r="GG194" s="4"/>
      <c r="GH194" s="4"/>
      <c r="GI194" s="8"/>
      <c r="GJ194" s="5" t="str">
        <f t="shared" si="518"/>
        <v>NO APLICA</v>
      </c>
      <c r="GK194" s="3"/>
      <c r="GL194" s="4"/>
      <c r="GM194" s="4"/>
      <c r="GN194" s="8"/>
      <c r="GO194" s="5" t="str">
        <f t="shared" si="520"/>
        <v>NO APLICA</v>
      </c>
      <c r="GP194" s="4"/>
      <c r="GQ194" s="4"/>
      <c r="GR194" s="4"/>
      <c r="GS194" s="8"/>
      <c r="GT194" s="5" t="str">
        <f t="shared" si="610"/>
        <v>NO APLICA</v>
      </c>
      <c r="GU194" s="3"/>
      <c r="GV194" s="4"/>
      <c r="GW194" s="4"/>
      <c r="GX194" s="8"/>
      <c r="GY194" s="5" t="str">
        <f t="shared" si="611"/>
        <v>NO APLICA</v>
      </c>
      <c r="GZ194" s="2"/>
      <c r="HA194" s="4"/>
      <c r="HB194" s="4"/>
      <c r="HC194" s="8"/>
      <c r="HD194" s="5" t="str">
        <f t="shared" si="612"/>
        <v>NO APLICA</v>
      </c>
      <c r="HE194" s="6"/>
      <c r="HF194" s="6"/>
      <c r="HG194" s="4"/>
      <c r="HH194" s="8"/>
      <c r="HI194" s="5" t="str">
        <f t="shared" si="698"/>
        <v>NO APLICA</v>
      </c>
      <c r="HJ194" s="2"/>
      <c r="HK194" s="6"/>
      <c r="HL194" s="4"/>
      <c r="HM194" s="8"/>
      <c r="HN194" s="5" t="str">
        <f t="shared" si="694"/>
        <v>NO APLICA</v>
      </c>
      <c r="HO194" s="2"/>
      <c r="HP194" s="2"/>
      <c r="HQ194" s="4"/>
      <c r="HR194" s="2"/>
      <c r="HS194" s="5" t="str">
        <f t="shared" si="526"/>
        <v>NO APLICA</v>
      </c>
      <c r="HT194" s="2"/>
      <c r="HU194" s="6"/>
      <c r="HV194" s="4"/>
      <c r="HW194" s="8"/>
      <c r="HX194" s="5" t="str">
        <f t="shared" si="527"/>
        <v>NO APLICA</v>
      </c>
      <c r="HY194" s="2"/>
      <c r="HZ194" s="6"/>
      <c r="IA194" s="4"/>
      <c r="IB194" s="8"/>
      <c r="IC194" s="5" t="str">
        <f t="shared" si="528"/>
        <v>NO APLICA</v>
      </c>
      <c r="ID194" s="2"/>
      <c r="IE194" s="6"/>
      <c r="IF194" s="4"/>
      <c r="IG194" s="8"/>
      <c r="IH194" s="5" t="str">
        <f t="shared" si="529"/>
        <v>NO APLICA</v>
      </c>
      <c r="II194" s="6"/>
      <c r="IJ194" s="6"/>
      <c r="IK194" s="4"/>
      <c r="IL194" s="8"/>
      <c r="IM194" s="5" t="str">
        <f t="shared" si="530"/>
        <v>NO APLICA</v>
      </c>
      <c r="IN194" s="2"/>
      <c r="IO194" s="6"/>
      <c r="IP194" s="4"/>
      <c r="IQ194" s="8"/>
      <c r="IR194" s="5" t="str">
        <f t="shared" si="531"/>
        <v>NO APLICA</v>
      </c>
      <c r="IS194" s="2"/>
      <c r="IT194" s="6"/>
      <c r="IU194" s="4"/>
      <c r="IV194" s="8"/>
      <c r="IW194" s="5" t="str">
        <f t="shared" si="532"/>
        <v>NO APLICA</v>
      </c>
      <c r="IX194" s="2"/>
      <c r="IY194" s="6"/>
      <c r="IZ194" s="4"/>
      <c r="JA194" s="8"/>
      <c r="JB194" s="5" t="str">
        <f t="shared" si="533"/>
        <v>NO APLICA</v>
      </c>
      <c r="JC194" s="3" t="s">
        <v>780</v>
      </c>
      <c r="JD194" s="3"/>
      <c r="JE194" s="4"/>
      <c r="JF194" s="8"/>
      <c r="JG194" s="5"/>
      <c r="JH194" s="3" t="s">
        <v>780</v>
      </c>
      <c r="JI194" s="6"/>
      <c r="JJ194" s="6"/>
      <c r="JK194" s="6"/>
      <c r="JL194" s="5"/>
      <c r="JM194" s="6" t="s">
        <v>780</v>
      </c>
      <c r="JN194" s="6"/>
      <c r="JO194" s="6"/>
      <c r="JP194" s="6"/>
      <c r="JQ194" s="5"/>
      <c r="JR194" s="6" t="s">
        <v>780</v>
      </c>
      <c r="JS194" s="6"/>
      <c r="JT194" s="6"/>
      <c r="JU194" s="6"/>
      <c r="JV194" s="5"/>
      <c r="JW194" s="6" t="s">
        <v>780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4"/>
        <v>NO APLICA</v>
      </c>
      <c r="KG194" s="5"/>
      <c r="KH194" s="2"/>
      <c r="KI194" s="4"/>
      <c r="KJ194" s="8"/>
      <c r="KK194" s="5" t="str">
        <f t="shared" si="559"/>
        <v>NO APLICA</v>
      </c>
      <c r="KL194" s="5"/>
      <c r="KM194" s="2"/>
      <c r="KN194" s="4"/>
      <c r="KO194" s="8"/>
      <c r="KP194" s="5" t="str">
        <f t="shared" si="535"/>
        <v>NO APLICA</v>
      </c>
      <c r="KQ194" s="5"/>
      <c r="KR194" s="2"/>
      <c r="KS194" s="4"/>
      <c r="KT194" s="8"/>
      <c r="KU194" s="5" t="str">
        <f t="shared" si="560"/>
        <v>NO APLICA</v>
      </c>
      <c r="KV194" s="2"/>
      <c r="KW194" s="6"/>
      <c r="KX194" s="4"/>
      <c r="KY194" s="8"/>
      <c r="KZ194" s="5" t="str">
        <f t="shared" si="565"/>
        <v>NO APLICA</v>
      </c>
      <c r="LA194" s="5"/>
      <c r="LB194" s="6"/>
      <c r="LC194" s="4"/>
      <c r="LD194" s="8"/>
      <c r="LE194" s="5" t="str">
        <f t="shared" si="561"/>
        <v>NO APLICA</v>
      </c>
      <c r="LF194" s="6"/>
      <c r="LG194" s="6"/>
      <c r="LH194" s="4"/>
      <c r="LI194" s="8"/>
      <c r="LJ194" s="5" t="str">
        <f t="shared" si="600"/>
        <v>NO APLICA</v>
      </c>
      <c r="LK194" s="5"/>
      <c r="LL194" s="5"/>
      <c r="LM194" s="4"/>
      <c r="LN194" s="8"/>
      <c r="LO194" s="5" t="str">
        <f t="shared" si="566"/>
        <v>NO APLICA</v>
      </c>
      <c r="LP194" s="2"/>
      <c r="LQ194" s="6"/>
      <c r="LR194" s="4"/>
      <c r="LS194" s="8"/>
      <c r="LT194" s="5" t="str">
        <f t="shared" si="562"/>
        <v>NO APLICA</v>
      </c>
      <c r="LU194" s="6"/>
      <c r="LV194" s="6"/>
      <c r="LW194" s="4"/>
      <c r="LX194" s="8"/>
      <c r="LY194" s="5" t="str">
        <f t="shared" si="563"/>
        <v>NO APLICA</v>
      </c>
      <c r="LZ194" s="6"/>
      <c r="MA194" s="6"/>
      <c r="MB194" s="4"/>
      <c r="MC194" s="8"/>
      <c r="MD194" s="5" t="str">
        <f t="shared" si="564"/>
        <v>NO APLICA</v>
      </c>
      <c r="ME194" s="2"/>
      <c r="MF194" s="2"/>
      <c r="MG194" s="4"/>
      <c r="MH194" s="8"/>
      <c r="MI194" s="5" t="str">
        <f t="shared" si="537"/>
        <v>NO APLICA</v>
      </c>
      <c r="MJ194" s="2"/>
      <c r="MK194" s="2"/>
      <c r="ML194" s="4"/>
      <c r="MM194" s="8"/>
      <c r="MN194" s="5" t="str">
        <f t="shared" si="538"/>
        <v>NO APLICA</v>
      </c>
      <c r="MO194" s="5"/>
      <c r="MP194" s="2"/>
      <c r="MQ194" s="4"/>
      <c r="MR194" s="8"/>
      <c r="MS194" s="5" t="str">
        <f t="shared" si="539"/>
        <v>NO APLICA</v>
      </c>
      <c r="MT194" s="5"/>
      <c r="MU194" s="2"/>
      <c r="MV194" s="4"/>
      <c r="MW194" s="2"/>
      <c r="MX194" s="5" t="str">
        <f t="shared" si="540"/>
        <v>NO APLICA</v>
      </c>
      <c r="MY194" s="2"/>
      <c r="MZ194" s="6"/>
      <c r="NA194" s="4"/>
      <c r="NB194" s="8"/>
      <c r="NC194" s="5" t="str">
        <f t="shared" si="541"/>
        <v>NO APLICA</v>
      </c>
      <c r="ND194" s="2"/>
      <c r="NE194" s="6"/>
      <c r="NF194" s="4"/>
      <c r="NG194" s="8"/>
      <c r="NH194" s="5" t="str">
        <f t="shared" si="542"/>
        <v>NO APLICA</v>
      </c>
      <c r="NI194" s="2"/>
      <c r="NJ194" s="6"/>
      <c r="NK194" s="4"/>
      <c r="NL194" s="8"/>
      <c r="NM194" s="5" t="str">
        <f t="shared" si="543"/>
        <v>NO APLICA</v>
      </c>
      <c r="NN194" s="2"/>
      <c r="NO194" s="2"/>
      <c r="NP194" s="4"/>
      <c r="NQ194" s="8"/>
      <c r="NR194" s="5" t="str">
        <f t="shared" si="544"/>
        <v>NO APLICA</v>
      </c>
      <c r="NS194" s="2"/>
      <c r="NT194" s="2"/>
      <c r="NU194" s="4"/>
      <c r="NV194" s="2"/>
      <c r="NW194" s="5" t="str">
        <f t="shared" si="545"/>
        <v>NO APLICA</v>
      </c>
      <c r="NX194" s="6"/>
      <c r="NY194" s="6"/>
      <c r="NZ194" s="4"/>
      <c r="OA194" s="8"/>
      <c r="OB194" s="5" t="str">
        <f t="shared" si="546"/>
        <v>NO APLICA</v>
      </c>
      <c r="OC194" s="6"/>
      <c r="OD194" s="6"/>
      <c r="OE194" s="6"/>
      <c r="OF194" s="6"/>
      <c r="OG194" s="5" t="str">
        <f t="shared" si="547"/>
        <v>NO APLICA</v>
      </c>
      <c r="OH194" s="6"/>
      <c r="OI194" s="6"/>
      <c r="OJ194" s="4"/>
      <c r="OK194" s="8"/>
      <c r="OL194" s="5" t="str">
        <f t="shared" si="548"/>
        <v>NO APLICA</v>
      </c>
      <c r="OM194" s="6"/>
      <c r="ON194" s="6"/>
      <c r="OO194" s="6"/>
      <c r="OP194" s="6"/>
      <c r="OQ194" s="5" t="str">
        <f t="shared" si="549"/>
        <v>NO APLICA</v>
      </c>
      <c r="OR194" s="6"/>
      <c r="OS194" s="6"/>
      <c r="OT194" s="6"/>
      <c r="OU194" s="6"/>
      <c r="OV194" s="5" t="str">
        <f t="shared" si="550"/>
        <v>NO APLICA</v>
      </c>
      <c r="OW194" s="6"/>
      <c r="OX194" s="6"/>
      <c r="OY194" s="6"/>
      <c r="OZ194" s="6"/>
      <c r="PA194" s="5" t="str">
        <f t="shared" si="551"/>
        <v>NO APLICA</v>
      </c>
      <c r="PB194" s="6"/>
      <c r="PC194" s="6"/>
      <c r="PD194" s="6"/>
      <c r="PE194" s="6"/>
      <c r="PF194" s="5" t="str">
        <f t="shared" si="552"/>
        <v>NO APLICA</v>
      </c>
      <c r="PG194" s="6"/>
      <c r="PH194" s="6"/>
      <c r="PI194" s="6"/>
      <c r="PJ194" s="6"/>
      <c r="PK194" s="5" t="str">
        <f t="shared" si="553"/>
        <v>NO APLICA</v>
      </c>
      <c r="PL194" s="5"/>
      <c r="PM194" s="6"/>
      <c r="PN194" s="4"/>
      <c r="PO194" s="8"/>
      <c r="PP194" s="5" t="str">
        <f t="shared" si="554"/>
        <v>NO APLICA</v>
      </c>
      <c r="PQ194" s="6"/>
      <c r="PR194" s="6"/>
      <c r="PS194" s="6"/>
      <c r="PT194" s="6"/>
      <c r="PU194" s="5" t="str">
        <f t="shared" si="555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6"/>
        <v>VIGENTE</v>
      </c>
    </row>
    <row r="195" spans="1:442" ht="15.6" hidden="1" thickTop="1" thickBot="1" x14ac:dyDescent="0.35">
      <c r="A195" s="26">
        <v>192</v>
      </c>
      <c r="B195" s="31">
        <v>1610</v>
      </c>
      <c r="C195" s="28" t="s">
        <v>607</v>
      </c>
      <c r="D195" s="29" t="s">
        <v>64</v>
      </c>
      <c r="E195" s="30" t="s">
        <v>133</v>
      </c>
      <c r="F195" s="6"/>
      <c r="G195" s="6"/>
      <c r="H195" s="6"/>
      <c r="I195" s="6"/>
      <c r="J195" s="5" t="str">
        <f t="shared" si="696"/>
        <v>NO APLICA</v>
      </c>
      <c r="K195" s="6"/>
      <c r="L195" s="6"/>
      <c r="M195" s="6"/>
      <c r="N195" s="6"/>
      <c r="O195" s="5" t="str">
        <f t="shared" si="456"/>
        <v>NO APLICA</v>
      </c>
      <c r="P195" s="6"/>
      <c r="Q195" s="6"/>
      <c r="R195" s="6"/>
      <c r="S195" s="6"/>
      <c r="T195" s="5" t="str">
        <f t="shared" si="697"/>
        <v>NO APLICA</v>
      </c>
      <c r="U195" s="5"/>
      <c r="V195" s="6"/>
      <c r="W195" s="4"/>
      <c r="X195" s="4"/>
      <c r="Y195" s="8"/>
      <c r="Z195" s="5" t="str">
        <f t="shared" si="605"/>
        <v>NO APLICA</v>
      </c>
      <c r="AA195" s="5"/>
      <c r="AB195" s="6"/>
      <c r="AC195" s="6"/>
      <c r="AD195" s="6"/>
      <c r="AE195" s="6"/>
      <c r="AF195" s="5" t="str">
        <f t="shared" si="457"/>
        <v>NO APLICA</v>
      </c>
      <c r="AG195" s="4"/>
      <c r="AH195" s="4"/>
      <c r="AI195" s="4"/>
      <c r="AJ195" s="6"/>
      <c r="AK195" s="5" t="str">
        <f t="shared" si="602"/>
        <v>NO APLICA</v>
      </c>
      <c r="AL195" s="4"/>
      <c r="AM195" s="4"/>
      <c r="AN195" s="4"/>
      <c r="AO195" s="6"/>
      <c r="AP195" s="5" t="str">
        <f t="shared" si="460"/>
        <v>NO APLICA</v>
      </c>
      <c r="AQ195" s="4"/>
      <c r="AR195" s="4"/>
      <c r="AS195" s="4"/>
      <c r="AT195" s="6"/>
      <c r="AU195" s="5" t="str">
        <f t="shared" si="462"/>
        <v>NO APLICA</v>
      </c>
      <c r="AV195" s="4"/>
      <c r="AW195" s="4"/>
      <c r="AX195" s="4"/>
      <c r="AY195" s="6"/>
      <c r="AZ195" s="5" t="str">
        <f t="shared" si="464"/>
        <v>NO APLICA</v>
      </c>
      <c r="BA195" s="4"/>
      <c r="BB195" s="4"/>
      <c r="BC195" s="4"/>
      <c r="BD195" s="6"/>
      <c r="BE195" s="5" t="str">
        <f t="shared" si="466"/>
        <v>NO APLICA</v>
      </c>
      <c r="BF195" s="4"/>
      <c r="BG195" s="4"/>
      <c r="BH195" s="4"/>
      <c r="BI195" s="6"/>
      <c r="BJ195" s="5" t="str">
        <f t="shared" si="468"/>
        <v>NO APLICA</v>
      </c>
      <c r="BK195" s="4"/>
      <c r="BL195" s="4"/>
      <c r="BM195" s="4"/>
      <c r="BN195" s="6"/>
      <c r="BO195" s="5" t="str">
        <f t="shared" si="470"/>
        <v>NO APLICA</v>
      </c>
      <c r="BP195" s="4"/>
      <c r="BQ195" s="4"/>
      <c r="BR195" s="4"/>
      <c r="BS195" s="6"/>
      <c r="BT195" s="5" t="str">
        <f t="shared" si="472"/>
        <v>NO APLICA</v>
      </c>
      <c r="BU195" s="4"/>
      <c r="BV195" s="4"/>
      <c r="BW195" s="4"/>
      <c r="BX195" s="6"/>
      <c r="BY195" s="5" t="str">
        <f t="shared" si="474"/>
        <v>NO APLICA</v>
      </c>
      <c r="BZ195" s="4"/>
      <c r="CA195" s="4"/>
      <c r="CB195" s="4"/>
      <c r="CC195" s="6"/>
      <c r="CD195" s="5" t="str">
        <f t="shared" si="476"/>
        <v>NO APLICA</v>
      </c>
      <c r="CE195" s="6"/>
      <c r="CF195" s="6"/>
      <c r="CG195" s="6"/>
      <c r="CH195" s="6"/>
      <c r="CI195" s="5" t="str">
        <f t="shared" si="573"/>
        <v>NO APLICA</v>
      </c>
      <c r="CJ195" s="4"/>
      <c r="CK195" s="4"/>
      <c r="CL195" s="4"/>
      <c r="CM195" s="6"/>
      <c r="CN195" s="5" t="str">
        <f t="shared" si="478"/>
        <v>NO APLICA</v>
      </c>
      <c r="CO195" s="4"/>
      <c r="CP195" s="4"/>
      <c r="CQ195" s="4"/>
      <c r="CR195" s="6"/>
      <c r="CS195" s="5" t="str">
        <f t="shared" si="480"/>
        <v>NO APLICA</v>
      </c>
      <c r="CT195" s="4"/>
      <c r="CU195" s="4"/>
      <c r="CV195" s="4"/>
      <c r="CW195" s="6"/>
      <c r="CX195" s="5" t="str">
        <f t="shared" si="482"/>
        <v>NO APLICA</v>
      </c>
      <c r="CY195" s="4"/>
      <c r="CZ195" s="4"/>
      <c r="DA195" s="4"/>
      <c r="DB195" s="6"/>
      <c r="DC195" s="5" t="str">
        <f t="shared" si="484"/>
        <v>NO APLICA</v>
      </c>
      <c r="DD195" s="4"/>
      <c r="DE195" s="4"/>
      <c r="DF195" s="4"/>
      <c r="DG195" s="6"/>
      <c r="DH195" s="5" t="str">
        <f t="shared" si="486"/>
        <v>NO APLICA</v>
      </c>
      <c r="DI195" s="4"/>
      <c r="DJ195" s="4"/>
      <c r="DK195" s="4"/>
      <c r="DL195" s="6"/>
      <c r="DM195" s="5" t="str">
        <f t="shared" si="488"/>
        <v>NO APLICA</v>
      </c>
      <c r="DN195" s="4"/>
      <c r="DO195" s="4"/>
      <c r="DP195" s="4"/>
      <c r="DQ195" s="6"/>
      <c r="DR195" s="5" t="str">
        <f t="shared" si="490"/>
        <v>NO APLICA</v>
      </c>
      <c r="DS195" s="4"/>
      <c r="DT195" s="4"/>
      <c r="DU195" s="4"/>
      <c r="DV195" s="6"/>
      <c r="DW195" s="5" t="str">
        <f t="shared" si="492"/>
        <v>NO APLICA</v>
      </c>
      <c r="DX195" s="4"/>
      <c r="DY195" s="4"/>
      <c r="DZ195" s="4"/>
      <c r="EA195" s="6"/>
      <c r="EB195" s="5" t="str">
        <f t="shared" si="494"/>
        <v>NO APLICA</v>
      </c>
      <c r="EC195" s="4"/>
      <c r="ED195" s="4"/>
      <c r="EE195" s="4"/>
      <c r="EF195" s="6"/>
      <c r="EG195" s="5" t="str">
        <f t="shared" si="496"/>
        <v>NO APLICA</v>
      </c>
      <c r="EH195" s="4"/>
      <c r="EI195" s="4"/>
      <c r="EJ195" s="4"/>
      <c r="EK195" s="8"/>
      <c r="EL195" s="5" t="str">
        <f t="shared" si="498"/>
        <v>NO APLICA</v>
      </c>
      <c r="EM195" s="4"/>
      <c r="EN195" s="4"/>
      <c r="EO195" s="4"/>
      <c r="EP195" s="8"/>
      <c r="EQ195" s="5" t="str">
        <f t="shared" si="500"/>
        <v>NO APLICA</v>
      </c>
      <c r="ER195" s="4"/>
      <c r="ES195" s="4"/>
      <c r="ET195" s="4"/>
      <c r="EU195" s="8"/>
      <c r="EV195" s="5" t="str">
        <f t="shared" si="502"/>
        <v>NO APLICA</v>
      </c>
      <c r="EW195" s="4"/>
      <c r="EX195" s="4"/>
      <c r="EY195" s="4"/>
      <c r="EZ195" s="6"/>
      <c r="FA195" s="5" t="str">
        <f t="shared" si="504"/>
        <v>NO APLICA</v>
      </c>
      <c r="FB195" s="4"/>
      <c r="FC195" s="4"/>
      <c r="FD195" s="4"/>
      <c r="FE195" s="6"/>
      <c r="FF195" s="5" t="str">
        <f t="shared" si="506"/>
        <v>NO APLICA</v>
      </c>
      <c r="FG195" s="4"/>
      <c r="FH195" s="4"/>
      <c r="FI195" s="4"/>
      <c r="FJ195" s="6"/>
      <c r="FK195" s="5" t="str">
        <f t="shared" si="508"/>
        <v>NO APLICA</v>
      </c>
      <c r="FL195" s="4"/>
      <c r="FM195" s="4"/>
      <c r="FN195" s="4"/>
      <c r="FO195" s="6"/>
      <c r="FP195" s="5" t="str">
        <f t="shared" si="510"/>
        <v>NO APLICA</v>
      </c>
      <c r="FQ195" s="4"/>
      <c r="FR195" s="4"/>
      <c r="FS195" s="4"/>
      <c r="FT195" s="6"/>
      <c r="FU195" s="5" t="str">
        <f t="shared" si="512"/>
        <v>NO APLICA</v>
      </c>
      <c r="FV195" s="4"/>
      <c r="FW195" s="4"/>
      <c r="FX195" s="4"/>
      <c r="FY195" s="6"/>
      <c r="FZ195" s="5" t="str">
        <f t="shared" si="514"/>
        <v>NO APLICA</v>
      </c>
      <c r="GA195" s="4"/>
      <c r="GB195" s="4"/>
      <c r="GC195" s="4"/>
      <c r="GD195" s="6"/>
      <c r="GE195" s="5" t="str">
        <f t="shared" si="516"/>
        <v>NO APLICA</v>
      </c>
      <c r="GF195" s="4"/>
      <c r="GG195" s="4"/>
      <c r="GH195" s="4"/>
      <c r="GI195" s="8"/>
      <c r="GJ195" s="5" t="str">
        <f t="shared" si="518"/>
        <v>NO APLICA</v>
      </c>
      <c r="GK195" s="4"/>
      <c r="GL195" s="6"/>
      <c r="GM195" s="6"/>
      <c r="GN195" s="6"/>
      <c r="GO195" s="5" t="str">
        <f t="shared" si="520"/>
        <v>NO APLICA</v>
      </c>
      <c r="GP195" s="4"/>
      <c r="GQ195" s="6"/>
      <c r="GR195" s="6"/>
      <c r="GS195" s="6"/>
      <c r="GT195" s="5" t="str">
        <f t="shared" si="610"/>
        <v>NO APLICA</v>
      </c>
      <c r="GU195" s="4"/>
      <c r="GV195" s="6"/>
      <c r="GW195" s="6"/>
      <c r="GX195" s="6"/>
      <c r="GY195" s="5" t="str">
        <f t="shared" si="611"/>
        <v>NO APLICA</v>
      </c>
      <c r="GZ195" s="6"/>
      <c r="HA195" s="6"/>
      <c r="HB195" s="6"/>
      <c r="HC195" s="6"/>
      <c r="HD195" s="5" t="str">
        <f t="shared" si="612"/>
        <v>NO APLICA</v>
      </c>
      <c r="HE195" s="6"/>
      <c r="HF195" s="6"/>
      <c r="HG195" s="4"/>
      <c r="HH195" s="8"/>
      <c r="HI195" s="5" t="str">
        <f t="shared" si="698"/>
        <v>NO APLICA</v>
      </c>
      <c r="HJ195" s="6"/>
      <c r="HK195" s="6"/>
      <c r="HL195" s="6"/>
      <c r="HM195" s="6"/>
      <c r="HN195" s="5" t="str">
        <f t="shared" si="694"/>
        <v>NO APLICA</v>
      </c>
      <c r="HO195" s="6"/>
      <c r="HP195" s="6"/>
      <c r="HQ195" s="6"/>
      <c r="HR195" s="6"/>
      <c r="HS195" s="5" t="str">
        <f t="shared" si="526"/>
        <v>NO APLICA</v>
      </c>
      <c r="HT195" s="6"/>
      <c r="HU195" s="6"/>
      <c r="HV195" s="6"/>
      <c r="HW195" s="6"/>
      <c r="HX195" s="5" t="str">
        <f t="shared" si="527"/>
        <v>NO APLICA</v>
      </c>
      <c r="HY195" s="6"/>
      <c r="HZ195" s="6"/>
      <c r="IA195" s="6"/>
      <c r="IB195" s="6"/>
      <c r="IC195" s="5" t="str">
        <f t="shared" si="528"/>
        <v>NO APLICA</v>
      </c>
      <c r="ID195" s="6"/>
      <c r="IE195" s="6"/>
      <c r="IF195" s="6"/>
      <c r="IG195" s="6"/>
      <c r="IH195" s="5" t="str">
        <f t="shared" si="529"/>
        <v>NO APLICA</v>
      </c>
      <c r="II195" s="6"/>
      <c r="IJ195" s="6"/>
      <c r="IK195" s="6"/>
      <c r="IL195" s="6"/>
      <c r="IM195" s="5" t="str">
        <f t="shared" si="530"/>
        <v>NO APLICA</v>
      </c>
      <c r="IN195" s="6"/>
      <c r="IO195" s="6"/>
      <c r="IP195" s="6"/>
      <c r="IQ195" s="6"/>
      <c r="IR195" s="5" t="str">
        <f t="shared" si="531"/>
        <v>NO APLICA</v>
      </c>
      <c r="IS195" s="6"/>
      <c r="IT195" s="6"/>
      <c r="IU195" s="6"/>
      <c r="IV195" s="6"/>
      <c r="IW195" s="5" t="str">
        <f t="shared" si="532"/>
        <v>NO APLICA</v>
      </c>
      <c r="IX195" s="6"/>
      <c r="IY195" s="6"/>
      <c r="IZ195" s="6"/>
      <c r="JA195" s="6"/>
      <c r="JB195" s="5" t="str">
        <f t="shared" si="533"/>
        <v>NO APLICA</v>
      </c>
      <c r="JC195" s="3" t="s">
        <v>780</v>
      </c>
      <c r="JD195" s="6"/>
      <c r="JE195" s="6"/>
      <c r="JF195" s="6"/>
      <c r="JG195" s="5"/>
      <c r="JH195" s="3" t="s">
        <v>780</v>
      </c>
      <c r="JI195" s="6"/>
      <c r="JJ195" s="6"/>
      <c r="JK195" s="6"/>
      <c r="JL195" s="5"/>
      <c r="JM195" s="6" t="s">
        <v>780</v>
      </c>
      <c r="JN195" s="6"/>
      <c r="JO195" s="6"/>
      <c r="JP195" s="6"/>
      <c r="JQ195" s="5"/>
      <c r="JR195" s="6" t="s">
        <v>780</v>
      </c>
      <c r="JS195" s="6"/>
      <c r="JT195" s="6"/>
      <c r="JU195" s="6"/>
      <c r="JV195" s="5"/>
      <c r="JW195" s="6" t="s">
        <v>780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4"/>
        <v>NO APLICA</v>
      </c>
      <c r="KG195" s="5"/>
      <c r="KH195" s="6"/>
      <c r="KI195" s="6"/>
      <c r="KJ195" s="6"/>
      <c r="KK195" s="5" t="str">
        <f t="shared" si="559"/>
        <v>NO APLICA</v>
      </c>
      <c r="KL195" s="5"/>
      <c r="KM195" s="6"/>
      <c r="KN195" s="6"/>
      <c r="KO195" s="6"/>
      <c r="KP195" s="5" t="str">
        <f t="shared" si="535"/>
        <v>NO APLICA</v>
      </c>
      <c r="KQ195" s="5"/>
      <c r="KR195" s="6"/>
      <c r="KS195" s="6"/>
      <c r="KT195" s="6"/>
      <c r="KU195" s="5" t="str">
        <f t="shared" si="560"/>
        <v>NO APLICA</v>
      </c>
      <c r="KV195" s="6"/>
      <c r="KW195" s="6"/>
      <c r="KX195" s="6"/>
      <c r="KY195" s="6"/>
      <c r="KZ195" s="5" t="str">
        <f t="shared" si="565"/>
        <v>NO APLICA</v>
      </c>
      <c r="LA195" s="5"/>
      <c r="LB195" s="6"/>
      <c r="LC195" s="6"/>
      <c r="LD195" s="6"/>
      <c r="LE195" s="5" t="str">
        <f t="shared" si="561"/>
        <v>NO APLICA</v>
      </c>
      <c r="LF195" s="6"/>
      <c r="LG195" s="6"/>
      <c r="LH195" s="6"/>
      <c r="LI195" s="6"/>
      <c r="LJ195" s="5" t="str">
        <f t="shared" si="600"/>
        <v>NO APLICA</v>
      </c>
      <c r="LK195" s="5"/>
      <c r="LL195" s="5"/>
      <c r="LM195" s="4"/>
      <c r="LN195" s="8"/>
      <c r="LO195" s="5" t="str">
        <f t="shared" si="566"/>
        <v>NO APLICA</v>
      </c>
      <c r="LP195" s="6"/>
      <c r="LQ195" s="6"/>
      <c r="LR195" s="6"/>
      <c r="LS195" s="6"/>
      <c r="LT195" s="5" t="str">
        <f t="shared" si="562"/>
        <v>NO APLICA</v>
      </c>
      <c r="LU195" s="6"/>
      <c r="LV195" s="6"/>
      <c r="LW195" s="6"/>
      <c r="LX195" s="6"/>
      <c r="LY195" s="5" t="str">
        <f t="shared" si="563"/>
        <v>NO APLICA</v>
      </c>
      <c r="LZ195" s="6"/>
      <c r="MA195" s="6"/>
      <c r="MB195" s="6"/>
      <c r="MC195" s="6"/>
      <c r="MD195" s="5" t="str">
        <f t="shared" si="564"/>
        <v>NO APLICA</v>
      </c>
      <c r="ME195" s="6"/>
      <c r="MF195" s="6"/>
      <c r="MG195" s="6"/>
      <c r="MH195" s="6"/>
      <c r="MI195" s="5" t="str">
        <f t="shared" si="537"/>
        <v>NO APLICA</v>
      </c>
      <c r="MJ195" s="6"/>
      <c r="MK195" s="6"/>
      <c r="ML195" s="6"/>
      <c r="MM195" s="6"/>
      <c r="MN195" s="5" t="str">
        <f t="shared" si="538"/>
        <v>NO APLICA</v>
      </c>
      <c r="MO195" s="5"/>
      <c r="MP195" s="6"/>
      <c r="MQ195" s="6"/>
      <c r="MR195" s="6"/>
      <c r="MS195" s="5" t="str">
        <f t="shared" si="539"/>
        <v>NO APLICA</v>
      </c>
      <c r="MT195" s="5"/>
      <c r="MU195" s="6"/>
      <c r="MV195" s="6"/>
      <c r="MW195" s="6"/>
      <c r="MX195" s="5" t="str">
        <f t="shared" si="540"/>
        <v>NO APLICA</v>
      </c>
      <c r="MY195" s="6"/>
      <c r="MZ195" s="6"/>
      <c r="NA195" s="6"/>
      <c r="NB195" s="6"/>
      <c r="NC195" s="5" t="str">
        <f t="shared" si="541"/>
        <v>NO APLICA</v>
      </c>
      <c r="ND195" s="6"/>
      <c r="NE195" s="6"/>
      <c r="NF195" s="6"/>
      <c r="NG195" s="6"/>
      <c r="NH195" s="5" t="str">
        <f t="shared" si="542"/>
        <v>NO APLICA</v>
      </c>
      <c r="NI195" s="6"/>
      <c r="NJ195" s="6"/>
      <c r="NK195" s="6"/>
      <c r="NL195" s="6"/>
      <c r="NM195" s="5" t="str">
        <f t="shared" si="543"/>
        <v>NO APLICA</v>
      </c>
      <c r="NN195" s="6"/>
      <c r="NO195" s="6"/>
      <c r="NP195" s="6"/>
      <c r="NQ195" s="6"/>
      <c r="NR195" s="5" t="str">
        <f t="shared" si="544"/>
        <v>NO APLICA</v>
      </c>
      <c r="NS195" s="6"/>
      <c r="NT195" s="6"/>
      <c r="NU195" s="6"/>
      <c r="NV195" s="6"/>
      <c r="NW195" s="5" t="str">
        <f t="shared" si="545"/>
        <v>NO APLICA</v>
      </c>
      <c r="NX195" s="6"/>
      <c r="NY195" s="6"/>
      <c r="NZ195" s="6"/>
      <c r="OA195" s="6"/>
      <c r="OB195" s="5" t="str">
        <f t="shared" si="546"/>
        <v>NO APLICA</v>
      </c>
      <c r="OC195" s="6"/>
      <c r="OD195" s="6"/>
      <c r="OE195" s="6"/>
      <c r="OF195" s="6"/>
      <c r="OG195" s="5" t="str">
        <f t="shared" si="547"/>
        <v>NO APLICA</v>
      </c>
      <c r="OH195" s="6"/>
      <c r="OI195" s="6"/>
      <c r="OJ195" s="6"/>
      <c r="OK195" s="6"/>
      <c r="OL195" s="5" t="str">
        <f t="shared" si="548"/>
        <v>NO APLICA</v>
      </c>
      <c r="OM195" s="6"/>
      <c r="ON195" s="6"/>
      <c r="OO195" s="6"/>
      <c r="OP195" s="6"/>
      <c r="OQ195" s="5" t="str">
        <f t="shared" si="549"/>
        <v>NO APLICA</v>
      </c>
      <c r="OR195" s="6"/>
      <c r="OS195" s="6"/>
      <c r="OT195" s="6"/>
      <c r="OU195" s="6"/>
      <c r="OV195" s="5" t="str">
        <f t="shared" si="550"/>
        <v>NO APLICA</v>
      </c>
      <c r="OW195" s="6"/>
      <c r="OX195" s="6"/>
      <c r="OY195" s="6"/>
      <c r="OZ195" s="6"/>
      <c r="PA195" s="5" t="str">
        <f t="shared" si="551"/>
        <v>NO APLICA</v>
      </c>
      <c r="PB195" s="6"/>
      <c r="PC195" s="6"/>
      <c r="PD195" s="6"/>
      <c r="PE195" s="6"/>
      <c r="PF195" s="5" t="str">
        <f t="shared" si="552"/>
        <v>NO APLICA</v>
      </c>
      <c r="PG195" s="6"/>
      <c r="PH195" s="6"/>
      <c r="PI195" s="6"/>
      <c r="PJ195" s="6"/>
      <c r="PK195" s="5" t="str">
        <f t="shared" si="553"/>
        <v>NO APLICA</v>
      </c>
      <c r="PL195" s="5"/>
      <c r="PM195" s="6"/>
      <c r="PN195" s="6"/>
      <c r="PO195" s="6"/>
      <c r="PP195" s="5" t="str">
        <f t="shared" si="554"/>
        <v>NO APLICA</v>
      </c>
      <c r="PQ195" s="6"/>
      <c r="PR195" s="6"/>
      <c r="PS195" s="6"/>
      <c r="PT195" s="6"/>
      <c r="PU195" s="5" t="str">
        <f t="shared" si="555"/>
        <v>NO APLICA</v>
      </c>
      <c r="PV195" s="5"/>
      <c r="PW195" s="6"/>
      <c r="PX195" s="6"/>
      <c r="PY195" s="6"/>
      <c r="PZ195" s="5" t="str">
        <f t="shared" si="556"/>
        <v>NO APLICA</v>
      </c>
    </row>
    <row r="196" spans="1:442" ht="15.6" hidden="1" thickTop="1" thickBot="1" x14ac:dyDescent="0.35">
      <c r="A196" s="26">
        <v>193</v>
      </c>
      <c r="B196" s="31">
        <v>1547</v>
      </c>
      <c r="C196" s="28" t="s">
        <v>608</v>
      </c>
      <c r="D196" s="29" t="s">
        <v>776</v>
      </c>
      <c r="E196" s="30" t="s">
        <v>610</v>
      </c>
      <c r="F196" s="6"/>
      <c r="G196" s="6"/>
      <c r="H196" s="6"/>
      <c r="I196" s="6"/>
      <c r="J196" s="5" t="str">
        <f t="shared" si="696"/>
        <v>NO APLICA</v>
      </c>
      <c r="K196" s="6"/>
      <c r="L196" s="6"/>
      <c r="M196" s="6"/>
      <c r="N196" s="6"/>
      <c r="O196" s="5" t="str">
        <f t="shared" ref="O196:O240" si="69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7"/>
        <v>NO APLICA</v>
      </c>
      <c r="U196" s="5"/>
      <c r="V196" s="6" t="s">
        <v>611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00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1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2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3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4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5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6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7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8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9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3"/>
        <v>NO APLICA</v>
      </c>
      <c r="CJ196" s="4"/>
      <c r="CK196" s="4"/>
      <c r="CL196" s="4"/>
      <c r="CM196" s="6"/>
      <c r="CN196" s="5" t="str">
        <f t="shared" ref="CN196:CN237" si="710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1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2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3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4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5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6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7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8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9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20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1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2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3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4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5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6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7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8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9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30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1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10"/>
        <v>NO APLICA</v>
      </c>
      <c r="GU196" s="4"/>
      <c r="GV196" s="6"/>
      <c r="GW196" s="6"/>
      <c r="GX196" s="6"/>
      <c r="GY196" s="5" t="str">
        <f t="shared" si="611"/>
        <v>NO APLICA</v>
      </c>
      <c r="GZ196" s="6"/>
      <c r="HA196" s="6"/>
      <c r="HB196" s="6"/>
      <c r="HC196" s="6"/>
      <c r="HD196" s="5" t="str">
        <f t="shared" si="612"/>
        <v>NO APLICA</v>
      </c>
      <c r="HE196" s="6"/>
      <c r="HF196" s="6"/>
      <c r="HG196" s="4"/>
      <c r="HH196" s="8"/>
      <c r="HI196" s="5" t="str">
        <f t="shared" si="698"/>
        <v>NO APLICA</v>
      </c>
      <c r="HJ196" s="6"/>
      <c r="HK196" s="6"/>
      <c r="HL196" s="6"/>
      <c r="HM196" s="6"/>
      <c r="HN196" s="5" t="str">
        <f t="shared" si="694"/>
        <v>NO APLICA</v>
      </c>
      <c r="HO196" s="6"/>
      <c r="HP196" s="6"/>
      <c r="HQ196" s="6"/>
      <c r="HR196" s="6"/>
      <c r="HS196" s="5" t="str">
        <f t="shared" ref="HS196:HS240" si="732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3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4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5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6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7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8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9">IF(JA196&gt;=61,"VIGENTE",IF(JA196&gt;=1,"POR VENCER",IF(JA196&lt;=-1,"VENCIDA",IF(IY196=0,"NO APLICA"))))</f>
        <v>NO APLICA</v>
      </c>
      <c r="JC196" s="3" t="s">
        <v>780</v>
      </c>
      <c r="JD196" s="6"/>
      <c r="JE196" s="6"/>
      <c r="JF196" s="6"/>
      <c r="JG196" s="5"/>
      <c r="JH196" s="3" t="s">
        <v>780</v>
      </c>
      <c r="JI196" s="6"/>
      <c r="JJ196" s="6"/>
      <c r="JK196" s="6"/>
      <c r="JL196" s="5"/>
      <c r="JM196" s="6" t="s">
        <v>780</v>
      </c>
      <c r="JN196" s="6"/>
      <c r="JO196" s="6"/>
      <c r="JP196" s="6"/>
      <c r="JQ196" s="5"/>
      <c r="JR196" s="6" t="s">
        <v>780</v>
      </c>
      <c r="JS196" s="6"/>
      <c r="JT196" s="6"/>
      <c r="JU196" s="6"/>
      <c r="JV196" s="5"/>
      <c r="JW196" s="6" t="s">
        <v>780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40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9"/>
        <v>NO APLICA</v>
      </c>
      <c r="KL196" s="5"/>
      <c r="KM196" s="6"/>
      <c r="KN196" s="6"/>
      <c r="KO196" s="6"/>
      <c r="KP196" s="5" t="str">
        <f t="shared" ref="KP196:KP240" si="741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60"/>
        <v>NO APLICA</v>
      </c>
      <c r="KV196" s="6"/>
      <c r="KW196" s="6"/>
      <c r="KX196" s="6"/>
      <c r="KY196" s="6"/>
      <c r="KZ196" s="5" t="str">
        <f t="shared" si="565"/>
        <v>NO APLICA</v>
      </c>
      <c r="LA196" s="5"/>
      <c r="LB196" s="6"/>
      <c r="LC196" s="6"/>
      <c r="LD196" s="6"/>
      <c r="LE196" s="5" t="str">
        <f t="shared" si="561"/>
        <v>NO APLICA</v>
      </c>
      <c r="LF196" s="6"/>
      <c r="LG196" s="6"/>
      <c r="LH196" s="6"/>
      <c r="LI196" s="8"/>
      <c r="LJ196" s="5" t="str">
        <f t="shared" si="600"/>
        <v>NO APLICA</v>
      </c>
      <c r="LK196" s="5"/>
      <c r="LL196" s="5"/>
      <c r="LM196" s="4"/>
      <c r="LN196" s="8"/>
      <c r="LO196" s="5" t="str">
        <f t="shared" si="566"/>
        <v>NO APLICA</v>
      </c>
      <c r="LP196" s="6"/>
      <c r="LQ196" s="6"/>
      <c r="LR196" s="6"/>
      <c r="LS196" s="6"/>
      <c r="LT196" s="5" t="str">
        <f t="shared" si="562"/>
        <v>NO APLICA</v>
      </c>
      <c r="LU196" s="6"/>
      <c r="LV196" s="6"/>
      <c r="LW196" s="6"/>
      <c r="LX196" s="6"/>
      <c r="LY196" s="5" t="str">
        <f t="shared" si="563"/>
        <v>NO APLICA</v>
      </c>
      <c r="LZ196" s="6"/>
      <c r="MA196" s="6"/>
      <c r="MB196" s="6"/>
      <c r="MC196" s="6"/>
      <c r="MD196" s="5" t="str">
        <f t="shared" si="564"/>
        <v>NO APLICA</v>
      </c>
      <c r="ME196" s="6"/>
      <c r="MF196" s="6"/>
      <c r="MG196" s="6"/>
      <c r="MH196" s="6"/>
      <c r="MI196" s="5" t="str">
        <f t="shared" ref="MI196:MI240" si="742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3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4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5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6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7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8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9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50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1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2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3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4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5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6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7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8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9">IF(PY196&gt;=61,"VIGENTE",IF(PY196&gt;=1,"POR VENCER",IF(PY196&lt;=-1,"VENCIDA",IF(PW196=0,"NO APLICA"))))</f>
        <v>NO APLICA</v>
      </c>
    </row>
    <row r="197" spans="1:442" ht="15.6" hidden="1" thickTop="1" thickBot="1" x14ac:dyDescent="0.35">
      <c r="A197" s="26">
        <v>194</v>
      </c>
      <c r="B197" s="31">
        <v>1566</v>
      </c>
      <c r="C197" s="28" t="s">
        <v>612</v>
      </c>
      <c r="D197" s="29" t="s">
        <v>68</v>
      </c>
      <c r="E197" s="30" t="s">
        <v>153</v>
      </c>
      <c r="F197" s="6"/>
      <c r="G197" s="6"/>
      <c r="H197" s="6"/>
      <c r="I197" s="6"/>
      <c r="J197" s="5" t="str">
        <f t="shared" si="696"/>
        <v>NO APLICA</v>
      </c>
      <c r="K197" s="6"/>
      <c r="L197" s="6"/>
      <c r="M197" s="6"/>
      <c r="N197" s="6"/>
      <c r="O197" s="5" t="str">
        <f t="shared" si="699"/>
        <v>NO APLICA</v>
      </c>
      <c r="P197" s="6"/>
      <c r="Q197" s="6"/>
      <c r="R197" s="6"/>
      <c r="S197" s="6"/>
      <c r="T197" s="5" t="str">
        <f t="shared" si="697"/>
        <v>NO APLICA</v>
      </c>
      <c r="U197" s="5"/>
      <c r="V197" s="6" t="s">
        <v>613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00"/>
        <v>NO APLICA</v>
      </c>
      <c r="AG197" s="4"/>
      <c r="AH197" s="4"/>
      <c r="AI197" s="4"/>
      <c r="AJ197" s="6"/>
      <c r="AK197" s="5" t="str">
        <f t="shared" si="602"/>
        <v>NO APLICA</v>
      </c>
      <c r="AL197" s="4"/>
      <c r="AM197" s="4"/>
      <c r="AN197" s="4"/>
      <c r="AO197" s="6"/>
      <c r="AP197" s="5" t="str">
        <f t="shared" si="701"/>
        <v>NO APLICA</v>
      </c>
      <c r="AQ197" s="4"/>
      <c r="AR197" s="4"/>
      <c r="AS197" s="4"/>
      <c r="AT197" s="6"/>
      <c r="AU197" s="5" t="str">
        <f t="shared" si="702"/>
        <v>NO APLICA</v>
      </c>
      <c r="AV197" s="4"/>
      <c r="AW197" s="4"/>
      <c r="AX197" s="4"/>
      <c r="AY197" s="6"/>
      <c r="AZ197" s="5" t="str">
        <f t="shared" si="703"/>
        <v>NO APLICA</v>
      </c>
      <c r="BA197" s="4"/>
      <c r="BB197" s="4"/>
      <c r="BC197" s="4"/>
      <c r="BD197" s="6"/>
      <c r="BE197" s="5" t="str">
        <f t="shared" si="704"/>
        <v>NO APLICA</v>
      </c>
      <c r="BF197" s="4"/>
      <c r="BG197" s="4"/>
      <c r="BH197" s="4"/>
      <c r="BI197" s="6"/>
      <c r="BJ197" s="5" t="str">
        <f t="shared" si="705"/>
        <v>NO APLICA</v>
      </c>
      <c r="BK197" s="4"/>
      <c r="BL197" s="4"/>
      <c r="BM197" s="4"/>
      <c r="BN197" s="6"/>
      <c r="BO197" s="5" t="str">
        <f t="shared" si="706"/>
        <v>NO APLICA</v>
      </c>
      <c r="BP197" s="4"/>
      <c r="BQ197" s="4"/>
      <c r="BR197" s="4"/>
      <c r="BS197" s="6"/>
      <c r="BT197" s="5" t="str">
        <f t="shared" si="707"/>
        <v>NO APLICA</v>
      </c>
      <c r="BU197" s="4"/>
      <c r="BV197" s="4"/>
      <c r="BW197" s="4"/>
      <c r="BX197" s="6"/>
      <c r="BY197" s="5" t="str">
        <f t="shared" si="708"/>
        <v>NO APLICA</v>
      </c>
      <c r="BZ197" s="4"/>
      <c r="CA197" s="4"/>
      <c r="CB197" s="4"/>
      <c r="CC197" s="6"/>
      <c r="CD197" s="5" t="str">
        <f t="shared" si="709"/>
        <v>NO APLICA</v>
      </c>
      <c r="CE197" s="6"/>
      <c r="CF197" s="6"/>
      <c r="CG197" s="6"/>
      <c r="CH197" s="6"/>
      <c r="CI197" s="5" t="str">
        <f t="shared" si="573"/>
        <v>NO APLICA</v>
      </c>
      <c r="CJ197" s="4"/>
      <c r="CK197" s="4"/>
      <c r="CL197" s="4"/>
      <c r="CM197" s="6"/>
      <c r="CN197" s="5" t="str">
        <f t="shared" si="710"/>
        <v>NO APLICA</v>
      </c>
      <c r="CO197" s="4"/>
      <c r="CP197" s="4"/>
      <c r="CQ197" s="4"/>
      <c r="CR197" s="6"/>
      <c r="CS197" s="5" t="str">
        <f t="shared" si="711"/>
        <v>NO APLICA</v>
      </c>
      <c r="CT197" s="4"/>
      <c r="CU197" s="4"/>
      <c r="CV197" s="4"/>
      <c r="CW197" s="6"/>
      <c r="CX197" s="5" t="str">
        <f t="shared" si="712"/>
        <v>NO APLICA</v>
      </c>
      <c r="CY197" s="4"/>
      <c r="CZ197" s="4"/>
      <c r="DA197" s="4"/>
      <c r="DB197" s="6"/>
      <c r="DC197" s="5" t="str">
        <f t="shared" si="713"/>
        <v>NO APLICA</v>
      </c>
      <c r="DD197" s="4"/>
      <c r="DE197" s="4"/>
      <c r="DF197" s="4"/>
      <c r="DG197" s="6"/>
      <c r="DH197" s="5" t="str">
        <f t="shared" si="714"/>
        <v>NO APLICA</v>
      </c>
      <c r="DI197" s="4"/>
      <c r="DJ197" s="4"/>
      <c r="DK197" s="4"/>
      <c r="DL197" s="6"/>
      <c r="DM197" s="5" t="str">
        <f t="shared" si="715"/>
        <v>NO APLICA</v>
      </c>
      <c r="DN197" s="4"/>
      <c r="DO197" s="4"/>
      <c r="DP197" s="4"/>
      <c r="DQ197" s="6"/>
      <c r="DR197" s="5" t="str">
        <f t="shared" si="716"/>
        <v>NO APLICA</v>
      </c>
      <c r="DS197" s="4"/>
      <c r="DT197" s="4"/>
      <c r="DU197" s="4"/>
      <c r="DV197" s="6"/>
      <c r="DW197" s="5" t="str">
        <f t="shared" si="717"/>
        <v>NO APLICA</v>
      </c>
      <c r="DX197" s="4"/>
      <c r="DY197" s="4"/>
      <c r="DZ197" s="4"/>
      <c r="EA197" s="6"/>
      <c r="EB197" s="5" t="str">
        <f t="shared" si="718"/>
        <v>NO APLICA</v>
      </c>
      <c r="EC197" s="4"/>
      <c r="ED197" s="4"/>
      <c r="EE197" s="4"/>
      <c r="EF197" s="6"/>
      <c r="EG197" s="5" t="str">
        <f t="shared" si="719"/>
        <v>NO APLICA</v>
      </c>
      <c r="EH197" s="4"/>
      <c r="EI197" s="4"/>
      <c r="EJ197" s="4"/>
      <c r="EK197" s="8"/>
      <c r="EL197" s="5" t="str">
        <f t="shared" si="720"/>
        <v>NO APLICA</v>
      </c>
      <c r="EM197" s="4"/>
      <c r="EN197" s="4"/>
      <c r="EO197" s="4"/>
      <c r="EP197" s="8"/>
      <c r="EQ197" s="5" t="str">
        <f t="shared" si="721"/>
        <v>NO APLICA</v>
      </c>
      <c r="ER197" s="4"/>
      <c r="ES197" s="4"/>
      <c r="ET197" s="4"/>
      <c r="EU197" s="8"/>
      <c r="EV197" s="5" t="str">
        <f t="shared" si="722"/>
        <v>NO APLICA</v>
      </c>
      <c r="EW197" s="4"/>
      <c r="EX197" s="4"/>
      <c r="EY197" s="4"/>
      <c r="EZ197" s="6"/>
      <c r="FA197" s="5" t="str">
        <f t="shared" si="723"/>
        <v>NO APLICA</v>
      </c>
      <c r="FB197" s="4"/>
      <c r="FC197" s="4"/>
      <c r="FD197" s="4"/>
      <c r="FE197" s="6"/>
      <c r="FF197" s="5" t="str">
        <f t="shared" si="724"/>
        <v>NO APLICA</v>
      </c>
      <c r="FG197" s="4"/>
      <c r="FH197" s="4"/>
      <c r="FI197" s="4"/>
      <c r="FJ197" s="6"/>
      <c r="FK197" s="5" t="str">
        <f t="shared" si="725"/>
        <v>NO APLICA</v>
      </c>
      <c r="FL197" s="4"/>
      <c r="FM197" s="4"/>
      <c r="FN197" s="4"/>
      <c r="FO197" s="6"/>
      <c r="FP197" s="5" t="str">
        <f t="shared" si="726"/>
        <v>NO APLICA</v>
      </c>
      <c r="FQ197" s="4"/>
      <c r="FR197" s="4"/>
      <c r="FS197" s="4"/>
      <c r="FT197" s="6"/>
      <c r="FU197" s="5" t="str">
        <f t="shared" si="727"/>
        <v>NO APLICA</v>
      </c>
      <c r="FV197" s="4"/>
      <c r="FW197" s="4"/>
      <c r="FX197" s="4"/>
      <c r="FY197" s="6"/>
      <c r="FZ197" s="5" t="str">
        <f t="shared" si="728"/>
        <v>NO APLICA</v>
      </c>
      <c r="GA197" s="4"/>
      <c r="GB197" s="4"/>
      <c r="GC197" s="4"/>
      <c r="GD197" s="6"/>
      <c r="GE197" s="5" t="str">
        <f t="shared" si="729"/>
        <v>NO APLICA</v>
      </c>
      <c r="GF197" s="4"/>
      <c r="GG197" s="4"/>
      <c r="GH197" s="4"/>
      <c r="GI197" s="8"/>
      <c r="GJ197" s="5" t="str">
        <f t="shared" si="730"/>
        <v>NO APLICA</v>
      </c>
      <c r="GK197" s="4"/>
      <c r="GL197" s="6"/>
      <c r="GM197" s="6"/>
      <c r="GN197" s="6"/>
      <c r="GO197" s="5" t="str">
        <f t="shared" si="731"/>
        <v>NO APLICA</v>
      </c>
      <c r="GP197" s="4"/>
      <c r="GQ197" s="6"/>
      <c r="GR197" s="6"/>
      <c r="GS197" s="6"/>
      <c r="GT197" s="5" t="str">
        <f t="shared" si="610"/>
        <v>NO APLICA</v>
      </c>
      <c r="GU197" s="4"/>
      <c r="GV197" s="6"/>
      <c r="GW197" s="6"/>
      <c r="GX197" s="6"/>
      <c r="GY197" s="5" t="str">
        <f t="shared" si="611"/>
        <v>NO APLICA</v>
      </c>
      <c r="GZ197" s="6"/>
      <c r="HA197" s="6"/>
      <c r="HB197" s="6"/>
      <c r="HC197" s="6"/>
      <c r="HD197" s="5" t="str">
        <f t="shared" si="612"/>
        <v>NO APLICA</v>
      </c>
      <c r="HE197" s="6"/>
      <c r="HF197" s="6"/>
      <c r="HG197" s="4"/>
      <c r="HH197" s="8"/>
      <c r="HI197" s="5" t="str">
        <f t="shared" si="698"/>
        <v>NO APLICA</v>
      </c>
      <c r="HJ197" s="6"/>
      <c r="HK197" s="6"/>
      <c r="HL197" s="6"/>
      <c r="HM197" s="6"/>
      <c r="HN197" s="5" t="str">
        <f t="shared" si="694"/>
        <v>NO APLICA</v>
      </c>
      <c r="HO197" s="6"/>
      <c r="HP197" s="6"/>
      <c r="HQ197" s="6"/>
      <c r="HR197" s="6"/>
      <c r="HS197" s="5" t="str">
        <f t="shared" si="732"/>
        <v>NO APLICA</v>
      </c>
      <c r="HT197" s="6"/>
      <c r="HU197" s="6"/>
      <c r="HV197" s="6"/>
      <c r="HW197" s="6"/>
      <c r="HX197" s="5" t="str">
        <f t="shared" si="733"/>
        <v>NO APLICA</v>
      </c>
      <c r="HY197" s="6"/>
      <c r="HZ197" s="6"/>
      <c r="IA197" s="6"/>
      <c r="IB197" s="6"/>
      <c r="IC197" s="5" t="str">
        <f t="shared" si="734"/>
        <v>NO APLICA</v>
      </c>
      <c r="ID197" s="6"/>
      <c r="IE197" s="6"/>
      <c r="IF197" s="6"/>
      <c r="IG197" s="6"/>
      <c r="IH197" s="5" t="str">
        <f t="shared" si="735"/>
        <v>NO APLICA</v>
      </c>
      <c r="II197" s="6"/>
      <c r="IJ197" s="6"/>
      <c r="IK197" s="6"/>
      <c r="IL197" s="6"/>
      <c r="IM197" s="5" t="str">
        <f t="shared" si="736"/>
        <v>NO APLICA</v>
      </c>
      <c r="IN197" s="6"/>
      <c r="IO197" s="6"/>
      <c r="IP197" s="6"/>
      <c r="IQ197" s="6"/>
      <c r="IR197" s="5" t="str">
        <f t="shared" si="737"/>
        <v>NO APLICA</v>
      </c>
      <c r="IS197" s="6"/>
      <c r="IT197" s="6"/>
      <c r="IU197" s="6"/>
      <c r="IV197" s="6"/>
      <c r="IW197" s="5" t="str">
        <f t="shared" si="738"/>
        <v>NO APLICA</v>
      </c>
      <c r="IX197" s="6"/>
      <c r="IY197" s="6"/>
      <c r="IZ197" s="6"/>
      <c r="JA197" s="6"/>
      <c r="JB197" s="5" t="str">
        <f t="shared" si="739"/>
        <v>NO APLICA</v>
      </c>
      <c r="JC197" s="3" t="s">
        <v>780</v>
      </c>
      <c r="JD197" s="6"/>
      <c r="JE197" s="6"/>
      <c r="JF197" s="6"/>
      <c r="JG197" s="5"/>
      <c r="JH197" s="3" t="s">
        <v>780</v>
      </c>
      <c r="JI197" s="6"/>
      <c r="JJ197" s="6"/>
      <c r="JK197" s="6"/>
      <c r="JL197" s="5"/>
      <c r="JM197" s="6" t="s">
        <v>780</v>
      </c>
      <c r="JN197" s="6"/>
      <c r="JO197" s="6"/>
      <c r="JP197" s="6"/>
      <c r="JQ197" s="5"/>
      <c r="JR197" s="6" t="s">
        <v>780</v>
      </c>
      <c r="JS197" s="6"/>
      <c r="JT197" s="6"/>
      <c r="JU197" s="6"/>
      <c r="JV197" s="5"/>
      <c r="JW197" s="6" t="s">
        <v>780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40"/>
        <v>NO APLICA</v>
      </c>
      <c r="KG197" s="5"/>
      <c r="KH197" s="6"/>
      <c r="KI197" s="6"/>
      <c r="KJ197" s="6"/>
      <c r="KK197" s="5" t="str">
        <f t="shared" ref="KK197:KK240" si="760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1"/>
        <v>NO APLICA</v>
      </c>
      <c r="KQ197" s="5"/>
      <c r="KR197" s="6"/>
      <c r="KS197" s="6"/>
      <c r="KT197" s="6"/>
      <c r="KU197" s="5" t="str">
        <f t="shared" ref="KU197:KU240" si="761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5"/>
        <v>NO APLICA</v>
      </c>
      <c r="LA197" s="5"/>
      <c r="LB197" s="6"/>
      <c r="LC197" s="6"/>
      <c r="LD197" s="6"/>
      <c r="LE197" s="5" t="str">
        <f t="shared" ref="LE197:LE240" si="762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00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3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4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5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2"/>
        <v>NO APLICA</v>
      </c>
      <c r="MJ197" s="6"/>
      <c r="MK197" s="6"/>
      <c r="ML197" s="6"/>
      <c r="MM197" s="6"/>
      <c r="MN197" s="5" t="str">
        <f t="shared" si="743"/>
        <v>NO APLICA</v>
      </c>
      <c r="MO197" s="5"/>
      <c r="MP197" s="6"/>
      <c r="MQ197" s="6"/>
      <c r="MR197" s="6"/>
      <c r="MS197" s="5" t="str">
        <f t="shared" si="744"/>
        <v>NO APLICA</v>
      </c>
      <c r="MT197" s="5"/>
      <c r="MU197" s="6"/>
      <c r="MV197" s="6"/>
      <c r="MW197" s="6"/>
      <c r="MX197" s="5" t="str">
        <f t="shared" si="745"/>
        <v>NO APLICA</v>
      </c>
      <c r="MY197" s="6"/>
      <c r="MZ197" s="6"/>
      <c r="NA197" s="6"/>
      <c r="NB197" s="6"/>
      <c r="NC197" s="5" t="str">
        <f t="shared" si="746"/>
        <v>NO APLICA</v>
      </c>
      <c r="ND197" s="6"/>
      <c r="NE197" s="6"/>
      <c r="NF197" s="6"/>
      <c r="NG197" s="6"/>
      <c r="NH197" s="5" t="str">
        <f t="shared" si="747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50"/>
        <v>NO APLICA</v>
      </c>
      <c r="NX197" s="6"/>
      <c r="NY197" s="6"/>
      <c r="NZ197" s="6"/>
      <c r="OA197" s="6"/>
      <c r="OB197" s="5" t="str">
        <f t="shared" si="751"/>
        <v>NO APLICA</v>
      </c>
      <c r="OC197" s="6"/>
      <c r="OD197" s="6"/>
      <c r="OE197" s="6"/>
      <c r="OF197" s="6"/>
      <c r="OG197" s="5" t="str">
        <f t="shared" si="752"/>
        <v>NO APLICA</v>
      </c>
      <c r="OH197" s="6"/>
      <c r="OI197" s="6"/>
      <c r="OJ197" s="6"/>
      <c r="OK197" s="6"/>
      <c r="OL197" s="5" t="str">
        <f t="shared" si="753"/>
        <v>NO APLICA</v>
      </c>
      <c r="OM197" s="6"/>
      <c r="ON197" s="6"/>
      <c r="OO197" s="6"/>
      <c r="OP197" s="6"/>
      <c r="OQ197" s="5" t="str">
        <f t="shared" si="754"/>
        <v>NO APLICA</v>
      </c>
      <c r="OR197" s="4"/>
      <c r="OS197" s="4"/>
      <c r="OT197" s="4"/>
      <c r="OU197" s="8"/>
      <c r="OV197" s="5" t="str">
        <f t="shared" si="755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6"/>
        <v>NO APLICA</v>
      </c>
      <c r="PG197" s="6"/>
      <c r="PH197" s="6"/>
      <c r="PI197" s="6"/>
      <c r="PJ197" s="6"/>
      <c r="PK197" s="5" t="str">
        <f t="shared" si="757"/>
        <v>NO APLICA</v>
      </c>
      <c r="PL197" s="5"/>
      <c r="PM197" s="6"/>
      <c r="PN197" s="6"/>
      <c r="PO197" s="6"/>
      <c r="PP197" s="5" t="str">
        <f t="shared" ref="PP197:PP240" si="766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8"/>
        <v>NO APLICA</v>
      </c>
      <c r="PV197" s="5"/>
      <c r="PW197" s="6"/>
      <c r="PX197" s="6"/>
      <c r="PY197" s="6"/>
      <c r="PZ197" s="5" t="str">
        <f t="shared" si="759"/>
        <v>NO APLICA</v>
      </c>
    </row>
    <row r="198" spans="1:442" ht="15.6" hidden="1" thickTop="1" thickBot="1" x14ac:dyDescent="0.35">
      <c r="A198" s="26">
        <v>195</v>
      </c>
      <c r="B198" s="31">
        <v>800</v>
      </c>
      <c r="C198" s="28" t="s">
        <v>614</v>
      </c>
      <c r="D198" s="29" t="s">
        <v>68</v>
      </c>
      <c r="E198" s="30" t="s">
        <v>615</v>
      </c>
      <c r="F198" s="6"/>
      <c r="G198" s="6"/>
      <c r="H198" s="6"/>
      <c r="I198" s="6"/>
      <c r="J198" s="5" t="str">
        <f t="shared" si="696"/>
        <v>NO APLICA</v>
      </c>
      <c r="K198" s="6"/>
      <c r="L198" s="6"/>
      <c r="M198" s="6"/>
      <c r="N198" s="6"/>
      <c r="O198" s="5" t="str">
        <f t="shared" si="699"/>
        <v>NO APLICA</v>
      </c>
      <c r="P198" s="6"/>
      <c r="Q198" s="6"/>
      <c r="R198" s="6"/>
      <c r="S198" s="6"/>
      <c r="T198" s="5" t="str">
        <f t="shared" si="697"/>
        <v>NO APLICA</v>
      </c>
      <c r="U198" s="5"/>
      <c r="V198" s="6"/>
      <c r="W198" s="4"/>
      <c r="X198" s="4"/>
      <c r="Y198" s="8"/>
      <c r="Z198" s="5" t="str">
        <f t="shared" si="605"/>
        <v>NO APLICA</v>
      </c>
      <c r="AA198" s="5"/>
      <c r="AB198" s="6"/>
      <c r="AC198" s="6"/>
      <c r="AD198" s="6"/>
      <c r="AE198" s="6"/>
      <c r="AF198" s="5" t="str">
        <f t="shared" si="700"/>
        <v>NO APLICA</v>
      </c>
      <c r="AG198" s="4"/>
      <c r="AH198" s="4"/>
      <c r="AI198" s="4"/>
      <c r="AJ198" s="6"/>
      <c r="AK198" s="5" t="str">
        <f t="shared" si="602"/>
        <v>NO APLICA</v>
      </c>
      <c r="AL198" s="4"/>
      <c r="AM198" s="4"/>
      <c r="AN198" s="4"/>
      <c r="AO198" s="6"/>
      <c r="AP198" s="5" t="str">
        <f t="shared" si="701"/>
        <v>NO APLICA</v>
      </c>
      <c r="AQ198" s="4"/>
      <c r="AR198" s="4"/>
      <c r="AS198" s="4"/>
      <c r="AT198" s="6"/>
      <c r="AU198" s="5" t="str">
        <f t="shared" si="702"/>
        <v>NO APLICA</v>
      </c>
      <c r="AV198" s="4"/>
      <c r="AW198" s="4"/>
      <c r="AX198" s="4"/>
      <c r="AY198" s="6"/>
      <c r="AZ198" s="5" t="str">
        <f t="shared" si="703"/>
        <v>NO APLICA</v>
      </c>
      <c r="BA198" s="4"/>
      <c r="BB198" s="4"/>
      <c r="BC198" s="4"/>
      <c r="BD198" s="6"/>
      <c r="BE198" s="5" t="str">
        <f t="shared" si="704"/>
        <v>NO APLICA</v>
      </c>
      <c r="BF198" s="4"/>
      <c r="BG198" s="4"/>
      <c r="BH198" s="4"/>
      <c r="BI198" s="6"/>
      <c r="BJ198" s="5" t="str">
        <f t="shared" si="705"/>
        <v>NO APLICA</v>
      </c>
      <c r="BK198" s="4"/>
      <c r="BL198" s="4"/>
      <c r="BM198" s="4"/>
      <c r="BN198" s="6"/>
      <c r="BO198" s="5" t="str">
        <f t="shared" si="706"/>
        <v>NO APLICA</v>
      </c>
      <c r="BP198" s="4"/>
      <c r="BQ198" s="4"/>
      <c r="BR198" s="4"/>
      <c r="BS198" s="6"/>
      <c r="BT198" s="5" t="str">
        <f t="shared" si="707"/>
        <v>NO APLICA</v>
      </c>
      <c r="BU198" s="4"/>
      <c r="BV198" s="4"/>
      <c r="BW198" s="4"/>
      <c r="BX198" s="6"/>
      <c r="BY198" s="5" t="str">
        <f t="shared" si="708"/>
        <v>NO APLICA</v>
      </c>
      <c r="BZ198" s="4"/>
      <c r="CA198" s="4"/>
      <c r="CB198" s="4"/>
      <c r="CC198" s="6"/>
      <c r="CD198" s="5" t="str">
        <f t="shared" si="709"/>
        <v>NO APLICA</v>
      </c>
      <c r="CE198" s="6"/>
      <c r="CF198" s="6"/>
      <c r="CG198" s="6"/>
      <c r="CH198" s="6"/>
      <c r="CI198" s="5" t="str">
        <f t="shared" si="573"/>
        <v>NO APLICA</v>
      </c>
      <c r="CJ198" s="4"/>
      <c r="CK198" s="4"/>
      <c r="CL198" s="4"/>
      <c r="CM198" s="6"/>
      <c r="CN198" s="5" t="str">
        <f t="shared" si="710"/>
        <v>NO APLICA</v>
      </c>
      <c r="CO198" s="4"/>
      <c r="CP198" s="4"/>
      <c r="CQ198" s="4"/>
      <c r="CR198" s="6"/>
      <c r="CS198" s="5" t="str">
        <f t="shared" si="711"/>
        <v>NO APLICA</v>
      </c>
      <c r="CT198" s="4"/>
      <c r="CU198" s="4"/>
      <c r="CV198" s="4"/>
      <c r="CW198" s="6"/>
      <c r="CX198" s="5" t="str">
        <f t="shared" si="712"/>
        <v>NO APLICA</v>
      </c>
      <c r="CY198" s="4"/>
      <c r="CZ198" s="4"/>
      <c r="DA198" s="4"/>
      <c r="DB198" s="6"/>
      <c r="DC198" s="5" t="str">
        <f t="shared" si="713"/>
        <v>NO APLICA</v>
      </c>
      <c r="DD198" s="4"/>
      <c r="DE198" s="4"/>
      <c r="DF198" s="4"/>
      <c r="DG198" s="6"/>
      <c r="DH198" s="5" t="str">
        <f t="shared" si="714"/>
        <v>NO APLICA</v>
      </c>
      <c r="DI198" s="4"/>
      <c r="DJ198" s="4"/>
      <c r="DK198" s="4"/>
      <c r="DL198" s="6"/>
      <c r="DM198" s="5" t="str">
        <f t="shared" si="715"/>
        <v>NO APLICA</v>
      </c>
      <c r="DN198" s="4"/>
      <c r="DO198" s="4"/>
      <c r="DP198" s="4"/>
      <c r="DQ198" s="6"/>
      <c r="DR198" s="5" t="str">
        <f t="shared" si="716"/>
        <v>NO APLICA</v>
      </c>
      <c r="DS198" s="4"/>
      <c r="DT198" s="4"/>
      <c r="DU198" s="4"/>
      <c r="DV198" s="6"/>
      <c r="DW198" s="5" t="str">
        <f t="shared" si="717"/>
        <v>NO APLICA</v>
      </c>
      <c r="DX198" s="4"/>
      <c r="DY198" s="4"/>
      <c r="DZ198" s="4"/>
      <c r="EA198" s="6"/>
      <c r="EB198" s="5" t="str">
        <f t="shared" si="718"/>
        <v>NO APLICA</v>
      </c>
      <c r="EC198" s="4"/>
      <c r="ED198" s="4"/>
      <c r="EE198" s="4"/>
      <c r="EF198" s="6"/>
      <c r="EG198" s="5" t="str">
        <f t="shared" si="719"/>
        <v>NO APLICA</v>
      </c>
      <c r="EH198" s="4"/>
      <c r="EI198" s="4"/>
      <c r="EJ198" s="4"/>
      <c r="EK198" s="8"/>
      <c r="EL198" s="5" t="str">
        <f t="shared" si="720"/>
        <v>NO APLICA</v>
      </c>
      <c r="EM198" s="4"/>
      <c r="EN198" s="4"/>
      <c r="EO198" s="4"/>
      <c r="EP198" s="8"/>
      <c r="EQ198" s="5" t="str">
        <f t="shared" si="721"/>
        <v>NO APLICA</v>
      </c>
      <c r="ER198" s="4"/>
      <c r="ES198" s="4"/>
      <c r="ET198" s="4"/>
      <c r="EU198" s="8"/>
      <c r="EV198" s="5" t="str">
        <f t="shared" si="722"/>
        <v>NO APLICA</v>
      </c>
      <c r="EW198" s="4"/>
      <c r="EX198" s="4"/>
      <c r="EY198" s="4"/>
      <c r="EZ198" s="6"/>
      <c r="FA198" s="5" t="str">
        <f t="shared" si="723"/>
        <v>NO APLICA</v>
      </c>
      <c r="FB198" s="4"/>
      <c r="FC198" s="4"/>
      <c r="FD198" s="4"/>
      <c r="FE198" s="6"/>
      <c r="FF198" s="5" t="str">
        <f t="shared" si="724"/>
        <v>NO APLICA</v>
      </c>
      <c r="FG198" s="4"/>
      <c r="FH198" s="4"/>
      <c r="FI198" s="4"/>
      <c r="FJ198" s="6"/>
      <c r="FK198" s="5" t="str">
        <f t="shared" si="725"/>
        <v>NO APLICA</v>
      </c>
      <c r="FL198" s="4"/>
      <c r="FM198" s="4"/>
      <c r="FN198" s="4"/>
      <c r="FO198" s="6"/>
      <c r="FP198" s="5" t="str">
        <f t="shared" si="726"/>
        <v>NO APLICA</v>
      </c>
      <c r="FQ198" s="4"/>
      <c r="FR198" s="4"/>
      <c r="FS198" s="4"/>
      <c r="FT198" s="6"/>
      <c r="FU198" s="5" t="str">
        <f t="shared" si="727"/>
        <v>NO APLICA</v>
      </c>
      <c r="FV198" s="4"/>
      <c r="FW198" s="4"/>
      <c r="FX198" s="4"/>
      <c r="FY198" s="6"/>
      <c r="FZ198" s="5" t="str">
        <f t="shared" si="728"/>
        <v>NO APLICA</v>
      </c>
      <c r="GA198" s="4"/>
      <c r="GB198" s="4"/>
      <c r="GC198" s="4"/>
      <c r="GD198" s="6"/>
      <c r="GE198" s="5" t="str">
        <f t="shared" si="729"/>
        <v>NO APLICA</v>
      </c>
      <c r="GF198" s="4"/>
      <c r="GG198" s="4"/>
      <c r="GH198" s="4"/>
      <c r="GI198" s="8"/>
      <c r="GJ198" s="5" t="str">
        <f t="shared" si="730"/>
        <v>NO APLICA</v>
      </c>
      <c r="GK198" s="4"/>
      <c r="GL198" s="6"/>
      <c r="GM198" s="6"/>
      <c r="GN198" s="6"/>
      <c r="GO198" s="5" t="str">
        <f t="shared" si="731"/>
        <v>NO APLICA</v>
      </c>
      <c r="GP198" s="4"/>
      <c r="GQ198" s="6"/>
      <c r="GR198" s="6"/>
      <c r="GS198" s="6"/>
      <c r="GT198" s="5" t="str">
        <f t="shared" si="610"/>
        <v>NO APLICA</v>
      </c>
      <c r="GU198" s="4"/>
      <c r="GV198" s="6"/>
      <c r="GW198" s="6"/>
      <c r="GX198" s="6"/>
      <c r="GY198" s="5" t="str">
        <f t="shared" si="611"/>
        <v>NO APLICA</v>
      </c>
      <c r="GZ198" s="6"/>
      <c r="HA198" s="6"/>
      <c r="HB198" s="6"/>
      <c r="HC198" s="6"/>
      <c r="HD198" s="5" t="str">
        <f t="shared" si="612"/>
        <v>NO APLICA</v>
      </c>
      <c r="HE198" s="6"/>
      <c r="HF198" s="6"/>
      <c r="HG198" s="4"/>
      <c r="HH198" s="8"/>
      <c r="HI198" s="5" t="str">
        <f t="shared" si="698"/>
        <v>NO APLICA</v>
      </c>
      <c r="HJ198" s="6"/>
      <c r="HK198" s="6"/>
      <c r="HL198" s="6"/>
      <c r="HM198" s="6"/>
      <c r="HN198" s="5" t="str">
        <f t="shared" si="694"/>
        <v>NO APLICA</v>
      </c>
      <c r="HO198" s="6"/>
      <c r="HP198" s="6"/>
      <c r="HQ198" s="6"/>
      <c r="HR198" s="6"/>
      <c r="HS198" s="5" t="str">
        <f t="shared" si="732"/>
        <v>NO APLICA</v>
      </c>
      <c r="HT198" s="6"/>
      <c r="HU198" s="6"/>
      <c r="HV198" s="6"/>
      <c r="HW198" s="6"/>
      <c r="HX198" s="5" t="str">
        <f t="shared" si="733"/>
        <v>NO APLICA</v>
      </c>
      <c r="HY198" s="6"/>
      <c r="HZ198" s="6"/>
      <c r="IA198" s="6"/>
      <c r="IB198" s="6"/>
      <c r="IC198" s="5" t="str">
        <f t="shared" si="734"/>
        <v>NO APLICA</v>
      </c>
      <c r="ID198" s="6"/>
      <c r="IE198" s="6"/>
      <c r="IF198" s="6"/>
      <c r="IG198" s="6"/>
      <c r="IH198" s="5" t="str">
        <f t="shared" si="735"/>
        <v>NO APLICA</v>
      </c>
      <c r="II198" s="6"/>
      <c r="IJ198" s="6"/>
      <c r="IK198" s="6"/>
      <c r="IL198" s="6"/>
      <c r="IM198" s="5" t="str">
        <f t="shared" si="736"/>
        <v>NO APLICA</v>
      </c>
      <c r="IN198" s="6"/>
      <c r="IO198" s="6"/>
      <c r="IP198" s="6"/>
      <c r="IQ198" s="6"/>
      <c r="IR198" s="5" t="str">
        <f t="shared" si="737"/>
        <v>NO APLICA</v>
      </c>
      <c r="IS198" s="6"/>
      <c r="IT198" s="6"/>
      <c r="IU198" s="6"/>
      <c r="IV198" s="6"/>
      <c r="IW198" s="5" t="str">
        <f t="shared" si="738"/>
        <v>NO APLICA</v>
      </c>
      <c r="IX198" s="6"/>
      <c r="IY198" s="6"/>
      <c r="IZ198" s="6"/>
      <c r="JA198" s="6"/>
      <c r="JB198" s="5" t="str">
        <f t="shared" si="739"/>
        <v>NO APLICA</v>
      </c>
      <c r="JC198" s="3" t="s">
        <v>780</v>
      </c>
      <c r="JD198" s="6"/>
      <c r="JE198" s="6"/>
      <c r="JF198" s="6"/>
      <c r="JG198" s="5"/>
      <c r="JH198" s="3" t="s">
        <v>780</v>
      </c>
      <c r="JI198" s="6"/>
      <c r="JJ198" s="6"/>
      <c r="JK198" s="6"/>
      <c r="JL198" s="5"/>
      <c r="JM198" s="6" t="s">
        <v>780</v>
      </c>
      <c r="JN198" s="6"/>
      <c r="JO198" s="6"/>
      <c r="JP198" s="6"/>
      <c r="JQ198" s="5"/>
      <c r="JR198" s="6" t="s">
        <v>780</v>
      </c>
      <c r="JS198" s="6"/>
      <c r="JT198" s="6"/>
      <c r="JU198" s="6"/>
      <c r="JV198" s="5"/>
      <c r="JW198" s="6" t="s">
        <v>780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40"/>
        <v>NO APLICA</v>
      </c>
      <c r="KG198" s="5"/>
      <c r="KH198" s="6"/>
      <c r="KI198" s="6"/>
      <c r="KJ198" s="6"/>
      <c r="KK198" s="5" t="str">
        <f t="shared" si="760"/>
        <v>NO APLICA</v>
      </c>
      <c r="KL198" s="5"/>
      <c r="KM198" s="6"/>
      <c r="KN198" s="6"/>
      <c r="KO198" s="6"/>
      <c r="KP198" s="5" t="str">
        <f t="shared" si="741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7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2"/>
        <v>NO APLICA</v>
      </c>
      <c r="LF198" s="6"/>
      <c r="LG198" s="6"/>
      <c r="LH198" s="6"/>
      <c r="LI198" s="6"/>
      <c r="LJ198" s="5" t="str">
        <f t="shared" si="600"/>
        <v>NO APLICA</v>
      </c>
      <c r="LK198" s="5"/>
      <c r="LL198" s="5"/>
      <c r="LM198" s="4"/>
      <c r="LN198" s="8"/>
      <c r="LO198" s="5" t="str">
        <f t="shared" ref="LO198:LO240" si="768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3"/>
        <v>NO APLICA</v>
      </c>
      <c r="LU198" s="6"/>
      <c r="LV198" s="6"/>
      <c r="LW198" s="6"/>
      <c r="LX198" s="6"/>
      <c r="LY198" s="5" t="str">
        <f t="shared" si="764"/>
        <v>NO APLICA</v>
      </c>
      <c r="LZ198" s="6"/>
      <c r="MA198" s="6"/>
      <c r="MB198" s="6"/>
      <c r="MC198" s="6"/>
      <c r="MD198" s="5" t="str">
        <f t="shared" si="765"/>
        <v>NO APLICA</v>
      </c>
      <c r="ME198" s="6"/>
      <c r="MF198" s="6"/>
      <c r="MG198" s="6"/>
      <c r="MH198" s="6"/>
      <c r="MI198" s="5" t="str">
        <f t="shared" si="742"/>
        <v>NO APLICA</v>
      </c>
      <c r="MJ198" s="6"/>
      <c r="MK198" s="6"/>
      <c r="ML198" s="6"/>
      <c r="MM198" s="6"/>
      <c r="MN198" s="5" t="str">
        <f t="shared" si="743"/>
        <v>NO APLICA</v>
      </c>
      <c r="MO198" s="5"/>
      <c r="MP198" s="6"/>
      <c r="MQ198" s="6"/>
      <c r="MR198" s="6"/>
      <c r="MS198" s="5" t="str">
        <f t="shared" si="744"/>
        <v>NO APLICA</v>
      </c>
      <c r="MT198" s="5"/>
      <c r="MU198" s="6"/>
      <c r="MV198" s="6"/>
      <c r="MW198" s="6"/>
      <c r="MX198" s="5" t="str">
        <f t="shared" si="745"/>
        <v>NO APLICA</v>
      </c>
      <c r="MY198" s="6"/>
      <c r="MZ198" s="6"/>
      <c r="NA198" s="6"/>
      <c r="NB198" s="6"/>
      <c r="NC198" s="5" t="str">
        <f t="shared" si="746"/>
        <v>NO APLICA</v>
      </c>
      <c r="ND198" s="6"/>
      <c r="NE198" s="6"/>
      <c r="NF198" s="6"/>
      <c r="NG198" s="6"/>
      <c r="NH198" s="5" t="str">
        <f t="shared" si="747"/>
        <v>NO APLICA</v>
      </c>
      <c r="NI198" s="6"/>
      <c r="NJ198" s="6"/>
      <c r="NK198" s="6"/>
      <c r="NL198" s="6"/>
      <c r="NM198" s="5" t="str">
        <f t="shared" si="748"/>
        <v>NO APLICA</v>
      </c>
      <c r="NN198" s="6"/>
      <c r="NO198" s="6"/>
      <c r="NP198" s="6"/>
      <c r="NQ198" s="6"/>
      <c r="NR198" s="5" t="str">
        <f t="shared" si="749"/>
        <v>NO APLICA</v>
      </c>
      <c r="NS198" s="6"/>
      <c r="NT198" s="6"/>
      <c r="NU198" s="6"/>
      <c r="NV198" s="6"/>
      <c r="NW198" s="5" t="str">
        <f t="shared" si="750"/>
        <v>NO APLICA</v>
      </c>
      <c r="NX198" s="6"/>
      <c r="NY198" s="6"/>
      <c r="NZ198" s="6"/>
      <c r="OA198" s="6"/>
      <c r="OB198" s="5" t="str">
        <f t="shared" si="751"/>
        <v>NO APLICA</v>
      </c>
      <c r="OC198" s="6"/>
      <c r="OD198" s="6"/>
      <c r="OE198" s="6"/>
      <c r="OF198" s="6"/>
      <c r="OG198" s="5" t="str">
        <f t="shared" si="752"/>
        <v>NO APLICA</v>
      </c>
      <c r="OH198" s="6"/>
      <c r="OI198" s="6"/>
      <c r="OJ198" s="6"/>
      <c r="OK198" s="6"/>
      <c r="OL198" s="5" t="str">
        <f t="shared" si="753"/>
        <v>NO APLICA</v>
      </c>
      <c r="OM198" s="6"/>
      <c r="ON198" s="6"/>
      <c r="OO198" s="6"/>
      <c r="OP198" s="6"/>
      <c r="OQ198" s="5" t="str">
        <f t="shared" si="754"/>
        <v>NO APLICA</v>
      </c>
      <c r="OR198" s="6"/>
      <c r="OS198" s="6"/>
      <c r="OT198" s="6"/>
      <c r="OU198" s="6"/>
      <c r="OV198" s="5" t="str">
        <f t="shared" si="755"/>
        <v>NO APLICA</v>
      </c>
      <c r="OW198" s="6"/>
      <c r="OX198" s="6"/>
      <c r="OY198" s="6"/>
      <c r="OZ198" s="6"/>
      <c r="PA198" s="5" t="str">
        <f t="shared" ref="PA198:PA240" si="769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6"/>
        <v>NO APLICA</v>
      </c>
      <c r="PG198" s="6"/>
      <c r="PH198" s="6"/>
      <c r="PI198" s="6"/>
      <c r="PJ198" s="6"/>
      <c r="PK198" s="5" t="str">
        <f t="shared" si="757"/>
        <v>NO APLICA</v>
      </c>
      <c r="PL198" s="5"/>
      <c r="PM198" s="6"/>
      <c r="PN198" s="6"/>
      <c r="PO198" s="6"/>
      <c r="PP198" s="5" t="str">
        <f t="shared" si="766"/>
        <v>NO APLICA</v>
      </c>
      <c r="PQ198" s="6"/>
      <c r="PR198" s="6"/>
      <c r="PS198" s="6"/>
      <c r="PT198" s="6"/>
      <c r="PU198" s="5" t="str">
        <f t="shared" si="758"/>
        <v>NO APLICA</v>
      </c>
      <c r="PV198" s="5"/>
      <c r="PW198" s="6"/>
      <c r="PX198" s="6"/>
      <c r="PY198" s="6"/>
      <c r="PZ198" s="5" t="str">
        <f t="shared" si="759"/>
        <v>NO APLICA</v>
      </c>
    </row>
    <row r="199" spans="1:442" ht="15.6" hidden="1" thickTop="1" thickBot="1" x14ac:dyDescent="0.35">
      <c r="A199" s="26">
        <v>196</v>
      </c>
      <c r="B199" s="31">
        <v>1359</v>
      </c>
      <c r="C199" s="28" t="s">
        <v>616</v>
      </c>
      <c r="D199" s="29" t="s">
        <v>113</v>
      </c>
      <c r="E199" s="30" t="s">
        <v>617</v>
      </c>
      <c r="F199" s="6"/>
      <c r="G199" s="6"/>
      <c r="H199" s="6"/>
      <c r="I199" s="6"/>
      <c r="J199" s="5" t="str">
        <f t="shared" si="696"/>
        <v>NO APLICA</v>
      </c>
      <c r="K199" s="6"/>
      <c r="L199" s="6"/>
      <c r="M199" s="6"/>
      <c r="N199" s="6"/>
      <c r="O199" s="5" t="str">
        <f t="shared" si="699"/>
        <v>NO APLICA</v>
      </c>
      <c r="P199" s="6"/>
      <c r="Q199" s="6"/>
      <c r="R199" s="6"/>
      <c r="S199" s="6"/>
      <c r="T199" s="5" t="str">
        <f t="shared" si="697"/>
        <v>NO APLICA</v>
      </c>
      <c r="U199" s="5"/>
      <c r="V199" s="6"/>
      <c r="W199" s="4"/>
      <c r="X199" s="4"/>
      <c r="Y199" s="8"/>
      <c r="Z199" s="5" t="str">
        <f t="shared" si="605"/>
        <v>NO APLICA</v>
      </c>
      <c r="AA199" s="5"/>
      <c r="AB199" s="6"/>
      <c r="AC199" s="6"/>
      <c r="AD199" s="6"/>
      <c r="AE199" s="6"/>
      <c r="AF199" s="5" t="str">
        <f t="shared" si="700"/>
        <v>NO APLICA</v>
      </c>
      <c r="AG199" s="4"/>
      <c r="AH199" s="4"/>
      <c r="AI199" s="4"/>
      <c r="AJ199" s="6"/>
      <c r="AK199" s="5" t="str">
        <f t="shared" si="602"/>
        <v>NO APLICA</v>
      </c>
      <c r="AL199" s="4"/>
      <c r="AM199" s="4"/>
      <c r="AN199" s="4"/>
      <c r="AO199" s="6"/>
      <c r="AP199" s="5" t="str">
        <f t="shared" si="701"/>
        <v>NO APLICA</v>
      </c>
      <c r="AQ199" s="4"/>
      <c r="AR199" s="4"/>
      <c r="AS199" s="4"/>
      <c r="AT199" s="6"/>
      <c r="AU199" s="5" t="str">
        <f t="shared" si="702"/>
        <v>NO APLICA</v>
      </c>
      <c r="AV199" s="4"/>
      <c r="AW199" s="4"/>
      <c r="AX199" s="4"/>
      <c r="AY199" s="6"/>
      <c r="AZ199" s="5" t="str">
        <f t="shared" si="703"/>
        <v>NO APLICA</v>
      </c>
      <c r="BA199" s="4"/>
      <c r="BB199" s="4"/>
      <c r="BC199" s="4"/>
      <c r="BD199" s="6"/>
      <c r="BE199" s="5" t="str">
        <f t="shared" si="704"/>
        <v>NO APLICA</v>
      </c>
      <c r="BF199" s="4"/>
      <c r="BG199" s="4"/>
      <c r="BH199" s="4"/>
      <c r="BI199" s="6"/>
      <c r="BJ199" s="5" t="str">
        <f t="shared" si="705"/>
        <v>NO APLICA</v>
      </c>
      <c r="BK199" s="4"/>
      <c r="BL199" s="4"/>
      <c r="BM199" s="4"/>
      <c r="BN199" s="6"/>
      <c r="BO199" s="5" t="str">
        <f t="shared" si="706"/>
        <v>NO APLICA</v>
      </c>
      <c r="BP199" s="4"/>
      <c r="BQ199" s="4"/>
      <c r="BR199" s="4"/>
      <c r="BS199" s="6"/>
      <c r="BT199" s="5" t="str">
        <f t="shared" si="707"/>
        <v>NO APLICA</v>
      </c>
      <c r="BU199" s="4"/>
      <c r="BV199" s="4"/>
      <c r="BW199" s="4"/>
      <c r="BX199" s="6"/>
      <c r="BY199" s="5" t="str">
        <f t="shared" si="708"/>
        <v>NO APLICA</v>
      </c>
      <c r="BZ199" s="4"/>
      <c r="CA199" s="4"/>
      <c r="CB199" s="4"/>
      <c r="CC199" s="6"/>
      <c r="CD199" s="5" t="str">
        <f t="shared" si="709"/>
        <v>NO APLICA</v>
      </c>
      <c r="CE199" s="6"/>
      <c r="CF199" s="6"/>
      <c r="CG199" s="6"/>
      <c r="CH199" s="6"/>
      <c r="CI199" s="5" t="str">
        <f t="shared" si="573"/>
        <v>NO APLICA</v>
      </c>
      <c r="CJ199" s="4"/>
      <c r="CK199" s="4"/>
      <c r="CL199" s="4"/>
      <c r="CM199" s="6"/>
      <c r="CN199" s="5" t="str">
        <f t="shared" si="710"/>
        <v>NO APLICA</v>
      </c>
      <c r="CO199" s="4"/>
      <c r="CP199" s="4"/>
      <c r="CQ199" s="4"/>
      <c r="CR199" s="6"/>
      <c r="CS199" s="5" t="str">
        <f t="shared" si="711"/>
        <v>NO APLICA</v>
      </c>
      <c r="CT199" s="4"/>
      <c r="CU199" s="4"/>
      <c r="CV199" s="4"/>
      <c r="CW199" s="6"/>
      <c r="CX199" s="5" t="str">
        <f t="shared" si="712"/>
        <v>NO APLICA</v>
      </c>
      <c r="CY199" s="4"/>
      <c r="CZ199" s="4"/>
      <c r="DA199" s="4"/>
      <c r="DB199" s="6"/>
      <c r="DC199" s="5" t="str">
        <f t="shared" si="713"/>
        <v>NO APLICA</v>
      </c>
      <c r="DD199" s="4"/>
      <c r="DE199" s="4"/>
      <c r="DF199" s="4"/>
      <c r="DG199" s="6"/>
      <c r="DH199" s="5" t="str">
        <f t="shared" si="714"/>
        <v>NO APLICA</v>
      </c>
      <c r="DI199" s="4"/>
      <c r="DJ199" s="4"/>
      <c r="DK199" s="4"/>
      <c r="DL199" s="6"/>
      <c r="DM199" s="5" t="str">
        <f t="shared" si="715"/>
        <v>NO APLICA</v>
      </c>
      <c r="DN199" s="4"/>
      <c r="DO199" s="4"/>
      <c r="DP199" s="4"/>
      <c r="DQ199" s="6"/>
      <c r="DR199" s="5" t="str">
        <f t="shared" si="716"/>
        <v>NO APLICA</v>
      </c>
      <c r="DS199" s="4"/>
      <c r="DT199" s="4"/>
      <c r="DU199" s="4"/>
      <c r="DV199" s="6"/>
      <c r="DW199" s="5" t="str">
        <f t="shared" si="717"/>
        <v>NO APLICA</v>
      </c>
      <c r="DX199" s="4"/>
      <c r="DY199" s="4"/>
      <c r="DZ199" s="4"/>
      <c r="EA199" s="6"/>
      <c r="EB199" s="5" t="str">
        <f t="shared" si="718"/>
        <v>NO APLICA</v>
      </c>
      <c r="EC199" s="4"/>
      <c r="ED199" s="4"/>
      <c r="EE199" s="4"/>
      <c r="EF199" s="6"/>
      <c r="EG199" s="5" t="str">
        <f t="shared" si="719"/>
        <v>NO APLICA</v>
      </c>
      <c r="EH199" s="4"/>
      <c r="EI199" s="4"/>
      <c r="EJ199" s="4"/>
      <c r="EK199" s="8"/>
      <c r="EL199" s="5" t="str">
        <f t="shared" si="720"/>
        <v>NO APLICA</v>
      </c>
      <c r="EM199" s="4"/>
      <c r="EN199" s="4"/>
      <c r="EO199" s="4"/>
      <c r="EP199" s="8"/>
      <c r="EQ199" s="5" t="str">
        <f t="shared" si="721"/>
        <v>NO APLICA</v>
      </c>
      <c r="ER199" s="4"/>
      <c r="ES199" s="4"/>
      <c r="ET199" s="4"/>
      <c r="EU199" s="8"/>
      <c r="EV199" s="5" t="str">
        <f t="shared" si="722"/>
        <v>NO APLICA</v>
      </c>
      <c r="EW199" s="4"/>
      <c r="EX199" s="4"/>
      <c r="EY199" s="4"/>
      <c r="EZ199" s="6"/>
      <c r="FA199" s="5" t="str">
        <f t="shared" si="723"/>
        <v>NO APLICA</v>
      </c>
      <c r="FB199" s="4"/>
      <c r="FC199" s="4"/>
      <c r="FD199" s="4"/>
      <c r="FE199" s="6"/>
      <c r="FF199" s="5" t="str">
        <f t="shared" si="724"/>
        <v>NO APLICA</v>
      </c>
      <c r="FG199" s="4"/>
      <c r="FH199" s="4"/>
      <c r="FI199" s="4"/>
      <c r="FJ199" s="6"/>
      <c r="FK199" s="5" t="str">
        <f t="shared" si="725"/>
        <v>NO APLICA</v>
      </c>
      <c r="FL199" s="4"/>
      <c r="FM199" s="4"/>
      <c r="FN199" s="4"/>
      <c r="FO199" s="6"/>
      <c r="FP199" s="5" t="str">
        <f t="shared" si="726"/>
        <v>NO APLICA</v>
      </c>
      <c r="FQ199" s="4"/>
      <c r="FR199" s="4"/>
      <c r="FS199" s="4"/>
      <c r="FT199" s="6"/>
      <c r="FU199" s="5" t="str">
        <f t="shared" si="727"/>
        <v>NO APLICA</v>
      </c>
      <c r="FV199" s="4"/>
      <c r="FW199" s="4"/>
      <c r="FX199" s="4"/>
      <c r="FY199" s="6"/>
      <c r="FZ199" s="5" t="str">
        <f t="shared" si="728"/>
        <v>NO APLICA</v>
      </c>
      <c r="GA199" s="4"/>
      <c r="GB199" s="4"/>
      <c r="GC199" s="4"/>
      <c r="GD199" s="6"/>
      <c r="GE199" s="5" t="str">
        <f t="shared" si="729"/>
        <v>NO APLICA</v>
      </c>
      <c r="GF199" s="4"/>
      <c r="GG199" s="4"/>
      <c r="GH199" s="4"/>
      <c r="GI199" s="8"/>
      <c r="GJ199" s="5" t="str">
        <f t="shared" si="730"/>
        <v>NO APLICA</v>
      </c>
      <c r="GK199" s="4"/>
      <c r="GL199" s="6"/>
      <c r="GM199" s="6"/>
      <c r="GN199" s="6"/>
      <c r="GO199" s="5" t="str">
        <f t="shared" si="731"/>
        <v>NO APLICA</v>
      </c>
      <c r="GP199" s="4"/>
      <c r="GQ199" s="6"/>
      <c r="GR199" s="6"/>
      <c r="GS199" s="6"/>
      <c r="GT199" s="5" t="str">
        <f t="shared" si="610"/>
        <v>NO APLICA</v>
      </c>
      <c r="GU199" s="4"/>
      <c r="GV199" s="6"/>
      <c r="GW199" s="6"/>
      <c r="GX199" s="6"/>
      <c r="GY199" s="5" t="str">
        <f t="shared" si="611"/>
        <v>NO APLICA</v>
      </c>
      <c r="GZ199" s="6"/>
      <c r="HA199" s="6"/>
      <c r="HB199" s="6"/>
      <c r="HC199" s="6"/>
      <c r="HD199" s="5" t="str">
        <f t="shared" si="612"/>
        <v>NO APLICA</v>
      </c>
      <c r="HE199" s="6"/>
      <c r="HF199" s="6"/>
      <c r="HG199" s="4"/>
      <c r="HH199" s="8"/>
      <c r="HI199" s="5" t="str">
        <f t="shared" si="698"/>
        <v>NO APLICA</v>
      </c>
      <c r="HJ199" s="6"/>
      <c r="HK199" s="6"/>
      <c r="HL199" s="6"/>
      <c r="HM199" s="6"/>
      <c r="HN199" s="5" t="str">
        <f t="shared" si="694"/>
        <v>NO APLICA</v>
      </c>
      <c r="HO199" s="6"/>
      <c r="HP199" s="6"/>
      <c r="HQ199" s="6"/>
      <c r="HR199" s="6"/>
      <c r="HS199" s="5" t="str">
        <f t="shared" si="732"/>
        <v>NO APLICA</v>
      </c>
      <c r="HT199" s="6"/>
      <c r="HU199" s="6"/>
      <c r="HV199" s="6"/>
      <c r="HW199" s="6"/>
      <c r="HX199" s="5" t="str">
        <f t="shared" si="733"/>
        <v>NO APLICA</v>
      </c>
      <c r="HY199" s="6"/>
      <c r="HZ199" s="6"/>
      <c r="IA199" s="6"/>
      <c r="IB199" s="6"/>
      <c r="IC199" s="5" t="str">
        <f t="shared" si="734"/>
        <v>NO APLICA</v>
      </c>
      <c r="ID199" s="6"/>
      <c r="IE199" s="6"/>
      <c r="IF199" s="6"/>
      <c r="IG199" s="6"/>
      <c r="IH199" s="5" t="str">
        <f t="shared" si="735"/>
        <v>NO APLICA</v>
      </c>
      <c r="II199" s="6"/>
      <c r="IJ199" s="6"/>
      <c r="IK199" s="6"/>
      <c r="IL199" s="6"/>
      <c r="IM199" s="5" t="str">
        <f t="shared" si="736"/>
        <v>NO APLICA</v>
      </c>
      <c r="IN199" s="6"/>
      <c r="IO199" s="6"/>
      <c r="IP199" s="6"/>
      <c r="IQ199" s="6"/>
      <c r="IR199" s="5" t="str">
        <f t="shared" si="737"/>
        <v>NO APLICA</v>
      </c>
      <c r="IS199" s="6"/>
      <c r="IT199" s="6"/>
      <c r="IU199" s="6"/>
      <c r="IV199" s="6"/>
      <c r="IW199" s="5" t="str">
        <f t="shared" si="738"/>
        <v>NO APLICA</v>
      </c>
      <c r="IX199" s="6"/>
      <c r="IY199" s="6"/>
      <c r="IZ199" s="6"/>
      <c r="JA199" s="6"/>
      <c r="JB199" s="5" t="str">
        <f t="shared" si="739"/>
        <v>NO APLICA</v>
      </c>
      <c r="JC199" s="3" t="s">
        <v>780</v>
      </c>
      <c r="JD199" s="6"/>
      <c r="JE199" s="6"/>
      <c r="JF199" s="6"/>
      <c r="JG199" s="5"/>
      <c r="JH199" s="3" t="s">
        <v>780</v>
      </c>
      <c r="JI199" s="6"/>
      <c r="JJ199" s="6"/>
      <c r="JK199" s="6"/>
      <c r="JL199" s="5"/>
      <c r="JM199" s="6" t="s">
        <v>780</v>
      </c>
      <c r="JN199" s="6"/>
      <c r="JO199" s="6"/>
      <c r="JP199" s="6"/>
      <c r="JQ199" s="5"/>
      <c r="JR199" s="6" t="s">
        <v>780</v>
      </c>
      <c r="JS199" s="6"/>
      <c r="JT199" s="6"/>
      <c r="JU199" s="6"/>
      <c r="JV199" s="5"/>
      <c r="JW199" s="6" t="s">
        <v>780</v>
      </c>
      <c r="JX199" s="6"/>
      <c r="JY199" s="6"/>
      <c r="JZ199" s="6"/>
      <c r="KA199" s="38"/>
      <c r="KB199" s="5"/>
      <c r="KC199" s="6"/>
      <c r="KD199" s="6"/>
      <c r="KE199" s="6"/>
      <c r="KF199" s="5" t="str">
        <f t="shared" si="740"/>
        <v>NO APLICA</v>
      </c>
      <c r="KG199" s="5"/>
      <c r="KH199" s="6"/>
      <c r="KI199" s="6"/>
      <c r="KJ199" s="6"/>
      <c r="KK199" s="5" t="str">
        <f t="shared" si="760"/>
        <v>NO APLICA</v>
      </c>
      <c r="KL199" s="5"/>
      <c r="KM199" s="6"/>
      <c r="KN199" s="6"/>
      <c r="KO199" s="6"/>
      <c r="KP199" s="5" t="str">
        <f t="shared" si="741"/>
        <v>NO APLICA</v>
      </c>
      <c r="KQ199" s="5"/>
      <c r="KR199" s="6"/>
      <c r="KS199" s="6"/>
      <c r="KT199" s="6"/>
      <c r="KU199" s="5" t="str">
        <f t="shared" si="761"/>
        <v>NO APLICA</v>
      </c>
      <c r="KV199" s="6"/>
      <c r="KW199" s="6"/>
      <c r="KX199" s="6"/>
      <c r="KY199" s="6"/>
      <c r="KZ199" s="5" t="str">
        <f t="shared" si="767"/>
        <v>NO APLICA</v>
      </c>
      <c r="LA199" s="5"/>
      <c r="LB199" s="6"/>
      <c r="LC199" s="6"/>
      <c r="LD199" s="6"/>
      <c r="LE199" s="5" t="str">
        <f t="shared" si="762"/>
        <v>NO APLICA</v>
      </c>
      <c r="LF199" s="6"/>
      <c r="LG199" s="6"/>
      <c r="LH199" s="6"/>
      <c r="LI199" s="6"/>
      <c r="LJ199" s="5" t="str">
        <f t="shared" si="600"/>
        <v>NO APLICA</v>
      </c>
      <c r="LK199" s="5"/>
      <c r="LL199" s="5"/>
      <c r="LM199" s="4"/>
      <c r="LN199" s="8"/>
      <c r="LO199" s="5" t="str">
        <f t="shared" si="768"/>
        <v>NO APLICA</v>
      </c>
      <c r="LP199" s="6"/>
      <c r="LQ199" s="6"/>
      <c r="LR199" s="6"/>
      <c r="LS199" s="6"/>
      <c r="LT199" s="5" t="str">
        <f t="shared" si="763"/>
        <v>NO APLICA</v>
      </c>
      <c r="LU199" s="6"/>
      <c r="LV199" s="6"/>
      <c r="LW199" s="6"/>
      <c r="LX199" s="6"/>
      <c r="LY199" s="5" t="str">
        <f t="shared" si="764"/>
        <v>NO APLICA</v>
      </c>
      <c r="LZ199" s="6"/>
      <c r="MA199" s="6"/>
      <c r="MB199" s="6"/>
      <c r="MC199" s="6"/>
      <c r="MD199" s="5" t="str">
        <f t="shared" si="765"/>
        <v>NO APLICA</v>
      </c>
      <c r="ME199" s="6"/>
      <c r="MF199" s="6"/>
      <c r="MG199" s="6"/>
      <c r="MH199" s="6"/>
      <c r="MI199" s="5" t="str">
        <f t="shared" si="742"/>
        <v>NO APLICA</v>
      </c>
      <c r="MJ199" s="6"/>
      <c r="MK199" s="6"/>
      <c r="ML199" s="6"/>
      <c r="MM199" s="6"/>
      <c r="MN199" s="5" t="str">
        <f t="shared" si="743"/>
        <v>NO APLICA</v>
      </c>
      <c r="MO199" s="5"/>
      <c r="MP199" s="6"/>
      <c r="MQ199" s="6"/>
      <c r="MR199" s="6"/>
      <c r="MS199" s="5" t="str">
        <f t="shared" si="744"/>
        <v>NO APLICA</v>
      </c>
      <c r="MT199" s="5"/>
      <c r="MU199" s="6"/>
      <c r="MV199" s="6"/>
      <c r="MW199" s="6"/>
      <c r="MX199" s="5" t="str">
        <f t="shared" si="745"/>
        <v>NO APLICA</v>
      </c>
      <c r="MY199" s="6"/>
      <c r="MZ199" s="6"/>
      <c r="NA199" s="6"/>
      <c r="NB199" s="6"/>
      <c r="NC199" s="5" t="str">
        <f t="shared" si="746"/>
        <v>NO APLICA</v>
      </c>
      <c r="ND199" s="6"/>
      <c r="NE199" s="6"/>
      <c r="NF199" s="6"/>
      <c r="NG199" s="6"/>
      <c r="NH199" s="5" t="str">
        <f t="shared" si="747"/>
        <v>NO APLICA</v>
      </c>
      <c r="NI199" s="6"/>
      <c r="NJ199" s="6"/>
      <c r="NK199" s="6"/>
      <c r="NL199" s="6"/>
      <c r="NM199" s="5" t="str">
        <f t="shared" si="748"/>
        <v>NO APLICA</v>
      </c>
      <c r="NN199" s="6"/>
      <c r="NO199" s="6"/>
      <c r="NP199" s="6"/>
      <c r="NQ199" s="6"/>
      <c r="NR199" s="5" t="str">
        <f t="shared" si="749"/>
        <v>NO APLICA</v>
      </c>
      <c r="NS199" s="6"/>
      <c r="NT199" s="6"/>
      <c r="NU199" s="6"/>
      <c r="NV199" s="6"/>
      <c r="NW199" s="5" t="str">
        <f t="shared" si="750"/>
        <v>NO APLICA</v>
      </c>
      <c r="NX199" s="6"/>
      <c r="NY199" s="6"/>
      <c r="NZ199" s="6"/>
      <c r="OA199" s="6"/>
      <c r="OB199" s="5" t="str">
        <f t="shared" si="751"/>
        <v>NO APLICA</v>
      </c>
      <c r="OC199" s="6"/>
      <c r="OD199" s="6"/>
      <c r="OE199" s="6"/>
      <c r="OF199" s="6"/>
      <c r="OG199" s="5" t="str">
        <f t="shared" si="752"/>
        <v>NO APLICA</v>
      </c>
      <c r="OH199" s="6"/>
      <c r="OI199" s="6"/>
      <c r="OJ199" s="6"/>
      <c r="OK199" s="6"/>
      <c r="OL199" s="5" t="str">
        <f t="shared" si="753"/>
        <v>NO APLICA</v>
      </c>
      <c r="OM199" s="6"/>
      <c r="ON199" s="6"/>
      <c r="OO199" s="6"/>
      <c r="OP199" s="6"/>
      <c r="OQ199" s="5" t="str">
        <f t="shared" si="754"/>
        <v>NO APLICA</v>
      </c>
      <c r="OR199" s="6"/>
      <c r="OS199" s="6"/>
      <c r="OT199" s="6"/>
      <c r="OU199" s="6"/>
      <c r="OV199" s="5" t="str">
        <f t="shared" si="755"/>
        <v>NO APLICA</v>
      </c>
      <c r="OW199" s="6"/>
      <c r="OX199" s="6"/>
      <c r="OY199" s="6"/>
      <c r="OZ199" s="6"/>
      <c r="PA199" s="5" t="str">
        <f t="shared" si="769"/>
        <v>NO APLICA</v>
      </c>
      <c r="PB199" s="6"/>
      <c r="PC199" s="6"/>
      <c r="PD199" s="6"/>
      <c r="PE199" s="6"/>
      <c r="PF199" s="5" t="str">
        <f t="shared" si="756"/>
        <v>NO APLICA</v>
      </c>
      <c r="PG199" s="6"/>
      <c r="PH199" s="6"/>
      <c r="PI199" s="6"/>
      <c r="PJ199" s="6"/>
      <c r="PK199" s="5" t="str">
        <f t="shared" si="757"/>
        <v>NO APLICA</v>
      </c>
      <c r="PL199" s="5"/>
      <c r="PM199" s="6"/>
      <c r="PN199" s="6"/>
      <c r="PO199" s="6"/>
      <c r="PP199" s="5" t="str">
        <f t="shared" si="766"/>
        <v>NO APLICA</v>
      </c>
      <c r="PQ199" s="6"/>
      <c r="PR199" s="6"/>
      <c r="PS199" s="6"/>
      <c r="PT199" s="6"/>
      <c r="PU199" s="5" t="str">
        <f t="shared" si="758"/>
        <v>NO APLICA</v>
      </c>
      <c r="PV199" s="5"/>
      <c r="PW199" s="6"/>
      <c r="PX199" s="6"/>
      <c r="PY199" s="6"/>
      <c r="PZ199" s="5" t="str">
        <f t="shared" si="759"/>
        <v>NO APLICA</v>
      </c>
    </row>
    <row r="200" spans="1:442" ht="15.6" hidden="1" thickTop="1" thickBot="1" x14ac:dyDescent="0.35">
      <c r="A200" s="26">
        <v>197</v>
      </c>
      <c r="B200" s="31">
        <v>1070</v>
      </c>
      <c r="C200" s="28" t="s">
        <v>618</v>
      </c>
      <c r="D200" s="29" t="s">
        <v>64</v>
      </c>
      <c r="E200" s="30" t="s">
        <v>619</v>
      </c>
      <c r="F200" s="6"/>
      <c r="G200" s="6"/>
      <c r="H200" s="6"/>
      <c r="I200" s="6"/>
      <c r="J200" s="5" t="str">
        <f t="shared" si="696"/>
        <v>NO APLICA</v>
      </c>
      <c r="K200" s="6"/>
      <c r="L200" s="6"/>
      <c r="M200" s="6"/>
      <c r="N200" s="6"/>
      <c r="O200" s="5" t="str">
        <f t="shared" si="69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5"/>
        <v>NO APLICA</v>
      </c>
      <c r="AA200" s="5"/>
      <c r="AB200" s="6"/>
      <c r="AC200" s="6"/>
      <c r="AD200" s="6"/>
      <c r="AE200" s="6"/>
      <c r="AF200" s="5" t="str">
        <f t="shared" si="700"/>
        <v>NO APLICA</v>
      </c>
      <c r="AG200" s="4"/>
      <c r="AH200" s="4"/>
      <c r="AI200" s="4"/>
      <c r="AJ200" s="6"/>
      <c r="AK200" s="5" t="str">
        <f t="shared" si="602"/>
        <v>NO APLICA</v>
      </c>
      <c r="AL200" s="4"/>
      <c r="AM200" s="4"/>
      <c r="AN200" s="4"/>
      <c r="AO200" s="6"/>
      <c r="AP200" s="5" t="str">
        <f t="shared" si="701"/>
        <v>NO APLICA</v>
      </c>
      <c r="AQ200" s="4"/>
      <c r="AR200" s="4"/>
      <c r="AS200" s="4"/>
      <c r="AT200" s="6"/>
      <c r="AU200" s="5" t="str">
        <f t="shared" si="702"/>
        <v>NO APLICA</v>
      </c>
      <c r="AV200" s="4"/>
      <c r="AW200" s="4"/>
      <c r="AX200" s="4"/>
      <c r="AY200" s="6"/>
      <c r="AZ200" s="5" t="str">
        <f t="shared" si="703"/>
        <v>NO APLICA</v>
      </c>
      <c r="BA200" s="4"/>
      <c r="BB200" s="4"/>
      <c r="BC200" s="4"/>
      <c r="BD200" s="6"/>
      <c r="BE200" s="5" t="str">
        <f t="shared" si="704"/>
        <v>NO APLICA</v>
      </c>
      <c r="BF200" s="4"/>
      <c r="BG200" s="4"/>
      <c r="BH200" s="4"/>
      <c r="BI200" s="6"/>
      <c r="BJ200" s="5" t="str">
        <f t="shared" si="705"/>
        <v>NO APLICA</v>
      </c>
      <c r="BK200" s="4"/>
      <c r="BL200" s="4"/>
      <c r="BM200" s="4"/>
      <c r="BN200" s="6"/>
      <c r="BO200" s="5" t="str">
        <f t="shared" si="706"/>
        <v>NO APLICA</v>
      </c>
      <c r="BP200" s="4"/>
      <c r="BQ200" s="4"/>
      <c r="BR200" s="4"/>
      <c r="BS200" s="6"/>
      <c r="BT200" s="5" t="str">
        <f t="shared" si="707"/>
        <v>NO APLICA</v>
      </c>
      <c r="BU200" s="4"/>
      <c r="BV200" s="4"/>
      <c r="BW200" s="4"/>
      <c r="BX200" s="6"/>
      <c r="BY200" s="5" t="str">
        <f t="shared" si="708"/>
        <v>NO APLICA</v>
      </c>
      <c r="BZ200" s="4"/>
      <c r="CA200" s="4"/>
      <c r="CB200" s="4"/>
      <c r="CC200" s="6"/>
      <c r="CD200" s="5" t="str">
        <f t="shared" si="709"/>
        <v>NO APLICA</v>
      </c>
      <c r="CE200" s="6"/>
      <c r="CF200" s="6"/>
      <c r="CG200" s="6"/>
      <c r="CH200" s="6"/>
      <c r="CI200" s="5" t="str">
        <f t="shared" si="573"/>
        <v>NO APLICA</v>
      </c>
      <c r="CJ200" s="4"/>
      <c r="CK200" s="4"/>
      <c r="CL200" s="4"/>
      <c r="CM200" s="6"/>
      <c r="CN200" s="5" t="str">
        <f t="shared" si="710"/>
        <v>NO APLICA</v>
      </c>
      <c r="CO200" s="4"/>
      <c r="CP200" s="4"/>
      <c r="CQ200" s="4"/>
      <c r="CR200" s="6"/>
      <c r="CS200" s="5" t="str">
        <f t="shared" si="711"/>
        <v>NO APLICA</v>
      </c>
      <c r="CT200" s="4"/>
      <c r="CU200" s="4"/>
      <c r="CV200" s="4"/>
      <c r="CW200" s="6"/>
      <c r="CX200" s="5" t="str">
        <f t="shared" si="712"/>
        <v>NO APLICA</v>
      </c>
      <c r="CY200" s="4"/>
      <c r="CZ200" s="4"/>
      <c r="DA200" s="4"/>
      <c r="DB200" s="6"/>
      <c r="DC200" s="5" t="str">
        <f t="shared" si="713"/>
        <v>NO APLICA</v>
      </c>
      <c r="DD200" s="4"/>
      <c r="DE200" s="4"/>
      <c r="DF200" s="4"/>
      <c r="DG200" s="6"/>
      <c r="DH200" s="5" t="str">
        <f t="shared" si="714"/>
        <v>NO APLICA</v>
      </c>
      <c r="DI200" s="4"/>
      <c r="DJ200" s="4"/>
      <c r="DK200" s="4"/>
      <c r="DL200" s="6"/>
      <c r="DM200" s="5" t="str">
        <f t="shared" si="715"/>
        <v>NO APLICA</v>
      </c>
      <c r="DN200" s="4"/>
      <c r="DO200" s="4"/>
      <c r="DP200" s="4"/>
      <c r="DQ200" s="6"/>
      <c r="DR200" s="5" t="str">
        <f t="shared" si="716"/>
        <v>NO APLICA</v>
      </c>
      <c r="DS200" s="4"/>
      <c r="DT200" s="4"/>
      <c r="DU200" s="4"/>
      <c r="DV200" s="6"/>
      <c r="DW200" s="5" t="str">
        <f t="shared" si="717"/>
        <v>NO APLICA</v>
      </c>
      <c r="DX200" s="4"/>
      <c r="DY200" s="4"/>
      <c r="DZ200" s="4"/>
      <c r="EA200" s="6"/>
      <c r="EB200" s="5" t="str">
        <f t="shared" si="718"/>
        <v>NO APLICA</v>
      </c>
      <c r="EC200" s="4"/>
      <c r="ED200" s="4"/>
      <c r="EE200" s="4"/>
      <c r="EF200" s="6"/>
      <c r="EG200" s="5" t="str">
        <f t="shared" si="719"/>
        <v>NO APLICA</v>
      </c>
      <c r="EH200" s="4"/>
      <c r="EI200" s="4"/>
      <c r="EJ200" s="4"/>
      <c r="EK200" s="8"/>
      <c r="EL200" s="5" t="str">
        <f t="shared" si="720"/>
        <v>NO APLICA</v>
      </c>
      <c r="EM200" s="4"/>
      <c r="EN200" s="4"/>
      <c r="EO200" s="4"/>
      <c r="EP200" s="8"/>
      <c r="EQ200" s="5" t="str">
        <f t="shared" si="721"/>
        <v>NO APLICA</v>
      </c>
      <c r="ER200" s="4"/>
      <c r="ES200" s="4"/>
      <c r="ET200" s="4"/>
      <c r="EU200" s="8"/>
      <c r="EV200" s="5" t="str">
        <f t="shared" si="722"/>
        <v>NO APLICA</v>
      </c>
      <c r="EW200" s="4"/>
      <c r="EX200" s="4"/>
      <c r="EY200" s="4"/>
      <c r="EZ200" s="6"/>
      <c r="FA200" s="5" t="str">
        <f t="shared" si="723"/>
        <v>NO APLICA</v>
      </c>
      <c r="FB200" s="4"/>
      <c r="FC200" s="4"/>
      <c r="FD200" s="4"/>
      <c r="FE200" s="6"/>
      <c r="FF200" s="5" t="str">
        <f t="shared" si="724"/>
        <v>NO APLICA</v>
      </c>
      <c r="FG200" s="4"/>
      <c r="FH200" s="4"/>
      <c r="FI200" s="4"/>
      <c r="FJ200" s="6"/>
      <c r="FK200" s="5" t="str">
        <f t="shared" si="725"/>
        <v>NO APLICA</v>
      </c>
      <c r="FL200" s="4"/>
      <c r="FM200" s="4"/>
      <c r="FN200" s="4"/>
      <c r="FO200" s="6"/>
      <c r="FP200" s="5" t="str">
        <f t="shared" si="726"/>
        <v>NO APLICA</v>
      </c>
      <c r="FQ200" s="4"/>
      <c r="FR200" s="4"/>
      <c r="FS200" s="4"/>
      <c r="FT200" s="6"/>
      <c r="FU200" s="5" t="str">
        <f t="shared" si="727"/>
        <v>NO APLICA</v>
      </c>
      <c r="FV200" s="4"/>
      <c r="FW200" s="4"/>
      <c r="FX200" s="4"/>
      <c r="FY200" s="6"/>
      <c r="FZ200" s="5" t="str">
        <f t="shared" si="728"/>
        <v>NO APLICA</v>
      </c>
      <c r="GA200" s="4"/>
      <c r="GB200" s="4"/>
      <c r="GC200" s="4"/>
      <c r="GD200" s="6"/>
      <c r="GE200" s="5" t="str">
        <f t="shared" si="729"/>
        <v>NO APLICA</v>
      </c>
      <c r="GF200" s="4"/>
      <c r="GG200" s="4"/>
      <c r="GH200" s="4"/>
      <c r="GI200" s="8"/>
      <c r="GJ200" s="5" t="str">
        <f t="shared" si="730"/>
        <v>NO APLICA</v>
      </c>
      <c r="GK200" s="4"/>
      <c r="GL200" s="6"/>
      <c r="GM200" s="6"/>
      <c r="GN200" s="6"/>
      <c r="GO200" s="5" t="str">
        <f t="shared" si="731"/>
        <v>NO APLICA</v>
      </c>
      <c r="GP200" s="4"/>
      <c r="GQ200" s="6"/>
      <c r="GR200" s="6"/>
      <c r="GS200" s="6"/>
      <c r="GT200" s="5" t="str">
        <f t="shared" si="610"/>
        <v>NO APLICA</v>
      </c>
      <c r="GU200" s="4"/>
      <c r="GV200" s="6"/>
      <c r="GW200" s="6"/>
      <c r="GX200" s="6"/>
      <c r="GY200" s="5" t="str">
        <f t="shared" si="611"/>
        <v>NO APLICA</v>
      </c>
      <c r="GZ200" s="6"/>
      <c r="HA200" s="6"/>
      <c r="HB200" s="6"/>
      <c r="HC200" s="6"/>
      <c r="HD200" s="5" t="str">
        <f t="shared" si="612"/>
        <v>NO APLICA</v>
      </c>
      <c r="HE200" s="6"/>
      <c r="HF200" s="6"/>
      <c r="HG200" s="4"/>
      <c r="HH200" s="8"/>
      <c r="HI200" s="5" t="str">
        <f t="shared" si="698"/>
        <v>NO APLICA</v>
      </c>
      <c r="HJ200" s="6"/>
      <c r="HK200" s="6"/>
      <c r="HL200" s="6"/>
      <c r="HM200" s="6"/>
      <c r="HN200" s="5" t="str">
        <f t="shared" si="694"/>
        <v>NO APLICA</v>
      </c>
      <c r="HO200" s="6"/>
      <c r="HP200" s="6"/>
      <c r="HQ200" s="6"/>
      <c r="HR200" s="6"/>
      <c r="HS200" s="5" t="str">
        <f t="shared" si="732"/>
        <v>NO APLICA</v>
      </c>
      <c r="HT200" s="6"/>
      <c r="HU200" s="6"/>
      <c r="HV200" s="6"/>
      <c r="HW200" s="6"/>
      <c r="HX200" s="5" t="str">
        <f t="shared" si="733"/>
        <v>NO APLICA</v>
      </c>
      <c r="HY200" s="6"/>
      <c r="HZ200" s="6"/>
      <c r="IA200" s="6"/>
      <c r="IB200" s="6"/>
      <c r="IC200" s="5" t="str">
        <f t="shared" si="734"/>
        <v>NO APLICA</v>
      </c>
      <c r="ID200" s="6"/>
      <c r="IE200" s="6"/>
      <c r="IF200" s="6"/>
      <c r="IG200" s="6"/>
      <c r="IH200" s="5" t="str">
        <f t="shared" si="735"/>
        <v>NO APLICA</v>
      </c>
      <c r="II200" s="6"/>
      <c r="IJ200" s="6"/>
      <c r="IK200" s="6"/>
      <c r="IL200" s="6"/>
      <c r="IM200" s="5" t="str">
        <f t="shared" si="736"/>
        <v>NO APLICA</v>
      </c>
      <c r="IN200" s="6"/>
      <c r="IO200" s="6"/>
      <c r="IP200" s="6"/>
      <c r="IQ200" s="6"/>
      <c r="IR200" s="5" t="str">
        <f t="shared" si="737"/>
        <v>NO APLICA</v>
      </c>
      <c r="IS200" s="6"/>
      <c r="IT200" s="6"/>
      <c r="IU200" s="6"/>
      <c r="IV200" s="6"/>
      <c r="IW200" s="5" t="str">
        <f t="shared" si="738"/>
        <v>NO APLICA</v>
      </c>
      <c r="IX200" s="6"/>
      <c r="IY200" s="6"/>
      <c r="IZ200" s="6"/>
      <c r="JA200" s="6"/>
      <c r="JB200" s="5" t="str">
        <f t="shared" si="739"/>
        <v>NO APLICA</v>
      </c>
      <c r="JC200" s="3" t="s">
        <v>780</v>
      </c>
      <c r="JD200" s="6"/>
      <c r="JE200" s="6"/>
      <c r="JF200" s="6"/>
      <c r="JG200" s="5"/>
      <c r="JH200" s="3" t="s">
        <v>780</v>
      </c>
      <c r="JI200" s="6"/>
      <c r="JJ200" s="6"/>
      <c r="JK200" s="6"/>
      <c r="JL200" s="5"/>
      <c r="JM200" s="6" t="s">
        <v>780</v>
      </c>
      <c r="JN200" s="6"/>
      <c r="JO200" s="6"/>
      <c r="JP200" s="6"/>
      <c r="JQ200" s="5"/>
      <c r="JR200" s="6" t="s">
        <v>780</v>
      </c>
      <c r="JS200" s="6"/>
      <c r="JT200" s="6"/>
      <c r="JU200" s="6"/>
      <c r="JV200" s="5"/>
      <c r="JW200" s="6" t="s">
        <v>780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40"/>
        <v>NO APLICA</v>
      </c>
      <c r="KG200" s="5"/>
      <c r="KH200" s="6"/>
      <c r="KI200" s="6"/>
      <c r="KJ200" s="6"/>
      <c r="KK200" s="5" t="str">
        <f t="shared" si="760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7"/>
        <v>NO APLICA</v>
      </c>
      <c r="LA200" s="5"/>
      <c r="LB200" s="6"/>
      <c r="LC200" s="6"/>
      <c r="LD200" s="6"/>
      <c r="LE200" s="5" t="str">
        <f t="shared" si="762"/>
        <v>NO APLICA</v>
      </c>
      <c r="LF200" s="6"/>
      <c r="LG200" s="6"/>
      <c r="LH200" s="6"/>
      <c r="LI200" s="6"/>
      <c r="LJ200" s="5" t="str">
        <f t="shared" si="600"/>
        <v>NO APLICA</v>
      </c>
      <c r="LK200" s="5"/>
      <c r="LL200" s="5"/>
      <c r="LM200" s="4"/>
      <c r="LN200" s="8"/>
      <c r="LO200" s="5" t="str">
        <f t="shared" si="768"/>
        <v>NO APLICA</v>
      </c>
      <c r="LP200" s="6"/>
      <c r="LQ200" s="6"/>
      <c r="LR200" s="6"/>
      <c r="LS200" s="6"/>
      <c r="LT200" s="5" t="str">
        <f t="shared" si="763"/>
        <v>NO APLICA</v>
      </c>
      <c r="LU200" s="6"/>
      <c r="LV200" s="6"/>
      <c r="LW200" s="6"/>
      <c r="LX200" s="6"/>
      <c r="LY200" s="5" t="str">
        <f t="shared" si="764"/>
        <v>NO APLICA</v>
      </c>
      <c r="LZ200" s="6"/>
      <c r="MA200" s="6"/>
      <c r="MB200" s="6"/>
      <c r="MC200" s="6"/>
      <c r="MD200" s="5" t="str">
        <f t="shared" si="765"/>
        <v>NO APLICA</v>
      </c>
      <c r="ME200" s="6"/>
      <c r="MF200" s="6"/>
      <c r="MG200" s="6"/>
      <c r="MH200" s="6"/>
      <c r="MI200" s="5" t="str">
        <f t="shared" si="742"/>
        <v>NO APLICA</v>
      </c>
      <c r="MJ200" s="6"/>
      <c r="MK200" s="6"/>
      <c r="ML200" s="6"/>
      <c r="MM200" s="6"/>
      <c r="MN200" s="5" t="str">
        <f t="shared" si="743"/>
        <v>NO APLICA</v>
      </c>
      <c r="MO200" s="5"/>
      <c r="MP200" s="6"/>
      <c r="MQ200" s="6"/>
      <c r="MR200" s="6"/>
      <c r="MS200" s="5" t="str">
        <f t="shared" si="744"/>
        <v>NO APLICA</v>
      </c>
      <c r="MT200" s="5"/>
      <c r="MU200" s="6"/>
      <c r="MV200" s="6"/>
      <c r="MW200" s="6"/>
      <c r="MX200" s="5" t="str">
        <f t="shared" si="745"/>
        <v>NO APLICA</v>
      </c>
      <c r="MY200" s="6"/>
      <c r="MZ200" s="6"/>
      <c r="NA200" s="6"/>
      <c r="NB200" s="6"/>
      <c r="NC200" s="5" t="str">
        <f t="shared" si="746"/>
        <v>NO APLICA</v>
      </c>
      <c r="ND200" s="6"/>
      <c r="NE200" s="6"/>
      <c r="NF200" s="6"/>
      <c r="NG200" s="6"/>
      <c r="NH200" s="5" t="str">
        <f t="shared" si="747"/>
        <v>NO APLICA</v>
      </c>
      <c r="NI200" s="6"/>
      <c r="NJ200" s="6"/>
      <c r="NK200" s="6"/>
      <c r="NL200" s="6"/>
      <c r="NM200" s="5" t="str">
        <f t="shared" si="748"/>
        <v>NO APLICA</v>
      </c>
      <c r="NN200" s="6"/>
      <c r="NO200" s="6"/>
      <c r="NP200" s="6"/>
      <c r="NQ200" s="6"/>
      <c r="NR200" s="5" t="str">
        <f t="shared" si="749"/>
        <v>NO APLICA</v>
      </c>
      <c r="NS200" s="6"/>
      <c r="NT200" s="6"/>
      <c r="NU200" s="6"/>
      <c r="NV200" s="6"/>
      <c r="NW200" s="5" t="str">
        <f t="shared" si="750"/>
        <v>NO APLICA</v>
      </c>
      <c r="NX200" s="6"/>
      <c r="NY200" s="6"/>
      <c r="NZ200" s="6"/>
      <c r="OA200" s="6"/>
      <c r="OB200" s="5" t="str">
        <f t="shared" si="751"/>
        <v>NO APLICA</v>
      </c>
      <c r="OC200" s="6"/>
      <c r="OD200" s="6"/>
      <c r="OE200" s="6"/>
      <c r="OF200" s="6"/>
      <c r="OG200" s="5" t="str">
        <f t="shared" si="752"/>
        <v>NO APLICA</v>
      </c>
      <c r="OH200" s="6"/>
      <c r="OI200" s="6"/>
      <c r="OJ200" s="6"/>
      <c r="OK200" s="6"/>
      <c r="OL200" s="5" t="str">
        <f t="shared" si="753"/>
        <v>NO APLICA</v>
      </c>
      <c r="OM200" s="6"/>
      <c r="ON200" s="6"/>
      <c r="OO200" s="6"/>
      <c r="OP200" s="6"/>
      <c r="OQ200" s="5" t="str">
        <f t="shared" si="754"/>
        <v>NO APLICA</v>
      </c>
      <c r="OR200" s="6"/>
      <c r="OS200" s="6"/>
      <c r="OT200" s="6"/>
      <c r="OU200" s="6"/>
      <c r="OV200" s="5" t="str">
        <f t="shared" si="755"/>
        <v>NO APLICA</v>
      </c>
      <c r="OW200" s="6"/>
      <c r="OX200" s="6"/>
      <c r="OY200" s="6"/>
      <c r="OZ200" s="6"/>
      <c r="PA200" s="5" t="str">
        <f t="shared" si="769"/>
        <v>NO APLICA</v>
      </c>
      <c r="PB200" s="6"/>
      <c r="PC200" s="6"/>
      <c r="PD200" s="6"/>
      <c r="PE200" s="6"/>
      <c r="PF200" s="5" t="str">
        <f t="shared" si="756"/>
        <v>NO APLICA</v>
      </c>
      <c r="PG200" s="6"/>
      <c r="PH200" s="6"/>
      <c r="PI200" s="6"/>
      <c r="PJ200" s="6"/>
      <c r="PK200" s="5" t="str">
        <f t="shared" si="757"/>
        <v>NO APLICA</v>
      </c>
      <c r="PL200" s="5"/>
      <c r="PM200" s="6"/>
      <c r="PN200" s="6"/>
      <c r="PO200" s="6"/>
      <c r="PP200" s="5" t="str">
        <f t="shared" si="766"/>
        <v>NO APLICA</v>
      </c>
      <c r="PQ200" s="6"/>
      <c r="PR200" s="6"/>
      <c r="PS200" s="6"/>
      <c r="PT200" s="6"/>
      <c r="PU200" s="5" t="str">
        <f t="shared" si="758"/>
        <v>NO APLICA</v>
      </c>
      <c r="PV200" s="5"/>
      <c r="PW200" s="6"/>
      <c r="PX200" s="6"/>
      <c r="PY200" s="6"/>
      <c r="PZ200" s="5" t="str">
        <f t="shared" si="759"/>
        <v>NO APLICA</v>
      </c>
    </row>
    <row r="201" spans="1:442" ht="15.6" hidden="1" thickTop="1" thickBot="1" x14ac:dyDescent="0.35">
      <c r="A201" s="26">
        <v>198</v>
      </c>
      <c r="B201" s="31">
        <v>1734</v>
      </c>
      <c r="C201" s="28" t="s">
        <v>620</v>
      </c>
      <c r="D201" s="29" t="s">
        <v>621</v>
      </c>
      <c r="E201" s="30" t="s">
        <v>622</v>
      </c>
      <c r="F201" s="3"/>
      <c r="G201" s="4"/>
      <c r="H201" s="4"/>
      <c r="I201" s="8"/>
      <c r="J201" s="5" t="str">
        <f t="shared" si="696"/>
        <v>NO APLICA</v>
      </c>
      <c r="K201" s="2"/>
      <c r="L201" s="2"/>
      <c r="M201" s="2"/>
      <c r="N201" s="2"/>
      <c r="O201" s="5" t="str">
        <f t="shared" si="699"/>
        <v>NO APLICA</v>
      </c>
      <c r="P201" s="6"/>
      <c r="Q201" s="6"/>
      <c r="R201" s="4"/>
      <c r="S201" s="8"/>
      <c r="T201" s="5" t="str">
        <f t="shared" si="697"/>
        <v>NO APLICA</v>
      </c>
      <c r="U201" s="5"/>
      <c r="V201" s="2"/>
      <c r="W201" s="4"/>
      <c r="X201" s="4"/>
      <c r="Y201" s="8"/>
      <c r="Z201" s="5" t="str">
        <f t="shared" si="605"/>
        <v>NO APLICA</v>
      </c>
      <c r="AA201" s="5"/>
      <c r="AB201" s="2"/>
      <c r="AC201" s="6"/>
      <c r="AD201" s="4"/>
      <c r="AE201" s="8"/>
      <c r="AF201" s="5" t="str">
        <f t="shared" si="700"/>
        <v>NO APLICA</v>
      </c>
      <c r="AG201" s="2"/>
      <c r="AH201" s="4"/>
      <c r="AI201" s="4"/>
      <c r="AJ201" s="8"/>
      <c r="AK201" s="5" t="str">
        <f t="shared" si="602"/>
        <v>NO APLICA</v>
      </c>
      <c r="AL201" s="2"/>
      <c r="AM201" s="4"/>
      <c r="AN201" s="4"/>
      <c r="AO201" s="8"/>
      <c r="AP201" s="5" t="str">
        <f t="shared" si="701"/>
        <v>NO APLICA</v>
      </c>
      <c r="AQ201" s="2"/>
      <c r="AR201" s="4"/>
      <c r="AS201" s="4"/>
      <c r="AT201" s="8"/>
      <c r="AU201" s="5" t="str">
        <f t="shared" si="702"/>
        <v>NO APLICA</v>
      </c>
      <c r="AV201" s="2"/>
      <c r="AW201" s="4"/>
      <c r="AX201" s="4"/>
      <c r="AY201" s="8"/>
      <c r="AZ201" s="5" t="str">
        <f t="shared" si="703"/>
        <v>NO APLICA</v>
      </c>
      <c r="BA201" s="3"/>
      <c r="BB201" s="4"/>
      <c r="BC201" s="4"/>
      <c r="BD201" s="8"/>
      <c r="BE201" s="5" t="str">
        <f t="shared" si="704"/>
        <v>NO APLICA</v>
      </c>
      <c r="BF201" s="2"/>
      <c r="BG201" s="4"/>
      <c r="BH201" s="4"/>
      <c r="BI201" s="8"/>
      <c r="BJ201" s="5" t="str">
        <f t="shared" si="705"/>
        <v>NO APLICA</v>
      </c>
      <c r="BK201" s="3"/>
      <c r="BL201" s="4"/>
      <c r="BM201" s="4"/>
      <c r="BN201" s="8"/>
      <c r="BO201" s="5" t="str">
        <f t="shared" si="706"/>
        <v>NO APLICA</v>
      </c>
      <c r="BP201" s="3"/>
      <c r="BQ201" s="39"/>
      <c r="BR201" s="4"/>
      <c r="BS201" s="8"/>
      <c r="BT201" s="5" t="str">
        <f t="shared" si="707"/>
        <v>NO APLICA</v>
      </c>
      <c r="BU201" s="2"/>
      <c r="BV201" s="4"/>
      <c r="BW201" s="4"/>
      <c r="BX201" s="8"/>
      <c r="BY201" s="5" t="str">
        <f t="shared" si="708"/>
        <v>NO APLICA</v>
      </c>
      <c r="BZ201" s="2"/>
      <c r="CA201" s="4"/>
      <c r="CB201" s="4"/>
      <c r="CC201" s="8"/>
      <c r="CD201" s="5" t="str">
        <f t="shared" si="709"/>
        <v>NO APLICA</v>
      </c>
      <c r="CE201" s="6"/>
      <c r="CF201" s="4"/>
      <c r="CG201" s="4"/>
      <c r="CH201" s="8"/>
      <c r="CI201" s="5" t="str">
        <f t="shared" si="573"/>
        <v>NO APLICA</v>
      </c>
      <c r="CJ201" s="6"/>
      <c r="CK201" s="4"/>
      <c r="CL201" s="4"/>
      <c r="CM201" s="8"/>
      <c r="CN201" s="5" t="str">
        <f t="shared" si="710"/>
        <v>NO APLICA</v>
      </c>
      <c r="CO201" s="2"/>
      <c r="CP201" s="39"/>
      <c r="CQ201" s="4"/>
      <c r="CR201" s="8"/>
      <c r="CS201" s="5" t="str">
        <f t="shared" si="711"/>
        <v>NO APLICA</v>
      </c>
      <c r="CT201" s="2"/>
      <c r="CU201" s="4"/>
      <c r="CV201" s="4"/>
      <c r="CW201" s="8"/>
      <c r="CX201" s="5" t="str">
        <f t="shared" si="712"/>
        <v>NO APLICA</v>
      </c>
      <c r="CY201" s="3"/>
      <c r="CZ201" s="4"/>
      <c r="DA201" s="4"/>
      <c r="DB201" s="8"/>
      <c r="DC201" s="5" t="str">
        <f t="shared" si="713"/>
        <v>NO APLICA</v>
      </c>
      <c r="DD201" s="3"/>
      <c r="DE201" s="39"/>
      <c r="DF201" s="4"/>
      <c r="DG201" s="8"/>
      <c r="DH201" s="5" t="str">
        <f t="shared" si="714"/>
        <v>NO APLICA</v>
      </c>
      <c r="DI201" s="2"/>
      <c r="DJ201" s="39"/>
      <c r="DK201" s="4"/>
      <c r="DL201" s="8"/>
      <c r="DM201" s="5" t="str">
        <f t="shared" si="715"/>
        <v>NO APLICA</v>
      </c>
      <c r="DN201" s="3"/>
      <c r="DO201" s="4"/>
      <c r="DP201" s="4"/>
      <c r="DQ201" s="8"/>
      <c r="DR201" s="5" t="str">
        <f t="shared" si="716"/>
        <v>NO APLICA</v>
      </c>
      <c r="DS201" s="2"/>
      <c r="DT201" s="4"/>
      <c r="DU201" s="4"/>
      <c r="DV201" s="8"/>
      <c r="DW201" s="5" t="str">
        <f t="shared" si="717"/>
        <v>NO APLICA</v>
      </c>
      <c r="DX201" s="3"/>
      <c r="DY201" s="4"/>
      <c r="DZ201" s="4"/>
      <c r="EA201" s="8"/>
      <c r="EB201" s="5" t="str">
        <f t="shared" si="718"/>
        <v>NO APLICA</v>
      </c>
      <c r="EC201" s="3"/>
      <c r="ED201" s="39"/>
      <c r="EE201" s="4"/>
      <c r="EF201" s="8"/>
      <c r="EG201" s="5" t="str">
        <f t="shared" si="719"/>
        <v>NO APLICA</v>
      </c>
      <c r="EH201" s="2"/>
      <c r="EI201" s="4"/>
      <c r="EJ201" s="4"/>
      <c r="EK201" s="8"/>
      <c r="EL201" s="5" t="str">
        <f t="shared" si="720"/>
        <v>NO APLICA</v>
      </c>
      <c r="EM201" s="3"/>
      <c r="EN201" s="4"/>
      <c r="EO201" s="4"/>
      <c r="EP201" s="8"/>
      <c r="EQ201" s="5" t="str">
        <f t="shared" si="721"/>
        <v>NO APLICA</v>
      </c>
      <c r="ER201" s="2"/>
      <c r="ES201" s="39"/>
      <c r="ET201" s="4"/>
      <c r="EU201" s="8"/>
      <c r="EV201" s="5" t="str">
        <f t="shared" si="722"/>
        <v>NO APLICA</v>
      </c>
      <c r="EW201" s="2"/>
      <c r="EX201" s="4"/>
      <c r="EY201" s="4"/>
      <c r="EZ201" s="8"/>
      <c r="FA201" s="5" t="str">
        <f t="shared" si="723"/>
        <v>NO APLICA</v>
      </c>
      <c r="FB201" s="2"/>
      <c r="FC201" s="4"/>
      <c r="FD201" s="4"/>
      <c r="FE201" s="8"/>
      <c r="FF201" s="5" t="str">
        <f t="shared" si="724"/>
        <v>NO APLICA</v>
      </c>
      <c r="FG201" s="2"/>
      <c r="FH201" s="4"/>
      <c r="FI201" s="4"/>
      <c r="FJ201" s="8"/>
      <c r="FK201" s="5" t="str">
        <f t="shared" si="725"/>
        <v>NO APLICA</v>
      </c>
      <c r="FL201" s="3"/>
      <c r="FM201" s="39"/>
      <c r="FN201" s="4"/>
      <c r="FO201" s="8"/>
      <c r="FP201" s="5" t="str">
        <f t="shared" si="726"/>
        <v>NO APLICA</v>
      </c>
      <c r="FQ201" s="3"/>
      <c r="FR201" s="39"/>
      <c r="FS201" s="4"/>
      <c r="FT201" s="8"/>
      <c r="FU201" s="5" t="str">
        <f t="shared" si="727"/>
        <v>NO APLICA</v>
      </c>
      <c r="FV201" s="3"/>
      <c r="FW201" s="4"/>
      <c r="FX201" s="4"/>
      <c r="FY201" s="8"/>
      <c r="FZ201" s="5" t="str">
        <f t="shared" si="728"/>
        <v>NO APLICA</v>
      </c>
      <c r="GA201" s="3"/>
      <c r="GB201" s="4"/>
      <c r="GC201" s="4"/>
      <c r="GD201" s="8"/>
      <c r="GE201" s="5" t="str">
        <f t="shared" si="729"/>
        <v>NO APLICA</v>
      </c>
      <c r="GF201" s="3"/>
      <c r="GG201" s="4"/>
      <c r="GH201" s="4"/>
      <c r="GI201" s="8"/>
      <c r="GJ201" s="5" t="str">
        <f t="shared" si="730"/>
        <v>NO APLICA</v>
      </c>
      <c r="GK201" s="3"/>
      <c r="GL201" s="4"/>
      <c r="GM201" s="4"/>
      <c r="GN201" s="8"/>
      <c r="GO201" s="5" t="str">
        <f t="shared" si="731"/>
        <v>NO APLICA</v>
      </c>
      <c r="GP201" s="4"/>
      <c r="GQ201" s="4"/>
      <c r="GR201" s="4"/>
      <c r="GS201" s="8"/>
      <c r="GT201" s="5" t="str">
        <f t="shared" si="610"/>
        <v>NO APLICA</v>
      </c>
      <c r="GU201" s="3"/>
      <c r="GV201" s="4"/>
      <c r="GW201" s="4"/>
      <c r="GX201" s="8"/>
      <c r="GY201" s="5" t="str">
        <f t="shared" si="611"/>
        <v>NO APLICA</v>
      </c>
      <c r="GZ201" s="2"/>
      <c r="HA201" s="4"/>
      <c r="HB201" s="4"/>
      <c r="HC201" s="8"/>
      <c r="HD201" s="5" t="str">
        <f t="shared" si="612"/>
        <v>NO APLICA</v>
      </c>
      <c r="HE201" s="6"/>
      <c r="HF201" s="6"/>
      <c r="HG201" s="4"/>
      <c r="HH201" s="8"/>
      <c r="HI201" s="5" t="str">
        <f t="shared" si="698"/>
        <v>NO APLICA</v>
      </c>
      <c r="HJ201" s="2"/>
      <c r="HK201" s="6"/>
      <c r="HL201" s="4"/>
      <c r="HM201" s="8"/>
      <c r="HN201" s="5" t="str">
        <f t="shared" si="694"/>
        <v>NO APLICA</v>
      </c>
      <c r="HO201" s="2"/>
      <c r="HP201" s="2"/>
      <c r="HQ201" s="4"/>
      <c r="HR201" s="2"/>
      <c r="HS201" s="5" t="str">
        <f t="shared" si="732"/>
        <v>NO APLICA</v>
      </c>
      <c r="HT201" s="2"/>
      <c r="HU201" s="6"/>
      <c r="HV201" s="4"/>
      <c r="HW201" s="8"/>
      <c r="HX201" s="5" t="str">
        <f t="shared" si="733"/>
        <v>NO APLICA</v>
      </c>
      <c r="HY201" s="2"/>
      <c r="HZ201" s="6"/>
      <c r="IA201" s="4"/>
      <c r="IB201" s="8"/>
      <c r="IC201" s="5" t="str">
        <f t="shared" si="734"/>
        <v>NO APLICA</v>
      </c>
      <c r="ID201" s="2"/>
      <c r="IE201" s="6"/>
      <c r="IF201" s="4"/>
      <c r="IG201" s="8"/>
      <c r="IH201" s="5" t="str">
        <f t="shared" si="735"/>
        <v>NO APLICA</v>
      </c>
      <c r="II201" s="6"/>
      <c r="IJ201" s="6"/>
      <c r="IK201" s="4"/>
      <c r="IL201" s="8"/>
      <c r="IM201" s="5" t="str">
        <f t="shared" si="736"/>
        <v>NO APLICA</v>
      </c>
      <c r="IN201" s="2"/>
      <c r="IO201" s="6"/>
      <c r="IP201" s="4"/>
      <c r="IQ201" s="8"/>
      <c r="IR201" s="5" t="str">
        <f t="shared" si="737"/>
        <v>NO APLICA</v>
      </c>
      <c r="IS201" s="2"/>
      <c r="IT201" s="6"/>
      <c r="IU201" s="4"/>
      <c r="IV201" s="8"/>
      <c r="IW201" s="5" t="str">
        <f t="shared" si="738"/>
        <v>NO APLICA</v>
      </c>
      <c r="IX201" s="2"/>
      <c r="IY201" s="6"/>
      <c r="IZ201" s="4"/>
      <c r="JA201" s="8"/>
      <c r="JB201" s="5" t="str">
        <f t="shared" si="739"/>
        <v>NO APLICA</v>
      </c>
      <c r="JC201" s="3" t="s">
        <v>780</v>
      </c>
      <c r="JD201" s="3"/>
      <c r="JE201" s="4"/>
      <c r="JF201" s="8"/>
      <c r="JG201" s="5"/>
      <c r="JH201" s="3" t="s">
        <v>780</v>
      </c>
      <c r="JI201" s="6"/>
      <c r="JJ201" s="6"/>
      <c r="JK201" s="6"/>
      <c r="JL201" s="5"/>
      <c r="JM201" s="6" t="s">
        <v>780</v>
      </c>
      <c r="JN201" s="6"/>
      <c r="JO201" s="6"/>
      <c r="JP201" s="6"/>
      <c r="JQ201" s="5"/>
      <c r="JR201" s="6" t="s">
        <v>780</v>
      </c>
      <c r="JS201" s="6"/>
      <c r="JT201" s="6"/>
      <c r="JU201" s="6"/>
      <c r="JV201" s="5"/>
      <c r="JW201" s="6" t="s">
        <v>780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40"/>
        <v>NO APLICA</v>
      </c>
      <c r="KG201" s="5"/>
      <c r="KH201" s="2"/>
      <c r="KI201" s="4"/>
      <c r="KJ201" s="8"/>
      <c r="KK201" s="5" t="str">
        <f t="shared" si="760"/>
        <v>NO APLICA</v>
      </c>
      <c r="KL201" s="5"/>
      <c r="KM201" s="2"/>
      <c r="KN201" s="4"/>
      <c r="KO201" s="8"/>
      <c r="KP201" s="5" t="str">
        <f t="shared" si="741"/>
        <v>NO APLICA</v>
      </c>
      <c r="KQ201" s="5"/>
      <c r="KR201" s="2"/>
      <c r="KS201" s="4"/>
      <c r="KT201" s="8"/>
      <c r="KU201" s="5" t="str">
        <f t="shared" si="761"/>
        <v>NO APLICA</v>
      </c>
      <c r="KV201" s="2"/>
      <c r="KW201" s="6"/>
      <c r="KX201" s="4"/>
      <c r="KY201" s="8"/>
      <c r="KZ201" s="5" t="str">
        <f t="shared" si="767"/>
        <v>NO APLICA</v>
      </c>
      <c r="LA201" s="5"/>
      <c r="LB201" s="6"/>
      <c r="LC201" s="4"/>
      <c r="LD201" s="8"/>
      <c r="LE201" s="5" t="str">
        <f t="shared" si="762"/>
        <v>NO APLICA</v>
      </c>
      <c r="LF201" s="6"/>
      <c r="LG201" s="6"/>
      <c r="LH201" s="4"/>
      <c r="LI201" s="8"/>
      <c r="LJ201" s="5" t="str">
        <f t="shared" si="600"/>
        <v>NO APLICA</v>
      </c>
      <c r="LK201" s="5"/>
      <c r="LL201" s="5"/>
      <c r="LM201" s="4"/>
      <c r="LN201" s="8"/>
      <c r="LO201" s="5" t="str">
        <f t="shared" si="768"/>
        <v>NO APLICA</v>
      </c>
      <c r="LP201" s="2"/>
      <c r="LQ201" s="6"/>
      <c r="LR201" s="4"/>
      <c r="LS201" s="8"/>
      <c r="LT201" s="5" t="str">
        <f t="shared" si="763"/>
        <v>NO APLICA</v>
      </c>
      <c r="LU201" s="6"/>
      <c r="LV201" s="6"/>
      <c r="LW201" s="4"/>
      <c r="LX201" s="8"/>
      <c r="LY201" s="5" t="str">
        <f t="shared" si="764"/>
        <v>NO APLICA</v>
      </c>
      <c r="LZ201" s="6"/>
      <c r="MA201" s="6"/>
      <c r="MB201" s="4"/>
      <c r="MC201" s="8"/>
      <c r="MD201" s="5" t="str">
        <f t="shared" si="765"/>
        <v>NO APLICA</v>
      </c>
      <c r="ME201" s="2"/>
      <c r="MF201" s="2"/>
      <c r="MG201" s="4"/>
      <c r="MH201" s="8"/>
      <c r="MI201" s="5" t="str">
        <f t="shared" si="742"/>
        <v>NO APLICA</v>
      </c>
      <c r="MJ201" s="2"/>
      <c r="MK201" s="2"/>
      <c r="ML201" s="4"/>
      <c r="MM201" s="8"/>
      <c r="MN201" s="5" t="str">
        <f t="shared" si="743"/>
        <v>NO APLICA</v>
      </c>
      <c r="MO201" s="5"/>
      <c r="MP201" s="2"/>
      <c r="MQ201" s="4"/>
      <c r="MR201" s="8"/>
      <c r="MS201" s="5" t="str">
        <f t="shared" si="744"/>
        <v>NO APLICA</v>
      </c>
      <c r="MT201" s="5"/>
      <c r="MU201" s="2"/>
      <c r="MV201" s="4"/>
      <c r="MW201" s="2"/>
      <c r="MX201" s="5" t="str">
        <f t="shared" si="745"/>
        <v>NO APLICA</v>
      </c>
      <c r="MY201" s="2"/>
      <c r="MZ201" s="6"/>
      <c r="NA201" s="4"/>
      <c r="NB201" s="8"/>
      <c r="NC201" s="5" t="str">
        <f t="shared" si="746"/>
        <v>NO APLICA</v>
      </c>
      <c r="ND201" s="2"/>
      <c r="NE201" s="6"/>
      <c r="NF201" s="4"/>
      <c r="NG201" s="8"/>
      <c r="NH201" s="5" t="str">
        <f t="shared" si="747"/>
        <v>NO APLICA</v>
      </c>
      <c r="NI201" s="2"/>
      <c r="NJ201" s="6"/>
      <c r="NK201" s="4"/>
      <c r="NL201" s="8"/>
      <c r="NM201" s="5" t="str">
        <f t="shared" si="748"/>
        <v>NO APLICA</v>
      </c>
      <c r="NN201" s="2"/>
      <c r="NO201" s="2"/>
      <c r="NP201" s="4"/>
      <c r="NQ201" s="8"/>
      <c r="NR201" s="5" t="str">
        <f t="shared" si="749"/>
        <v>NO APLICA</v>
      </c>
      <c r="NS201" s="2"/>
      <c r="NT201" s="2"/>
      <c r="NU201" s="4"/>
      <c r="NV201" s="2"/>
      <c r="NW201" s="5" t="str">
        <f t="shared" si="750"/>
        <v>NO APLICA</v>
      </c>
      <c r="NX201" s="6"/>
      <c r="NY201" s="6"/>
      <c r="NZ201" s="4"/>
      <c r="OA201" s="8"/>
      <c r="OB201" s="5" t="str">
        <f t="shared" si="751"/>
        <v>NO APLICA</v>
      </c>
      <c r="OC201" s="6"/>
      <c r="OD201" s="6"/>
      <c r="OE201" s="6"/>
      <c r="OF201" s="6"/>
      <c r="OG201" s="5" t="str">
        <f t="shared" si="752"/>
        <v>NO APLICA</v>
      </c>
      <c r="OH201" s="6"/>
      <c r="OI201" s="6"/>
      <c r="OJ201" s="4"/>
      <c r="OK201" s="8"/>
      <c r="OL201" s="5" t="str">
        <f t="shared" si="753"/>
        <v>NO APLICA</v>
      </c>
      <c r="OM201" s="6"/>
      <c r="ON201" s="6"/>
      <c r="OO201" s="6"/>
      <c r="OP201" s="6"/>
      <c r="OQ201" s="5" t="str">
        <f t="shared" si="754"/>
        <v>NO APLICA</v>
      </c>
      <c r="OR201" s="6"/>
      <c r="OS201" s="6"/>
      <c r="OT201" s="6"/>
      <c r="OU201" s="6"/>
      <c r="OV201" s="5" t="str">
        <f t="shared" si="755"/>
        <v>NO APLICA</v>
      </c>
      <c r="OW201" s="6"/>
      <c r="OX201" s="6"/>
      <c r="OY201" s="6"/>
      <c r="OZ201" s="6"/>
      <c r="PA201" s="5" t="str">
        <f t="shared" si="769"/>
        <v>NO APLICA</v>
      </c>
      <c r="PB201" s="6"/>
      <c r="PC201" s="6"/>
      <c r="PD201" s="6"/>
      <c r="PE201" s="6"/>
      <c r="PF201" s="5" t="str">
        <f t="shared" si="756"/>
        <v>NO APLICA</v>
      </c>
      <c r="PG201" s="6"/>
      <c r="PH201" s="6"/>
      <c r="PI201" s="6"/>
      <c r="PJ201" s="6"/>
      <c r="PK201" s="5" t="str">
        <f t="shared" si="757"/>
        <v>NO APLICA</v>
      </c>
      <c r="PL201" s="5"/>
      <c r="PM201" s="6"/>
      <c r="PN201" s="4"/>
      <c r="PO201" s="8"/>
      <c r="PP201" s="5" t="str">
        <f t="shared" si="766"/>
        <v>NO APLICA</v>
      </c>
      <c r="PQ201" s="6"/>
      <c r="PR201" s="6"/>
      <c r="PS201" s="6"/>
      <c r="PT201" s="6"/>
      <c r="PU201" s="5" t="str">
        <f t="shared" si="758"/>
        <v>NO APLICA</v>
      </c>
      <c r="PV201" s="5"/>
      <c r="PW201" s="6"/>
      <c r="PX201" s="6"/>
      <c r="PY201" s="6"/>
      <c r="PZ201" s="5" t="str">
        <f t="shared" si="759"/>
        <v>NO APLICA</v>
      </c>
    </row>
    <row r="202" spans="1:442" ht="15.6" hidden="1" thickTop="1" thickBot="1" x14ac:dyDescent="0.35">
      <c r="A202" s="26">
        <v>199</v>
      </c>
      <c r="B202" s="31">
        <v>1231</v>
      </c>
      <c r="C202" s="28" t="s">
        <v>623</v>
      </c>
      <c r="D202" s="29" t="s">
        <v>68</v>
      </c>
      <c r="E202" s="30" t="s">
        <v>624</v>
      </c>
      <c r="F202" s="6"/>
      <c r="G202" s="6"/>
      <c r="H202" s="6"/>
      <c r="I202" s="6"/>
      <c r="J202" s="5" t="str">
        <f t="shared" si="696"/>
        <v>NO APLICA</v>
      </c>
      <c r="K202" s="6"/>
      <c r="L202" s="6"/>
      <c r="M202" s="6"/>
      <c r="N202" s="6"/>
      <c r="O202" s="5" t="str">
        <f t="shared" si="699"/>
        <v>NO APLICA</v>
      </c>
      <c r="P202" s="6"/>
      <c r="Q202" s="6"/>
      <c r="R202" s="6"/>
      <c r="S202" s="6"/>
      <c r="T202" s="5" t="str">
        <f t="shared" si="697"/>
        <v>NO APLICA</v>
      </c>
      <c r="U202" s="5"/>
      <c r="V202" s="6" t="s">
        <v>625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00"/>
        <v>NO APLICA</v>
      </c>
      <c r="AG202" s="4"/>
      <c r="AH202" s="4"/>
      <c r="AI202" s="4"/>
      <c r="AJ202" s="6"/>
      <c r="AK202" s="5" t="str">
        <f t="shared" si="602"/>
        <v>NO APLICA</v>
      </c>
      <c r="AL202" s="4"/>
      <c r="AM202" s="4"/>
      <c r="AN202" s="4"/>
      <c r="AO202" s="6"/>
      <c r="AP202" s="5" t="str">
        <f t="shared" si="701"/>
        <v>NO APLICA</v>
      </c>
      <c r="AQ202" s="4"/>
      <c r="AR202" s="4"/>
      <c r="AS202" s="4"/>
      <c r="AT202" s="6"/>
      <c r="AU202" s="5" t="str">
        <f t="shared" si="702"/>
        <v>NO APLICA</v>
      </c>
      <c r="AV202" s="4"/>
      <c r="AW202" s="4"/>
      <c r="AX202" s="4"/>
      <c r="AY202" s="6"/>
      <c r="AZ202" s="5" t="str">
        <f t="shared" si="703"/>
        <v>NO APLICA</v>
      </c>
      <c r="BA202" s="4"/>
      <c r="BB202" s="4"/>
      <c r="BC202" s="4"/>
      <c r="BD202" s="6"/>
      <c r="BE202" s="5" t="str">
        <f t="shared" si="704"/>
        <v>NO APLICA</v>
      </c>
      <c r="BF202" s="4"/>
      <c r="BG202" s="4"/>
      <c r="BH202" s="4"/>
      <c r="BI202" s="6"/>
      <c r="BJ202" s="5" t="str">
        <f t="shared" si="705"/>
        <v>NO APLICA</v>
      </c>
      <c r="BK202" s="4"/>
      <c r="BL202" s="4"/>
      <c r="BM202" s="4"/>
      <c r="BN202" s="6"/>
      <c r="BO202" s="5" t="str">
        <f t="shared" si="706"/>
        <v>NO APLICA</v>
      </c>
      <c r="BP202" s="4"/>
      <c r="BQ202" s="4"/>
      <c r="BR202" s="4"/>
      <c r="BS202" s="6"/>
      <c r="BT202" s="5" t="str">
        <f t="shared" si="707"/>
        <v>NO APLICA</v>
      </c>
      <c r="BU202" s="4"/>
      <c r="BV202" s="4"/>
      <c r="BW202" s="4"/>
      <c r="BX202" s="6"/>
      <c r="BY202" s="5" t="str">
        <f t="shared" si="708"/>
        <v>NO APLICA</v>
      </c>
      <c r="BZ202" s="4"/>
      <c r="CA202" s="4"/>
      <c r="CB202" s="4"/>
      <c r="CC202" s="6"/>
      <c r="CD202" s="5" t="str">
        <f t="shared" si="709"/>
        <v>NO APLICA</v>
      </c>
      <c r="CE202" s="6"/>
      <c r="CF202" s="6"/>
      <c r="CG202" s="6"/>
      <c r="CH202" s="6"/>
      <c r="CI202" s="5" t="str">
        <f t="shared" si="573"/>
        <v>NO APLICA</v>
      </c>
      <c r="CJ202" s="4"/>
      <c r="CK202" s="4"/>
      <c r="CL202" s="4"/>
      <c r="CM202" s="6"/>
      <c r="CN202" s="5" t="str">
        <f t="shared" si="710"/>
        <v>NO APLICA</v>
      </c>
      <c r="CO202" s="4"/>
      <c r="CP202" s="4"/>
      <c r="CQ202" s="4"/>
      <c r="CR202" s="6"/>
      <c r="CS202" s="5" t="str">
        <f t="shared" si="711"/>
        <v>NO APLICA</v>
      </c>
      <c r="CT202" s="4"/>
      <c r="CU202" s="4"/>
      <c r="CV202" s="4"/>
      <c r="CW202" s="6"/>
      <c r="CX202" s="5" t="str">
        <f t="shared" si="712"/>
        <v>NO APLICA</v>
      </c>
      <c r="CY202" s="4"/>
      <c r="CZ202" s="4"/>
      <c r="DA202" s="4"/>
      <c r="DB202" s="6"/>
      <c r="DC202" s="5" t="str">
        <f t="shared" si="713"/>
        <v>NO APLICA</v>
      </c>
      <c r="DD202" s="4"/>
      <c r="DE202" s="4"/>
      <c r="DF202" s="4"/>
      <c r="DG202" s="6"/>
      <c r="DH202" s="5" t="str">
        <f t="shared" si="714"/>
        <v>NO APLICA</v>
      </c>
      <c r="DI202" s="4"/>
      <c r="DJ202" s="4"/>
      <c r="DK202" s="4"/>
      <c r="DL202" s="6"/>
      <c r="DM202" s="5" t="str">
        <f t="shared" si="715"/>
        <v>NO APLICA</v>
      </c>
      <c r="DN202" s="4"/>
      <c r="DO202" s="4"/>
      <c r="DP202" s="4"/>
      <c r="DQ202" s="6"/>
      <c r="DR202" s="5" t="str">
        <f t="shared" si="716"/>
        <v>NO APLICA</v>
      </c>
      <c r="DS202" s="4"/>
      <c r="DT202" s="4"/>
      <c r="DU202" s="4"/>
      <c r="DV202" s="6"/>
      <c r="DW202" s="5" t="str">
        <f t="shared" si="717"/>
        <v>NO APLICA</v>
      </c>
      <c r="DX202" s="4"/>
      <c r="DY202" s="4"/>
      <c r="DZ202" s="4"/>
      <c r="EA202" s="6"/>
      <c r="EB202" s="5" t="str">
        <f t="shared" si="718"/>
        <v>NO APLICA</v>
      </c>
      <c r="EC202" s="4"/>
      <c r="ED202" s="4"/>
      <c r="EE202" s="4"/>
      <c r="EF202" s="6"/>
      <c r="EG202" s="5" t="str">
        <f t="shared" si="719"/>
        <v>NO APLICA</v>
      </c>
      <c r="EH202" s="4"/>
      <c r="EI202" s="4"/>
      <c r="EJ202" s="4"/>
      <c r="EK202" s="8"/>
      <c r="EL202" s="5" t="str">
        <f t="shared" si="720"/>
        <v>NO APLICA</v>
      </c>
      <c r="EM202" s="4"/>
      <c r="EN202" s="4"/>
      <c r="EO202" s="4"/>
      <c r="EP202" s="8"/>
      <c r="EQ202" s="5" t="str">
        <f t="shared" si="721"/>
        <v>NO APLICA</v>
      </c>
      <c r="ER202" s="4"/>
      <c r="ES202" s="4"/>
      <c r="ET202" s="4"/>
      <c r="EU202" s="8"/>
      <c r="EV202" s="5" t="str">
        <f t="shared" si="722"/>
        <v>NO APLICA</v>
      </c>
      <c r="EW202" s="4"/>
      <c r="EX202" s="4"/>
      <c r="EY202" s="4"/>
      <c r="EZ202" s="6"/>
      <c r="FA202" s="5" t="str">
        <f t="shared" si="723"/>
        <v>NO APLICA</v>
      </c>
      <c r="FB202" s="4"/>
      <c r="FC202" s="4"/>
      <c r="FD202" s="4"/>
      <c r="FE202" s="6"/>
      <c r="FF202" s="5" t="str">
        <f t="shared" si="724"/>
        <v>NO APLICA</v>
      </c>
      <c r="FG202" s="4"/>
      <c r="FH202" s="4"/>
      <c r="FI202" s="4"/>
      <c r="FJ202" s="6"/>
      <c r="FK202" s="5" t="str">
        <f t="shared" si="725"/>
        <v>NO APLICA</v>
      </c>
      <c r="FL202" s="4"/>
      <c r="FM202" s="4"/>
      <c r="FN202" s="4"/>
      <c r="FO202" s="6"/>
      <c r="FP202" s="5" t="str">
        <f t="shared" si="726"/>
        <v>NO APLICA</v>
      </c>
      <c r="FQ202" s="4"/>
      <c r="FR202" s="4"/>
      <c r="FS202" s="4"/>
      <c r="FT202" s="6"/>
      <c r="FU202" s="5" t="str">
        <f t="shared" si="727"/>
        <v>NO APLICA</v>
      </c>
      <c r="FV202" s="4"/>
      <c r="FW202" s="4"/>
      <c r="FX202" s="4"/>
      <c r="FY202" s="6"/>
      <c r="FZ202" s="5" t="str">
        <f t="shared" si="728"/>
        <v>NO APLICA</v>
      </c>
      <c r="GA202" s="4"/>
      <c r="GB202" s="4"/>
      <c r="GC202" s="4"/>
      <c r="GD202" s="6"/>
      <c r="GE202" s="5" t="str">
        <f t="shared" si="729"/>
        <v>NO APLICA</v>
      </c>
      <c r="GF202" s="4"/>
      <c r="GG202" s="4"/>
      <c r="GH202" s="4"/>
      <c r="GI202" s="8"/>
      <c r="GJ202" s="5" t="str">
        <f t="shared" si="730"/>
        <v>NO APLICA</v>
      </c>
      <c r="GK202" s="4"/>
      <c r="GL202" s="6"/>
      <c r="GM202" s="6"/>
      <c r="GN202" s="6"/>
      <c r="GO202" s="5" t="str">
        <f t="shared" si="731"/>
        <v>NO APLICA</v>
      </c>
      <c r="GP202" s="4"/>
      <c r="GQ202" s="6"/>
      <c r="GR202" s="6"/>
      <c r="GS202" s="6"/>
      <c r="GT202" s="5" t="str">
        <f t="shared" si="610"/>
        <v>NO APLICA</v>
      </c>
      <c r="GU202" s="4"/>
      <c r="GV202" s="6"/>
      <c r="GW202" s="6"/>
      <c r="GX202" s="6"/>
      <c r="GY202" s="5" t="str">
        <f t="shared" si="611"/>
        <v>NO APLICA</v>
      </c>
      <c r="GZ202" s="6"/>
      <c r="HA202" s="6"/>
      <c r="HB202" s="6"/>
      <c r="HC202" s="6"/>
      <c r="HD202" s="5" t="str">
        <f t="shared" si="612"/>
        <v>NO APLICA</v>
      </c>
      <c r="HE202" s="6"/>
      <c r="HF202" s="6"/>
      <c r="HG202" s="4"/>
      <c r="HH202" s="8"/>
      <c r="HI202" s="5" t="str">
        <f t="shared" si="698"/>
        <v>NO APLICA</v>
      </c>
      <c r="HJ202" s="6"/>
      <c r="HK202" s="6"/>
      <c r="HL202" s="6"/>
      <c r="HM202" s="6"/>
      <c r="HN202" s="5" t="str">
        <f t="shared" si="694"/>
        <v>NO APLICA</v>
      </c>
      <c r="HO202" s="6"/>
      <c r="HP202" s="6"/>
      <c r="HQ202" s="6"/>
      <c r="HR202" s="6"/>
      <c r="HS202" s="5" t="str">
        <f t="shared" si="732"/>
        <v>NO APLICA</v>
      </c>
      <c r="HT202" s="6"/>
      <c r="HU202" s="6"/>
      <c r="HV202" s="6"/>
      <c r="HW202" s="6"/>
      <c r="HX202" s="5" t="str">
        <f t="shared" si="733"/>
        <v>NO APLICA</v>
      </c>
      <c r="HY202" s="6"/>
      <c r="HZ202" s="6"/>
      <c r="IA202" s="6"/>
      <c r="IB202" s="6"/>
      <c r="IC202" s="5" t="str">
        <f t="shared" si="734"/>
        <v>NO APLICA</v>
      </c>
      <c r="ID202" s="6"/>
      <c r="IE202" s="6"/>
      <c r="IF202" s="6"/>
      <c r="IG202" s="6"/>
      <c r="IH202" s="5" t="str">
        <f t="shared" si="735"/>
        <v>NO APLICA</v>
      </c>
      <c r="II202" s="6"/>
      <c r="IJ202" s="6"/>
      <c r="IK202" s="6"/>
      <c r="IL202" s="6"/>
      <c r="IM202" s="5" t="str">
        <f t="shared" si="736"/>
        <v>NO APLICA</v>
      </c>
      <c r="IN202" s="6"/>
      <c r="IO202" s="6"/>
      <c r="IP202" s="6"/>
      <c r="IQ202" s="6"/>
      <c r="IR202" s="5" t="str">
        <f t="shared" si="737"/>
        <v>NO APLICA</v>
      </c>
      <c r="IS202" s="6"/>
      <c r="IT202" s="6"/>
      <c r="IU202" s="6"/>
      <c r="IV202" s="6"/>
      <c r="IW202" s="5" t="str">
        <f t="shared" si="738"/>
        <v>NO APLICA</v>
      </c>
      <c r="IX202" s="6"/>
      <c r="IY202" s="6"/>
      <c r="IZ202" s="6"/>
      <c r="JA202" s="6"/>
      <c r="JB202" s="5" t="str">
        <f t="shared" si="739"/>
        <v>NO APLICA</v>
      </c>
      <c r="JC202" s="3" t="s">
        <v>780</v>
      </c>
      <c r="JD202" s="6"/>
      <c r="JE202" s="6"/>
      <c r="JF202" s="6"/>
      <c r="JG202" s="5"/>
      <c r="JH202" s="3" t="s">
        <v>780</v>
      </c>
      <c r="JI202" s="6"/>
      <c r="JJ202" s="6"/>
      <c r="JK202" s="6"/>
      <c r="JL202" s="5"/>
      <c r="JM202" s="6" t="s">
        <v>780</v>
      </c>
      <c r="JN202" s="6"/>
      <c r="JO202" s="6"/>
      <c r="JP202" s="6"/>
      <c r="JQ202" s="5"/>
      <c r="JR202" s="6" t="s">
        <v>780</v>
      </c>
      <c r="JS202" s="6"/>
      <c r="JT202" s="6"/>
      <c r="JU202" s="6"/>
      <c r="JV202" s="5"/>
      <c r="JW202" s="6" t="s">
        <v>780</v>
      </c>
      <c r="JX202" s="5"/>
      <c r="JY202" s="5"/>
      <c r="JZ202" s="5"/>
      <c r="KA202" s="38"/>
      <c r="KB202" s="5"/>
      <c r="KC202" s="6"/>
      <c r="KD202" s="6"/>
      <c r="KE202" s="6"/>
      <c r="KF202" s="5" t="str">
        <f t="shared" si="740"/>
        <v>NO APLICA</v>
      </c>
      <c r="KG202" s="5"/>
      <c r="KH202" s="6"/>
      <c r="KI202" s="6"/>
      <c r="KJ202" s="6"/>
      <c r="KK202" s="5" t="str">
        <f t="shared" si="760"/>
        <v>NO APLICA</v>
      </c>
      <c r="KL202" s="5"/>
      <c r="KM202" s="6"/>
      <c r="KN202" s="6"/>
      <c r="KO202" s="6"/>
      <c r="KP202" s="5" t="str">
        <f t="shared" si="741"/>
        <v>NO APLICA</v>
      </c>
      <c r="KQ202" s="5"/>
      <c r="KR202" s="6"/>
      <c r="KS202" s="6"/>
      <c r="KT202" s="6"/>
      <c r="KU202" s="5" t="str">
        <f t="shared" si="761"/>
        <v>NO APLICA</v>
      </c>
      <c r="KV202" s="6"/>
      <c r="KW202" s="6"/>
      <c r="KX202" s="6"/>
      <c r="KY202" s="6"/>
      <c r="KZ202" s="5" t="str">
        <f t="shared" si="767"/>
        <v>NO APLICA</v>
      </c>
      <c r="LA202" s="5"/>
      <c r="LB202" s="6"/>
      <c r="LC202" s="6"/>
      <c r="LD202" s="6"/>
      <c r="LE202" s="5" t="str">
        <f t="shared" si="762"/>
        <v>NO APLICA</v>
      </c>
      <c r="LF202" s="6"/>
      <c r="LG202" s="6"/>
      <c r="LH202" s="6"/>
      <c r="LI202" s="6"/>
      <c r="LJ202" s="5" t="str">
        <f t="shared" si="600"/>
        <v>NO APLICA</v>
      </c>
      <c r="LK202" s="5"/>
      <c r="LL202" s="5"/>
      <c r="LM202" s="4"/>
      <c r="LN202" s="8"/>
      <c r="LO202" s="5" t="str">
        <f t="shared" si="768"/>
        <v>NO APLICA</v>
      </c>
      <c r="LP202" s="6"/>
      <c r="LQ202" s="6"/>
      <c r="LR202" s="6"/>
      <c r="LS202" s="6"/>
      <c r="LT202" s="5" t="str">
        <f t="shared" si="763"/>
        <v>NO APLICA</v>
      </c>
      <c r="LU202" s="6"/>
      <c r="LV202" s="6"/>
      <c r="LW202" s="6"/>
      <c r="LX202" s="6"/>
      <c r="LY202" s="5" t="str">
        <f t="shared" si="764"/>
        <v>NO APLICA</v>
      </c>
      <c r="LZ202" s="6"/>
      <c r="MA202" s="6"/>
      <c r="MB202" s="6"/>
      <c r="MC202" s="6"/>
      <c r="MD202" s="5" t="str">
        <f t="shared" si="765"/>
        <v>NO APLICA</v>
      </c>
      <c r="ME202" s="6"/>
      <c r="MF202" s="6"/>
      <c r="MG202" s="6"/>
      <c r="MH202" s="6"/>
      <c r="MI202" s="5" t="str">
        <f t="shared" si="742"/>
        <v>NO APLICA</v>
      </c>
      <c r="MJ202" s="6"/>
      <c r="MK202" s="6"/>
      <c r="ML202" s="6"/>
      <c r="MM202" s="6"/>
      <c r="MN202" s="5" t="str">
        <f t="shared" si="743"/>
        <v>NO APLICA</v>
      </c>
      <c r="MO202" s="5"/>
      <c r="MP202" s="6"/>
      <c r="MQ202" s="6"/>
      <c r="MR202" s="6"/>
      <c r="MS202" s="5" t="str">
        <f t="shared" si="744"/>
        <v>NO APLICA</v>
      </c>
      <c r="MT202" s="5"/>
      <c r="MU202" s="6"/>
      <c r="MV202" s="6"/>
      <c r="MW202" s="6"/>
      <c r="MX202" s="5" t="str">
        <f t="shared" si="745"/>
        <v>NO APLICA</v>
      </c>
      <c r="MY202" s="6"/>
      <c r="MZ202" s="6"/>
      <c r="NA202" s="6"/>
      <c r="NB202" s="6"/>
      <c r="NC202" s="5" t="str">
        <f t="shared" si="746"/>
        <v>NO APLICA</v>
      </c>
      <c r="ND202" s="6"/>
      <c r="NE202" s="6"/>
      <c r="NF202" s="6"/>
      <c r="NG202" s="6"/>
      <c r="NH202" s="5" t="str">
        <f t="shared" si="747"/>
        <v>NO APLICA</v>
      </c>
      <c r="NI202" s="6"/>
      <c r="NJ202" s="6"/>
      <c r="NK202" s="6"/>
      <c r="NL202" s="6"/>
      <c r="NM202" s="5" t="str">
        <f t="shared" si="748"/>
        <v>NO APLICA</v>
      </c>
      <c r="NN202" s="6"/>
      <c r="NO202" s="6"/>
      <c r="NP202" s="6"/>
      <c r="NQ202" s="6"/>
      <c r="NR202" s="5" t="str">
        <f t="shared" si="749"/>
        <v>NO APLICA</v>
      </c>
      <c r="NS202" s="6"/>
      <c r="NT202" s="6"/>
      <c r="NU202" s="6"/>
      <c r="NV202" s="6"/>
      <c r="NW202" s="5" t="str">
        <f t="shared" si="750"/>
        <v>NO APLICA</v>
      </c>
      <c r="NX202" s="6"/>
      <c r="NY202" s="6"/>
      <c r="NZ202" s="6"/>
      <c r="OA202" s="6"/>
      <c r="OB202" s="5" t="str">
        <f t="shared" si="751"/>
        <v>NO APLICA</v>
      </c>
      <c r="OC202" s="6"/>
      <c r="OD202" s="6"/>
      <c r="OE202" s="6"/>
      <c r="OF202" s="6"/>
      <c r="OG202" s="5" t="str">
        <f t="shared" si="752"/>
        <v>NO APLICA</v>
      </c>
      <c r="OH202" s="6"/>
      <c r="OI202" s="6"/>
      <c r="OJ202" s="6"/>
      <c r="OK202" s="6"/>
      <c r="OL202" s="5" t="str">
        <f t="shared" si="753"/>
        <v>NO APLICA</v>
      </c>
      <c r="OM202" s="6"/>
      <c r="ON202" s="6"/>
      <c r="OO202" s="6"/>
      <c r="OP202" s="6"/>
      <c r="OQ202" s="5" t="str">
        <f t="shared" si="754"/>
        <v>NO APLICA</v>
      </c>
      <c r="OR202" s="6"/>
      <c r="OS202" s="6"/>
      <c r="OT202" s="6"/>
      <c r="OU202" s="6"/>
      <c r="OV202" s="5" t="str">
        <f t="shared" si="755"/>
        <v>NO APLICA</v>
      </c>
      <c r="OW202" s="6"/>
      <c r="OX202" s="6"/>
      <c r="OY202" s="6"/>
      <c r="OZ202" s="6"/>
      <c r="PA202" s="5" t="str">
        <f t="shared" si="769"/>
        <v>NO APLICA</v>
      </c>
      <c r="PB202" s="6"/>
      <c r="PC202" s="6"/>
      <c r="PD202" s="6"/>
      <c r="PE202" s="6"/>
      <c r="PF202" s="5" t="str">
        <f t="shared" si="756"/>
        <v>NO APLICA</v>
      </c>
      <c r="PG202" s="6"/>
      <c r="PH202" s="6"/>
      <c r="PI202" s="6"/>
      <c r="PJ202" s="6"/>
      <c r="PK202" s="5" t="str">
        <f t="shared" si="757"/>
        <v>NO APLICA</v>
      </c>
      <c r="PL202" s="5"/>
      <c r="PM202" s="6"/>
      <c r="PN202" s="6"/>
      <c r="PO202" s="6"/>
      <c r="PP202" s="5" t="str">
        <f t="shared" si="766"/>
        <v>NO APLICA</v>
      </c>
      <c r="PQ202" s="6"/>
      <c r="PR202" s="6"/>
      <c r="PS202" s="6"/>
      <c r="PT202" s="6"/>
      <c r="PU202" s="5" t="str">
        <f t="shared" si="758"/>
        <v>NO APLICA</v>
      </c>
      <c r="PV202" s="5"/>
      <c r="PW202" s="6"/>
      <c r="PX202" s="6"/>
      <c r="PY202" s="6"/>
      <c r="PZ202" s="5" t="str">
        <f t="shared" si="759"/>
        <v>NO APLICA</v>
      </c>
    </row>
    <row r="203" spans="1:442" ht="15.6" hidden="1" thickTop="1" thickBot="1" x14ac:dyDescent="0.35">
      <c r="A203" s="26">
        <v>200</v>
      </c>
      <c r="B203" s="31">
        <v>1215</v>
      </c>
      <c r="C203" s="28" t="s">
        <v>626</v>
      </c>
      <c r="D203" s="29" t="s">
        <v>627</v>
      </c>
      <c r="E203" s="30" t="s">
        <v>628</v>
      </c>
      <c r="F203" s="3"/>
      <c r="G203" s="4"/>
      <c r="H203" s="4"/>
      <c r="I203" s="8"/>
      <c r="J203" s="5" t="str">
        <f t="shared" si="696"/>
        <v>NO APLICA</v>
      </c>
      <c r="K203" s="2"/>
      <c r="L203" s="2"/>
      <c r="M203" s="2"/>
      <c r="N203" s="2"/>
      <c r="O203" s="5" t="str">
        <f t="shared" si="699"/>
        <v>NO APLICA</v>
      </c>
      <c r="P203" s="6"/>
      <c r="Q203" s="6"/>
      <c r="R203" s="4"/>
      <c r="S203" s="8"/>
      <c r="T203" s="5" t="str">
        <f t="shared" si="697"/>
        <v>NO APLICA</v>
      </c>
      <c r="U203" s="5"/>
      <c r="V203" s="2"/>
      <c r="W203" s="4"/>
      <c r="X203" s="4"/>
      <c r="Y203" s="8"/>
      <c r="Z203" s="5" t="str">
        <f t="shared" si="605"/>
        <v>NO APLICA</v>
      </c>
      <c r="AA203" s="5"/>
      <c r="AB203" s="2"/>
      <c r="AC203" s="6"/>
      <c r="AD203" s="4"/>
      <c r="AE203" s="8"/>
      <c r="AF203" s="5" t="str">
        <f t="shared" si="700"/>
        <v>NO APLICA</v>
      </c>
      <c r="AG203" s="2"/>
      <c r="AH203" s="4"/>
      <c r="AI203" s="4"/>
      <c r="AJ203" s="8"/>
      <c r="AK203" s="5" t="str">
        <f t="shared" si="602"/>
        <v>NO APLICA</v>
      </c>
      <c r="AL203" s="2"/>
      <c r="AM203" s="4"/>
      <c r="AN203" s="4"/>
      <c r="AO203" s="8"/>
      <c r="AP203" s="5" t="str">
        <f t="shared" si="701"/>
        <v>NO APLICA</v>
      </c>
      <c r="AQ203" s="2"/>
      <c r="AR203" s="4"/>
      <c r="AS203" s="4"/>
      <c r="AT203" s="8"/>
      <c r="AU203" s="5" t="str">
        <f t="shared" si="702"/>
        <v>NO APLICA</v>
      </c>
      <c r="AV203" s="2"/>
      <c r="AW203" s="4"/>
      <c r="AX203" s="4"/>
      <c r="AY203" s="8"/>
      <c r="AZ203" s="5" t="str">
        <f t="shared" si="703"/>
        <v>NO APLICA</v>
      </c>
      <c r="BA203" s="3"/>
      <c r="BB203" s="4"/>
      <c r="BC203" s="4"/>
      <c r="BD203" s="8"/>
      <c r="BE203" s="5" t="str">
        <f t="shared" si="704"/>
        <v>NO APLICA</v>
      </c>
      <c r="BF203" s="2"/>
      <c r="BG203" s="4"/>
      <c r="BH203" s="4"/>
      <c r="BI203" s="8"/>
      <c r="BJ203" s="5" t="str">
        <f t="shared" si="705"/>
        <v>NO APLICA</v>
      </c>
      <c r="BK203" s="3"/>
      <c r="BL203" s="4"/>
      <c r="BM203" s="4"/>
      <c r="BN203" s="8"/>
      <c r="BO203" s="5" t="str">
        <f t="shared" si="706"/>
        <v>NO APLICA</v>
      </c>
      <c r="BP203" s="3"/>
      <c r="BQ203" s="39"/>
      <c r="BR203" s="4"/>
      <c r="BS203" s="8"/>
      <c r="BT203" s="5" t="str">
        <f t="shared" si="707"/>
        <v>NO APLICA</v>
      </c>
      <c r="BU203" s="2"/>
      <c r="BV203" s="4"/>
      <c r="BW203" s="4"/>
      <c r="BX203" s="8"/>
      <c r="BY203" s="5" t="str">
        <f t="shared" si="708"/>
        <v>NO APLICA</v>
      </c>
      <c r="BZ203" s="2"/>
      <c r="CA203" s="4"/>
      <c r="CB203" s="4"/>
      <c r="CC203" s="8"/>
      <c r="CD203" s="5" t="str">
        <f t="shared" si="709"/>
        <v>NO APLICA</v>
      </c>
      <c r="CE203" s="6"/>
      <c r="CF203" s="4"/>
      <c r="CG203" s="4"/>
      <c r="CH203" s="8"/>
      <c r="CI203" s="5" t="str">
        <f t="shared" si="573"/>
        <v>NO APLICA</v>
      </c>
      <c r="CJ203" s="6"/>
      <c r="CK203" s="4"/>
      <c r="CL203" s="4"/>
      <c r="CM203" s="8"/>
      <c r="CN203" s="5" t="str">
        <f t="shared" si="710"/>
        <v>NO APLICA</v>
      </c>
      <c r="CO203" s="2"/>
      <c r="CP203" s="39"/>
      <c r="CQ203" s="4"/>
      <c r="CR203" s="8"/>
      <c r="CS203" s="5" t="str">
        <f t="shared" si="711"/>
        <v>NO APLICA</v>
      </c>
      <c r="CT203" s="2"/>
      <c r="CU203" s="4"/>
      <c r="CV203" s="4"/>
      <c r="CW203" s="8"/>
      <c r="CX203" s="5" t="str">
        <f t="shared" si="712"/>
        <v>NO APLICA</v>
      </c>
      <c r="CY203" s="3"/>
      <c r="CZ203" s="4"/>
      <c r="DA203" s="4"/>
      <c r="DB203" s="8"/>
      <c r="DC203" s="5" t="str">
        <f t="shared" si="713"/>
        <v>NO APLICA</v>
      </c>
      <c r="DD203" s="3"/>
      <c r="DE203" s="39"/>
      <c r="DF203" s="4"/>
      <c r="DG203" s="8"/>
      <c r="DH203" s="5" t="str">
        <f t="shared" si="714"/>
        <v>NO APLICA</v>
      </c>
      <c r="DI203" s="2"/>
      <c r="DJ203" s="39"/>
      <c r="DK203" s="4"/>
      <c r="DL203" s="8"/>
      <c r="DM203" s="5" t="str">
        <f t="shared" si="715"/>
        <v>NO APLICA</v>
      </c>
      <c r="DN203" s="3"/>
      <c r="DO203" s="4"/>
      <c r="DP203" s="4"/>
      <c r="DQ203" s="8"/>
      <c r="DR203" s="5" t="str">
        <f t="shared" si="716"/>
        <v>NO APLICA</v>
      </c>
      <c r="DS203" s="2"/>
      <c r="DT203" s="4"/>
      <c r="DU203" s="4"/>
      <c r="DV203" s="8"/>
      <c r="DW203" s="5" t="str">
        <f t="shared" si="717"/>
        <v>NO APLICA</v>
      </c>
      <c r="DX203" s="3"/>
      <c r="DY203" s="4"/>
      <c r="DZ203" s="4"/>
      <c r="EA203" s="8"/>
      <c r="EB203" s="5" t="str">
        <f t="shared" si="718"/>
        <v>NO APLICA</v>
      </c>
      <c r="EC203" s="3"/>
      <c r="ED203" s="39"/>
      <c r="EE203" s="4"/>
      <c r="EF203" s="8"/>
      <c r="EG203" s="5" t="str">
        <f t="shared" si="719"/>
        <v>NO APLICA</v>
      </c>
      <c r="EH203" s="2"/>
      <c r="EI203" s="4"/>
      <c r="EJ203" s="4"/>
      <c r="EK203" s="8"/>
      <c r="EL203" s="5" t="str">
        <f t="shared" si="720"/>
        <v>NO APLICA</v>
      </c>
      <c r="EM203" s="3"/>
      <c r="EN203" s="4"/>
      <c r="EO203" s="4"/>
      <c r="EP203" s="8"/>
      <c r="EQ203" s="5" t="str">
        <f t="shared" si="721"/>
        <v>NO APLICA</v>
      </c>
      <c r="ER203" s="2"/>
      <c r="ES203" s="39"/>
      <c r="ET203" s="4"/>
      <c r="EU203" s="8"/>
      <c r="EV203" s="5" t="str">
        <f t="shared" si="722"/>
        <v>NO APLICA</v>
      </c>
      <c r="EW203" s="2"/>
      <c r="EX203" s="4"/>
      <c r="EY203" s="4"/>
      <c r="EZ203" s="8"/>
      <c r="FA203" s="5" t="str">
        <f t="shared" si="723"/>
        <v>NO APLICA</v>
      </c>
      <c r="FB203" s="2"/>
      <c r="FC203" s="4"/>
      <c r="FD203" s="4"/>
      <c r="FE203" s="8"/>
      <c r="FF203" s="5" t="str">
        <f t="shared" si="724"/>
        <v>NO APLICA</v>
      </c>
      <c r="FG203" s="2"/>
      <c r="FH203" s="4"/>
      <c r="FI203" s="4"/>
      <c r="FJ203" s="8"/>
      <c r="FK203" s="5" t="str">
        <f t="shared" si="725"/>
        <v>NO APLICA</v>
      </c>
      <c r="FL203" s="3"/>
      <c r="FM203" s="39"/>
      <c r="FN203" s="4"/>
      <c r="FO203" s="8"/>
      <c r="FP203" s="5" t="str">
        <f t="shared" si="726"/>
        <v>NO APLICA</v>
      </c>
      <c r="FQ203" s="3"/>
      <c r="FR203" s="39"/>
      <c r="FS203" s="4"/>
      <c r="FT203" s="8"/>
      <c r="FU203" s="5" t="str">
        <f t="shared" si="727"/>
        <v>NO APLICA</v>
      </c>
      <c r="FV203" s="3"/>
      <c r="FW203" s="4"/>
      <c r="FX203" s="4"/>
      <c r="FY203" s="8"/>
      <c r="FZ203" s="5" t="str">
        <f t="shared" si="728"/>
        <v>NO APLICA</v>
      </c>
      <c r="GA203" s="3"/>
      <c r="GB203" s="4"/>
      <c r="GC203" s="4"/>
      <c r="GD203" s="8"/>
      <c r="GE203" s="5" t="str">
        <f t="shared" si="729"/>
        <v>NO APLICA</v>
      </c>
      <c r="GF203" s="3"/>
      <c r="GG203" s="4"/>
      <c r="GH203" s="4"/>
      <c r="GI203" s="8"/>
      <c r="GJ203" s="5" t="str">
        <f t="shared" si="730"/>
        <v>NO APLICA</v>
      </c>
      <c r="GK203" s="3"/>
      <c r="GL203" s="4"/>
      <c r="GM203" s="4"/>
      <c r="GN203" s="8"/>
      <c r="GO203" s="5" t="str">
        <f t="shared" si="731"/>
        <v>NO APLICA</v>
      </c>
      <c r="GP203" s="4"/>
      <c r="GQ203" s="4"/>
      <c r="GR203" s="4"/>
      <c r="GS203" s="8"/>
      <c r="GT203" s="5" t="str">
        <f t="shared" si="610"/>
        <v>NO APLICA</v>
      </c>
      <c r="GU203" s="3"/>
      <c r="GV203" s="4"/>
      <c r="GW203" s="4"/>
      <c r="GX203" s="8"/>
      <c r="GY203" s="5" t="str">
        <f t="shared" si="611"/>
        <v>NO APLICA</v>
      </c>
      <c r="GZ203" s="2"/>
      <c r="HA203" s="4"/>
      <c r="HB203" s="4"/>
      <c r="HC203" s="8"/>
      <c r="HD203" s="5" t="str">
        <f t="shared" si="612"/>
        <v>NO APLICA</v>
      </c>
      <c r="HE203" s="6"/>
      <c r="HF203" s="6"/>
      <c r="HG203" s="4"/>
      <c r="HH203" s="8"/>
      <c r="HI203" s="5" t="str">
        <f t="shared" si="698"/>
        <v>NO APLICA</v>
      </c>
      <c r="HJ203" s="2"/>
      <c r="HK203" s="6"/>
      <c r="HL203" s="4"/>
      <c r="HM203" s="8"/>
      <c r="HN203" s="5" t="str">
        <f t="shared" si="694"/>
        <v>NO APLICA</v>
      </c>
      <c r="HO203" s="2"/>
      <c r="HP203" s="2"/>
      <c r="HQ203" s="4"/>
      <c r="HR203" s="2"/>
      <c r="HS203" s="5" t="str">
        <f t="shared" si="732"/>
        <v>NO APLICA</v>
      </c>
      <c r="HT203" s="2"/>
      <c r="HU203" s="6"/>
      <c r="HV203" s="4"/>
      <c r="HW203" s="8"/>
      <c r="HX203" s="5" t="str">
        <f t="shared" si="733"/>
        <v>NO APLICA</v>
      </c>
      <c r="HY203" s="2"/>
      <c r="HZ203" s="6"/>
      <c r="IA203" s="4"/>
      <c r="IB203" s="8"/>
      <c r="IC203" s="5" t="str">
        <f t="shared" si="734"/>
        <v>NO APLICA</v>
      </c>
      <c r="ID203" s="2"/>
      <c r="IE203" s="6"/>
      <c r="IF203" s="4"/>
      <c r="IG203" s="8"/>
      <c r="IH203" s="5" t="str">
        <f t="shared" si="735"/>
        <v>NO APLICA</v>
      </c>
      <c r="II203" s="6"/>
      <c r="IJ203" s="6"/>
      <c r="IK203" s="4"/>
      <c r="IL203" s="8"/>
      <c r="IM203" s="5" t="str">
        <f t="shared" si="736"/>
        <v>NO APLICA</v>
      </c>
      <c r="IN203" s="2"/>
      <c r="IO203" s="6"/>
      <c r="IP203" s="4"/>
      <c r="IQ203" s="8"/>
      <c r="IR203" s="5" t="str">
        <f t="shared" si="737"/>
        <v>NO APLICA</v>
      </c>
      <c r="IS203" s="2"/>
      <c r="IT203" s="6"/>
      <c r="IU203" s="4"/>
      <c r="IV203" s="8"/>
      <c r="IW203" s="5" t="str">
        <f t="shared" si="738"/>
        <v>NO APLICA</v>
      </c>
      <c r="IX203" s="2"/>
      <c r="IY203" s="6"/>
      <c r="IZ203" s="4"/>
      <c r="JA203" s="8"/>
      <c r="JB203" s="5" t="str">
        <f t="shared" si="739"/>
        <v>NO APLICA</v>
      </c>
      <c r="JC203" s="3" t="s">
        <v>780</v>
      </c>
      <c r="JD203" s="3"/>
      <c r="JE203" s="4"/>
      <c r="JF203" s="8"/>
      <c r="JG203" s="5"/>
      <c r="JH203" s="3" t="s">
        <v>780</v>
      </c>
      <c r="JI203" s="6"/>
      <c r="JJ203" s="6"/>
      <c r="JK203" s="6"/>
      <c r="JL203" s="5"/>
      <c r="JM203" s="6" t="s">
        <v>780</v>
      </c>
      <c r="JN203" s="6"/>
      <c r="JO203" s="6"/>
      <c r="JP203" s="6"/>
      <c r="JQ203" s="5"/>
      <c r="JR203" s="6" t="s">
        <v>780</v>
      </c>
      <c r="JS203" s="6"/>
      <c r="JT203" s="6"/>
      <c r="JU203" s="6"/>
      <c r="JV203" s="5"/>
      <c r="JW203" s="6" t="s">
        <v>780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40"/>
        <v>NO APLICA</v>
      </c>
      <c r="KG203" s="5"/>
      <c r="KH203" s="2"/>
      <c r="KI203" s="4"/>
      <c r="KJ203" s="8"/>
      <c r="KK203" s="5" t="str">
        <f t="shared" si="760"/>
        <v>NO APLICA</v>
      </c>
      <c r="KL203" s="5"/>
      <c r="KM203" s="2"/>
      <c r="KN203" s="4"/>
      <c r="KO203" s="8"/>
      <c r="KP203" s="5" t="str">
        <f t="shared" si="741"/>
        <v>NO APLICA</v>
      </c>
      <c r="KQ203" s="5"/>
      <c r="KR203" s="2"/>
      <c r="KS203" s="4"/>
      <c r="KT203" s="8"/>
      <c r="KU203" s="5" t="str">
        <f t="shared" si="761"/>
        <v>NO APLICA</v>
      </c>
      <c r="KV203" s="2"/>
      <c r="KW203" s="6"/>
      <c r="KX203" s="4"/>
      <c r="KY203" s="8"/>
      <c r="KZ203" s="5" t="str">
        <f t="shared" si="767"/>
        <v>NO APLICA</v>
      </c>
      <c r="LA203" s="5"/>
      <c r="LB203" s="6"/>
      <c r="LC203" s="4"/>
      <c r="LD203" s="8"/>
      <c r="LE203" s="5" t="str">
        <f t="shared" si="762"/>
        <v>NO APLICA</v>
      </c>
      <c r="LF203" s="6"/>
      <c r="LG203" s="6"/>
      <c r="LH203" s="4"/>
      <c r="LI203" s="8"/>
      <c r="LJ203" s="5" t="str">
        <f t="shared" si="600"/>
        <v>NO APLICA</v>
      </c>
      <c r="LK203" s="5"/>
      <c r="LL203" s="5"/>
      <c r="LM203" s="4"/>
      <c r="LN203" s="8"/>
      <c r="LO203" s="5" t="str">
        <f t="shared" si="768"/>
        <v>NO APLICA</v>
      </c>
      <c r="LP203" s="2"/>
      <c r="LQ203" s="6"/>
      <c r="LR203" s="4"/>
      <c r="LS203" s="8"/>
      <c r="LT203" s="5" t="str">
        <f t="shared" si="763"/>
        <v>NO APLICA</v>
      </c>
      <c r="LU203" s="6"/>
      <c r="LV203" s="6"/>
      <c r="LW203" s="4"/>
      <c r="LX203" s="8"/>
      <c r="LY203" s="5" t="str">
        <f t="shared" si="764"/>
        <v>NO APLICA</v>
      </c>
      <c r="LZ203" s="6"/>
      <c r="MA203" s="6"/>
      <c r="MB203" s="4"/>
      <c r="MC203" s="8"/>
      <c r="MD203" s="5" t="str">
        <f t="shared" si="765"/>
        <v>NO APLICA</v>
      </c>
      <c r="ME203" s="2"/>
      <c r="MF203" s="2"/>
      <c r="MG203" s="4"/>
      <c r="MH203" s="8"/>
      <c r="MI203" s="5" t="str">
        <f t="shared" si="742"/>
        <v>NO APLICA</v>
      </c>
      <c r="MJ203" s="2"/>
      <c r="MK203" s="2"/>
      <c r="ML203" s="4"/>
      <c r="MM203" s="8"/>
      <c r="MN203" s="5" t="str">
        <f t="shared" si="743"/>
        <v>NO APLICA</v>
      </c>
      <c r="MO203" s="5"/>
      <c r="MP203" s="2"/>
      <c r="MQ203" s="4"/>
      <c r="MR203" s="8"/>
      <c r="MS203" s="5" t="str">
        <f t="shared" si="744"/>
        <v>NO APLICA</v>
      </c>
      <c r="MT203" s="5"/>
      <c r="MU203" s="2"/>
      <c r="MV203" s="4"/>
      <c r="MW203" s="2"/>
      <c r="MX203" s="5" t="str">
        <f t="shared" si="745"/>
        <v>NO APLICA</v>
      </c>
      <c r="MY203" s="2"/>
      <c r="MZ203" s="6"/>
      <c r="NA203" s="4"/>
      <c r="NB203" s="8"/>
      <c r="NC203" s="5" t="str">
        <f t="shared" si="746"/>
        <v>NO APLICA</v>
      </c>
      <c r="ND203" s="2"/>
      <c r="NE203" s="6"/>
      <c r="NF203" s="4"/>
      <c r="NG203" s="8"/>
      <c r="NH203" s="5" t="str">
        <f t="shared" si="747"/>
        <v>NO APLICA</v>
      </c>
      <c r="NI203" s="2"/>
      <c r="NJ203" s="6"/>
      <c r="NK203" s="4"/>
      <c r="NL203" s="8"/>
      <c r="NM203" s="5" t="str">
        <f t="shared" si="748"/>
        <v>NO APLICA</v>
      </c>
      <c r="NN203" s="2"/>
      <c r="NO203" s="2"/>
      <c r="NP203" s="4"/>
      <c r="NQ203" s="8"/>
      <c r="NR203" s="5" t="str">
        <f t="shared" si="749"/>
        <v>NO APLICA</v>
      </c>
      <c r="NS203" s="2"/>
      <c r="NT203" s="2"/>
      <c r="NU203" s="4"/>
      <c r="NV203" s="2"/>
      <c r="NW203" s="5" t="str">
        <f t="shared" si="750"/>
        <v>NO APLICA</v>
      </c>
      <c r="NX203" s="6"/>
      <c r="NY203" s="6"/>
      <c r="NZ203" s="4"/>
      <c r="OA203" s="8"/>
      <c r="OB203" s="5" t="str">
        <f t="shared" si="751"/>
        <v>NO APLICA</v>
      </c>
      <c r="OC203" s="6"/>
      <c r="OD203" s="6"/>
      <c r="OE203" s="6"/>
      <c r="OF203" s="6"/>
      <c r="OG203" s="5" t="str">
        <f t="shared" si="752"/>
        <v>NO APLICA</v>
      </c>
      <c r="OH203" s="6"/>
      <c r="OI203" s="6"/>
      <c r="OJ203" s="4"/>
      <c r="OK203" s="8"/>
      <c r="OL203" s="5" t="str">
        <f t="shared" si="753"/>
        <v>NO APLICA</v>
      </c>
      <c r="OM203" s="6"/>
      <c r="ON203" s="6"/>
      <c r="OO203" s="6"/>
      <c r="OP203" s="6"/>
      <c r="OQ203" s="5" t="str">
        <f t="shared" si="754"/>
        <v>NO APLICA</v>
      </c>
      <c r="OR203" s="6"/>
      <c r="OS203" s="6"/>
      <c r="OT203" s="6"/>
      <c r="OU203" s="6"/>
      <c r="OV203" s="5" t="str">
        <f t="shared" si="755"/>
        <v>NO APLICA</v>
      </c>
      <c r="OW203" s="6"/>
      <c r="OX203" s="6"/>
      <c r="OY203" s="6"/>
      <c r="OZ203" s="6"/>
      <c r="PA203" s="5" t="str">
        <f t="shared" si="769"/>
        <v>NO APLICA</v>
      </c>
      <c r="PB203" s="6"/>
      <c r="PC203" s="6"/>
      <c r="PD203" s="6"/>
      <c r="PE203" s="6"/>
      <c r="PF203" s="5" t="str">
        <f t="shared" si="756"/>
        <v>NO APLICA</v>
      </c>
      <c r="PG203" s="6"/>
      <c r="PH203" s="6"/>
      <c r="PI203" s="6"/>
      <c r="PJ203" s="6"/>
      <c r="PK203" s="5" t="str">
        <f t="shared" si="757"/>
        <v>NO APLICA</v>
      </c>
      <c r="PL203" s="5"/>
      <c r="PM203" s="6"/>
      <c r="PN203" s="4"/>
      <c r="PO203" s="8"/>
      <c r="PP203" s="5" t="str">
        <f t="shared" si="766"/>
        <v>NO APLICA</v>
      </c>
      <c r="PQ203" s="6"/>
      <c r="PR203" s="6"/>
      <c r="PS203" s="6"/>
      <c r="PT203" s="6"/>
      <c r="PU203" s="5" t="str">
        <f t="shared" si="758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9"/>
        <v>VIGENTE</v>
      </c>
    </row>
    <row r="204" spans="1:442" ht="15.6" hidden="1" thickTop="1" thickBot="1" x14ac:dyDescent="0.35">
      <c r="A204" s="26">
        <v>201</v>
      </c>
      <c r="B204" s="31">
        <v>13</v>
      </c>
      <c r="C204" s="28" t="s">
        <v>629</v>
      </c>
      <c r="D204" s="29" t="s">
        <v>630</v>
      </c>
      <c r="E204" s="30" t="s">
        <v>631</v>
      </c>
      <c r="F204" s="3"/>
      <c r="G204" s="4"/>
      <c r="H204" s="4"/>
      <c r="I204" s="8"/>
      <c r="J204" s="5" t="str">
        <f t="shared" si="696"/>
        <v>NO APLICA</v>
      </c>
      <c r="K204" s="2"/>
      <c r="L204" s="2"/>
      <c r="M204" s="2"/>
      <c r="N204" s="2"/>
      <c r="O204" s="5" t="str">
        <f t="shared" si="699"/>
        <v>NO APLICA</v>
      </c>
      <c r="P204" s="6"/>
      <c r="Q204" s="6"/>
      <c r="R204" s="4"/>
      <c r="S204" s="8"/>
      <c r="T204" s="5" t="str">
        <f t="shared" si="697"/>
        <v>NO APLICA</v>
      </c>
      <c r="U204" s="5"/>
      <c r="V204" s="2"/>
      <c r="W204" s="4"/>
      <c r="X204" s="4"/>
      <c r="Y204" s="8"/>
      <c r="Z204" s="5" t="str">
        <f t="shared" si="605"/>
        <v>NO APLICA</v>
      </c>
      <c r="AA204" s="5"/>
      <c r="AB204" s="2"/>
      <c r="AC204" s="6"/>
      <c r="AD204" s="4"/>
      <c r="AE204" s="8"/>
      <c r="AF204" s="5" t="str">
        <f t="shared" si="700"/>
        <v>NO APLICA</v>
      </c>
      <c r="AG204" s="2"/>
      <c r="AH204" s="4"/>
      <c r="AI204" s="4"/>
      <c r="AJ204" s="8"/>
      <c r="AK204" s="5" t="str">
        <f t="shared" si="602"/>
        <v>NO APLICA</v>
      </c>
      <c r="AL204" s="2"/>
      <c r="AM204" s="4"/>
      <c r="AN204" s="4"/>
      <c r="AO204" s="8"/>
      <c r="AP204" s="5" t="str">
        <f t="shared" si="701"/>
        <v>NO APLICA</v>
      </c>
      <c r="AQ204" s="2"/>
      <c r="AR204" s="4"/>
      <c r="AS204" s="4"/>
      <c r="AT204" s="8"/>
      <c r="AU204" s="5" t="str">
        <f t="shared" si="702"/>
        <v>NO APLICA</v>
      </c>
      <c r="AV204" s="2"/>
      <c r="AW204" s="4"/>
      <c r="AX204" s="4"/>
      <c r="AY204" s="8"/>
      <c r="AZ204" s="5" t="str">
        <f t="shared" si="703"/>
        <v>NO APLICA</v>
      </c>
      <c r="BA204" s="3"/>
      <c r="BB204" s="4"/>
      <c r="BC204" s="4"/>
      <c r="BD204" s="8"/>
      <c r="BE204" s="5" t="str">
        <f t="shared" si="704"/>
        <v>NO APLICA</v>
      </c>
      <c r="BF204" s="2"/>
      <c r="BG204" s="4"/>
      <c r="BH204" s="4"/>
      <c r="BI204" s="8"/>
      <c r="BJ204" s="5" t="str">
        <f t="shared" si="705"/>
        <v>NO APLICA</v>
      </c>
      <c r="BK204" s="3"/>
      <c r="BL204" s="4"/>
      <c r="BM204" s="4"/>
      <c r="BN204" s="8"/>
      <c r="BO204" s="5" t="str">
        <f t="shared" si="706"/>
        <v>NO APLICA</v>
      </c>
      <c r="BP204" s="3"/>
      <c r="BQ204" s="39"/>
      <c r="BR204" s="4"/>
      <c r="BS204" s="8"/>
      <c r="BT204" s="5" t="str">
        <f t="shared" si="707"/>
        <v>NO APLICA</v>
      </c>
      <c r="BU204" s="2"/>
      <c r="BV204" s="4"/>
      <c r="BW204" s="4"/>
      <c r="BX204" s="8"/>
      <c r="BY204" s="5" t="str">
        <f t="shared" si="708"/>
        <v>NO APLICA</v>
      </c>
      <c r="BZ204" s="2"/>
      <c r="CA204" s="4"/>
      <c r="CB204" s="4"/>
      <c r="CC204" s="8"/>
      <c r="CD204" s="5" t="str">
        <f t="shared" si="709"/>
        <v>NO APLICA</v>
      </c>
      <c r="CE204" s="6"/>
      <c r="CF204" s="4"/>
      <c r="CG204" s="4"/>
      <c r="CH204" s="8"/>
      <c r="CI204" s="5" t="str">
        <f t="shared" si="573"/>
        <v>NO APLICA</v>
      </c>
      <c r="CJ204" s="6"/>
      <c r="CK204" s="4"/>
      <c r="CL204" s="4"/>
      <c r="CM204" s="8"/>
      <c r="CN204" s="5" t="str">
        <f t="shared" si="710"/>
        <v>NO APLICA</v>
      </c>
      <c r="CO204" s="2"/>
      <c r="CP204" s="39"/>
      <c r="CQ204" s="4"/>
      <c r="CR204" s="8"/>
      <c r="CS204" s="5" t="str">
        <f t="shared" si="711"/>
        <v>NO APLICA</v>
      </c>
      <c r="CT204" s="2"/>
      <c r="CU204" s="4"/>
      <c r="CV204" s="4"/>
      <c r="CW204" s="8"/>
      <c r="CX204" s="5" t="str">
        <f t="shared" si="712"/>
        <v>NO APLICA</v>
      </c>
      <c r="CY204" s="3"/>
      <c r="CZ204" s="4"/>
      <c r="DA204" s="4"/>
      <c r="DB204" s="8"/>
      <c r="DC204" s="5" t="str">
        <f t="shared" si="713"/>
        <v>NO APLICA</v>
      </c>
      <c r="DD204" s="3"/>
      <c r="DE204" s="39"/>
      <c r="DF204" s="4"/>
      <c r="DG204" s="8"/>
      <c r="DH204" s="5" t="str">
        <f t="shared" si="714"/>
        <v>NO APLICA</v>
      </c>
      <c r="DI204" s="2"/>
      <c r="DJ204" s="39"/>
      <c r="DK204" s="4"/>
      <c r="DL204" s="8"/>
      <c r="DM204" s="5" t="str">
        <f t="shared" si="715"/>
        <v>NO APLICA</v>
      </c>
      <c r="DN204" s="3"/>
      <c r="DO204" s="4"/>
      <c r="DP204" s="4"/>
      <c r="DQ204" s="8"/>
      <c r="DR204" s="5" t="str">
        <f t="shared" si="716"/>
        <v>NO APLICA</v>
      </c>
      <c r="DS204" s="2"/>
      <c r="DT204" s="4"/>
      <c r="DU204" s="4"/>
      <c r="DV204" s="8"/>
      <c r="DW204" s="5" t="str">
        <f t="shared" si="717"/>
        <v>NO APLICA</v>
      </c>
      <c r="DX204" s="3"/>
      <c r="DY204" s="4"/>
      <c r="DZ204" s="4"/>
      <c r="EA204" s="8"/>
      <c r="EB204" s="5" t="str">
        <f t="shared" si="718"/>
        <v>NO APLICA</v>
      </c>
      <c r="EC204" s="3"/>
      <c r="ED204" s="39"/>
      <c r="EE204" s="4"/>
      <c r="EF204" s="8"/>
      <c r="EG204" s="5" t="str">
        <f t="shared" si="719"/>
        <v>NO APLICA</v>
      </c>
      <c r="EH204" s="2"/>
      <c r="EI204" s="4"/>
      <c r="EJ204" s="4"/>
      <c r="EK204" s="8"/>
      <c r="EL204" s="5" t="str">
        <f t="shared" si="720"/>
        <v>NO APLICA</v>
      </c>
      <c r="EM204" s="3"/>
      <c r="EN204" s="4"/>
      <c r="EO204" s="4"/>
      <c r="EP204" s="8"/>
      <c r="EQ204" s="5" t="str">
        <f t="shared" si="721"/>
        <v>NO APLICA</v>
      </c>
      <c r="ER204" s="2"/>
      <c r="ES204" s="39"/>
      <c r="ET204" s="4"/>
      <c r="EU204" s="8"/>
      <c r="EV204" s="5" t="str">
        <f t="shared" si="722"/>
        <v>NO APLICA</v>
      </c>
      <c r="EW204" s="2"/>
      <c r="EX204" s="4"/>
      <c r="EY204" s="4"/>
      <c r="EZ204" s="8"/>
      <c r="FA204" s="5" t="str">
        <f t="shared" si="723"/>
        <v>NO APLICA</v>
      </c>
      <c r="FB204" s="2"/>
      <c r="FC204" s="4"/>
      <c r="FD204" s="4"/>
      <c r="FE204" s="8"/>
      <c r="FF204" s="5" t="str">
        <f t="shared" si="724"/>
        <v>NO APLICA</v>
      </c>
      <c r="FG204" s="2"/>
      <c r="FH204" s="4"/>
      <c r="FI204" s="4"/>
      <c r="FJ204" s="8"/>
      <c r="FK204" s="5" t="str">
        <f t="shared" si="725"/>
        <v>NO APLICA</v>
      </c>
      <c r="FL204" s="3"/>
      <c r="FM204" s="39"/>
      <c r="FN204" s="4"/>
      <c r="FO204" s="8"/>
      <c r="FP204" s="5" t="str">
        <f t="shared" si="726"/>
        <v>NO APLICA</v>
      </c>
      <c r="FQ204" s="3"/>
      <c r="FR204" s="39"/>
      <c r="FS204" s="4"/>
      <c r="FT204" s="8"/>
      <c r="FU204" s="5" t="str">
        <f t="shared" si="727"/>
        <v>NO APLICA</v>
      </c>
      <c r="FV204" s="3"/>
      <c r="FW204" s="4"/>
      <c r="FX204" s="4"/>
      <c r="FY204" s="8"/>
      <c r="FZ204" s="5" t="str">
        <f t="shared" si="728"/>
        <v>NO APLICA</v>
      </c>
      <c r="GA204" s="3"/>
      <c r="GB204" s="4"/>
      <c r="GC204" s="4"/>
      <c r="GD204" s="8"/>
      <c r="GE204" s="5" t="str">
        <f t="shared" si="729"/>
        <v>NO APLICA</v>
      </c>
      <c r="GF204" s="3"/>
      <c r="GG204" s="4"/>
      <c r="GH204" s="4"/>
      <c r="GI204" s="8"/>
      <c r="GJ204" s="5" t="str">
        <f t="shared" si="730"/>
        <v>NO APLICA</v>
      </c>
      <c r="GK204" s="3"/>
      <c r="GL204" s="4"/>
      <c r="GM204" s="4"/>
      <c r="GN204" s="8"/>
      <c r="GO204" s="5" t="str">
        <f t="shared" si="731"/>
        <v>NO APLICA</v>
      </c>
      <c r="GP204" s="4"/>
      <c r="GQ204" s="4"/>
      <c r="GR204" s="4"/>
      <c r="GS204" s="8"/>
      <c r="GT204" s="5" t="str">
        <f t="shared" si="610"/>
        <v>NO APLICA</v>
      </c>
      <c r="GU204" s="3"/>
      <c r="GV204" s="4"/>
      <c r="GW204" s="4"/>
      <c r="GX204" s="8"/>
      <c r="GY204" s="5" t="str">
        <f t="shared" si="611"/>
        <v>NO APLICA</v>
      </c>
      <c r="GZ204" s="2"/>
      <c r="HA204" s="4"/>
      <c r="HB204" s="4"/>
      <c r="HC204" s="8"/>
      <c r="HD204" s="5" t="str">
        <f t="shared" si="612"/>
        <v>NO APLICA</v>
      </c>
      <c r="HE204" s="6"/>
      <c r="HF204" s="6"/>
      <c r="HG204" s="4"/>
      <c r="HH204" s="8"/>
      <c r="HI204" s="5" t="str">
        <f t="shared" si="698"/>
        <v>NO APLICA</v>
      </c>
      <c r="HJ204" s="2"/>
      <c r="HK204" s="6"/>
      <c r="HL204" s="4"/>
      <c r="HM204" s="8"/>
      <c r="HN204" s="5" t="str">
        <f t="shared" si="694"/>
        <v>NO APLICA</v>
      </c>
      <c r="HO204" s="2"/>
      <c r="HP204" s="2"/>
      <c r="HQ204" s="4"/>
      <c r="HR204" s="2"/>
      <c r="HS204" s="5" t="str">
        <f t="shared" si="732"/>
        <v>NO APLICA</v>
      </c>
      <c r="HT204" s="2"/>
      <c r="HU204" s="6"/>
      <c r="HV204" s="4"/>
      <c r="HW204" s="8"/>
      <c r="HX204" s="5" t="str">
        <f t="shared" si="733"/>
        <v>NO APLICA</v>
      </c>
      <c r="HY204" s="2"/>
      <c r="HZ204" s="6"/>
      <c r="IA204" s="4"/>
      <c r="IB204" s="8"/>
      <c r="IC204" s="5" t="str">
        <f t="shared" si="734"/>
        <v>NO APLICA</v>
      </c>
      <c r="ID204" s="2"/>
      <c r="IE204" s="6"/>
      <c r="IF204" s="4"/>
      <c r="IG204" s="8"/>
      <c r="IH204" s="5" t="str">
        <f t="shared" si="735"/>
        <v>NO APLICA</v>
      </c>
      <c r="II204" s="6"/>
      <c r="IJ204" s="6"/>
      <c r="IK204" s="4"/>
      <c r="IL204" s="8"/>
      <c r="IM204" s="5" t="str">
        <f t="shared" si="736"/>
        <v>NO APLICA</v>
      </c>
      <c r="IN204" s="2"/>
      <c r="IO204" s="6"/>
      <c r="IP204" s="4"/>
      <c r="IQ204" s="8"/>
      <c r="IR204" s="5" t="str">
        <f t="shared" si="737"/>
        <v>NO APLICA</v>
      </c>
      <c r="IS204" s="2"/>
      <c r="IT204" s="6"/>
      <c r="IU204" s="4"/>
      <c r="IV204" s="8"/>
      <c r="IW204" s="5" t="str">
        <f t="shared" si="738"/>
        <v>NO APLICA</v>
      </c>
      <c r="IX204" s="2"/>
      <c r="IY204" s="6"/>
      <c r="IZ204" s="4"/>
      <c r="JA204" s="8"/>
      <c r="JB204" s="5" t="str">
        <f t="shared" si="739"/>
        <v>NO APLICA</v>
      </c>
      <c r="JC204" s="3" t="s">
        <v>780</v>
      </c>
      <c r="JD204" s="3"/>
      <c r="JE204" s="4"/>
      <c r="JF204" s="8"/>
      <c r="JG204" s="5"/>
      <c r="JH204" s="3" t="s">
        <v>780</v>
      </c>
      <c r="JI204" s="6"/>
      <c r="JJ204" s="6"/>
      <c r="JK204" s="6"/>
      <c r="JL204" s="5"/>
      <c r="JM204" s="6" t="s">
        <v>780</v>
      </c>
      <c r="JN204" s="6"/>
      <c r="JO204" s="6"/>
      <c r="JP204" s="6"/>
      <c r="JQ204" s="5"/>
      <c r="JR204" s="6" t="s">
        <v>780</v>
      </c>
      <c r="JS204" s="6"/>
      <c r="JT204" s="6"/>
      <c r="JU204" s="6"/>
      <c r="JV204" s="5"/>
      <c r="JW204" s="6" t="s">
        <v>780</v>
      </c>
      <c r="JX204" s="5"/>
      <c r="JY204" s="5"/>
      <c r="JZ204" s="5"/>
      <c r="KA204" s="38"/>
      <c r="KB204" s="5"/>
      <c r="KC204" s="2"/>
      <c r="KD204" s="4"/>
      <c r="KE204" s="8"/>
      <c r="KF204" s="5" t="str">
        <f t="shared" si="740"/>
        <v>NO APLICA</v>
      </c>
      <c r="KG204" s="5"/>
      <c r="KH204" s="2"/>
      <c r="KI204" s="4"/>
      <c r="KJ204" s="8"/>
      <c r="KK204" s="5" t="str">
        <f t="shared" si="760"/>
        <v>NO APLICA</v>
      </c>
      <c r="KL204" s="5"/>
      <c r="KM204" s="2"/>
      <c r="KN204" s="4"/>
      <c r="KO204" s="8"/>
      <c r="KP204" s="5" t="str">
        <f t="shared" si="741"/>
        <v>NO APLICA</v>
      </c>
      <c r="KQ204" s="5"/>
      <c r="KR204" s="2"/>
      <c r="KS204" s="4"/>
      <c r="KT204" s="8"/>
      <c r="KU204" s="5" t="str">
        <f t="shared" si="761"/>
        <v>NO APLICA</v>
      </c>
      <c r="KV204" s="2"/>
      <c r="KW204" s="6"/>
      <c r="KX204" s="4"/>
      <c r="KY204" s="8"/>
      <c r="KZ204" s="5" t="str">
        <f t="shared" si="767"/>
        <v>NO APLICA</v>
      </c>
      <c r="LA204" s="5"/>
      <c r="LB204" s="6"/>
      <c r="LC204" s="4"/>
      <c r="LD204" s="8"/>
      <c r="LE204" s="5" t="str">
        <f t="shared" si="762"/>
        <v>NO APLICA</v>
      </c>
      <c r="LF204" s="6"/>
      <c r="LG204" s="6"/>
      <c r="LH204" s="4"/>
      <c r="LI204" s="8"/>
      <c r="LJ204" s="5" t="str">
        <f t="shared" si="600"/>
        <v>NO APLICA</v>
      </c>
      <c r="LK204" s="5"/>
      <c r="LL204" s="5"/>
      <c r="LM204" s="4"/>
      <c r="LN204" s="8"/>
      <c r="LO204" s="5" t="str">
        <f t="shared" si="768"/>
        <v>NO APLICA</v>
      </c>
      <c r="LP204" s="2"/>
      <c r="LQ204" s="6"/>
      <c r="LR204" s="4"/>
      <c r="LS204" s="8"/>
      <c r="LT204" s="5" t="str">
        <f t="shared" si="763"/>
        <v>NO APLICA</v>
      </c>
      <c r="LU204" s="6"/>
      <c r="LV204" s="6"/>
      <c r="LW204" s="4"/>
      <c r="LX204" s="8"/>
      <c r="LY204" s="5" t="str">
        <f t="shared" si="764"/>
        <v>NO APLICA</v>
      </c>
      <c r="LZ204" s="6"/>
      <c r="MA204" s="6"/>
      <c r="MB204" s="4"/>
      <c r="MC204" s="8"/>
      <c r="MD204" s="5" t="str">
        <f t="shared" si="765"/>
        <v>NO APLICA</v>
      </c>
      <c r="ME204" s="2"/>
      <c r="MF204" s="2"/>
      <c r="MG204" s="4"/>
      <c r="MH204" s="8"/>
      <c r="MI204" s="5" t="str">
        <f t="shared" si="742"/>
        <v>NO APLICA</v>
      </c>
      <c r="MJ204" s="2"/>
      <c r="MK204" s="2"/>
      <c r="ML204" s="4"/>
      <c r="MM204" s="8"/>
      <c r="MN204" s="5" t="str">
        <f t="shared" si="743"/>
        <v>NO APLICA</v>
      </c>
      <c r="MO204" s="5"/>
      <c r="MP204" s="2"/>
      <c r="MQ204" s="4"/>
      <c r="MR204" s="8"/>
      <c r="MS204" s="5" t="str">
        <f t="shared" si="744"/>
        <v>NO APLICA</v>
      </c>
      <c r="MT204" s="5"/>
      <c r="MU204" s="2"/>
      <c r="MV204" s="4"/>
      <c r="MW204" s="2"/>
      <c r="MX204" s="5" t="str">
        <f t="shared" si="745"/>
        <v>NO APLICA</v>
      </c>
      <c r="MY204" s="2"/>
      <c r="MZ204" s="6"/>
      <c r="NA204" s="4"/>
      <c r="NB204" s="8"/>
      <c r="NC204" s="5" t="str">
        <f t="shared" si="746"/>
        <v>NO APLICA</v>
      </c>
      <c r="ND204" s="2"/>
      <c r="NE204" s="6"/>
      <c r="NF204" s="4"/>
      <c r="NG204" s="8"/>
      <c r="NH204" s="5" t="str">
        <f t="shared" si="747"/>
        <v>NO APLICA</v>
      </c>
      <c r="NI204" s="2"/>
      <c r="NJ204" s="6"/>
      <c r="NK204" s="4"/>
      <c r="NL204" s="8"/>
      <c r="NM204" s="5" t="str">
        <f t="shared" si="748"/>
        <v>NO APLICA</v>
      </c>
      <c r="NN204" s="2"/>
      <c r="NO204" s="2"/>
      <c r="NP204" s="4"/>
      <c r="NQ204" s="8"/>
      <c r="NR204" s="5" t="str">
        <f t="shared" si="749"/>
        <v>NO APLICA</v>
      </c>
      <c r="NS204" s="2"/>
      <c r="NT204" s="2"/>
      <c r="NU204" s="4"/>
      <c r="NV204" s="2"/>
      <c r="NW204" s="5" t="str">
        <f t="shared" si="750"/>
        <v>NO APLICA</v>
      </c>
      <c r="NX204" s="6"/>
      <c r="NY204" s="6"/>
      <c r="NZ204" s="4"/>
      <c r="OA204" s="8"/>
      <c r="OB204" s="5" t="str">
        <f t="shared" si="751"/>
        <v>NO APLICA</v>
      </c>
      <c r="OC204" s="6"/>
      <c r="OD204" s="6"/>
      <c r="OE204" s="6"/>
      <c r="OF204" s="6"/>
      <c r="OG204" s="5" t="str">
        <f t="shared" si="752"/>
        <v>NO APLICA</v>
      </c>
      <c r="OH204" s="6"/>
      <c r="OI204" s="6"/>
      <c r="OJ204" s="4"/>
      <c r="OK204" s="8"/>
      <c r="OL204" s="5" t="str">
        <f t="shared" si="753"/>
        <v>NO APLICA</v>
      </c>
      <c r="OM204" s="6"/>
      <c r="ON204" s="6"/>
      <c r="OO204" s="6"/>
      <c r="OP204" s="6"/>
      <c r="OQ204" s="5" t="str">
        <f t="shared" si="754"/>
        <v>NO APLICA</v>
      </c>
      <c r="OR204" s="6"/>
      <c r="OS204" s="6"/>
      <c r="OT204" s="6"/>
      <c r="OU204" s="6"/>
      <c r="OV204" s="5" t="str">
        <f t="shared" si="755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6"/>
        <v>NO APLICA</v>
      </c>
      <c r="PG204" s="6"/>
      <c r="PH204" s="6"/>
      <c r="PI204" s="6"/>
      <c r="PJ204" s="6"/>
      <c r="PK204" s="5" t="str">
        <f t="shared" si="757"/>
        <v>NO APLICA</v>
      </c>
      <c r="PL204" s="5"/>
      <c r="PM204" s="6"/>
      <c r="PN204" s="4"/>
      <c r="PO204" s="8"/>
      <c r="PP204" s="5" t="str">
        <f t="shared" si="766"/>
        <v>NO APLICA</v>
      </c>
      <c r="PQ204" s="6"/>
      <c r="PR204" s="6"/>
      <c r="PS204" s="6"/>
      <c r="PT204" s="6"/>
      <c r="PU204" s="5" t="str">
        <f t="shared" si="758"/>
        <v>NO APLICA</v>
      </c>
      <c r="PV204" s="5"/>
      <c r="PW204" s="6"/>
      <c r="PX204" s="6"/>
      <c r="PY204" s="6"/>
      <c r="PZ204" s="5" t="str">
        <f t="shared" si="759"/>
        <v>NO APLICA</v>
      </c>
    </row>
    <row r="205" spans="1:442" ht="15.6" hidden="1" thickTop="1" thickBot="1" x14ac:dyDescent="0.35">
      <c r="A205" s="26">
        <v>202</v>
      </c>
      <c r="B205" s="31">
        <v>1733</v>
      </c>
      <c r="C205" s="28" t="s">
        <v>632</v>
      </c>
      <c r="D205" s="29" t="s">
        <v>633</v>
      </c>
      <c r="E205" s="30" t="s">
        <v>634</v>
      </c>
      <c r="F205" s="3"/>
      <c r="G205" s="4"/>
      <c r="H205" s="4"/>
      <c r="I205" s="8"/>
      <c r="J205" s="5" t="str">
        <f t="shared" si="696"/>
        <v>NO APLICA</v>
      </c>
      <c r="K205" s="2"/>
      <c r="L205" s="2"/>
      <c r="M205" s="2"/>
      <c r="N205" s="2"/>
      <c r="O205" s="5" t="str">
        <f t="shared" si="699"/>
        <v>NO APLICA</v>
      </c>
      <c r="P205" s="6"/>
      <c r="Q205" s="6"/>
      <c r="R205" s="4"/>
      <c r="S205" s="8"/>
      <c r="T205" s="5" t="str">
        <f t="shared" si="697"/>
        <v>NO APLICA</v>
      </c>
      <c r="U205" s="5"/>
      <c r="V205" s="2"/>
      <c r="W205" s="4"/>
      <c r="X205" s="4"/>
      <c r="Y205" s="8"/>
      <c r="Z205" s="5" t="str">
        <f t="shared" si="605"/>
        <v>NO APLICA</v>
      </c>
      <c r="AA205" s="5"/>
      <c r="AB205" s="2"/>
      <c r="AC205" s="6"/>
      <c r="AD205" s="4"/>
      <c r="AE205" s="8"/>
      <c r="AF205" s="5" t="str">
        <f t="shared" si="700"/>
        <v>NO APLICA</v>
      </c>
      <c r="AG205" s="2"/>
      <c r="AH205" s="4"/>
      <c r="AI205" s="4"/>
      <c r="AJ205" s="8"/>
      <c r="AK205" s="5" t="str">
        <f t="shared" si="602"/>
        <v>NO APLICA</v>
      </c>
      <c r="AL205" s="2"/>
      <c r="AM205" s="4"/>
      <c r="AN205" s="4"/>
      <c r="AO205" s="8"/>
      <c r="AP205" s="5" t="str">
        <f t="shared" si="701"/>
        <v>NO APLICA</v>
      </c>
      <c r="AQ205" s="2"/>
      <c r="AR205" s="4"/>
      <c r="AS205" s="4"/>
      <c r="AT205" s="8"/>
      <c r="AU205" s="5" t="str">
        <f t="shared" si="702"/>
        <v>NO APLICA</v>
      </c>
      <c r="AV205" s="2"/>
      <c r="AW205" s="4"/>
      <c r="AX205" s="4"/>
      <c r="AY205" s="8"/>
      <c r="AZ205" s="5" t="str">
        <f t="shared" si="703"/>
        <v>NO APLICA</v>
      </c>
      <c r="BA205" s="3"/>
      <c r="BB205" s="4"/>
      <c r="BC205" s="4"/>
      <c r="BD205" s="8"/>
      <c r="BE205" s="5" t="str">
        <f t="shared" si="704"/>
        <v>NO APLICA</v>
      </c>
      <c r="BF205" s="2"/>
      <c r="BG205" s="4"/>
      <c r="BH205" s="4"/>
      <c r="BI205" s="8"/>
      <c r="BJ205" s="5" t="str">
        <f t="shared" si="705"/>
        <v>NO APLICA</v>
      </c>
      <c r="BK205" s="3"/>
      <c r="BL205" s="4"/>
      <c r="BM205" s="4"/>
      <c r="BN205" s="8"/>
      <c r="BO205" s="5" t="str">
        <f t="shared" si="706"/>
        <v>NO APLICA</v>
      </c>
      <c r="BP205" s="3"/>
      <c r="BQ205" s="39"/>
      <c r="BR205" s="4"/>
      <c r="BS205" s="8"/>
      <c r="BT205" s="5" t="str">
        <f t="shared" si="707"/>
        <v>NO APLICA</v>
      </c>
      <c r="BU205" s="2"/>
      <c r="BV205" s="4"/>
      <c r="BW205" s="4"/>
      <c r="BX205" s="8"/>
      <c r="BY205" s="5" t="str">
        <f t="shared" si="708"/>
        <v>NO APLICA</v>
      </c>
      <c r="BZ205" s="2"/>
      <c r="CA205" s="4"/>
      <c r="CB205" s="4"/>
      <c r="CC205" s="8"/>
      <c r="CD205" s="5" t="str">
        <f t="shared" si="709"/>
        <v>NO APLICA</v>
      </c>
      <c r="CE205" s="6"/>
      <c r="CF205" s="4"/>
      <c r="CG205" s="4"/>
      <c r="CH205" s="8"/>
      <c r="CI205" s="5" t="str">
        <f t="shared" si="573"/>
        <v>NO APLICA</v>
      </c>
      <c r="CJ205" s="6"/>
      <c r="CK205" s="4"/>
      <c r="CL205" s="4"/>
      <c r="CM205" s="8"/>
      <c r="CN205" s="5" t="str">
        <f t="shared" si="710"/>
        <v>NO APLICA</v>
      </c>
      <c r="CO205" s="2"/>
      <c r="CP205" s="39"/>
      <c r="CQ205" s="4"/>
      <c r="CR205" s="8"/>
      <c r="CS205" s="5" t="str">
        <f t="shared" si="711"/>
        <v>NO APLICA</v>
      </c>
      <c r="CT205" s="2"/>
      <c r="CU205" s="4"/>
      <c r="CV205" s="4"/>
      <c r="CW205" s="8"/>
      <c r="CX205" s="5" t="str">
        <f t="shared" si="712"/>
        <v>NO APLICA</v>
      </c>
      <c r="CY205" s="3"/>
      <c r="CZ205" s="4"/>
      <c r="DA205" s="4"/>
      <c r="DB205" s="8"/>
      <c r="DC205" s="5" t="str">
        <f t="shared" si="713"/>
        <v>NO APLICA</v>
      </c>
      <c r="DD205" s="3"/>
      <c r="DE205" s="39"/>
      <c r="DF205" s="4"/>
      <c r="DG205" s="8"/>
      <c r="DH205" s="5" t="str">
        <f t="shared" si="714"/>
        <v>NO APLICA</v>
      </c>
      <c r="DI205" s="2"/>
      <c r="DJ205" s="39"/>
      <c r="DK205" s="4"/>
      <c r="DL205" s="8"/>
      <c r="DM205" s="5" t="str">
        <f t="shared" si="715"/>
        <v>NO APLICA</v>
      </c>
      <c r="DN205" s="3"/>
      <c r="DO205" s="4"/>
      <c r="DP205" s="4"/>
      <c r="DQ205" s="8"/>
      <c r="DR205" s="5" t="str">
        <f t="shared" si="716"/>
        <v>NO APLICA</v>
      </c>
      <c r="DS205" s="2"/>
      <c r="DT205" s="4"/>
      <c r="DU205" s="4"/>
      <c r="DV205" s="8"/>
      <c r="DW205" s="5" t="str">
        <f t="shared" si="717"/>
        <v>NO APLICA</v>
      </c>
      <c r="DX205" s="3"/>
      <c r="DY205" s="4"/>
      <c r="DZ205" s="4"/>
      <c r="EA205" s="8"/>
      <c r="EB205" s="5" t="str">
        <f t="shared" si="718"/>
        <v>NO APLICA</v>
      </c>
      <c r="EC205" s="3"/>
      <c r="ED205" s="39"/>
      <c r="EE205" s="4"/>
      <c r="EF205" s="8"/>
      <c r="EG205" s="5" t="str">
        <f t="shared" si="719"/>
        <v>NO APLICA</v>
      </c>
      <c r="EH205" s="2"/>
      <c r="EI205" s="4"/>
      <c r="EJ205" s="4"/>
      <c r="EK205" s="8"/>
      <c r="EL205" s="5" t="str">
        <f t="shared" si="720"/>
        <v>NO APLICA</v>
      </c>
      <c r="EM205" s="3"/>
      <c r="EN205" s="4"/>
      <c r="EO205" s="4"/>
      <c r="EP205" s="8"/>
      <c r="EQ205" s="5" t="str">
        <f t="shared" si="721"/>
        <v>NO APLICA</v>
      </c>
      <c r="ER205" s="2"/>
      <c r="ES205" s="39"/>
      <c r="ET205" s="4"/>
      <c r="EU205" s="8"/>
      <c r="EV205" s="5" t="str">
        <f t="shared" si="722"/>
        <v>NO APLICA</v>
      </c>
      <c r="EW205" s="2"/>
      <c r="EX205" s="4"/>
      <c r="EY205" s="4"/>
      <c r="EZ205" s="8"/>
      <c r="FA205" s="5" t="str">
        <f t="shared" si="723"/>
        <v>NO APLICA</v>
      </c>
      <c r="FB205" s="2"/>
      <c r="FC205" s="4"/>
      <c r="FD205" s="4"/>
      <c r="FE205" s="8"/>
      <c r="FF205" s="5" t="str">
        <f t="shared" si="724"/>
        <v>NO APLICA</v>
      </c>
      <c r="FG205" s="2"/>
      <c r="FH205" s="4"/>
      <c r="FI205" s="4"/>
      <c r="FJ205" s="8"/>
      <c r="FK205" s="5" t="str">
        <f t="shared" si="725"/>
        <v>NO APLICA</v>
      </c>
      <c r="FL205" s="3"/>
      <c r="FM205" s="39"/>
      <c r="FN205" s="4"/>
      <c r="FO205" s="8"/>
      <c r="FP205" s="5" t="str">
        <f t="shared" si="726"/>
        <v>NO APLICA</v>
      </c>
      <c r="FQ205" s="3"/>
      <c r="FR205" s="39"/>
      <c r="FS205" s="4"/>
      <c r="FT205" s="8"/>
      <c r="FU205" s="5" t="str">
        <f t="shared" si="727"/>
        <v>NO APLICA</v>
      </c>
      <c r="FV205" s="3"/>
      <c r="FW205" s="4"/>
      <c r="FX205" s="4"/>
      <c r="FY205" s="8"/>
      <c r="FZ205" s="5" t="str">
        <f t="shared" si="728"/>
        <v>NO APLICA</v>
      </c>
      <c r="GA205" s="3"/>
      <c r="GB205" s="4"/>
      <c r="GC205" s="4"/>
      <c r="GD205" s="8"/>
      <c r="GE205" s="5" t="str">
        <f t="shared" si="729"/>
        <v>NO APLICA</v>
      </c>
      <c r="GF205" s="3"/>
      <c r="GG205" s="4"/>
      <c r="GH205" s="4"/>
      <c r="GI205" s="8"/>
      <c r="GJ205" s="5" t="str">
        <f t="shared" si="730"/>
        <v>NO APLICA</v>
      </c>
      <c r="GK205" s="3"/>
      <c r="GL205" s="4"/>
      <c r="GM205" s="4"/>
      <c r="GN205" s="8"/>
      <c r="GO205" s="5" t="str">
        <f t="shared" si="731"/>
        <v>NO APLICA</v>
      </c>
      <c r="GP205" s="4"/>
      <c r="GQ205" s="4"/>
      <c r="GR205" s="4"/>
      <c r="GS205" s="8"/>
      <c r="GT205" s="5" t="str">
        <f t="shared" si="610"/>
        <v>NO APLICA</v>
      </c>
      <c r="GU205" s="3"/>
      <c r="GV205" s="4"/>
      <c r="GW205" s="4"/>
      <c r="GX205" s="8"/>
      <c r="GY205" s="5" t="str">
        <f t="shared" si="611"/>
        <v>NO APLICA</v>
      </c>
      <c r="GZ205" s="2"/>
      <c r="HA205" s="4"/>
      <c r="HB205" s="4"/>
      <c r="HC205" s="8"/>
      <c r="HD205" s="5" t="str">
        <f t="shared" si="612"/>
        <v>NO APLICA</v>
      </c>
      <c r="HE205" s="6"/>
      <c r="HF205" s="6"/>
      <c r="HG205" s="4"/>
      <c r="HH205" s="8"/>
      <c r="HI205" s="5" t="str">
        <f t="shared" si="698"/>
        <v>NO APLICA</v>
      </c>
      <c r="HJ205" s="2"/>
      <c r="HK205" s="6"/>
      <c r="HL205" s="4"/>
      <c r="HM205" s="8"/>
      <c r="HN205" s="5" t="str">
        <f t="shared" si="694"/>
        <v>NO APLICA</v>
      </c>
      <c r="HO205" s="2"/>
      <c r="HP205" s="2"/>
      <c r="HQ205" s="4"/>
      <c r="HR205" s="2"/>
      <c r="HS205" s="5" t="str">
        <f t="shared" si="732"/>
        <v>NO APLICA</v>
      </c>
      <c r="HT205" s="2"/>
      <c r="HU205" s="6"/>
      <c r="HV205" s="4"/>
      <c r="HW205" s="8"/>
      <c r="HX205" s="5" t="str">
        <f t="shared" si="733"/>
        <v>NO APLICA</v>
      </c>
      <c r="HY205" s="2"/>
      <c r="HZ205" s="6"/>
      <c r="IA205" s="4"/>
      <c r="IB205" s="8"/>
      <c r="IC205" s="5" t="str">
        <f t="shared" si="734"/>
        <v>NO APLICA</v>
      </c>
      <c r="ID205" s="2"/>
      <c r="IE205" s="6"/>
      <c r="IF205" s="4"/>
      <c r="IG205" s="8"/>
      <c r="IH205" s="5" t="str">
        <f t="shared" si="735"/>
        <v>NO APLICA</v>
      </c>
      <c r="II205" s="6"/>
      <c r="IJ205" s="6"/>
      <c r="IK205" s="4"/>
      <c r="IL205" s="8"/>
      <c r="IM205" s="5" t="str">
        <f t="shared" si="736"/>
        <v>NO APLICA</v>
      </c>
      <c r="IN205" s="2"/>
      <c r="IO205" s="6"/>
      <c r="IP205" s="4"/>
      <c r="IQ205" s="8"/>
      <c r="IR205" s="5" t="str">
        <f t="shared" si="737"/>
        <v>NO APLICA</v>
      </c>
      <c r="IS205" s="2"/>
      <c r="IT205" s="6"/>
      <c r="IU205" s="4"/>
      <c r="IV205" s="8"/>
      <c r="IW205" s="5" t="str">
        <f t="shared" si="738"/>
        <v>NO APLICA</v>
      </c>
      <c r="IX205" s="2"/>
      <c r="IY205" s="6"/>
      <c r="IZ205" s="4"/>
      <c r="JA205" s="8"/>
      <c r="JB205" s="5" t="str">
        <f t="shared" si="739"/>
        <v>NO APLICA</v>
      </c>
      <c r="JC205" s="3" t="s">
        <v>780</v>
      </c>
      <c r="JD205" s="3"/>
      <c r="JE205" s="4"/>
      <c r="JF205" s="8"/>
      <c r="JG205" s="5"/>
      <c r="JH205" s="3" t="s">
        <v>780</v>
      </c>
      <c r="JI205" s="4"/>
      <c r="JJ205" s="6"/>
      <c r="JK205" s="6"/>
      <c r="JL205" s="5"/>
      <c r="JM205" s="6" t="s">
        <v>780</v>
      </c>
      <c r="JN205" s="6"/>
      <c r="JO205" s="6"/>
      <c r="JP205" s="6"/>
      <c r="JQ205" s="5"/>
      <c r="JR205" s="6" t="s">
        <v>780</v>
      </c>
      <c r="JS205" s="4"/>
      <c r="JT205" s="6"/>
      <c r="JU205" s="6"/>
      <c r="JV205" s="5"/>
      <c r="JW205" s="6" t="s">
        <v>780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40"/>
        <v>NO APLICA</v>
      </c>
      <c r="KG205" s="5"/>
      <c r="KH205" s="2"/>
      <c r="KI205" s="4"/>
      <c r="KJ205" s="8"/>
      <c r="KK205" s="5" t="str">
        <f t="shared" si="760"/>
        <v>NO APLICA</v>
      </c>
      <c r="KL205" s="5"/>
      <c r="KM205" s="2"/>
      <c r="KN205" s="4"/>
      <c r="KO205" s="8"/>
      <c r="KP205" s="5" t="str">
        <f t="shared" si="741"/>
        <v>NO APLICA</v>
      </c>
      <c r="KQ205" s="5"/>
      <c r="KR205" s="2"/>
      <c r="KS205" s="4"/>
      <c r="KT205" s="8"/>
      <c r="KU205" s="5" t="str">
        <f t="shared" si="761"/>
        <v>NO APLICA</v>
      </c>
      <c r="KV205" s="2"/>
      <c r="KW205" s="6"/>
      <c r="KX205" s="4"/>
      <c r="KY205" s="8"/>
      <c r="KZ205" s="5" t="str">
        <f t="shared" si="767"/>
        <v>NO APLICA</v>
      </c>
      <c r="LA205" s="5"/>
      <c r="LB205" s="6"/>
      <c r="LC205" s="4"/>
      <c r="LD205" s="8"/>
      <c r="LE205" s="5" t="str">
        <f t="shared" si="762"/>
        <v>NO APLICA</v>
      </c>
      <c r="LF205" s="6"/>
      <c r="LG205" s="6"/>
      <c r="LH205" s="4"/>
      <c r="LI205" s="8"/>
      <c r="LJ205" s="5" t="str">
        <f t="shared" si="600"/>
        <v>NO APLICA</v>
      </c>
      <c r="LK205" s="5"/>
      <c r="LL205" s="5"/>
      <c r="LM205" s="4"/>
      <c r="LN205" s="8"/>
      <c r="LO205" s="5" t="str">
        <f t="shared" si="768"/>
        <v>NO APLICA</v>
      </c>
      <c r="LP205" s="2"/>
      <c r="LQ205" s="6"/>
      <c r="LR205" s="4"/>
      <c r="LS205" s="8"/>
      <c r="LT205" s="5" t="str">
        <f t="shared" si="763"/>
        <v>NO APLICA</v>
      </c>
      <c r="LU205" s="6"/>
      <c r="LV205" s="6"/>
      <c r="LW205" s="4"/>
      <c r="LX205" s="8"/>
      <c r="LY205" s="5" t="str">
        <f t="shared" si="764"/>
        <v>NO APLICA</v>
      </c>
      <c r="LZ205" s="6"/>
      <c r="MA205" s="6"/>
      <c r="MB205" s="4"/>
      <c r="MC205" s="8"/>
      <c r="MD205" s="5" t="str">
        <f t="shared" si="765"/>
        <v>NO APLICA</v>
      </c>
      <c r="ME205" s="2"/>
      <c r="MF205" s="2"/>
      <c r="MG205" s="4"/>
      <c r="MH205" s="8"/>
      <c r="MI205" s="5" t="str">
        <f t="shared" si="742"/>
        <v>NO APLICA</v>
      </c>
      <c r="MJ205" s="2"/>
      <c r="MK205" s="2"/>
      <c r="ML205" s="4"/>
      <c r="MM205" s="8"/>
      <c r="MN205" s="5" t="str">
        <f t="shared" si="743"/>
        <v>NO APLICA</v>
      </c>
      <c r="MO205" s="5"/>
      <c r="MP205" s="2"/>
      <c r="MQ205" s="4"/>
      <c r="MR205" s="8"/>
      <c r="MS205" s="5" t="str">
        <f t="shared" si="744"/>
        <v>NO APLICA</v>
      </c>
      <c r="MT205" s="5"/>
      <c r="MU205" s="2"/>
      <c r="MV205" s="4"/>
      <c r="MW205" s="2"/>
      <c r="MX205" s="5" t="str">
        <f t="shared" si="745"/>
        <v>NO APLICA</v>
      </c>
      <c r="MY205" s="2"/>
      <c r="MZ205" s="6"/>
      <c r="NA205" s="4"/>
      <c r="NB205" s="8"/>
      <c r="NC205" s="5" t="str">
        <f t="shared" si="746"/>
        <v>NO APLICA</v>
      </c>
      <c r="ND205" s="2"/>
      <c r="NE205" s="6"/>
      <c r="NF205" s="4"/>
      <c r="NG205" s="8"/>
      <c r="NH205" s="5" t="str">
        <f t="shared" si="747"/>
        <v>NO APLICA</v>
      </c>
      <c r="NI205" s="2"/>
      <c r="NJ205" s="6"/>
      <c r="NK205" s="4"/>
      <c r="NL205" s="8"/>
      <c r="NM205" s="5" t="str">
        <f t="shared" si="748"/>
        <v>NO APLICA</v>
      </c>
      <c r="NN205" s="2"/>
      <c r="NO205" s="2"/>
      <c r="NP205" s="4"/>
      <c r="NQ205" s="8"/>
      <c r="NR205" s="5" t="str">
        <f t="shared" si="749"/>
        <v>NO APLICA</v>
      </c>
      <c r="NS205" s="2"/>
      <c r="NT205" s="2"/>
      <c r="NU205" s="4"/>
      <c r="NV205" s="2"/>
      <c r="NW205" s="5" t="str">
        <f t="shared" si="750"/>
        <v>NO APLICA</v>
      </c>
      <c r="NX205" s="6"/>
      <c r="NY205" s="6"/>
      <c r="NZ205" s="4"/>
      <c r="OA205" s="8"/>
      <c r="OB205" s="5" t="str">
        <f t="shared" si="751"/>
        <v>NO APLICA</v>
      </c>
      <c r="OC205" s="6"/>
      <c r="OD205" s="6"/>
      <c r="OE205" s="6"/>
      <c r="OF205" s="6"/>
      <c r="OG205" s="5" t="str">
        <f t="shared" si="752"/>
        <v>NO APLICA</v>
      </c>
      <c r="OH205" s="6"/>
      <c r="OI205" s="6"/>
      <c r="OJ205" s="4"/>
      <c r="OK205" s="8"/>
      <c r="OL205" s="5" t="str">
        <f t="shared" si="753"/>
        <v>NO APLICA</v>
      </c>
      <c r="OM205" s="6"/>
      <c r="ON205" s="6"/>
      <c r="OO205" s="6"/>
      <c r="OP205" s="6"/>
      <c r="OQ205" s="5" t="str">
        <f t="shared" si="754"/>
        <v>NO APLICA</v>
      </c>
      <c r="OR205" s="6"/>
      <c r="OS205" s="6"/>
      <c r="OT205" s="6"/>
      <c r="OU205" s="6"/>
      <c r="OV205" s="5" t="str">
        <f t="shared" si="755"/>
        <v>NO APLICA</v>
      </c>
      <c r="OW205" s="6"/>
      <c r="OX205" s="6"/>
      <c r="OY205" s="6"/>
      <c r="OZ205" s="6"/>
      <c r="PA205" s="5" t="str">
        <f t="shared" si="769"/>
        <v>NO APLICA</v>
      </c>
      <c r="PB205" s="6"/>
      <c r="PC205" s="6"/>
      <c r="PD205" s="6"/>
      <c r="PE205" s="6"/>
      <c r="PF205" s="5" t="str">
        <f t="shared" si="756"/>
        <v>NO APLICA</v>
      </c>
      <c r="PG205" s="6"/>
      <c r="PH205" s="6"/>
      <c r="PI205" s="6"/>
      <c r="PJ205" s="6"/>
      <c r="PK205" s="5" t="str">
        <f t="shared" si="757"/>
        <v>NO APLICA</v>
      </c>
      <c r="PL205" s="5"/>
      <c r="PM205" s="6"/>
      <c r="PN205" s="4"/>
      <c r="PO205" s="8"/>
      <c r="PP205" s="5" t="str">
        <f t="shared" si="766"/>
        <v>NO APLICA</v>
      </c>
      <c r="PQ205" s="6"/>
      <c r="PR205" s="6"/>
      <c r="PS205" s="6"/>
      <c r="PT205" s="6"/>
      <c r="PU205" s="5" t="str">
        <f t="shared" si="758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9"/>
        <v>VIGENTE</v>
      </c>
    </row>
    <row r="206" spans="1:442" ht="15.6" hidden="1" thickTop="1" thickBot="1" x14ac:dyDescent="0.35">
      <c r="A206" s="26">
        <v>203</v>
      </c>
      <c r="B206" s="31">
        <v>1595</v>
      </c>
      <c r="C206" s="28" t="s">
        <v>635</v>
      </c>
      <c r="D206" s="29" t="s">
        <v>636</v>
      </c>
      <c r="E206" s="30" t="s">
        <v>637</v>
      </c>
      <c r="F206" s="6"/>
      <c r="G206" s="6"/>
      <c r="H206" s="6"/>
      <c r="I206" s="6"/>
      <c r="J206" s="5" t="str">
        <f t="shared" si="696"/>
        <v>NO APLICA</v>
      </c>
      <c r="K206" s="6"/>
      <c r="L206" s="6"/>
      <c r="M206" s="6"/>
      <c r="N206" s="6"/>
      <c r="O206" s="5" t="str">
        <f t="shared" si="699"/>
        <v>NO APLICA</v>
      </c>
      <c r="P206" s="6"/>
      <c r="Q206" s="6"/>
      <c r="R206" s="6"/>
      <c r="S206" s="6"/>
      <c r="T206" s="5" t="str">
        <f t="shared" si="697"/>
        <v>NO APLICA</v>
      </c>
      <c r="U206" s="5"/>
      <c r="V206" s="6"/>
      <c r="W206" s="4"/>
      <c r="X206" s="4"/>
      <c r="Y206" s="8"/>
      <c r="Z206" s="5" t="str">
        <f t="shared" si="605"/>
        <v>NO APLICA</v>
      </c>
      <c r="AA206" s="5"/>
      <c r="AB206" s="6"/>
      <c r="AC206" s="6"/>
      <c r="AD206" s="6"/>
      <c r="AE206" s="6"/>
      <c r="AF206" s="5" t="str">
        <f t="shared" si="700"/>
        <v>NO APLICA</v>
      </c>
      <c r="AG206" s="4"/>
      <c r="AH206" s="4"/>
      <c r="AI206" s="4"/>
      <c r="AJ206" s="6"/>
      <c r="AK206" s="5" t="str">
        <f t="shared" si="602"/>
        <v>NO APLICA</v>
      </c>
      <c r="AL206" s="4"/>
      <c r="AM206" s="4"/>
      <c r="AN206" s="4"/>
      <c r="AO206" s="6"/>
      <c r="AP206" s="5" t="str">
        <f t="shared" si="701"/>
        <v>NO APLICA</v>
      </c>
      <c r="AQ206" s="4"/>
      <c r="AR206" s="4"/>
      <c r="AS206" s="4"/>
      <c r="AT206" s="6"/>
      <c r="AU206" s="5" t="str">
        <f t="shared" si="702"/>
        <v>NO APLICA</v>
      </c>
      <c r="AV206" s="4"/>
      <c r="AW206" s="4"/>
      <c r="AX206" s="4"/>
      <c r="AY206" s="6"/>
      <c r="AZ206" s="5" t="str">
        <f t="shared" si="703"/>
        <v>NO APLICA</v>
      </c>
      <c r="BA206" s="4"/>
      <c r="BB206" s="4"/>
      <c r="BC206" s="4"/>
      <c r="BD206" s="6"/>
      <c r="BE206" s="5" t="str">
        <f t="shared" si="704"/>
        <v>NO APLICA</v>
      </c>
      <c r="BF206" s="4"/>
      <c r="BG206" s="4"/>
      <c r="BH206" s="4"/>
      <c r="BI206" s="6"/>
      <c r="BJ206" s="5" t="str">
        <f t="shared" si="705"/>
        <v>NO APLICA</v>
      </c>
      <c r="BK206" s="4"/>
      <c r="BL206" s="4"/>
      <c r="BM206" s="4"/>
      <c r="BN206" s="6"/>
      <c r="BO206" s="5" t="str">
        <f t="shared" si="706"/>
        <v>NO APLICA</v>
      </c>
      <c r="BP206" s="4"/>
      <c r="BQ206" s="4"/>
      <c r="BR206" s="4"/>
      <c r="BS206" s="6"/>
      <c r="BT206" s="5" t="str">
        <f t="shared" si="707"/>
        <v>NO APLICA</v>
      </c>
      <c r="BU206" s="4"/>
      <c r="BV206" s="4"/>
      <c r="BW206" s="4"/>
      <c r="BX206" s="6"/>
      <c r="BY206" s="5" t="str">
        <f t="shared" si="708"/>
        <v>NO APLICA</v>
      </c>
      <c r="BZ206" s="4"/>
      <c r="CA206" s="4"/>
      <c r="CB206" s="4"/>
      <c r="CC206" s="6"/>
      <c r="CD206" s="5" t="str">
        <f t="shared" si="709"/>
        <v>NO APLICA</v>
      </c>
      <c r="CE206" s="6"/>
      <c r="CF206" s="4">
        <v>46134</v>
      </c>
      <c r="CG206" s="4">
        <f>DATE(YEAR(CF206)+4,MONTH(CF206),DAY(CF206))</f>
        <v>47595</v>
      </c>
      <c r="CH206" s="8">
        <f ca="1">CG206-TODAY()</f>
        <v>1450</v>
      </c>
      <c r="CI206" s="5" t="str">
        <f ca="1">IF(CH206&gt;=90,"VIGENTE",IF(CH206&gt;=1,"POR VENCER",IF(CH206&lt;=-1,"VENCIDA",IF(CH206=0,"NO APLICA"))))</f>
        <v>VIGENTE</v>
      </c>
      <c r="CJ206" s="4"/>
      <c r="CK206" s="4"/>
      <c r="CL206" s="4"/>
      <c r="CM206" s="6"/>
      <c r="CN206" s="5" t="str">
        <f t="shared" si="710"/>
        <v>NO APLICA</v>
      </c>
      <c r="CO206" s="4"/>
      <c r="CP206" s="4"/>
      <c r="CQ206" s="4"/>
      <c r="CR206" s="6"/>
      <c r="CS206" s="5" t="str">
        <f t="shared" si="711"/>
        <v>NO APLICA</v>
      </c>
      <c r="CT206" s="4"/>
      <c r="CU206" s="4"/>
      <c r="CV206" s="4"/>
      <c r="CW206" s="6"/>
      <c r="CX206" s="5" t="str">
        <f t="shared" si="712"/>
        <v>NO APLICA</v>
      </c>
      <c r="CY206" s="4"/>
      <c r="CZ206" s="4"/>
      <c r="DA206" s="4"/>
      <c r="DB206" s="6"/>
      <c r="DC206" s="5" t="str">
        <f t="shared" si="713"/>
        <v>NO APLICA</v>
      </c>
      <c r="DD206" s="4"/>
      <c r="DE206" s="4"/>
      <c r="DF206" s="4"/>
      <c r="DG206" s="6"/>
      <c r="DH206" s="5" t="str">
        <f t="shared" si="714"/>
        <v>NO APLICA</v>
      </c>
      <c r="DI206" s="4"/>
      <c r="DJ206" s="4"/>
      <c r="DK206" s="4"/>
      <c r="DL206" s="6"/>
      <c r="DM206" s="5" t="str">
        <f t="shared" si="715"/>
        <v>NO APLICA</v>
      </c>
      <c r="DN206" s="4"/>
      <c r="DO206" s="4"/>
      <c r="DP206" s="4"/>
      <c r="DQ206" s="6"/>
      <c r="DR206" s="5" t="str">
        <f t="shared" si="716"/>
        <v>NO APLICA</v>
      </c>
      <c r="DS206" s="4"/>
      <c r="DT206" s="4"/>
      <c r="DU206" s="4"/>
      <c r="DV206" s="6"/>
      <c r="DW206" s="5" t="str">
        <f t="shared" si="717"/>
        <v>NO APLICA</v>
      </c>
      <c r="DX206" s="4"/>
      <c r="DY206" s="4"/>
      <c r="DZ206" s="4"/>
      <c r="EA206" s="6"/>
      <c r="EB206" s="5" t="str">
        <f t="shared" si="718"/>
        <v>NO APLICA</v>
      </c>
      <c r="EC206" s="4"/>
      <c r="ED206" s="4"/>
      <c r="EE206" s="4"/>
      <c r="EF206" s="6"/>
      <c r="EG206" s="5" t="str">
        <f t="shared" si="719"/>
        <v>NO APLICA</v>
      </c>
      <c r="EH206" s="4"/>
      <c r="EI206" s="4"/>
      <c r="EJ206" s="4"/>
      <c r="EK206" s="8"/>
      <c r="EL206" s="5" t="str">
        <f t="shared" si="720"/>
        <v>NO APLICA</v>
      </c>
      <c r="EM206" s="4"/>
      <c r="EN206" s="4"/>
      <c r="EO206" s="4"/>
      <c r="EP206" s="8"/>
      <c r="EQ206" s="5" t="str">
        <f t="shared" si="721"/>
        <v>NO APLICA</v>
      </c>
      <c r="ER206" s="4"/>
      <c r="ES206" s="4"/>
      <c r="ET206" s="4"/>
      <c r="EU206" s="8"/>
      <c r="EV206" s="5" t="str">
        <f t="shared" si="722"/>
        <v>NO APLICA</v>
      </c>
      <c r="EW206" s="4"/>
      <c r="EX206" s="4"/>
      <c r="EY206" s="4"/>
      <c r="EZ206" s="6"/>
      <c r="FA206" s="5" t="str">
        <f t="shared" si="723"/>
        <v>NO APLICA</v>
      </c>
      <c r="FB206" s="4"/>
      <c r="FC206" s="4"/>
      <c r="FD206" s="4"/>
      <c r="FE206" s="6"/>
      <c r="FF206" s="5" t="str">
        <f t="shared" si="724"/>
        <v>NO APLICA</v>
      </c>
      <c r="FG206" s="4"/>
      <c r="FH206" s="4"/>
      <c r="FI206" s="4"/>
      <c r="FJ206" s="6"/>
      <c r="FK206" s="5" t="str">
        <f t="shared" si="725"/>
        <v>NO APLICA</v>
      </c>
      <c r="FL206" s="4"/>
      <c r="FM206" s="4"/>
      <c r="FN206" s="4"/>
      <c r="FO206" s="6"/>
      <c r="FP206" s="5" t="str">
        <f t="shared" si="726"/>
        <v>NO APLICA</v>
      </c>
      <c r="FQ206" s="4"/>
      <c r="FR206" s="4"/>
      <c r="FS206" s="4"/>
      <c r="FT206" s="6"/>
      <c r="FU206" s="5" t="str">
        <f t="shared" si="727"/>
        <v>NO APLICA</v>
      </c>
      <c r="FV206" s="4"/>
      <c r="FW206" s="4"/>
      <c r="FX206" s="4"/>
      <c r="FY206" s="6"/>
      <c r="FZ206" s="5" t="str">
        <f t="shared" si="728"/>
        <v>NO APLICA</v>
      </c>
      <c r="GA206" s="4"/>
      <c r="GB206" s="4"/>
      <c r="GC206" s="4"/>
      <c r="GD206" s="6"/>
      <c r="GE206" s="5" t="str">
        <f t="shared" si="729"/>
        <v>NO APLICA</v>
      </c>
      <c r="GF206" s="4"/>
      <c r="GG206" s="4"/>
      <c r="GH206" s="4"/>
      <c r="GI206" s="8"/>
      <c r="GJ206" s="5" t="str">
        <f t="shared" si="730"/>
        <v>NO APLICA</v>
      </c>
      <c r="GK206" s="4"/>
      <c r="GL206" s="6"/>
      <c r="GM206" s="6"/>
      <c r="GN206" s="6"/>
      <c r="GO206" s="5" t="str">
        <f t="shared" si="731"/>
        <v>NO APLICA</v>
      </c>
      <c r="GP206" s="4"/>
      <c r="GQ206" s="6"/>
      <c r="GR206" s="6"/>
      <c r="GS206" s="6"/>
      <c r="GT206" s="5" t="str">
        <f t="shared" si="610"/>
        <v>NO APLICA</v>
      </c>
      <c r="GU206" s="4"/>
      <c r="GV206" s="6"/>
      <c r="GW206" s="6"/>
      <c r="GX206" s="6"/>
      <c r="GY206" s="5" t="str">
        <f t="shared" si="611"/>
        <v>NO APLICA</v>
      </c>
      <c r="GZ206" s="6"/>
      <c r="HA206" s="6"/>
      <c r="HB206" s="6"/>
      <c r="HC206" s="6"/>
      <c r="HD206" s="5" t="str">
        <f t="shared" si="612"/>
        <v>NO APLICA</v>
      </c>
      <c r="HE206" s="6"/>
      <c r="HF206" s="6"/>
      <c r="HG206" s="4"/>
      <c r="HH206" s="8"/>
      <c r="HI206" s="5" t="str">
        <f t="shared" si="698"/>
        <v>NO APLICA</v>
      </c>
      <c r="HJ206" s="6"/>
      <c r="HK206" s="6"/>
      <c r="HL206" s="6"/>
      <c r="HM206" s="6"/>
      <c r="HN206" s="5" t="str">
        <f t="shared" si="694"/>
        <v>NO APLICA</v>
      </c>
      <c r="HO206" s="6"/>
      <c r="HP206" s="6"/>
      <c r="HQ206" s="6"/>
      <c r="HR206" s="6"/>
      <c r="HS206" s="5" t="str">
        <f t="shared" si="732"/>
        <v>NO APLICA</v>
      </c>
      <c r="HT206" s="6"/>
      <c r="HU206" s="6"/>
      <c r="HV206" s="6"/>
      <c r="HW206" s="6"/>
      <c r="HX206" s="5" t="str">
        <f t="shared" si="733"/>
        <v>NO APLICA</v>
      </c>
      <c r="HY206" s="6"/>
      <c r="HZ206" s="6"/>
      <c r="IA206" s="6"/>
      <c r="IB206" s="6"/>
      <c r="IC206" s="5" t="str">
        <f t="shared" si="734"/>
        <v>NO APLICA</v>
      </c>
      <c r="ID206" s="6"/>
      <c r="IE206" s="6"/>
      <c r="IF206" s="6"/>
      <c r="IG206" s="6"/>
      <c r="IH206" s="5" t="str">
        <f t="shared" si="735"/>
        <v>NO APLICA</v>
      </c>
      <c r="II206" s="6"/>
      <c r="IJ206" s="6"/>
      <c r="IK206" s="6"/>
      <c r="IL206" s="6"/>
      <c r="IM206" s="5" t="str">
        <f t="shared" si="736"/>
        <v>NO APLICA</v>
      </c>
      <c r="IN206" s="6"/>
      <c r="IO206" s="6"/>
      <c r="IP206" s="6"/>
      <c r="IQ206" s="6"/>
      <c r="IR206" s="5" t="str">
        <f t="shared" si="737"/>
        <v>NO APLICA</v>
      </c>
      <c r="IS206" s="6"/>
      <c r="IT206" s="6"/>
      <c r="IU206" s="6"/>
      <c r="IV206" s="6"/>
      <c r="IW206" s="5" t="str">
        <f t="shared" si="738"/>
        <v>NO APLICA</v>
      </c>
      <c r="IX206" s="6"/>
      <c r="IY206" s="6"/>
      <c r="IZ206" s="6"/>
      <c r="JA206" s="6"/>
      <c r="JB206" s="5" t="str">
        <f t="shared" si="739"/>
        <v>NO APLICA</v>
      </c>
      <c r="JC206" s="3" t="s">
        <v>780</v>
      </c>
      <c r="JD206" s="6"/>
      <c r="JE206" s="6"/>
      <c r="JF206" s="6"/>
      <c r="JG206" s="5"/>
      <c r="JH206" s="3" t="s">
        <v>780</v>
      </c>
      <c r="JI206" s="6"/>
      <c r="JJ206" s="6"/>
      <c r="JK206" s="6"/>
      <c r="JL206" s="5"/>
      <c r="JM206" s="6" t="s">
        <v>780</v>
      </c>
      <c r="JN206" s="6"/>
      <c r="JO206" s="6"/>
      <c r="JP206" s="6"/>
      <c r="JQ206" s="5"/>
      <c r="JR206" s="6" t="s">
        <v>780</v>
      </c>
      <c r="JS206" s="6"/>
      <c r="JT206" s="6"/>
      <c r="JU206" s="6"/>
      <c r="JV206" s="5"/>
      <c r="JW206" s="6" t="s">
        <v>780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40"/>
        <v>NO APLICA</v>
      </c>
      <c r="KG206" s="5"/>
      <c r="KH206" s="6"/>
      <c r="KI206" s="6"/>
      <c r="KJ206" s="6"/>
      <c r="KK206" s="5" t="str">
        <f t="shared" si="760"/>
        <v>NO APLICA</v>
      </c>
      <c r="KL206" s="5"/>
      <c r="KM206" s="6"/>
      <c r="KN206" s="6"/>
      <c r="KO206" s="6"/>
      <c r="KP206" s="5" t="str">
        <f t="shared" si="741"/>
        <v>NO APLICA</v>
      </c>
      <c r="KQ206" s="5"/>
      <c r="KR206" s="6"/>
      <c r="KS206" s="6"/>
      <c r="KT206" s="6"/>
      <c r="KU206" s="5" t="str">
        <f t="shared" si="761"/>
        <v>NO APLICA</v>
      </c>
      <c r="KV206" s="6"/>
      <c r="KW206" s="6"/>
      <c r="KX206" s="6"/>
      <c r="KY206" s="6"/>
      <c r="KZ206" s="5" t="str">
        <f t="shared" si="767"/>
        <v>NO APLICA</v>
      </c>
      <c r="LA206" s="5"/>
      <c r="LB206" s="6"/>
      <c r="LC206" s="6"/>
      <c r="LD206" s="6"/>
      <c r="LE206" s="5" t="str">
        <f t="shared" si="762"/>
        <v>NO APLICA</v>
      </c>
      <c r="LF206" s="6"/>
      <c r="LG206" s="6"/>
      <c r="LH206" s="6"/>
      <c r="LI206" s="6"/>
      <c r="LJ206" s="5" t="str">
        <f t="shared" si="600"/>
        <v>NO APLICA</v>
      </c>
      <c r="LK206" s="5"/>
      <c r="LL206" s="5"/>
      <c r="LM206" s="4"/>
      <c r="LN206" s="8"/>
      <c r="LO206" s="5" t="str">
        <f t="shared" si="768"/>
        <v>NO APLICA</v>
      </c>
      <c r="LP206" s="6"/>
      <c r="LQ206" s="6"/>
      <c r="LR206" s="6"/>
      <c r="LS206" s="6"/>
      <c r="LT206" s="5" t="str">
        <f t="shared" si="763"/>
        <v>NO APLICA</v>
      </c>
      <c r="LU206" s="6"/>
      <c r="LV206" s="6"/>
      <c r="LW206" s="6"/>
      <c r="LX206" s="6"/>
      <c r="LY206" s="5" t="str">
        <f t="shared" si="764"/>
        <v>NO APLICA</v>
      </c>
      <c r="LZ206" s="6"/>
      <c r="MA206" s="6"/>
      <c r="MB206" s="6"/>
      <c r="MC206" s="6"/>
      <c r="MD206" s="5" t="str">
        <f t="shared" si="765"/>
        <v>NO APLICA</v>
      </c>
      <c r="ME206" s="6"/>
      <c r="MF206" s="6"/>
      <c r="MG206" s="6"/>
      <c r="MH206" s="6"/>
      <c r="MI206" s="5" t="str">
        <f t="shared" si="742"/>
        <v>NO APLICA</v>
      </c>
      <c r="MJ206" s="6"/>
      <c r="MK206" s="6"/>
      <c r="ML206" s="6"/>
      <c r="MM206" s="6"/>
      <c r="MN206" s="5" t="str">
        <f t="shared" si="743"/>
        <v>NO APLICA</v>
      </c>
      <c r="MO206" s="5"/>
      <c r="MP206" s="6"/>
      <c r="MQ206" s="6"/>
      <c r="MR206" s="6"/>
      <c r="MS206" s="5" t="str">
        <f t="shared" si="744"/>
        <v>NO APLICA</v>
      </c>
      <c r="MT206" s="5"/>
      <c r="MU206" s="6"/>
      <c r="MV206" s="6"/>
      <c r="MW206" s="6"/>
      <c r="MX206" s="5" t="str">
        <f t="shared" si="745"/>
        <v>NO APLICA</v>
      </c>
      <c r="MY206" s="6"/>
      <c r="MZ206" s="6"/>
      <c r="NA206" s="6"/>
      <c r="NB206" s="6"/>
      <c r="NC206" s="5" t="str">
        <f t="shared" si="746"/>
        <v>NO APLICA</v>
      </c>
      <c r="ND206" s="6"/>
      <c r="NE206" s="6"/>
      <c r="NF206" s="6"/>
      <c r="NG206" s="6"/>
      <c r="NH206" s="5" t="str">
        <f t="shared" si="747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9"/>
        <v>NO APLICA</v>
      </c>
      <c r="NS206" s="6"/>
      <c r="NT206" s="6"/>
      <c r="NU206" s="6"/>
      <c r="NV206" s="6"/>
      <c r="NW206" s="5" t="str">
        <f t="shared" si="750"/>
        <v>NO APLICA</v>
      </c>
      <c r="NX206" s="6"/>
      <c r="NY206" s="6"/>
      <c r="NZ206" s="6"/>
      <c r="OA206" s="6"/>
      <c r="OB206" s="5" t="str">
        <f t="shared" si="751"/>
        <v>NO APLICA</v>
      </c>
      <c r="OC206" s="6"/>
      <c r="OD206" s="6"/>
      <c r="OE206" s="6"/>
      <c r="OF206" s="6"/>
      <c r="OG206" s="5" t="str">
        <f t="shared" si="752"/>
        <v>NO APLICA</v>
      </c>
      <c r="OH206" s="6"/>
      <c r="OI206" s="6"/>
      <c r="OJ206" s="6"/>
      <c r="OK206" s="6"/>
      <c r="OL206" s="5" t="str">
        <f t="shared" si="753"/>
        <v>NO APLICA</v>
      </c>
      <c r="OM206" s="6"/>
      <c r="ON206" s="6"/>
      <c r="OO206" s="6"/>
      <c r="OP206" s="6"/>
      <c r="OQ206" s="5" t="str">
        <f t="shared" si="754"/>
        <v>NO APLICA</v>
      </c>
      <c r="OR206" s="6"/>
      <c r="OS206" s="6"/>
      <c r="OT206" s="6"/>
      <c r="OU206" s="6"/>
      <c r="OV206" s="5" t="str">
        <f t="shared" si="755"/>
        <v>NO APLICA</v>
      </c>
      <c r="OW206" s="6"/>
      <c r="OX206" s="6"/>
      <c r="OY206" s="6"/>
      <c r="OZ206" s="6"/>
      <c r="PA206" s="5" t="str">
        <f t="shared" si="769"/>
        <v>NO APLICA</v>
      </c>
      <c r="PB206" s="6"/>
      <c r="PC206" s="6"/>
      <c r="PD206" s="6"/>
      <c r="PE206" s="6"/>
      <c r="PF206" s="5" t="str">
        <f t="shared" si="756"/>
        <v>NO APLICA</v>
      </c>
      <c r="PG206" s="6"/>
      <c r="PH206" s="6"/>
      <c r="PI206" s="6"/>
      <c r="PJ206" s="6"/>
      <c r="PK206" s="5" t="str">
        <f t="shared" si="757"/>
        <v>NO APLICA</v>
      </c>
      <c r="PL206" s="5"/>
      <c r="PM206" s="6"/>
      <c r="PN206" s="6"/>
      <c r="PO206" s="6"/>
      <c r="PP206" s="5" t="str">
        <f t="shared" si="766"/>
        <v>NO APLICA</v>
      </c>
      <c r="PQ206" s="6"/>
      <c r="PR206" s="6"/>
      <c r="PS206" s="6"/>
      <c r="PT206" s="6"/>
      <c r="PU206" s="5" t="str">
        <f t="shared" si="758"/>
        <v>NO APLICA</v>
      </c>
      <c r="PV206" s="5"/>
      <c r="PW206" s="6"/>
      <c r="PX206" s="6"/>
      <c r="PY206" s="6"/>
      <c r="PZ206" s="5" t="str">
        <f t="shared" si="759"/>
        <v>NO APLICA</v>
      </c>
    </row>
    <row r="207" spans="1:442" ht="15.6" hidden="1" thickTop="1" thickBot="1" x14ac:dyDescent="0.35">
      <c r="A207" s="26">
        <v>204</v>
      </c>
      <c r="B207" s="31">
        <v>1561</v>
      </c>
      <c r="C207" s="28" t="s">
        <v>638</v>
      </c>
      <c r="D207" s="29" t="s">
        <v>64</v>
      </c>
      <c r="E207" s="30" t="s">
        <v>639</v>
      </c>
      <c r="F207" s="6"/>
      <c r="G207" s="6"/>
      <c r="H207" s="6"/>
      <c r="I207" s="6"/>
      <c r="J207" s="5" t="str">
        <f t="shared" si="696"/>
        <v>NO APLICA</v>
      </c>
      <c r="K207" s="6"/>
      <c r="L207" s="6"/>
      <c r="M207" s="6"/>
      <c r="N207" s="6"/>
      <c r="O207" s="5" t="str">
        <f t="shared" si="699"/>
        <v>NO APLICA</v>
      </c>
      <c r="P207" s="6"/>
      <c r="Q207" s="6"/>
      <c r="R207" s="6"/>
      <c r="S207" s="6"/>
      <c r="T207" s="5" t="str">
        <f t="shared" si="697"/>
        <v>NO APLICA</v>
      </c>
      <c r="U207" s="5"/>
      <c r="V207" s="6"/>
      <c r="W207" s="4"/>
      <c r="X207" s="4"/>
      <c r="Y207" s="8"/>
      <c r="Z207" s="5" t="str">
        <f t="shared" si="605"/>
        <v>NO APLICA</v>
      </c>
      <c r="AA207" s="5"/>
      <c r="AB207" s="6"/>
      <c r="AC207" s="6"/>
      <c r="AD207" s="6"/>
      <c r="AE207" s="6"/>
      <c r="AF207" s="5" t="str">
        <f t="shared" si="700"/>
        <v>NO APLICA</v>
      </c>
      <c r="AG207" s="4"/>
      <c r="AH207" s="4"/>
      <c r="AI207" s="4"/>
      <c r="AJ207" s="6"/>
      <c r="AK207" s="5" t="str">
        <f t="shared" si="602"/>
        <v>NO APLICA</v>
      </c>
      <c r="AL207" s="4"/>
      <c r="AM207" s="4"/>
      <c r="AN207" s="4"/>
      <c r="AO207" s="6"/>
      <c r="AP207" s="5" t="str">
        <f t="shared" si="701"/>
        <v>NO APLICA</v>
      </c>
      <c r="AQ207" s="4"/>
      <c r="AR207" s="4"/>
      <c r="AS207" s="4"/>
      <c r="AT207" s="6"/>
      <c r="AU207" s="5" t="str">
        <f t="shared" si="702"/>
        <v>NO APLICA</v>
      </c>
      <c r="AV207" s="4"/>
      <c r="AW207" s="4"/>
      <c r="AX207" s="4"/>
      <c r="AY207" s="6"/>
      <c r="AZ207" s="5" t="str">
        <f t="shared" si="703"/>
        <v>NO APLICA</v>
      </c>
      <c r="BA207" s="4"/>
      <c r="BB207" s="4"/>
      <c r="BC207" s="4"/>
      <c r="BD207" s="6"/>
      <c r="BE207" s="5" t="str">
        <f t="shared" si="704"/>
        <v>NO APLICA</v>
      </c>
      <c r="BF207" s="4"/>
      <c r="BG207" s="4"/>
      <c r="BH207" s="4"/>
      <c r="BI207" s="6"/>
      <c r="BJ207" s="5" t="str">
        <f t="shared" si="705"/>
        <v>NO APLICA</v>
      </c>
      <c r="BK207" s="4"/>
      <c r="BL207" s="4"/>
      <c r="BM207" s="4"/>
      <c r="BN207" s="6"/>
      <c r="BO207" s="5" t="str">
        <f t="shared" si="706"/>
        <v>NO APLICA</v>
      </c>
      <c r="BP207" s="4"/>
      <c r="BQ207" s="4"/>
      <c r="BR207" s="4"/>
      <c r="BS207" s="6"/>
      <c r="BT207" s="5" t="str">
        <f t="shared" si="707"/>
        <v>NO APLICA</v>
      </c>
      <c r="BU207" s="4"/>
      <c r="BV207" s="4"/>
      <c r="BW207" s="4"/>
      <c r="BX207" s="6"/>
      <c r="BY207" s="5" t="str">
        <f t="shared" si="708"/>
        <v>NO APLICA</v>
      </c>
      <c r="BZ207" s="4"/>
      <c r="CA207" s="4"/>
      <c r="CB207" s="4"/>
      <c r="CC207" s="6"/>
      <c r="CD207" s="5" t="str">
        <f t="shared" si="709"/>
        <v>NO APLICA</v>
      </c>
      <c r="CE207" s="6"/>
      <c r="CF207" s="6"/>
      <c r="CG207" s="6"/>
      <c r="CH207" s="6"/>
      <c r="CI207" s="5" t="str">
        <f t="shared" si="573"/>
        <v>NO APLICA</v>
      </c>
      <c r="CJ207" s="4"/>
      <c r="CK207" s="4"/>
      <c r="CL207" s="4"/>
      <c r="CM207" s="6"/>
      <c r="CN207" s="5" t="str">
        <f t="shared" si="710"/>
        <v>NO APLICA</v>
      </c>
      <c r="CO207" s="4"/>
      <c r="CP207" s="4"/>
      <c r="CQ207" s="4"/>
      <c r="CR207" s="6"/>
      <c r="CS207" s="5" t="str">
        <f t="shared" si="711"/>
        <v>NO APLICA</v>
      </c>
      <c r="CT207" s="4"/>
      <c r="CU207" s="4"/>
      <c r="CV207" s="4"/>
      <c r="CW207" s="6"/>
      <c r="CX207" s="5" t="str">
        <f t="shared" si="712"/>
        <v>NO APLICA</v>
      </c>
      <c r="CY207" s="4"/>
      <c r="CZ207" s="4"/>
      <c r="DA207" s="4"/>
      <c r="DB207" s="6"/>
      <c r="DC207" s="5" t="str">
        <f t="shared" si="713"/>
        <v>NO APLICA</v>
      </c>
      <c r="DD207" s="4"/>
      <c r="DE207" s="4"/>
      <c r="DF207" s="4"/>
      <c r="DG207" s="6"/>
      <c r="DH207" s="5" t="str">
        <f t="shared" si="714"/>
        <v>NO APLICA</v>
      </c>
      <c r="DI207" s="4"/>
      <c r="DJ207" s="4"/>
      <c r="DK207" s="4"/>
      <c r="DL207" s="6"/>
      <c r="DM207" s="5" t="str">
        <f t="shared" si="715"/>
        <v>NO APLICA</v>
      </c>
      <c r="DN207" s="4"/>
      <c r="DO207" s="4"/>
      <c r="DP207" s="4"/>
      <c r="DQ207" s="6"/>
      <c r="DR207" s="5" t="str">
        <f t="shared" si="716"/>
        <v>NO APLICA</v>
      </c>
      <c r="DS207" s="4"/>
      <c r="DT207" s="4"/>
      <c r="DU207" s="4"/>
      <c r="DV207" s="6"/>
      <c r="DW207" s="5" t="str">
        <f t="shared" si="717"/>
        <v>NO APLICA</v>
      </c>
      <c r="DX207" s="4"/>
      <c r="DY207" s="4"/>
      <c r="DZ207" s="4"/>
      <c r="EA207" s="6"/>
      <c r="EB207" s="5" t="str">
        <f t="shared" si="718"/>
        <v>NO APLICA</v>
      </c>
      <c r="EC207" s="4"/>
      <c r="ED207" s="4"/>
      <c r="EE207" s="4"/>
      <c r="EF207" s="6"/>
      <c r="EG207" s="5" t="str">
        <f t="shared" si="719"/>
        <v>NO APLICA</v>
      </c>
      <c r="EH207" s="4"/>
      <c r="EI207" s="4"/>
      <c r="EJ207" s="4"/>
      <c r="EK207" s="8"/>
      <c r="EL207" s="5" t="str">
        <f t="shared" si="720"/>
        <v>NO APLICA</v>
      </c>
      <c r="EM207" s="4"/>
      <c r="EN207" s="4"/>
      <c r="EO207" s="4"/>
      <c r="EP207" s="8"/>
      <c r="EQ207" s="5" t="str">
        <f t="shared" si="721"/>
        <v>NO APLICA</v>
      </c>
      <c r="ER207" s="4"/>
      <c r="ES207" s="4"/>
      <c r="ET207" s="4"/>
      <c r="EU207" s="8"/>
      <c r="EV207" s="5" t="str">
        <f t="shared" si="722"/>
        <v>NO APLICA</v>
      </c>
      <c r="EW207" s="4"/>
      <c r="EX207" s="4"/>
      <c r="EY207" s="4"/>
      <c r="EZ207" s="6"/>
      <c r="FA207" s="5" t="str">
        <f t="shared" si="723"/>
        <v>NO APLICA</v>
      </c>
      <c r="FB207" s="4"/>
      <c r="FC207" s="4"/>
      <c r="FD207" s="4"/>
      <c r="FE207" s="6"/>
      <c r="FF207" s="5" t="str">
        <f t="shared" si="724"/>
        <v>NO APLICA</v>
      </c>
      <c r="FG207" s="4"/>
      <c r="FH207" s="4"/>
      <c r="FI207" s="4"/>
      <c r="FJ207" s="6"/>
      <c r="FK207" s="5" t="str">
        <f t="shared" si="725"/>
        <v>NO APLICA</v>
      </c>
      <c r="FL207" s="4"/>
      <c r="FM207" s="4"/>
      <c r="FN207" s="4"/>
      <c r="FO207" s="6"/>
      <c r="FP207" s="5" t="str">
        <f t="shared" si="726"/>
        <v>NO APLICA</v>
      </c>
      <c r="FQ207" s="4"/>
      <c r="FR207" s="4"/>
      <c r="FS207" s="4"/>
      <c r="FT207" s="6"/>
      <c r="FU207" s="5" t="str">
        <f t="shared" si="727"/>
        <v>NO APLICA</v>
      </c>
      <c r="FV207" s="4"/>
      <c r="FW207" s="4"/>
      <c r="FX207" s="4"/>
      <c r="FY207" s="6"/>
      <c r="FZ207" s="5" t="str">
        <f t="shared" si="728"/>
        <v>NO APLICA</v>
      </c>
      <c r="GA207" s="4"/>
      <c r="GB207" s="4"/>
      <c r="GC207" s="4"/>
      <c r="GD207" s="6"/>
      <c r="GE207" s="5" t="str">
        <f t="shared" si="729"/>
        <v>NO APLICA</v>
      </c>
      <c r="GF207" s="4"/>
      <c r="GG207" s="4"/>
      <c r="GH207" s="4"/>
      <c r="GI207" s="8"/>
      <c r="GJ207" s="5" t="str">
        <f t="shared" si="730"/>
        <v>NO APLICA</v>
      </c>
      <c r="GK207" s="4"/>
      <c r="GL207" s="6"/>
      <c r="GM207" s="6"/>
      <c r="GN207" s="6"/>
      <c r="GO207" s="5" t="str">
        <f t="shared" si="731"/>
        <v>NO APLICA</v>
      </c>
      <c r="GP207" s="4"/>
      <c r="GQ207" s="6"/>
      <c r="GR207" s="6"/>
      <c r="GS207" s="6"/>
      <c r="GT207" s="5" t="str">
        <f t="shared" si="610"/>
        <v>NO APLICA</v>
      </c>
      <c r="GU207" s="4"/>
      <c r="GV207" s="6"/>
      <c r="GW207" s="6"/>
      <c r="GX207" s="6"/>
      <c r="GY207" s="5" t="str">
        <f t="shared" si="611"/>
        <v>NO APLICA</v>
      </c>
      <c r="GZ207" s="6"/>
      <c r="HA207" s="6"/>
      <c r="HB207" s="6"/>
      <c r="HC207" s="6"/>
      <c r="HD207" s="5" t="str">
        <f t="shared" si="612"/>
        <v>NO APLICA</v>
      </c>
      <c r="HE207" s="6"/>
      <c r="HF207" s="6"/>
      <c r="HG207" s="4"/>
      <c r="HH207" s="8"/>
      <c r="HI207" s="5" t="str">
        <f t="shared" si="698"/>
        <v>NO APLICA</v>
      </c>
      <c r="HJ207" s="6"/>
      <c r="HK207" s="6"/>
      <c r="HL207" s="6"/>
      <c r="HM207" s="6"/>
      <c r="HN207" s="5" t="str">
        <f t="shared" si="694"/>
        <v>NO APLICA</v>
      </c>
      <c r="HO207" s="6"/>
      <c r="HP207" s="6"/>
      <c r="HQ207" s="6"/>
      <c r="HR207" s="6"/>
      <c r="HS207" s="5" t="str">
        <f t="shared" si="732"/>
        <v>NO APLICA</v>
      </c>
      <c r="HT207" s="6"/>
      <c r="HU207" s="6"/>
      <c r="HV207" s="6"/>
      <c r="HW207" s="6"/>
      <c r="HX207" s="5" t="str">
        <f t="shared" si="733"/>
        <v>NO APLICA</v>
      </c>
      <c r="HY207" s="6"/>
      <c r="HZ207" s="6"/>
      <c r="IA207" s="6"/>
      <c r="IB207" s="6"/>
      <c r="IC207" s="5" t="str">
        <f t="shared" si="734"/>
        <v>NO APLICA</v>
      </c>
      <c r="ID207" s="6"/>
      <c r="IE207" s="6"/>
      <c r="IF207" s="6"/>
      <c r="IG207" s="6"/>
      <c r="IH207" s="5" t="str">
        <f t="shared" si="735"/>
        <v>NO APLICA</v>
      </c>
      <c r="II207" s="6"/>
      <c r="IJ207" s="6"/>
      <c r="IK207" s="6"/>
      <c r="IL207" s="6"/>
      <c r="IM207" s="5" t="str">
        <f t="shared" si="736"/>
        <v>NO APLICA</v>
      </c>
      <c r="IN207" s="6"/>
      <c r="IO207" s="6"/>
      <c r="IP207" s="6"/>
      <c r="IQ207" s="6"/>
      <c r="IR207" s="5" t="str">
        <f t="shared" si="737"/>
        <v>NO APLICA</v>
      </c>
      <c r="IS207" s="6"/>
      <c r="IT207" s="6"/>
      <c r="IU207" s="6"/>
      <c r="IV207" s="6"/>
      <c r="IW207" s="5" t="str">
        <f t="shared" si="738"/>
        <v>NO APLICA</v>
      </c>
      <c r="IX207" s="6"/>
      <c r="IY207" s="6"/>
      <c r="IZ207" s="6"/>
      <c r="JA207" s="6"/>
      <c r="JB207" s="5" t="str">
        <f t="shared" si="739"/>
        <v>NO APLICA</v>
      </c>
      <c r="JC207" s="3" t="s">
        <v>780</v>
      </c>
      <c r="JD207" s="6"/>
      <c r="JE207" s="6"/>
      <c r="JF207" s="6"/>
      <c r="JG207" s="5"/>
      <c r="JH207" s="3" t="s">
        <v>780</v>
      </c>
      <c r="JI207" s="6"/>
      <c r="JJ207" s="6"/>
      <c r="JK207" s="6"/>
      <c r="JL207" s="5"/>
      <c r="JM207" s="6" t="s">
        <v>780</v>
      </c>
      <c r="JN207" s="6"/>
      <c r="JO207" s="6"/>
      <c r="JP207" s="6"/>
      <c r="JQ207" s="5"/>
      <c r="JR207" s="6" t="s">
        <v>780</v>
      </c>
      <c r="JS207" s="6"/>
      <c r="JT207" s="6"/>
      <c r="JU207" s="6"/>
      <c r="JV207" s="5"/>
      <c r="JW207" s="6" t="s">
        <v>780</v>
      </c>
      <c r="JX207" s="5"/>
      <c r="JY207" s="5"/>
      <c r="JZ207" s="5"/>
      <c r="KA207" s="38"/>
      <c r="KB207" s="5"/>
      <c r="KC207" s="6"/>
      <c r="KD207" s="6"/>
      <c r="KE207" s="6"/>
      <c r="KF207" s="5" t="str">
        <f t="shared" si="740"/>
        <v>NO APLICA</v>
      </c>
      <c r="KG207" s="5"/>
      <c r="KH207" s="6"/>
      <c r="KI207" s="6"/>
      <c r="KJ207" s="6"/>
      <c r="KK207" s="5" t="str">
        <f t="shared" si="760"/>
        <v>NO APLICA</v>
      </c>
      <c r="KL207" s="5"/>
      <c r="KM207" s="6"/>
      <c r="KN207" s="6"/>
      <c r="KO207" s="6"/>
      <c r="KP207" s="5" t="str">
        <f t="shared" si="741"/>
        <v>NO APLICA</v>
      </c>
      <c r="KQ207" s="5"/>
      <c r="KR207" s="6"/>
      <c r="KS207" s="6"/>
      <c r="KT207" s="6"/>
      <c r="KU207" s="5" t="str">
        <f t="shared" si="761"/>
        <v>NO APLICA</v>
      </c>
      <c r="KV207" s="6"/>
      <c r="KW207" s="6"/>
      <c r="KX207" s="6"/>
      <c r="KY207" s="6"/>
      <c r="KZ207" s="5" t="str">
        <f t="shared" si="767"/>
        <v>NO APLICA</v>
      </c>
      <c r="LA207" s="5"/>
      <c r="LB207" s="6"/>
      <c r="LC207" s="6"/>
      <c r="LD207" s="6"/>
      <c r="LE207" s="5" t="str">
        <f t="shared" si="762"/>
        <v>NO APLICA</v>
      </c>
      <c r="LF207" s="6"/>
      <c r="LG207" s="6"/>
      <c r="LH207" s="6"/>
      <c r="LI207" s="6"/>
      <c r="LJ207" s="5" t="str">
        <f t="shared" si="600"/>
        <v>NO APLICA</v>
      </c>
      <c r="LK207" s="5"/>
      <c r="LL207" s="5"/>
      <c r="LM207" s="4"/>
      <c r="LN207" s="8"/>
      <c r="LO207" s="5" t="str">
        <f t="shared" si="768"/>
        <v>NO APLICA</v>
      </c>
      <c r="LP207" s="6"/>
      <c r="LQ207" s="6"/>
      <c r="LR207" s="6"/>
      <c r="LS207" s="6"/>
      <c r="LT207" s="5" t="str">
        <f t="shared" si="763"/>
        <v>NO APLICA</v>
      </c>
      <c r="LU207" s="6"/>
      <c r="LV207" s="6"/>
      <c r="LW207" s="6"/>
      <c r="LX207" s="6"/>
      <c r="LY207" s="5" t="str">
        <f t="shared" si="764"/>
        <v>NO APLICA</v>
      </c>
      <c r="LZ207" s="6"/>
      <c r="MA207" s="6"/>
      <c r="MB207" s="6"/>
      <c r="MC207" s="6"/>
      <c r="MD207" s="5" t="str">
        <f t="shared" si="765"/>
        <v>NO APLICA</v>
      </c>
      <c r="ME207" s="6"/>
      <c r="MF207" s="6"/>
      <c r="MG207" s="6"/>
      <c r="MH207" s="6"/>
      <c r="MI207" s="5" t="str">
        <f t="shared" si="742"/>
        <v>NO APLICA</v>
      </c>
      <c r="MJ207" s="6"/>
      <c r="MK207" s="6"/>
      <c r="ML207" s="6"/>
      <c r="MM207" s="6"/>
      <c r="MN207" s="5" t="str">
        <f t="shared" si="743"/>
        <v>NO APLICA</v>
      </c>
      <c r="MO207" s="5"/>
      <c r="MP207" s="6"/>
      <c r="MQ207" s="6"/>
      <c r="MR207" s="6"/>
      <c r="MS207" s="5" t="str">
        <f t="shared" si="744"/>
        <v>NO APLICA</v>
      </c>
      <c r="MT207" s="5"/>
      <c r="MU207" s="6"/>
      <c r="MV207" s="6"/>
      <c r="MW207" s="6"/>
      <c r="MX207" s="5" t="str">
        <f t="shared" si="745"/>
        <v>NO APLICA</v>
      </c>
      <c r="MY207" s="6"/>
      <c r="MZ207" s="6"/>
      <c r="NA207" s="6"/>
      <c r="NB207" s="6"/>
      <c r="NC207" s="5" t="str">
        <f t="shared" si="746"/>
        <v>NO APLICA</v>
      </c>
      <c r="ND207" s="6"/>
      <c r="NE207" s="6"/>
      <c r="NF207" s="6"/>
      <c r="NG207" s="6"/>
      <c r="NH207" s="5" t="str">
        <f t="shared" si="747"/>
        <v>NO APLICA</v>
      </c>
      <c r="NI207" s="6"/>
      <c r="NJ207" s="6"/>
      <c r="NK207" s="6"/>
      <c r="NL207" s="6"/>
      <c r="NM207" s="5" t="str">
        <f t="shared" si="748"/>
        <v>NO APLICA</v>
      </c>
      <c r="NN207" s="6"/>
      <c r="NO207" s="6"/>
      <c r="NP207" s="6"/>
      <c r="NQ207" s="6"/>
      <c r="NR207" s="5" t="str">
        <f t="shared" si="749"/>
        <v>NO APLICA</v>
      </c>
      <c r="NS207" s="6"/>
      <c r="NT207" s="6"/>
      <c r="NU207" s="6"/>
      <c r="NV207" s="6"/>
      <c r="NW207" s="5" t="str">
        <f t="shared" si="750"/>
        <v>NO APLICA</v>
      </c>
      <c r="NX207" s="6"/>
      <c r="NY207" s="6"/>
      <c r="NZ207" s="6"/>
      <c r="OA207" s="6"/>
      <c r="OB207" s="5" t="str">
        <f t="shared" si="751"/>
        <v>NO APLICA</v>
      </c>
      <c r="OC207" s="6"/>
      <c r="OD207" s="6"/>
      <c r="OE207" s="6"/>
      <c r="OF207" s="6"/>
      <c r="OG207" s="5" t="str">
        <f t="shared" si="752"/>
        <v>NO APLICA</v>
      </c>
      <c r="OH207" s="6"/>
      <c r="OI207" s="6"/>
      <c r="OJ207" s="6"/>
      <c r="OK207" s="6"/>
      <c r="OL207" s="5" t="str">
        <f t="shared" si="753"/>
        <v>NO APLICA</v>
      </c>
      <c r="OM207" s="6"/>
      <c r="ON207" s="6"/>
      <c r="OO207" s="6"/>
      <c r="OP207" s="6"/>
      <c r="OQ207" s="5" t="str">
        <f t="shared" si="754"/>
        <v>NO APLICA</v>
      </c>
      <c r="OR207" s="6"/>
      <c r="OS207" s="6"/>
      <c r="OT207" s="6"/>
      <c r="OU207" s="6"/>
      <c r="OV207" s="5" t="str">
        <f t="shared" si="755"/>
        <v>NO APLICA</v>
      </c>
      <c r="OW207" s="6"/>
      <c r="OX207" s="6"/>
      <c r="OY207" s="6"/>
      <c r="OZ207" s="6"/>
      <c r="PA207" s="5" t="str">
        <f t="shared" si="769"/>
        <v>NO APLICA</v>
      </c>
      <c r="PB207" s="6"/>
      <c r="PC207" s="6"/>
      <c r="PD207" s="6"/>
      <c r="PE207" s="6"/>
      <c r="PF207" s="5" t="str">
        <f t="shared" si="756"/>
        <v>NO APLICA</v>
      </c>
      <c r="PG207" s="6"/>
      <c r="PH207" s="6"/>
      <c r="PI207" s="6"/>
      <c r="PJ207" s="6"/>
      <c r="PK207" s="5" t="str">
        <f t="shared" si="757"/>
        <v>NO APLICA</v>
      </c>
      <c r="PL207" s="5"/>
      <c r="PM207" s="6"/>
      <c r="PN207" s="6"/>
      <c r="PO207" s="6"/>
      <c r="PP207" s="5" t="str">
        <f t="shared" si="766"/>
        <v>NO APLICA</v>
      </c>
      <c r="PQ207" s="6"/>
      <c r="PR207" s="6"/>
      <c r="PS207" s="6"/>
      <c r="PT207" s="6"/>
      <c r="PU207" s="5" t="str">
        <f t="shared" si="758"/>
        <v>NO APLICA</v>
      </c>
      <c r="PV207" s="5"/>
      <c r="PW207" s="6"/>
      <c r="PX207" s="6"/>
      <c r="PY207" s="6"/>
      <c r="PZ207" s="5" t="str">
        <f t="shared" si="759"/>
        <v>NO APLICA</v>
      </c>
    </row>
    <row r="208" spans="1:442" ht="15.6" hidden="1" thickTop="1" thickBot="1" x14ac:dyDescent="0.35">
      <c r="A208" s="26">
        <v>205</v>
      </c>
      <c r="B208" s="27">
        <v>1656</v>
      </c>
      <c r="C208" s="28" t="s">
        <v>640</v>
      </c>
      <c r="D208" s="29" t="s">
        <v>633</v>
      </c>
      <c r="E208" s="30" t="s">
        <v>634</v>
      </c>
      <c r="F208" s="6"/>
      <c r="G208" s="6"/>
      <c r="H208" s="6"/>
      <c r="I208" s="6"/>
      <c r="J208" s="5" t="str">
        <f t="shared" si="696"/>
        <v>NO APLICA</v>
      </c>
      <c r="K208" s="6"/>
      <c r="L208" s="6"/>
      <c r="M208" s="6"/>
      <c r="N208" s="6"/>
      <c r="O208" s="5" t="str">
        <f t="shared" si="699"/>
        <v>NO APLICA</v>
      </c>
      <c r="P208" s="6"/>
      <c r="Q208" s="6"/>
      <c r="R208" s="6"/>
      <c r="S208" s="6"/>
      <c r="T208" s="5" t="str">
        <f t="shared" si="697"/>
        <v>NO APLICA</v>
      </c>
      <c r="U208" s="5"/>
      <c r="V208" s="6"/>
      <c r="W208" s="4"/>
      <c r="X208" s="4"/>
      <c r="Y208" s="8"/>
      <c r="Z208" s="5" t="str">
        <f t="shared" si="605"/>
        <v>NO APLICA</v>
      </c>
      <c r="AA208" s="5"/>
      <c r="AB208" s="2"/>
      <c r="AC208" s="2"/>
      <c r="AD208" s="2"/>
      <c r="AE208" s="2"/>
      <c r="AF208" s="5" t="str">
        <f t="shared" si="700"/>
        <v>NO APLICA</v>
      </c>
      <c r="AG208" s="4"/>
      <c r="AH208" s="4"/>
      <c r="AI208" s="4"/>
      <c r="AJ208" s="8"/>
      <c r="AK208" s="5" t="str">
        <f t="shared" si="602"/>
        <v>NO APLICA</v>
      </c>
      <c r="AL208" s="4"/>
      <c r="AM208" s="4"/>
      <c r="AN208" s="4"/>
      <c r="AO208" s="8"/>
      <c r="AP208" s="5" t="str">
        <f t="shared" si="701"/>
        <v>NO APLICA</v>
      </c>
      <c r="AQ208" s="4"/>
      <c r="AR208" s="4"/>
      <c r="AS208" s="4"/>
      <c r="AT208" s="8"/>
      <c r="AU208" s="5" t="str">
        <f t="shared" si="702"/>
        <v>NO APLICA</v>
      </c>
      <c r="AV208" s="4"/>
      <c r="AW208" s="4"/>
      <c r="AX208" s="4"/>
      <c r="AY208" s="8"/>
      <c r="AZ208" s="5" t="str">
        <f t="shared" si="703"/>
        <v>NO APLICA</v>
      </c>
      <c r="BA208" s="4"/>
      <c r="BB208" s="4"/>
      <c r="BC208" s="4"/>
      <c r="BD208" s="8"/>
      <c r="BE208" s="5" t="str">
        <f t="shared" si="704"/>
        <v>NO APLICA</v>
      </c>
      <c r="BF208" s="4"/>
      <c r="BG208" s="4"/>
      <c r="BH208" s="4"/>
      <c r="BI208" s="8"/>
      <c r="BJ208" s="5" t="str">
        <f t="shared" si="705"/>
        <v>NO APLICA</v>
      </c>
      <c r="BK208" s="4"/>
      <c r="BL208" s="4"/>
      <c r="BM208" s="4"/>
      <c r="BN208" s="8"/>
      <c r="BO208" s="5" t="str">
        <f t="shared" si="706"/>
        <v>NO APLICA</v>
      </c>
      <c r="BP208" s="4"/>
      <c r="BQ208" s="4"/>
      <c r="BR208" s="4"/>
      <c r="BS208" s="8"/>
      <c r="BT208" s="5" t="str">
        <f t="shared" si="707"/>
        <v>NO APLICA</v>
      </c>
      <c r="BU208" s="4"/>
      <c r="BV208" s="4"/>
      <c r="BW208" s="4"/>
      <c r="BX208" s="8"/>
      <c r="BY208" s="5" t="str">
        <f t="shared" si="708"/>
        <v>NO APLICA</v>
      </c>
      <c r="BZ208" s="4"/>
      <c r="CA208" s="4"/>
      <c r="CB208" s="4"/>
      <c r="CC208" s="8"/>
      <c r="CD208" s="5" t="str">
        <f t="shared" si="709"/>
        <v>NO APLICA</v>
      </c>
      <c r="CE208" s="2"/>
      <c r="CF208" s="2"/>
      <c r="CG208" s="2"/>
      <c r="CH208" s="2"/>
      <c r="CI208" s="5" t="str">
        <f t="shared" ref="CI208:CI237" si="770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10"/>
        <v>NO APLICA</v>
      </c>
      <c r="CO208" s="4"/>
      <c r="CP208" s="4"/>
      <c r="CQ208" s="4"/>
      <c r="CR208" s="8"/>
      <c r="CS208" s="5" t="str">
        <f t="shared" si="711"/>
        <v>NO APLICA</v>
      </c>
      <c r="CT208" s="4"/>
      <c r="CU208" s="4"/>
      <c r="CV208" s="4"/>
      <c r="CW208" s="8"/>
      <c r="CX208" s="5" t="str">
        <f t="shared" si="712"/>
        <v>NO APLICA</v>
      </c>
      <c r="CY208" s="4"/>
      <c r="CZ208" s="4"/>
      <c r="DA208" s="4"/>
      <c r="DB208" s="8"/>
      <c r="DC208" s="5" t="str">
        <f t="shared" si="713"/>
        <v>NO APLICA</v>
      </c>
      <c r="DD208" s="4"/>
      <c r="DE208" s="4"/>
      <c r="DF208" s="4"/>
      <c r="DG208" s="8"/>
      <c r="DH208" s="5" t="str">
        <f t="shared" si="714"/>
        <v>NO APLICA</v>
      </c>
      <c r="DI208" s="4"/>
      <c r="DJ208" s="4"/>
      <c r="DK208" s="4"/>
      <c r="DL208" s="8"/>
      <c r="DM208" s="5" t="str">
        <f t="shared" si="715"/>
        <v>NO APLICA</v>
      </c>
      <c r="DN208" s="4"/>
      <c r="DO208" s="4"/>
      <c r="DP208" s="4"/>
      <c r="DQ208" s="8"/>
      <c r="DR208" s="5" t="str">
        <f t="shared" si="716"/>
        <v>NO APLICA</v>
      </c>
      <c r="DS208" s="4"/>
      <c r="DT208" s="4"/>
      <c r="DU208" s="4"/>
      <c r="DV208" s="8"/>
      <c r="DW208" s="5" t="str">
        <f t="shared" si="717"/>
        <v>NO APLICA</v>
      </c>
      <c r="DX208" s="4"/>
      <c r="DY208" s="4"/>
      <c r="DZ208" s="4"/>
      <c r="EA208" s="8"/>
      <c r="EB208" s="5" t="str">
        <f t="shared" si="718"/>
        <v>NO APLICA</v>
      </c>
      <c r="EC208" s="4"/>
      <c r="ED208" s="4"/>
      <c r="EE208" s="4"/>
      <c r="EF208" s="8"/>
      <c r="EG208" s="5" t="str">
        <f t="shared" si="719"/>
        <v>NO APLICA</v>
      </c>
      <c r="EH208" s="4"/>
      <c r="EI208" s="4"/>
      <c r="EJ208" s="4"/>
      <c r="EK208" s="8"/>
      <c r="EL208" s="5" t="str">
        <f t="shared" si="720"/>
        <v>NO APLICA</v>
      </c>
      <c r="EM208" s="4"/>
      <c r="EN208" s="6"/>
      <c r="EO208" s="4"/>
      <c r="EP208" s="8"/>
      <c r="EQ208" s="5" t="str">
        <f t="shared" si="721"/>
        <v>NO APLICA</v>
      </c>
      <c r="ER208" s="4"/>
      <c r="ES208" s="4"/>
      <c r="ET208" s="4"/>
      <c r="EU208" s="8"/>
      <c r="EV208" s="5" t="str">
        <f t="shared" si="722"/>
        <v>NO APLICA</v>
      </c>
      <c r="EW208" s="4"/>
      <c r="EX208" s="4"/>
      <c r="EY208" s="4"/>
      <c r="EZ208" s="8"/>
      <c r="FA208" s="5" t="str">
        <f t="shared" si="723"/>
        <v>NO APLICA</v>
      </c>
      <c r="FB208" s="6"/>
      <c r="FC208" s="6"/>
      <c r="FD208" s="4"/>
      <c r="FE208" s="8"/>
      <c r="FF208" s="5" t="str">
        <f t="shared" si="724"/>
        <v>NO APLICA</v>
      </c>
      <c r="FG208" s="4"/>
      <c r="FH208" s="4"/>
      <c r="FI208" s="4"/>
      <c r="FJ208" s="8"/>
      <c r="FK208" s="5" t="str">
        <f t="shared" si="725"/>
        <v>NO APLICA</v>
      </c>
      <c r="FL208" s="4"/>
      <c r="FM208" s="6"/>
      <c r="FN208" s="4"/>
      <c r="FO208" s="8"/>
      <c r="FP208" s="5" t="str">
        <f t="shared" si="726"/>
        <v>NO APLICA</v>
      </c>
      <c r="FQ208" s="4"/>
      <c r="FR208" s="4"/>
      <c r="FS208" s="4"/>
      <c r="FT208" s="8"/>
      <c r="FU208" s="5" t="str">
        <f t="shared" si="727"/>
        <v>NO APLICA</v>
      </c>
      <c r="FV208" s="4"/>
      <c r="FW208" s="4"/>
      <c r="FX208" s="4"/>
      <c r="FY208" s="8"/>
      <c r="FZ208" s="5" t="str">
        <f t="shared" si="728"/>
        <v>NO APLICA</v>
      </c>
      <c r="GA208" s="4"/>
      <c r="GB208" s="4"/>
      <c r="GC208" s="4"/>
      <c r="GD208" s="8"/>
      <c r="GE208" s="5" t="str">
        <f t="shared" si="729"/>
        <v>NO APLICA</v>
      </c>
      <c r="GF208" s="4"/>
      <c r="GG208" s="4"/>
      <c r="GH208" s="4"/>
      <c r="GI208" s="8"/>
      <c r="GJ208" s="5" t="str">
        <f t="shared" si="730"/>
        <v>NO APLICA</v>
      </c>
      <c r="GK208" s="4"/>
      <c r="GL208" s="6"/>
      <c r="GM208" s="4"/>
      <c r="GN208" s="8"/>
      <c r="GO208" s="5" t="str">
        <f t="shared" si="731"/>
        <v>NO APLICA</v>
      </c>
      <c r="GP208" s="4"/>
      <c r="GQ208" s="6"/>
      <c r="GR208" s="4"/>
      <c r="GS208" s="8"/>
      <c r="GT208" s="5" t="str">
        <f t="shared" si="610"/>
        <v>NO APLICA</v>
      </c>
      <c r="GU208" s="4"/>
      <c r="GV208" s="6"/>
      <c r="GW208" s="4"/>
      <c r="GX208" s="8"/>
      <c r="GY208" s="5" t="str">
        <f t="shared" si="611"/>
        <v>NO APLICA</v>
      </c>
      <c r="GZ208" s="6"/>
      <c r="HA208" s="6"/>
      <c r="HB208" s="4"/>
      <c r="HC208" s="8"/>
      <c r="HD208" s="5" t="str">
        <f t="shared" si="612"/>
        <v>NO APLICA</v>
      </c>
      <c r="HE208" s="6"/>
      <c r="HF208" s="6"/>
      <c r="HG208" s="4"/>
      <c r="HH208" s="8"/>
      <c r="HI208" s="5" t="str">
        <f t="shared" si="698"/>
        <v>NO APLICA</v>
      </c>
      <c r="HJ208" s="6"/>
      <c r="HK208" s="6"/>
      <c r="HL208" s="6"/>
      <c r="HM208" s="6"/>
      <c r="HN208" s="5" t="str">
        <f t="shared" si="694"/>
        <v>NO APLICA</v>
      </c>
      <c r="HO208" s="6"/>
      <c r="HP208" s="6"/>
      <c r="HQ208" s="6"/>
      <c r="HR208" s="6"/>
      <c r="HS208" s="5" t="str">
        <f t="shared" si="732"/>
        <v>NO APLICA</v>
      </c>
      <c r="HT208" s="6"/>
      <c r="HU208" s="6"/>
      <c r="HV208" s="6"/>
      <c r="HW208" s="6"/>
      <c r="HX208" s="5" t="str">
        <f t="shared" si="733"/>
        <v>NO APLICA</v>
      </c>
      <c r="HY208" s="6"/>
      <c r="HZ208" s="6"/>
      <c r="IA208" s="6"/>
      <c r="IB208" s="6"/>
      <c r="IC208" s="5" t="str">
        <f t="shared" si="734"/>
        <v>NO APLICA</v>
      </c>
      <c r="ID208" s="6"/>
      <c r="IE208" s="6"/>
      <c r="IF208" s="6"/>
      <c r="IG208" s="6"/>
      <c r="IH208" s="5" t="str">
        <f t="shared" si="735"/>
        <v>NO APLICA</v>
      </c>
      <c r="II208" s="6"/>
      <c r="IJ208" s="6"/>
      <c r="IK208" s="6"/>
      <c r="IL208" s="6"/>
      <c r="IM208" s="5" t="str">
        <f t="shared" si="736"/>
        <v>NO APLICA</v>
      </c>
      <c r="IN208" s="6"/>
      <c r="IO208" s="6"/>
      <c r="IP208" s="6"/>
      <c r="IQ208" s="6"/>
      <c r="IR208" s="5" t="str">
        <f t="shared" si="737"/>
        <v>NO APLICA</v>
      </c>
      <c r="IS208" s="6"/>
      <c r="IT208" s="6"/>
      <c r="IU208" s="6"/>
      <c r="IV208" s="6"/>
      <c r="IW208" s="5" t="str">
        <f t="shared" si="738"/>
        <v>NO APLICA</v>
      </c>
      <c r="IX208" s="6"/>
      <c r="IY208" s="6"/>
      <c r="IZ208" s="6"/>
      <c r="JA208" s="6"/>
      <c r="JB208" s="5" t="str">
        <f t="shared" si="739"/>
        <v>NO APLICA</v>
      </c>
      <c r="JC208" s="3" t="s">
        <v>780</v>
      </c>
      <c r="JD208" s="3"/>
      <c r="JE208" s="4"/>
      <c r="JF208" s="8"/>
      <c r="JG208" s="5"/>
      <c r="JH208" s="3" t="s">
        <v>780</v>
      </c>
      <c r="JI208" s="4"/>
      <c r="JJ208" s="6"/>
      <c r="JK208" s="6"/>
      <c r="JL208" s="5"/>
      <c r="JM208" s="6" t="s">
        <v>780</v>
      </c>
      <c r="JN208" s="6"/>
      <c r="JO208" s="6"/>
      <c r="JP208" s="6"/>
      <c r="JQ208" s="5"/>
      <c r="JR208" s="6" t="s">
        <v>780</v>
      </c>
      <c r="JS208" s="4"/>
      <c r="JT208" s="6"/>
      <c r="JU208" s="6"/>
      <c r="JV208" s="5"/>
      <c r="JW208" s="6" t="s">
        <v>780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40"/>
        <v>NO APLICA</v>
      </c>
      <c r="KG208" s="5"/>
      <c r="KH208" s="6"/>
      <c r="KI208" s="6"/>
      <c r="KJ208" s="6"/>
      <c r="KK208" s="5" t="str">
        <f t="shared" si="760"/>
        <v>NO APLICA</v>
      </c>
      <c r="KL208" s="5"/>
      <c r="KM208" s="6"/>
      <c r="KN208" s="6"/>
      <c r="KO208" s="6"/>
      <c r="KP208" s="5" t="str">
        <f t="shared" si="741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7"/>
        <v>NO APLICA</v>
      </c>
      <c r="LA208" s="5"/>
      <c r="LB208" s="6"/>
      <c r="LC208" s="6"/>
      <c r="LD208" s="6"/>
      <c r="LE208" s="5" t="str">
        <f t="shared" si="762"/>
        <v>NO APLICA</v>
      </c>
      <c r="LF208" s="6"/>
      <c r="LG208" s="6"/>
      <c r="LH208" s="6"/>
      <c r="LI208" s="6"/>
      <c r="LJ208" s="5" t="str">
        <f t="shared" si="600"/>
        <v>NO APLICA</v>
      </c>
      <c r="LK208" s="5"/>
      <c r="LL208" s="5"/>
      <c r="LM208" s="4"/>
      <c r="LN208" s="8"/>
      <c r="LO208" s="5" t="str">
        <f t="shared" si="768"/>
        <v>NO APLICA</v>
      </c>
      <c r="LP208" s="6"/>
      <c r="LQ208" s="6"/>
      <c r="LR208" s="6"/>
      <c r="LS208" s="6"/>
      <c r="LT208" s="5" t="str">
        <f t="shared" si="763"/>
        <v>NO APLICA</v>
      </c>
      <c r="LU208" s="6"/>
      <c r="LV208" s="6"/>
      <c r="LW208" s="6"/>
      <c r="LX208" s="6"/>
      <c r="LY208" s="5" t="str">
        <f t="shared" si="764"/>
        <v>NO APLICA</v>
      </c>
      <c r="LZ208" s="6"/>
      <c r="MA208" s="6"/>
      <c r="MB208" s="6"/>
      <c r="MC208" s="6"/>
      <c r="MD208" s="5" t="str">
        <f t="shared" si="765"/>
        <v>NO APLICA</v>
      </c>
      <c r="ME208" s="6"/>
      <c r="MF208" s="6"/>
      <c r="MG208" s="6"/>
      <c r="MH208" s="6"/>
      <c r="MI208" s="5" t="str">
        <f t="shared" si="742"/>
        <v>NO APLICA</v>
      </c>
      <c r="MJ208" s="6"/>
      <c r="MK208" s="6"/>
      <c r="ML208" s="6"/>
      <c r="MM208" s="6"/>
      <c r="MN208" s="5" t="str">
        <f t="shared" si="743"/>
        <v>NO APLICA</v>
      </c>
      <c r="MO208" s="5"/>
      <c r="MP208" s="6"/>
      <c r="MQ208" s="6"/>
      <c r="MR208" s="6"/>
      <c r="MS208" s="5" t="str">
        <f t="shared" si="744"/>
        <v>NO APLICA</v>
      </c>
      <c r="MT208" s="5"/>
      <c r="MU208" s="6"/>
      <c r="MV208" s="6"/>
      <c r="MW208" s="6"/>
      <c r="MX208" s="5" t="str">
        <f t="shared" si="745"/>
        <v>NO APLICA</v>
      </c>
      <c r="MY208" s="6"/>
      <c r="MZ208" s="6"/>
      <c r="NA208" s="6"/>
      <c r="NB208" s="6"/>
      <c r="NC208" s="5" t="str">
        <f t="shared" si="746"/>
        <v>NO APLICA</v>
      </c>
      <c r="ND208" s="6"/>
      <c r="NE208" s="6"/>
      <c r="NF208" s="6"/>
      <c r="NG208" s="6"/>
      <c r="NH208" s="5" t="str">
        <f t="shared" si="747"/>
        <v>NO APLICA</v>
      </c>
      <c r="NI208" s="6"/>
      <c r="NJ208" s="6"/>
      <c r="NK208" s="6"/>
      <c r="NL208" s="6"/>
      <c r="NM208" s="5" t="str">
        <f t="shared" si="748"/>
        <v>NO APLICA</v>
      </c>
      <c r="NN208" s="6"/>
      <c r="NO208" s="6"/>
      <c r="NP208" s="6"/>
      <c r="NQ208" s="6"/>
      <c r="NR208" s="5" t="str">
        <f t="shared" si="749"/>
        <v>NO APLICA</v>
      </c>
      <c r="NS208" s="6"/>
      <c r="NT208" s="6"/>
      <c r="NU208" s="6"/>
      <c r="NV208" s="6"/>
      <c r="NW208" s="5" t="str">
        <f t="shared" si="750"/>
        <v>NO APLICA</v>
      </c>
      <c r="NX208" s="6"/>
      <c r="NY208" s="6"/>
      <c r="NZ208" s="6"/>
      <c r="OA208" s="6"/>
      <c r="OB208" s="5" t="str">
        <f t="shared" si="751"/>
        <v>NO APLICA</v>
      </c>
      <c r="OC208" s="6"/>
      <c r="OD208" s="6"/>
      <c r="OE208" s="6"/>
      <c r="OF208" s="6"/>
      <c r="OG208" s="5" t="str">
        <f t="shared" si="752"/>
        <v>NO APLICA</v>
      </c>
      <c r="OH208" s="6"/>
      <c r="OI208" s="6"/>
      <c r="OJ208" s="6"/>
      <c r="OK208" s="6"/>
      <c r="OL208" s="5" t="str">
        <f t="shared" si="753"/>
        <v>NO APLICA</v>
      </c>
      <c r="OM208" s="6"/>
      <c r="ON208" s="6"/>
      <c r="OO208" s="6"/>
      <c r="OP208" s="6"/>
      <c r="OQ208" s="5" t="str">
        <f t="shared" si="754"/>
        <v>NO APLICA</v>
      </c>
      <c r="OR208" s="6"/>
      <c r="OS208" s="6"/>
      <c r="OT208" s="6"/>
      <c r="OU208" s="6"/>
      <c r="OV208" s="5" t="str">
        <f t="shared" si="755"/>
        <v>NO APLICA</v>
      </c>
      <c r="OW208" s="6"/>
      <c r="OX208" s="6"/>
      <c r="OY208" s="6"/>
      <c r="OZ208" s="6"/>
      <c r="PA208" s="5" t="str">
        <f t="shared" si="769"/>
        <v>NO APLICA</v>
      </c>
      <c r="PB208" s="6"/>
      <c r="PC208" s="6"/>
      <c r="PD208" s="6"/>
      <c r="PE208" s="6"/>
      <c r="PF208" s="5" t="str">
        <f t="shared" si="756"/>
        <v>NO APLICA</v>
      </c>
      <c r="PG208" s="6"/>
      <c r="PH208" s="6"/>
      <c r="PI208" s="6"/>
      <c r="PJ208" s="6"/>
      <c r="PK208" s="5" t="str">
        <f t="shared" si="757"/>
        <v>NO APLICA</v>
      </c>
      <c r="PL208" s="5"/>
      <c r="PM208" s="6"/>
      <c r="PN208" s="6"/>
      <c r="PO208" s="6"/>
      <c r="PP208" s="5" t="str">
        <f t="shared" si="766"/>
        <v>NO APLICA</v>
      </c>
      <c r="PQ208" s="6"/>
      <c r="PR208" s="6"/>
      <c r="PS208" s="6"/>
      <c r="PT208" s="6"/>
      <c r="PU208" s="5" t="str">
        <f t="shared" si="758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9"/>
        <v>VIGENTE</v>
      </c>
    </row>
    <row r="209" spans="1:442" ht="15.6" hidden="1" thickTop="1" thickBot="1" x14ac:dyDescent="0.35">
      <c r="A209" s="26">
        <v>206</v>
      </c>
      <c r="B209" s="31">
        <v>1476</v>
      </c>
      <c r="C209" s="28" t="s">
        <v>641</v>
      </c>
      <c r="D209" s="29" t="s">
        <v>633</v>
      </c>
      <c r="E209" s="30" t="s">
        <v>642</v>
      </c>
      <c r="F209" s="6"/>
      <c r="G209" s="6"/>
      <c r="H209" s="6"/>
      <c r="I209" s="6"/>
      <c r="J209" s="5" t="str">
        <f t="shared" si="696"/>
        <v>NO APLICA</v>
      </c>
      <c r="K209" s="6"/>
      <c r="L209" s="6"/>
      <c r="M209" s="6"/>
      <c r="N209" s="6"/>
      <c r="O209" s="5" t="str">
        <f t="shared" si="699"/>
        <v>NO APLICA</v>
      </c>
      <c r="P209" s="6"/>
      <c r="Q209" s="6"/>
      <c r="R209" s="6"/>
      <c r="S209" s="6"/>
      <c r="T209" s="5" t="str">
        <f t="shared" si="697"/>
        <v>NO APLICA</v>
      </c>
      <c r="U209" s="5"/>
      <c r="V209" s="6"/>
      <c r="W209" s="4"/>
      <c r="X209" s="4"/>
      <c r="Y209" s="8"/>
      <c r="Z209" s="5" t="str">
        <f t="shared" si="605"/>
        <v>NO APLICA</v>
      </c>
      <c r="AA209" s="5"/>
      <c r="AB209" s="6"/>
      <c r="AC209" s="6"/>
      <c r="AD209" s="6"/>
      <c r="AE209" s="6"/>
      <c r="AF209" s="5" t="str">
        <f t="shared" si="700"/>
        <v>NO APLICA</v>
      </c>
      <c r="AG209" s="4"/>
      <c r="AH209" s="4"/>
      <c r="AI209" s="4"/>
      <c r="AJ209" s="6"/>
      <c r="AK209" s="5" t="str">
        <f t="shared" si="602"/>
        <v>NO APLICA</v>
      </c>
      <c r="AL209" s="4"/>
      <c r="AM209" s="4"/>
      <c r="AN209" s="4"/>
      <c r="AO209" s="6"/>
      <c r="AP209" s="5" t="str">
        <f t="shared" si="701"/>
        <v>NO APLICA</v>
      </c>
      <c r="AQ209" s="4"/>
      <c r="AR209" s="4"/>
      <c r="AS209" s="4"/>
      <c r="AT209" s="6"/>
      <c r="AU209" s="5" t="str">
        <f t="shared" si="702"/>
        <v>NO APLICA</v>
      </c>
      <c r="AV209" s="4"/>
      <c r="AW209" s="4"/>
      <c r="AX209" s="4"/>
      <c r="AY209" s="6"/>
      <c r="AZ209" s="5" t="str">
        <f t="shared" si="703"/>
        <v>NO APLICA</v>
      </c>
      <c r="BA209" s="4"/>
      <c r="BB209" s="4"/>
      <c r="BC209" s="4"/>
      <c r="BD209" s="6"/>
      <c r="BE209" s="5" t="str">
        <f t="shared" si="704"/>
        <v>NO APLICA</v>
      </c>
      <c r="BF209" s="4"/>
      <c r="BG209" s="4"/>
      <c r="BH209" s="4"/>
      <c r="BI209" s="6"/>
      <c r="BJ209" s="5" t="str">
        <f t="shared" si="705"/>
        <v>NO APLICA</v>
      </c>
      <c r="BK209" s="4"/>
      <c r="BL209" s="4"/>
      <c r="BM209" s="4"/>
      <c r="BN209" s="6"/>
      <c r="BO209" s="5" t="str">
        <f t="shared" si="706"/>
        <v>NO APLICA</v>
      </c>
      <c r="BP209" s="4"/>
      <c r="BQ209" s="4"/>
      <c r="BR209" s="4"/>
      <c r="BS209" s="6"/>
      <c r="BT209" s="5" t="str">
        <f t="shared" si="707"/>
        <v>NO APLICA</v>
      </c>
      <c r="BU209" s="4"/>
      <c r="BV209" s="4"/>
      <c r="BW209" s="4"/>
      <c r="BX209" s="6"/>
      <c r="BY209" s="5" t="str">
        <f t="shared" si="708"/>
        <v>NO APLICA</v>
      </c>
      <c r="BZ209" s="4"/>
      <c r="CA209" s="4"/>
      <c r="CB209" s="4"/>
      <c r="CC209" s="6"/>
      <c r="CD209" s="5" t="str">
        <f t="shared" si="709"/>
        <v>NO APLICA</v>
      </c>
      <c r="CE209" s="6"/>
      <c r="CF209" s="6"/>
      <c r="CG209" s="6"/>
      <c r="CH209" s="6"/>
      <c r="CI209" s="5" t="str">
        <f t="shared" si="770"/>
        <v>NO APLICA</v>
      </c>
      <c r="CJ209" s="4"/>
      <c r="CK209" s="4"/>
      <c r="CL209" s="4"/>
      <c r="CM209" s="6"/>
      <c r="CN209" s="5" t="str">
        <f t="shared" si="710"/>
        <v>NO APLICA</v>
      </c>
      <c r="CO209" s="4"/>
      <c r="CP209" s="4"/>
      <c r="CQ209" s="4"/>
      <c r="CR209" s="6"/>
      <c r="CS209" s="5" t="str">
        <f t="shared" si="711"/>
        <v>NO APLICA</v>
      </c>
      <c r="CT209" s="4"/>
      <c r="CU209" s="4"/>
      <c r="CV209" s="4"/>
      <c r="CW209" s="6"/>
      <c r="CX209" s="5" t="str">
        <f t="shared" si="712"/>
        <v>NO APLICA</v>
      </c>
      <c r="CY209" s="4"/>
      <c r="CZ209" s="4"/>
      <c r="DA209" s="4"/>
      <c r="DB209" s="6"/>
      <c r="DC209" s="5" t="str">
        <f t="shared" si="713"/>
        <v>NO APLICA</v>
      </c>
      <c r="DD209" s="4"/>
      <c r="DE209" s="4"/>
      <c r="DF209" s="4"/>
      <c r="DG209" s="6"/>
      <c r="DH209" s="5" t="str">
        <f t="shared" si="714"/>
        <v>NO APLICA</v>
      </c>
      <c r="DI209" s="4"/>
      <c r="DJ209" s="4"/>
      <c r="DK209" s="4"/>
      <c r="DL209" s="6"/>
      <c r="DM209" s="5" t="str">
        <f t="shared" si="715"/>
        <v>NO APLICA</v>
      </c>
      <c r="DN209" s="4"/>
      <c r="DO209" s="4"/>
      <c r="DP209" s="4"/>
      <c r="DQ209" s="6"/>
      <c r="DR209" s="5" t="str">
        <f t="shared" si="716"/>
        <v>NO APLICA</v>
      </c>
      <c r="DS209" s="4"/>
      <c r="DT209" s="4"/>
      <c r="DU209" s="4"/>
      <c r="DV209" s="6"/>
      <c r="DW209" s="5" t="str">
        <f t="shared" si="717"/>
        <v>NO APLICA</v>
      </c>
      <c r="DX209" s="4"/>
      <c r="DY209" s="4"/>
      <c r="DZ209" s="4"/>
      <c r="EA209" s="6"/>
      <c r="EB209" s="5" t="str">
        <f t="shared" si="718"/>
        <v>NO APLICA</v>
      </c>
      <c r="EC209" s="4"/>
      <c r="ED209" s="4"/>
      <c r="EE209" s="4"/>
      <c r="EF209" s="6"/>
      <c r="EG209" s="5" t="str">
        <f t="shared" si="719"/>
        <v>NO APLICA</v>
      </c>
      <c r="EH209" s="4"/>
      <c r="EI209" s="4"/>
      <c r="EJ209" s="4"/>
      <c r="EK209" s="8"/>
      <c r="EL209" s="5" t="str">
        <f t="shared" si="720"/>
        <v>NO APLICA</v>
      </c>
      <c r="EM209" s="4"/>
      <c r="EN209" s="4"/>
      <c r="EO209" s="4"/>
      <c r="EP209" s="8"/>
      <c r="EQ209" s="5" t="str">
        <f t="shared" si="721"/>
        <v>NO APLICA</v>
      </c>
      <c r="ER209" s="4"/>
      <c r="ES209" s="4"/>
      <c r="ET209" s="4"/>
      <c r="EU209" s="8"/>
      <c r="EV209" s="5" t="str">
        <f t="shared" si="722"/>
        <v>NO APLICA</v>
      </c>
      <c r="EW209" s="4"/>
      <c r="EX209" s="4"/>
      <c r="EY209" s="4"/>
      <c r="EZ209" s="6"/>
      <c r="FA209" s="5" t="str">
        <f t="shared" si="723"/>
        <v>NO APLICA</v>
      </c>
      <c r="FB209" s="4"/>
      <c r="FC209" s="4"/>
      <c r="FD209" s="4"/>
      <c r="FE209" s="6"/>
      <c r="FF209" s="5" t="str">
        <f t="shared" si="724"/>
        <v>NO APLICA</v>
      </c>
      <c r="FG209" s="4"/>
      <c r="FH209" s="4"/>
      <c r="FI209" s="4"/>
      <c r="FJ209" s="6"/>
      <c r="FK209" s="5" t="str">
        <f t="shared" si="725"/>
        <v>NO APLICA</v>
      </c>
      <c r="FL209" s="4"/>
      <c r="FM209" s="4"/>
      <c r="FN209" s="4"/>
      <c r="FO209" s="6"/>
      <c r="FP209" s="5" t="str">
        <f t="shared" si="726"/>
        <v>NO APLICA</v>
      </c>
      <c r="FQ209" s="4"/>
      <c r="FR209" s="4"/>
      <c r="FS209" s="4"/>
      <c r="FT209" s="6"/>
      <c r="FU209" s="5" t="str">
        <f t="shared" si="727"/>
        <v>NO APLICA</v>
      </c>
      <c r="FV209" s="4"/>
      <c r="FW209" s="4"/>
      <c r="FX209" s="4"/>
      <c r="FY209" s="6"/>
      <c r="FZ209" s="5" t="str">
        <f t="shared" si="728"/>
        <v>NO APLICA</v>
      </c>
      <c r="GA209" s="4"/>
      <c r="GB209" s="4"/>
      <c r="GC209" s="4"/>
      <c r="GD209" s="6"/>
      <c r="GE209" s="5" t="str">
        <f t="shared" si="729"/>
        <v>NO APLICA</v>
      </c>
      <c r="GF209" s="4"/>
      <c r="GG209" s="4"/>
      <c r="GH209" s="4"/>
      <c r="GI209" s="8"/>
      <c r="GJ209" s="5" t="str">
        <f t="shared" si="730"/>
        <v>NO APLICA</v>
      </c>
      <c r="GK209" s="4"/>
      <c r="GL209" s="6"/>
      <c r="GM209" s="6"/>
      <c r="GN209" s="6"/>
      <c r="GO209" s="5" t="str">
        <f t="shared" si="731"/>
        <v>NO APLICA</v>
      </c>
      <c r="GP209" s="4"/>
      <c r="GQ209" s="6"/>
      <c r="GR209" s="6"/>
      <c r="GS209" s="6"/>
      <c r="GT209" s="5" t="str">
        <f t="shared" si="610"/>
        <v>NO APLICA</v>
      </c>
      <c r="GU209" s="4"/>
      <c r="GV209" s="6"/>
      <c r="GW209" s="6"/>
      <c r="GX209" s="6"/>
      <c r="GY209" s="5" t="str">
        <f t="shared" si="611"/>
        <v>NO APLICA</v>
      </c>
      <c r="GZ209" s="6"/>
      <c r="HA209" s="6"/>
      <c r="HB209" s="6"/>
      <c r="HC209" s="6"/>
      <c r="HD209" s="5" t="str">
        <f t="shared" si="612"/>
        <v>NO APLICA</v>
      </c>
      <c r="HE209" s="6"/>
      <c r="HF209" s="6"/>
      <c r="HG209" s="4"/>
      <c r="HH209" s="8"/>
      <c r="HI209" s="5" t="str">
        <f t="shared" si="698"/>
        <v>NO APLICA</v>
      </c>
      <c r="HJ209" s="6"/>
      <c r="HK209" s="6"/>
      <c r="HL209" s="6"/>
      <c r="HM209" s="6"/>
      <c r="HN209" s="5" t="str">
        <f t="shared" si="694"/>
        <v>NO APLICA</v>
      </c>
      <c r="HO209" s="6"/>
      <c r="HP209" s="6"/>
      <c r="HQ209" s="6"/>
      <c r="HR209" s="6"/>
      <c r="HS209" s="5" t="str">
        <f t="shared" si="732"/>
        <v>NO APLICA</v>
      </c>
      <c r="HT209" s="6"/>
      <c r="HU209" s="6"/>
      <c r="HV209" s="6"/>
      <c r="HW209" s="6"/>
      <c r="HX209" s="5" t="str">
        <f t="shared" si="733"/>
        <v>NO APLICA</v>
      </c>
      <c r="HY209" s="6"/>
      <c r="HZ209" s="6"/>
      <c r="IA209" s="6"/>
      <c r="IB209" s="6"/>
      <c r="IC209" s="5" t="str">
        <f t="shared" si="734"/>
        <v>NO APLICA</v>
      </c>
      <c r="ID209" s="6"/>
      <c r="IE209" s="6"/>
      <c r="IF209" s="6"/>
      <c r="IG209" s="6"/>
      <c r="IH209" s="5" t="str">
        <f t="shared" si="735"/>
        <v>NO APLICA</v>
      </c>
      <c r="II209" s="6"/>
      <c r="IJ209" s="6"/>
      <c r="IK209" s="6"/>
      <c r="IL209" s="6"/>
      <c r="IM209" s="5" t="str">
        <f t="shared" si="736"/>
        <v>NO APLICA</v>
      </c>
      <c r="IN209" s="6"/>
      <c r="IO209" s="6"/>
      <c r="IP209" s="6"/>
      <c r="IQ209" s="6"/>
      <c r="IR209" s="5" t="str">
        <f t="shared" si="737"/>
        <v>NO APLICA</v>
      </c>
      <c r="IS209" s="6"/>
      <c r="IT209" s="6"/>
      <c r="IU209" s="6"/>
      <c r="IV209" s="6"/>
      <c r="IW209" s="5" t="str">
        <f t="shared" si="738"/>
        <v>NO APLICA</v>
      </c>
      <c r="IX209" s="6"/>
      <c r="IY209" s="6"/>
      <c r="IZ209" s="6"/>
      <c r="JA209" s="6"/>
      <c r="JB209" s="5" t="str">
        <f t="shared" si="739"/>
        <v>NO APLICA</v>
      </c>
      <c r="JC209" s="3" t="s">
        <v>780</v>
      </c>
      <c r="JD209" s="3"/>
      <c r="JE209" s="4"/>
      <c r="JF209" s="8"/>
      <c r="JG209" s="5"/>
      <c r="JH209" s="3" t="s">
        <v>780</v>
      </c>
      <c r="JI209" s="4"/>
      <c r="JJ209" s="6"/>
      <c r="JK209" s="6"/>
      <c r="JL209" s="5"/>
      <c r="JM209" s="6" t="s">
        <v>780</v>
      </c>
      <c r="JN209" s="6"/>
      <c r="JO209" s="6"/>
      <c r="JP209" s="6"/>
      <c r="JQ209" s="5"/>
      <c r="JR209" s="6" t="s">
        <v>780</v>
      </c>
      <c r="JS209" s="4"/>
      <c r="JT209" s="6"/>
      <c r="JU209" s="6"/>
      <c r="JV209" s="5"/>
      <c r="JW209" s="6" t="s">
        <v>780</v>
      </c>
      <c r="JX209" s="3"/>
      <c r="JY209" s="4"/>
      <c r="JZ209" s="8"/>
      <c r="KA209" s="38"/>
      <c r="KB209" s="5"/>
      <c r="KC209" s="6"/>
      <c r="KD209" s="6"/>
      <c r="KE209" s="6"/>
      <c r="KF209" s="5" t="str">
        <f t="shared" si="740"/>
        <v>NO APLICA</v>
      </c>
      <c r="KG209" s="5"/>
      <c r="KH209" s="6"/>
      <c r="KI209" s="6"/>
      <c r="KJ209" s="6"/>
      <c r="KK209" s="5" t="str">
        <f t="shared" si="760"/>
        <v>NO APLICA</v>
      </c>
      <c r="KL209" s="5"/>
      <c r="KM209" s="6"/>
      <c r="KN209" s="6"/>
      <c r="KO209" s="6"/>
      <c r="KP209" s="5" t="str">
        <f t="shared" si="741"/>
        <v>NO APLICA</v>
      </c>
      <c r="KQ209" s="5"/>
      <c r="KR209" s="6"/>
      <c r="KS209" s="6"/>
      <c r="KT209" s="6"/>
      <c r="KU209" s="5" t="str">
        <f t="shared" si="761"/>
        <v>NO APLICA</v>
      </c>
      <c r="KV209" s="6"/>
      <c r="KW209" s="6"/>
      <c r="KX209" s="6"/>
      <c r="KY209" s="6"/>
      <c r="KZ209" s="5" t="str">
        <f t="shared" si="767"/>
        <v>NO APLICA</v>
      </c>
      <c r="LA209" s="5"/>
      <c r="LB209" s="6"/>
      <c r="LC209" s="6"/>
      <c r="LD209" s="6"/>
      <c r="LE209" s="5" t="str">
        <f t="shared" si="762"/>
        <v>NO APLICA</v>
      </c>
      <c r="LF209" s="6"/>
      <c r="LG209" s="6"/>
      <c r="LH209" s="6"/>
      <c r="LI209" s="6"/>
      <c r="LJ209" s="5" t="str">
        <f t="shared" si="600"/>
        <v>NO APLICA</v>
      </c>
      <c r="LK209" s="5"/>
      <c r="LL209" s="5"/>
      <c r="LM209" s="4"/>
      <c r="LN209" s="8"/>
      <c r="LO209" s="5" t="str">
        <f t="shared" si="768"/>
        <v>NO APLICA</v>
      </c>
      <c r="LP209" s="6"/>
      <c r="LQ209" s="6"/>
      <c r="LR209" s="6"/>
      <c r="LS209" s="6"/>
      <c r="LT209" s="5" t="str">
        <f t="shared" si="763"/>
        <v>NO APLICA</v>
      </c>
      <c r="LU209" s="6"/>
      <c r="LV209" s="6"/>
      <c r="LW209" s="6"/>
      <c r="LX209" s="6"/>
      <c r="LY209" s="5" t="str">
        <f t="shared" si="764"/>
        <v>NO APLICA</v>
      </c>
      <c r="LZ209" s="6"/>
      <c r="MA209" s="6"/>
      <c r="MB209" s="6"/>
      <c r="MC209" s="6"/>
      <c r="MD209" s="5" t="str">
        <f t="shared" si="765"/>
        <v>NO APLICA</v>
      </c>
      <c r="ME209" s="6"/>
      <c r="MF209" s="6"/>
      <c r="MG209" s="6"/>
      <c r="MH209" s="6"/>
      <c r="MI209" s="5" t="str">
        <f t="shared" si="742"/>
        <v>NO APLICA</v>
      </c>
      <c r="MJ209" s="6"/>
      <c r="MK209" s="6"/>
      <c r="ML209" s="6"/>
      <c r="MM209" s="6"/>
      <c r="MN209" s="5" t="str">
        <f t="shared" si="743"/>
        <v>NO APLICA</v>
      </c>
      <c r="MO209" s="5"/>
      <c r="MP209" s="6"/>
      <c r="MQ209" s="6"/>
      <c r="MR209" s="6"/>
      <c r="MS209" s="5" t="str">
        <f t="shared" si="744"/>
        <v>NO APLICA</v>
      </c>
      <c r="MT209" s="5"/>
      <c r="MU209" s="6"/>
      <c r="MV209" s="6"/>
      <c r="MW209" s="6"/>
      <c r="MX209" s="5" t="str">
        <f t="shared" si="745"/>
        <v>NO APLICA</v>
      </c>
      <c r="MY209" s="6"/>
      <c r="MZ209" s="6"/>
      <c r="NA209" s="6"/>
      <c r="NB209" s="6"/>
      <c r="NC209" s="5" t="str">
        <f t="shared" si="746"/>
        <v>NO APLICA</v>
      </c>
      <c r="ND209" s="6"/>
      <c r="NE209" s="6"/>
      <c r="NF209" s="6"/>
      <c r="NG209" s="6"/>
      <c r="NH209" s="5" t="str">
        <f t="shared" si="747"/>
        <v>NO APLICA</v>
      </c>
      <c r="NI209" s="6"/>
      <c r="NJ209" s="6"/>
      <c r="NK209" s="6"/>
      <c r="NL209" s="6"/>
      <c r="NM209" s="5" t="str">
        <f t="shared" si="748"/>
        <v>NO APLICA</v>
      </c>
      <c r="NN209" s="6"/>
      <c r="NO209" s="6"/>
      <c r="NP209" s="6"/>
      <c r="NQ209" s="6"/>
      <c r="NR209" s="5" t="str">
        <f t="shared" si="749"/>
        <v>NO APLICA</v>
      </c>
      <c r="NS209" s="6"/>
      <c r="NT209" s="6"/>
      <c r="NU209" s="6"/>
      <c r="NV209" s="6"/>
      <c r="NW209" s="5" t="str">
        <f t="shared" si="750"/>
        <v>NO APLICA</v>
      </c>
      <c r="NX209" s="6"/>
      <c r="NY209" s="6"/>
      <c r="NZ209" s="6"/>
      <c r="OA209" s="6"/>
      <c r="OB209" s="5" t="str">
        <f t="shared" si="751"/>
        <v>NO APLICA</v>
      </c>
      <c r="OC209" s="6"/>
      <c r="OD209" s="6"/>
      <c r="OE209" s="6"/>
      <c r="OF209" s="6"/>
      <c r="OG209" s="5" t="str">
        <f t="shared" si="752"/>
        <v>NO APLICA</v>
      </c>
      <c r="OH209" s="6"/>
      <c r="OI209" s="6"/>
      <c r="OJ209" s="6"/>
      <c r="OK209" s="6"/>
      <c r="OL209" s="5" t="str">
        <f t="shared" si="753"/>
        <v>NO APLICA</v>
      </c>
      <c r="OM209" s="6"/>
      <c r="ON209" s="6"/>
      <c r="OO209" s="6"/>
      <c r="OP209" s="6"/>
      <c r="OQ209" s="5" t="str">
        <f t="shared" si="754"/>
        <v>NO APLICA</v>
      </c>
      <c r="OR209" s="6"/>
      <c r="OS209" s="6"/>
      <c r="OT209" s="6"/>
      <c r="OU209" s="6"/>
      <c r="OV209" s="5" t="str">
        <f t="shared" si="755"/>
        <v>NO APLICA</v>
      </c>
      <c r="OW209" s="6"/>
      <c r="OX209" s="6"/>
      <c r="OY209" s="6"/>
      <c r="OZ209" s="6"/>
      <c r="PA209" s="5" t="str">
        <f t="shared" si="769"/>
        <v>NO APLICA</v>
      </c>
      <c r="PB209" s="6"/>
      <c r="PC209" s="6"/>
      <c r="PD209" s="6"/>
      <c r="PE209" s="6"/>
      <c r="PF209" s="5" t="str">
        <f t="shared" si="756"/>
        <v>NO APLICA</v>
      </c>
      <c r="PG209" s="6"/>
      <c r="PH209" s="6"/>
      <c r="PI209" s="6"/>
      <c r="PJ209" s="6"/>
      <c r="PK209" s="5" t="str">
        <f t="shared" si="757"/>
        <v>NO APLICA</v>
      </c>
      <c r="PL209" s="5"/>
      <c r="PM209" s="6"/>
      <c r="PN209" s="6"/>
      <c r="PO209" s="6"/>
      <c r="PP209" s="5" t="str">
        <f t="shared" si="766"/>
        <v>NO APLICA</v>
      </c>
      <c r="PQ209" s="6"/>
      <c r="PR209" s="6"/>
      <c r="PS209" s="6"/>
      <c r="PT209" s="6"/>
      <c r="PU209" s="5" t="str">
        <f t="shared" si="758"/>
        <v>NO APLICA</v>
      </c>
      <c r="PV209" s="5"/>
      <c r="PW209" s="6"/>
      <c r="PX209" s="6"/>
      <c r="PY209" s="6"/>
      <c r="PZ209" s="5" t="str">
        <f t="shared" si="759"/>
        <v>NO APLICA</v>
      </c>
    </row>
    <row r="210" spans="1:442" ht="15.6" hidden="1" thickTop="1" thickBot="1" x14ac:dyDescent="0.35">
      <c r="A210" s="26">
        <v>207</v>
      </c>
      <c r="B210" s="31">
        <v>1665</v>
      </c>
      <c r="C210" s="28" t="s">
        <v>770</v>
      </c>
      <c r="D210" s="29" t="s">
        <v>113</v>
      </c>
      <c r="E210" s="30" t="s">
        <v>643</v>
      </c>
      <c r="F210" s="6"/>
      <c r="G210" s="6"/>
      <c r="H210" s="6"/>
      <c r="I210" s="6"/>
      <c r="J210" s="5" t="str">
        <f t="shared" si="696"/>
        <v>NO APLICA</v>
      </c>
      <c r="K210" s="6"/>
      <c r="L210" s="6"/>
      <c r="M210" s="6"/>
      <c r="N210" s="6"/>
      <c r="O210" s="5" t="str">
        <f t="shared" si="699"/>
        <v>NO APLICA</v>
      </c>
      <c r="P210" s="6"/>
      <c r="Q210" s="6"/>
      <c r="R210" s="6"/>
      <c r="S210" s="6"/>
      <c r="T210" s="5" t="str">
        <f t="shared" si="697"/>
        <v>NO APLICA</v>
      </c>
      <c r="U210" s="5"/>
      <c r="V210" s="6"/>
      <c r="W210" s="4"/>
      <c r="X210" s="4"/>
      <c r="Y210" s="8"/>
      <c r="Z210" s="5" t="str">
        <f t="shared" si="605"/>
        <v>NO APLICA</v>
      </c>
      <c r="AA210" s="5"/>
      <c r="AB210" s="6"/>
      <c r="AC210" s="6"/>
      <c r="AD210" s="6"/>
      <c r="AE210" s="6"/>
      <c r="AF210" s="5" t="str">
        <f t="shared" si="700"/>
        <v>NO APLICA</v>
      </c>
      <c r="AG210" s="4"/>
      <c r="AH210" s="4"/>
      <c r="AI210" s="4"/>
      <c r="AJ210" s="6"/>
      <c r="AK210" s="5" t="str">
        <f t="shared" si="602"/>
        <v>NO APLICA</v>
      </c>
      <c r="AL210" s="4"/>
      <c r="AM210" s="4"/>
      <c r="AN210" s="4"/>
      <c r="AO210" s="6"/>
      <c r="AP210" s="5" t="str">
        <f t="shared" si="701"/>
        <v>NO APLICA</v>
      </c>
      <c r="AQ210" s="4"/>
      <c r="AR210" s="4"/>
      <c r="AS210" s="4"/>
      <c r="AT210" s="6"/>
      <c r="AU210" s="5" t="str">
        <f t="shared" si="702"/>
        <v>NO APLICA</v>
      </c>
      <c r="AV210" s="4"/>
      <c r="AW210" s="4"/>
      <c r="AX210" s="4"/>
      <c r="AY210" s="6"/>
      <c r="AZ210" s="5" t="str">
        <f t="shared" si="703"/>
        <v>NO APLICA</v>
      </c>
      <c r="BA210" s="4"/>
      <c r="BB210" s="4"/>
      <c r="BC210" s="4"/>
      <c r="BD210" s="6"/>
      <c r="BE210" s="5" t="str">
        <f t="shared" si="704"/>
        <v>NO APLICA</v>
      </c>
      <c r="BF210" s="4"/>
      <c r="BG210" s="4"/>
      <c r="BH210" s="4"/>
      <c r="BI210" s="6"/>
      <c r="BJ210" s="5" t="str">
        <f t="shared" si="705"/>
        <v>NO APLICA</v>
      </c>
      <c r="BK210" s="4"/>
      <c r="BL210" s="4"/>
      <c r="BM210" s="4"/>
      <c r="BN210" s="6"/>
      <c r="BO210" s="5" t="str">
        <f t="shared" si="706"/>
        <v>NO APLICA</v>
      </c>
      <c r="BP210" s="4"/>
      <c r="BQ210" s="4"/>
      <c r="BR210" s="4"/>
      <c r="BS210" s="6"/>
      <c r="BT210" s="5" t="str">
        <f t="shared" si="707"/>
        <v>NO APLICA</v>
      </c>
      <c r="BU210" s="4"/>
      <c r="BV210" s="4"/>
      <c r="BW210" s="4"/>
      <c r="BX210" s="6"/>
      <c r="BY210" s="5" t="str">
        <f t="shared" si="708"/>
        <v>NO APLICA</v>
      </c>
      <c r="BZ210" s="4"/>
      <c r="CA210" s="4"/>
      <c r="CB210" s="4"/>
      <c r="CC210" s="6"/>
      <c r="CD210" s="5" t="str">
        <f t="shared" si="709"/>
        <v>NO APLICA</v>
      </c>
      <c r="CE210" s="6"/>
      <c r="CF210" s="6"/>
      <c r="CG210" s="6"/>
      <c r="CH210" s="6"/>
      <c r="CI210" s="5" t="str">
        <f t="shared" si="770"/>
        <v>NO APLICA</v>
      </c>
      <c r="CJ210" s="4"/>
      <c r="CK210" s="4"/>
      <c r="CL210" s="4"/>
      <c r="CM210" s="6"/>
      <c r="CN210" s="5" t="str">
        <f t="shared" si="710"/>
        <v>NO APLICA</v>
      </c>
      <c r="CO210" s="4"/>
      <c r="CP210" s="4"/>
      <c r="CQ210" s="4"/>
      <c r="CR210" s="6"/>
      <c r="CS210" s="5" t="str">
        <f t="shared" si="711"/>
        <v>NO APLICA</v>
      </c>
      <c r="CT210" s="4"/>
      <c r="CU210" s="4"/>
      <c r="CV210" s="4"/>
      <c r="CW210" s="6"/>
      <c r="CX210" s="5" t="str">
        <f t="shared" si="712"/>
        <v>NO APLICA</v>
      </c>
      <c r="CY210" s="4"/>
      <c r="CZ210" s="4"/>
      <c r="DA210" s="4"/>
      <c r="DB210" s="6"/>
      <c r="DC210" s="5" t="str">
        <f t="shared" si="713"/>
        <v>NO APLICA</v>
      </c>
      <c r="DD210" s="4"/>
      <c r="DE210" s="4"/>
      <c r="DF210" s="4"/>
      <c r="DG210" s="6"/>
      <c r="DH210" s="5" t="str">
        <f t="shared" si="714"/>
        <v>NO APLICA</v>
      </c>
      <c r="DI210" s="4"/>
      <c r="DJ210" s="4"/>
      <c r="DK210" s="4"/>
      <c r="DL210" s="6"/>
      <c r="DM210" s="5" t="str">
        <f t="shared" si="715"/>
        <v>NO APLICA</v>
      </c>
      <c r="DN210" s="4"/>
      <c r="DO210" s="4"/>
      <c r="DP210" s="4"/>
      <c r="DQ210" s="6"/>
      <c r="DR210" s="5" t="str">
        <f t="shared" si="716"/>
        <v>NO APLICA</v>
      </c>
      <c r="DS210" s="4"/>
      <c r="DT210" s="4"/>
      <c r="DU210" s="4"/>
      <c r="DV210" s="6"/>
      <c r="DW210" s="5" t="str">
        <f t="shared" si="717"/>
        <v>NO APLICA</v>
      </c>
      <c r="DX210" s="4"/>
      <c r="DY210" s="4"/>
      <c r="DZ210" s="4"/>
      <c r="EA210" s="6"/>
      <c r="EB210" s="5" t="str">
        <f t="shared" si="718"/>
        <v>NO APLICA</v>
      </c>
      <c r="EC210" s="4"/>
      <c r="ED210" s="4"/>
      <c r="EE210" s="4"/>
      <c r="EF210" s="6"/>
      <c r="EG210" s="5" t="str">
        <f t="shared" si="719"/>
        <v>NO APLICA</v>
      </c>
      <c r="EH210" s="4"/>
      <c r="EI210" s="4"/>
      <c r="EJ210" s="4"/>
      <c r="EK210" s="8"/>
      <c r="EL210" s="5" t="str">
        <f t="shared" si="720"/>
        <v>NO APLICA</v>
      </c>
      <c r="EM210" s="4"/>
      <c r="EN210" s="4"/>
      <c r="EO210" s="4"/>
      <c r="EP210" s="8"/>
      <c r="EQ210" s="5" t="str">
        <f t="shared" si="721"/>
        <v>NO APLICA</v>
      </c>
      <c r="ER210" s="4"/>
      <c r="ES210" s="4"/>
      <c r="ET210" s="4"/>
      <c r="EU210" s="8"/>
      <c r="EV210" s="5" t="str">
        <f t="shared" si="722"/>
        <v>NO APLICA</v>
      </c>
      <c r="EW210" s="4"/>
      <c r="EX210" s="4"/>
      <c r="EY210" s="4"/>
      <c r="EZ210" s="6"/>
      <c r="FA210" s="5" t="str">
        <f t="shared" si="723"/>
        <v>NO APLICA</v>
      </c>
      <c r="FB210" s="4"/>
      <c r="FC210" s="4"/>
      <c r="FD210" s="4"/>
      <c r="FE210" s="6"/>
      <c r="FF210" s="5" t="str">
        <f t="shared" si="724"/>
        <v>NO APLICA</v>
      </c>
      <c r="FG210" s="4"/>
      <c r="FH210" s="4"/>
      <c r="FI210" s="4"/>
      <c r="FJ210" s="6"/>
      <c r="FK210" s="5" t="str">
        <f t="shared" si="725"/>
        <v>NO APLICA</v>
      </c>
      <c r="FL210" s="4"/>
      <c r="FM210" s="4"/>
      <c r="FN210" s="4"/>
      <c r="FO210" s="6"/>
      <c r="FP210" s="5" t="str">
        <f t="shared" si="726"/>
        <v>NO APLICA</v>
      </c>
      <c r="FQ210" s="4"/>
      <c r="FR210" s="4"/>
      <c r="FS210" s="4"/>
      <c r="FT210" s="6"/>
      <c r="FU210" s="5" t="str">
        <f t="shared" si="727"/>
        <v>NO APLICA</v>
      </c>
      <c r="FV210" s="4"/>
      <c r="FW210" s="4"/>
      <c r="FX210" s="4"/>
      <c r="FY210" s="6"/>
      <c r="FZ210" s="5" t="str">
        <f t="shared" si="728"/>
        <v>NO APLICA</v>
      </c>
      <c r="GA210" s="4"/>
      <c r="GB210" s="4"/>
      <c r="GC210" s="4"/>
      <c r="GD210" s="6"/>
      <c r="GE210" s="5" t="str">
        <f t="shared" si="729"/>
        <v>NO APLICA</v>
      </c>
      <c r="GF210" s="4"/>
      <c r="GG210" s="4"/>
      <c r="GH210" s="4"/>
      <c r="GI210" s="8"/>
      <c r="GJ210" s="5" t="str">
        <f t="shared" si="730"/>
        <v>NO APLICA</v>
      </c>
      <c r="GK210" s="4"/>
      <c r="GL210" s="6"/>
      <c r="GM210" s="6"/>
      <c r="GN210" s="6"/>
      <c r="GO210" s="5" t="str">
        <f t="shared" si="731"/>
        <v>NO APLICA</v>
      </c>
      <c r="GP210" s="4"/>
      <c r="GQ210" s="6"/>
      <c r="GR210" s="6"/>
      <c r="GS210" s="6"/>
      <c r="GT210" s="5" t="str">
        <f t="shared" si="610"/>
        <v>NO APLICA</v>
      </c>
      <c r="GU210" s="4"/>
      <c r="GV210" s="6"/>
      <c r="GW210" s="6"/>
      <c r="GX210" s="6"/>
      <c r="GY210" s="5" t="str">
        <f t="shared" si="611"/>
        <v>NO APLICA</v>
      </c>
      <c r="GZ210" s="6"/>
      <c r="HA210" s="6"/>
      <c r="HB210" s="6"/>
      <c r="HC210" s="6"/>
      <c r="HD210" s="5" t="str">
        <f t="shared" si="612"/>
        <v>NO APLICA</v>
      </c>
      <c r="HE210" s="6"/>
      <c r="HF210" s="6"/>
      <c r="HG210" s="4"/>
      <c r="HH210" s="8"/>
      <c r="HI210" s="5" t="str">
        <f t="shared" si="698"/>
        <v>NO APLICA</v>
      </c>
      <c r="HJ210" s="6"/>
      <c r="HK210" s="6"/>
      <c r="HL210" s="6"/>
      <c r="HM210" s="6"/>
      <c r="HN210" s="5" t="str">
        <f t="shared" si="694"/>
        <v>NO APLICA</v>
      </c>
      <c r="HO210" s="6"/>
      <c r="HP210" s="6"/>
      <c r="HQ210" s="6"/>
      <c r="HR210" s="6"/>
      <c r="HS210" s="5" t="str">
        <f t="shared" si="732"/>
        <v>NO APLICA</v>
      </c>
      <c r="HT210" s="6"/>
      <c r="HU210" s="6"/>
      <c r="HV210" s="6"/>
      <c r="HW210" s="6"/>
      <c r="HX210" s="5" t="str">
        <f t="shared" si="733"/>
        <v>NO APLICA</v>
      </c>
      <c r="HY210" s="6"/>
      <c r="HZ210" s="6"/>
      <c r="IA210" s="6"/>
      <c r="IB210" s="6"/>
      <c r="IC210" s="5" t="str">
        <f t="shared" si="734"/>
        <v>NO APLICA</v>
      </c>
      <c r="ID210" s="6"/>
      <c r="IE210" s="6"/>
      <c r="IF210" s="6"/>
      <c r="IG210" s="6"/>
      <c r="IH210" s="5" t="str">
        <f t="shared" si="735"/>
        <v>NO APLICA</v>
      </c>
      <c r="II210" s="6"/>
      <c r="IJ210" s="6"/>
      <c r="IK210" s="6"/>
      <c r="IL210" s="6"/>
      <c r="IM210" s="5" t="str">
        <f t="shared" si="736"/>
        <v>NO APLICA</v>
      </c>
      <c r="IN210" s="6"/>
      <c r="IO210" s="6"/>
      <c r="IP210" s="6"/>
      <c r="IQ210" s="6"/>
      <c r="IR210" s="5" t="str">
        <f t="shared" si="737"/>
        <v>NO APLICA</v>
      </c>
      <c r="IS210" s="6"/>
      <c r="IT210" s="6"/>
      <c r="IU210" s="6"/>
      <c r="IV210" s="6"/>
      <c r="IW210" s="5" t="str">
        <f t="shared" si="738"/>
        <v>NO APLICA</v>
      </c>
      <c r="IX210" s="6"/>
      <c r="IY210" s="6"/>
      <c r="IZ210" s="6"/>
      <c r="JA210" s="6"/>
      <c r="JB210" s="5" t="str">
        <f t="shared" si="739"/>
        <v>NO APLICA</v>
      </c>
      <c r="JC210" s="3" t="s">
        <v>780</v>
      </c>
      <c r="JD210" s="6"/>
      <c r="JE210" s="6"/>
      <c r="JF210" s="6"/>
      <c r="JG210" s="5"/>
      <c r="JH210" s="3" t="s">
        <v>780</v>
      </c>
      <c r="JI210" s="6"/>
      <c r="JJ210" s="6"/>
      <c r="JK210" s="6"/>
      <c r="JL210" s="5"/>
      <c r="JM210" s="6" t="s">
        <v>780</v>
      </c>
      <c r="JN210" s="6"/>
      <c r="JO210" s="6"/>
      <c r="JP210" s="6"/>
      <c r="JQ210" s="5"/>
      <c r="JR210" s="6" t="s">
        <v>780</v>
      </c>
      <c r="JS210" s="6"/>
      <c r="JT210" s="6"/>
      <c r="JU210" s="6"/>
      <c r="JV210" s="5"/>
      <c r="JW210" s="6" t="s">
        <v>780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40"/>
        <v>NO APLICA</v>
      </c>
      <c r="KG210" s="5"/>
      <c r="KH210" s="6"/>
      <c r="KI210" s="6"/>
      <c r="KJ210" s="6"/>
      <c r="KK210" s="5" t="str">
        <f t="shared" si="760"/>
        <v>NO APLICA</v>
      </c>
      <c r="KL210" s="5"/>
      <c r="KM210" s="6"/>
      <c r="KN210" s="6"/>
      <c r="KO210" s="6"/>
      <c r="KP210" s="5" t="str">
        <f t="shared" si="741"/>
        <v>NO APLICA</v>
      </c>
      <c r="KQ210" s="5"/>
      <c r="KR210" s="6"/>
      <c r="KS210" s="6"/>
      <c r="KT210" s="6"/>
      <c r="KU210" s="5" t="str">
        <f t="shared" si="761"/>
        <v>NO APLICA</v>
      </c>
      <c r="KV210" s="6"/>
      <c r="KW210" s="6"/>
      <c r="KX210" s="6"/>
      <c r="KY210" s="6"/>
      <c r="KZ210" s="5" t="str">
        <f t="shared" si="767"/>
        <v>NO APLICA</v>
      </c>
      <c r="LA210" s="5"/>
      <c r="LB210" s="6"/>
      <c r="LC210" s="6"/>
      <c r="LD210" s="6"/>
      <c r="LE210" s="5" t="str">
        <f t="shared" si="762"/>
        <v>NO APLICA</v>
      </c>
      <c r="LF210" s="6"/>
      <c r="LG210" s="6"/>
      <c r="LH210" s="6"/>
      <c r="LI210" s="6"/>
      <c r="LJ210" s="5" t="str">
        <f t="shared" si="600"/>
        <v>NO APLICA</v>
      </c>
      <c r="LK210" s="5"/>
      <c r="LL210" s="5"/>
      <c r="LM210" s="4"/>
      <c r="LN210" s="8"/>
      <c r="LO210" s="5" t="str">
        <f t="shared" si="768"/>
        <v>NO APLICA</v>
      </c>
      <c r="LP210" s="6"/>
      <c r="LQ210" s="6"/>
      <c r="LR210" s="6"/>
      <c r="LS210" s="6"/>
      <c r="LT210" s="5" t="str">
        <f t="shared" si="763"/>
        <v>NO APLICA</v>
      </c>
      <c r="LU210" s="6"/>
      <c r="LV210" s="6"/>
      <c r="LW210" s="6"/>
      <c r="LX210" s="6"/>
      <c r="LY210" s="5" t="str">
        <f t="shared" si="764"/>
        <v>NO APLICA</v>
      </c>
      <c r="LZ210" s="6"/>
      <c r="MA210" s="6"/>
      <c r="MB210" s="6"/>
      <c r="MC210" s="6"/>
      <c r="MD210" s="5" t="str">
        <f t="shared" si="765"/>
        <v>NO APLICA</v>
      </c>
      <c r="ME210" s="6"/>
      <c r="MF210" s="6"/>
      <c r="MG210" s="6"/>
      <c r="MH210" s="6"/>
      <c r="MI210" s="5" t="str">
        <f t="shared" si="742"/>
        <v>NO APLICA</v>
      </c>
      <c r="MJ210" s="6"/>
      <c r="MK210" s="6"/>
      <c r="ML210" s="6"/>
      <c r="MM210" s="6"/>
      <c r="MN210" s="5" t="str">
        <f t="shared" si="743"/>
        <v>NO APLICA</v>
      </c>
      <c r="MO210" s="5"/>
      <c r="MP210" s="6"/>
      <c r="MQ210" s="6"/>
      <c r="MR210" s="6"/>
      <c r="MS210" s="5" t="str">
        <f t="shared" si="744"/>
        <v>NO APLICA</v>
      </c>
      <c r="MT210" s="5"/>
      <c r="MU210" s="6"/>
      <c r="MV210" s="6"/>
      <c r="MW210" s="6"/>
      <c r="MX210" s="5" t="str">
        <f t="shared" si="745"/>
        <v>NO APLICA</v>
      </c>
      <c r="MY210" s="6"/>
      <c r="MZ210" s="6"/>
      <c r="NA210" s="6"/>
      <c r="NB210" s="6"/>
      <c r="NC210" s="5" t="str">
        <f t="shared" si="746"/>
        <v>NO APLICA</v>
      </c>
      <c r="ND210" s="6"/>
      <c r="NE210" s="6"/>
      <c r="NF210" s="6"/>
      <c r="NG210" s="6"/>
      <c r="NH210" s="5" t="str">
        <f t="shared" si="747"/>
        <v>NO APLICA</v>
      </c>
      <c r="NI210" s="6"/>
      <c r="NJ210" s="6"/>
      <c r="NK210" s="6"/>
      <c r="NL210" s="6"/>
      <c r="NM210" s="5" t="str">
        <f t="shared" si="748"/>
        <v>NO APLICA</v>
      </c>
      <c r="NN210" s="6"/>
      <c r="NO210" s="6"/>
      <c r="NP210" s="6"/>
      <c r="NQ210" s="6"/>
      <c r="NR210" s="5" t="str">
        <f t="shared" si="749"/>
        <v>NO APLICA</v>
      </c>
      <c r="NS210" s="6"/>
      <c r="NT210" s="6"/>
      <c r="NU210" s="6"/>
      <c r="NV210" s="6"/>
      <c r="NW210" s="5" t="str">
        <f t="shared" si="750"/>
        <v>NO APLICA</v>
      </c>
      <c r="NX210" s="6"/>
      <c r="NY210" s="6"/>
      <c r="NZ210" s="6"/>
      <c r="OA210" s="6"/>
      <c r="OB210" s="5" t="str">
        <f t="shared" si="751"/>
        <v>NO APLICA</v>
      </c>
      <c r="OC210" s="6"/>
      <c r="OD210" s="6"/>
      <c r="OE210" s="6"/>
      <c r="OF210" s="6"/>
      <c r="OG210" s="5" t="str">
        <f t="shared" si="752"/>
        <v>NO APLICA</v>
      </c>
      <c r="OH210" s="6"/>
      <c r="OI210" s="6"/>
      <c r="OJ210" s="6"/>
      <c r="OK210" s="6"/>
      <c r="OL210" s="5" t="str">
        <f t="shared" si="753"/>
        <v>NO APLICA</v>
      </c>
      <c r="OM210" s="6"/>
      <c r="ON210" s="6"/>
      <c r="OO210" s="6"/>
      <c r="OP210" s="6"/>
      <c r="OQ210" s="5" t="str">
        <f t="shared" si="754"/>
        <v>NO APLICA</v>
      </c>
      <c r="OR210" s="6"/>
      <c r="OS210" s="6"/>
      <c r="OT210" s="6"/>
      <c r="OU210" s="6"/>
      <c r="OV210" s="5" t="str">
        <f t="shared" si="755"/>
        <v>NO APLICA</v>
      </c>
      <c r="OW210" s="6"/>
      <c r="OX210" s="6"/>
      <c r="OY210" s="6"/>
      <c r="OZ210" s="6"/>
      <c r="PA210" s="5" t="str">
        <f t="shared" si="769"/>
        <v>NO APLICA</v>
      </c>
      <c r="PB210" s="6"/>
      <c r="PC210" s="6"/>
      <c r="PD210" s="6"/>
      <c r="PE210" s="6"/>
      <c r="PF210" s="5" t="str">
        <f t="shared" si="756"/>
        <v>NO APLICA</v>
      </c>
      <c r="PG210" s="6"/>
      <c r="PH210" s="6"/>
      <c r="PI210" s="6"/>
      <c r="PJ210" s="6"/>
      <c r="PK210" s="5" t="str">
        <f t="shared" si="757"/>
        <v>NO APLICA</v>
      </c>
      <c r="PL210" s="5"/>
      <c r="PM210" s="6"/>
      <c r="PN210" s="6"/>
      <c r="PO210" s="6"/>
      <c r="PP210" s="5" t="str">
        <f t="shared" si="766"/>
        <v>NO APLICA</v>
      </c>
      <c r="PQ210" s="6"/>
      <c r="PR210" s="6"/>
      <c r="PS210" s="6"/>
      <c r="PT210" s="6"/>
      <c r="PU210" s="5" t="str">
        <f t="shared" si="758"/>
        <v>NO APLICA</v>
      </c>
      <c r="PV210" s="5"/>
      <c r="PW210" s="6"/>
      <c r="PX210" s="6"/>
      <c r="PY210" s="6"/>
      <c r="PZ210" s="5" t="str">
        <f t="shared" si="759"/>
        <v>NO APLICA</v>
      </c>
    </row>
    <row r="211" spans="1:442" ht="15.6" hidden="1" thickTop="1" thickBot="1" x14ac:dyDescent="0.35">
      <c r="A211" s="26">
        <v>208</v>
      </c>
      <c r="B211" s="31">
        <v>1738</v>
      </c>
      <c r="C211" s="28" t="s">
        <v>644</v>
      </c>
      <c r="D211" s="29" t="s">
        <v>113</v>
      </c>
      <c r="E211" s="30" t="s">
        <v>602</v>
      </c>
      <c r="F211" s="3"/>
      <c r="G211" s="4"/>
      <c r="H211" s="4"/>
      <c r="I211" s="8"/>
      <c r="J211" s="5" t="str">
        <f t="shared" si="696"/>
        <v>NO APLICA</v>
      </c>
      <c r="K211" s="2"/>
      <c r="L211" s="2"/>
      <c r="M211" s="2"/>
      <c r="N211" s="2"/>
      <c r="O211" s="5" t="str">
        <f t="shared" si="699"/>
        <v>NO APLICA</v>
      </c>
      <c r="P211" s="6"/>
      <c r="Q211" s="6"/>
      <c r="R211" s="4"/>
      <c r="S211" s="8"/>
      <c r="T211" s="5" t="str">
        <f t="shared" si="697"/>
        <v>NO APLICA</v>
      </c>
      <c r="U211" s="5"/>
      <c r="V211" s="2"/>
      <c r="W211" s="4"/>
      <c r="X211" s="4"/>
      <c r="Y211" s="8"/>
      <c r="Z211" s="5" t="str">
        <f t="shared" si="605"/>
        <v>NO APLICA</v>
      </c>
      <c r="AA211" s="5"/>
      <c r="AB211" s="2"/>
      <c r="AC211" s="6"/>
      <c r="AD211" s="4"/>
      <c r="AE211" s="8"/>
      <c r="AF211" s="5" t="str">
        <f t="shared" si="700"/>
        <v>NO APLICA</v>
      </c>
      <c r="AG211" s="2"/>
      <c r="AH211" s="4"/>
      <c r="AI211" s="4"/>
      <c r="AJ211" s="8"/>
      <c r="AK211" s="5" t="str">
        <f t="shared" si="602"/>
        <v>NO APLICA</v>
      </c>
      <c r="AL211" s="2"/>
      <c r="AM211" s="4"/>
      <c r="AN211" s="4"/>
      <c r="AO211" s="8"/>
      <c r="AP211" s="5" t="str">
        <f t="shared" si="701"/>
        <v>NO APLICA</v>
      </c>
      <c r="AQ211" s="2"/>
      <c r="AR211" s="4"/>
      <c r="AS211" s="4"/>
      <c r="AT211" s="8"/>
      <c r="AU211" s="5" t="str">
        <f t="shared" si="702"/>
        <v>NO APLICA</v>
      </c>
      <c r="AV211" s="2"/>
      <c r="AW211" s="4"/>
      <c r="AX211" s="4"/>
      <c r="AY211" s="8"/>
      <c r="AZ211" s="5" t="str">
        <f t="shared" si="703"/>
        <v>NO APLICA</v>
      </c>
      <c r="BA211" s="3"/>
      <c r="BB211" s="4"/>
      <c r="BC211" s="4"/>
      <c r="BD211" s="8"/>
      <c r="BE211" s="5" t="str">
        <f t="shared" si="704"/>
        <v>NO APLICA</v>
      </c>
      <c r="BF211" s="2"/>
      <c r="BG211" s="4"/>
      <c r="BH211" s="4"/>
      <c r="BI211" s="8"/>
      <c r="BJ211" s="5" t="str">
        <f t="shared" si="705"/>
        <v>NO APLICA</v>
      </c>
      <c r="BK211" s="3"/>
      <c r="BL211" s="4"/>
      <c r="BM211" s="4"/>
      <c r="BN211" s="8"/>
      <c r="BO211" s="5" t="str">
        <f t="shared" si="706"/>
        <v>NO APLICA</v>
      </c>
      <c r="BP211" s="3"/>
      <c r="BQ211" s="39"/>
      <c r="BR211" s="4"/>
      <c r="BS211" s="8"/>
      <c r="BT211" s="5" t="str">
        <f t="shared" si="707"/>
        <v>NO APLICA</v>
      </c>
      <c r="BU211" s="2"/>
      <c r="BV211" s="4"/>
      <c r="BW211" s="4"/>
      <c r="BX211" s="8"/>
      <c r="BY211" s="5" t="str">
        <f t="shared" si="708"/>
        <v>NO APLICA</v>
      </c>
      <c r="BZ211" s="2"/>
      <c r="CA211" s="4"/>
      <c r="CB211" s="4"/>
      <c r="CC211" s="8"/>
      <c r="CD211" s="5" t="str">
        <f t="shared" si="709"/>
        <v>NO APLICA</v>
      </c>
      <c r="CE211" s="6"/>
      <c r="CF211" s="4"/>
      <c r="CG211" s="4"/>
      <c r="CH211" s="8"/>
      <c r="CI211" s="5" t="str">
        <f t="shared" si="770"/>
        <v>NO APLICA</v>
      </c>
      <c r="CJ211" s="6"/>
      <c r="CK211" s="4"/>
      <c r="CL211" s="4"/>
      <c r="CM211" s="8"/>
      <c r="CN211" s="5" t="str">
        <f t="shared" si="710"/>
        <v>NO APLICA</v>
      </c>
      <c r="CO211" s="2"/>
      <c r="CP211" s="39"/>
      <c r="CQ211" s="4"/>
      <c r="CR211" s="8"/>
      <c r="CS211" s="5" t="str">
        <f t="shared" si="711"/>
        <v>NO APLICA</v>
      </c>
      <c r="CT211" s="2"/>
      <c r="CU211" s="4"/>
      <c r="CV211" s="4"/>
      <c r="CW211" s="8"/>
      <c r="CX211" s="5" t="str">
        <f t="shared" si="712"/>
        <v>NO APLICA</v>
      </c>
      <c r="CY211" s="3"/>
      <c r="CZ211" s="4"/>
      <c r="DA211" s="4"/>
      <c r="DB211" s="8"/>
      <c r="DC211" s="5" t="str">
        <f t="shared" si="713"/>
        <v>NO APLICA</v>
      </c>
      <c r="DD211" s="3"/>
      <c r="DE211" s="39"/>
      <c r="DF211" s="4"/>
      <c r="DG211" s="8"/>
      <c r="DH211" s="5" t="str">
        <f t="shared" si="714"/>
        <v>NO APLICA</v>
      </c>
      <c r="DI211" s="2"/>
      <c r="DJ211" s="39"/>
      <c r="DK211" s="4"/>
      <c r="DL211" s="8"/>
      <c r="DM211" s="5" t="str">
        <f t="shared" si="715"/>
        <v>NO APLICA</v>
      </c>
      <c r="DN211" s="3"/>
      <c r="DO211" s="4"/>
      <c r="DP211" s="4"/>
      <c r="DQ211" s="8"/>
      <c r="DR211" s="5" t="str">
        <f t="shared" si="716"/>
        <v>NO APLICA</v>
      </c>
      <c r="DS211" s="2"/>
      <c r="DT211" s="4"/>
      <c r="DU211" s="4"/>
      <c r="DV211" s="8"/>
      <c r="DW211" s="5" t="str">
        <f t="shared" si="717"/>
        <v>NO APLICA</v>
      </c>
      <c r="DX211" s="3"/>
      <c r="DY211" s="4"/>
      <c r="DZ211" s="4"/>
      <c r="EA211" s="8"/>
      <c r="EB211" s="5" t="str">
        <f t="shared" si="718"/>
        <v>NO APLICA</v>
      </c>
      <c r="EC211" s="3"/>
      <c r="ED211" s="39"/>
      <c r="EE211" s="4"/>
      <c r="EF211" s="8"/>
      <c r="EG211" s="5" t="str">
        <f t="shared" si="719"/>
        <v>NO APLICA</v>
      </c>
      <c r="EH211" s="2"/>
      <c r="EI211" s="4"/>
      <c r="EJ211" s="4"/>
      <c r="EK211" s="8"/>
      <c r="EL211" s="5" t="str">
        <f t="shared" si="720"/>
        <v>NO APLICA</v>
      </c>
      <c r="EM211" s="3"/>
      <c r="EN211" s="4"/>
      <c r="EO211" s="4"/>
      <c r="EP211" s="8"/>
      <c r="EQ211" s="5" t="str">
        <f t="shared" si="721"/>
        <v>NO APLICA</v>
      </c>
      <c r="ER211" s="2"/>
      <c r="ES211" s="39"/>
      <c r="ET211" s="4"/>
      <c r="EU211" s="8"/>
      <c r="EV211" s="5" t="str">
        <f t="shared" si="722"/>
        <v>NO APLICA</v>
      </c>
      <c r="EW211" s="2"/>
      <c r="EX211" s="4"/>
      <c r="EY211" s="4"/>
      <c r="EZ211" s="8"/>
      <c r="FA211" s="5" t="str">
        <f t="shared" si="723"/>
        <v>NO APLICA</v>
      </c>
      <c r="FB211" s="2"/>
      <c r="FC211" s="4"/>
      <c r="FD211" s="4"/>
      <c r="FE211" s="8"/>
      <c r="FF211" s="5" t="str">
        <f t="shared" si="724"/>
        <v>NO APLICA</v>
      </c>
      <c r="FG211" s="2"/>
      <c r="FH211" s="4"/>
      <c r="FI211" s="4"/>
      <c r="FJ211" s="8"/>
      <c r="FK211" s="5" t="str">
        <f t="shared" si="725"/>
        <v>NO APLICA</v>
      </c>
      <c r="FL211" s="3"/>
      <c r="FM211" s="39"/>
      <c r="FN211" s="4"/>
      <c r="FO211" s="8"/>
      <c r="FP211" s="5" t="str">
        <f t="shared" si="726"/>
        <v>NO APLICA</v>
      </c>
      <c r="FQ211" s="3"/>
      <c r="FR211" s="39"/>
      <c r="FS211" s="4"/>
      <c r="FT211" s="8"/>
      <c r="FU211" s="5" t="str">
        <f t="shared" si="727"/>
        <v>NO APLICA</v>
      </c>
      <c r="FV211" s="3"/>
      <c r="FW211" s="4"/>
      <c r="FX211" s="4"/>
      <c r="FY211" s="8"/>
      <c r="FZ211" s="5" t="str">
        <f t="shared" si="728"/>
        <v>NO APLICA</v>
      </c>
      <c r="GA211" s="3"/>
      <c r="GB211" s="4"/>
      <c r="GC211" s="4"/>
      <c r="GD211" s="8"/>
      <c r="GE211" s="5" t="str">
        <f t="shared" si="729"/>
        <v>NO APLICA</v>
      </c>
      <c r="GF211" s="3"/>
      <c r="GG211" s="4"/>
      <c r="GH211" s="4"/>
      <c r="GI211" s="8"/>
      <c r="GJ211" s="5" t="str">
        <f t="shared" si="730"/>
        <v>NO APLICA</v>
      </c>
      <c r="GK211" s="3"/>
      <c r="GL211" s="4"/>
      <c r="GM211" s="4"/>
      <c r="GN211" s="8"/>
      <c r="GO211" s="5" t="str">
        <f t="shared" si="731"/>
        <v>NO APLICA</v>
      </c>
      <c r="GP211" s="4"/>
      <c r="GQ211" s="4"/>
      <c r="GR211" s="4"/>
      <c r="GS211" s="8"/>
      <c r="GT211" s="5" t="str">
        <f t="shared" si="610"/>
        <v>NO APLICA</v>
      </c>
      <c r="GU211" s="3"/>
      <c r="GV211" s="4"/>
      <c r="GW211" s="4"/>
      <c r="GX211" s="8"/>
      <c r="GY211" s="5" t="str">
        <f t="shared" si="611"/>
        <v>NO APLICA</v>
      </c>
      <c r="GZ211" s="2"/>
      <c r="HA211" s="4"/>
      <c r="HB211" s="4"/>
      <c r="HC211" s="8"/>
      <c r="HD211" s="5" t="str">
        <f t="shared" si="612"/>
        <v>NO APLICA</v>
      </c>
      <c r="HE211" s="6"/>
      <c r="HF211" s="6"/>
      <c r="HG211" s="4"/>
      <c r="HH211" s="8"/>
      <c r="HI211" s="5" t="str">
        <f t="shared" si="698"/>
        <v>NO APLICA</v>
      </c>
      <c r="HJ211" s="2"/>
      <c r="HK211" s="6"/>
      <c r="HL211" s="4"/>
      <c r="HM211" s="8"/>
      <c r="HN211" s="5" t="str">
        <f t="shared" si="694"/>
        <v>NO APLICA</v>
      </c>
      <c r="HO211" s="2"/>
      <c r="HP211" s="2"/>
      <c r="HQ211" s="4"/>
      <c r="HR211" s="2"/>
      <c r="HS211" s="5" t="str">
        <f t="shared" si="732"/>
        <v>NO APLICA</v>
      </c>
      <c r="HT211" s="2"/>
      <c r="HU211" s="6"/>
      <c r="HV211" s="4"/>
      <c r="HW211" s="8"/>
      <c r="HX211" s="5" t="str">
        <f t="shared" si="733"/>
        <v>NO APLICA</v>
      </c>
      <c r="HY211" s="2"/>
      <c r="HZ211" s="6"/>
      <c r="IA211" s="4"/>
      <c r="IB211" s="8"/>
      <c r="IC211" s="5" t="str">
        <f t="shared" si="734"/>
        <v>NO APLICA</v>
      </c>
      <c r="ID211" s="2"/>
      <c r="IE211" s="6"/>
      <c r="IF211" s="4"/>
      <c r="IG211" s="8"/>
      <c r="IH211" s="5" t="str">
        <f t="shared" si="735"/>
        <v>NO APLICA</v>
      </c>
      <c r="II211" s="6"/>
      <c r="IJ211" s="6"/>
      <c r="IK211" s="4"/>
      <c r="IL211" s="8"/>
      <c r="IM211" s="5" t="str">
        <f t="shared" si="736"/>
        <v>NO APLICA</v>
      </c>
      <c r="IN211" s="2"/>
      <c r="IO211" s="6"/>
      <c r="IP211" s="4"/>
      <c r="IQ211" s="8"/>
      <c r="IR211" s="5" t="str">
        <f t="shared" si="737"/>
        <v>NO APLICA</v>
      </c>
      <c r="IS211" s="2"/>
      <c r="IT211" s="6"/>
      <c r="IU211" s="4"/>
      <c r="IV211" s="8"/>
      <c r="IW211" s="5" t="str">
        <f t="shared" si="738"/>
        <v>NO APLICA</v>
      </c>
      <c r="IX211" s="2"/>
      <c r="IY211" s="6"/>
      <c r="IZ211" s="4"/>
      <c r="JA211" s="8"/>
      <c r="JB211" s="5" t="str">
        <f t="shared" si="739"/>
        <v>NO APLICA</v>
      </c>
      <c r="JC211" s="3" t="s">
        <v>780</v>
      </c>
      <c r="JD211" s="3"/>
      <c r="JE211" s="4"/>
      <c r="JF211" s="8"/>
      <c r="JG211" s="5"/>
      <c r="JH211" s="3" t="s">
        <v>780</v>
      </c>
      <c r="JI211" s="6"/>
      <c r="JJ211" s="6"/>
      <c r="JK211" s="6"/>
      <c r="JL211" s="5"/>
      <c r="JM211" s="6" t="s">
        <v>780</v>
      </c>
      <c r="JN211" s="6"/>
      <c r="JO211" s="6"/>
      <c r="JP211" s="6"/>
      <c r="JQ211" s="5"/>
      <c r="JR211" s="6" t="s">
        <v>780</v>
      </c>
      <c r="JS211" s="6"/>
      <c r="JT211" s="6"/>
      <c r="JU211" s="6"/>
      <c r="JV211" s="5"/>
      <c r="JW211" s="6" t="s">
        <v>780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40"/>
        <v>NO APLICA</v>
      </c>
      <c r="KG211" s="5"/>
      <c r="KH211" s="2"/>
      <c r="KI211" s="4"/>
      <c r="KJ211" s="8"/>
      <c r="KK211" s="5" t="str">
        <f t="shared" si="760"/>
        <v>NO APLICA</v>
      </c>
      <c r="KL211" s="5"/>
      <c r="KM211" s="2"/>
      <c r="KN211" s="4"/>
      <c r="KO211" s="8"/>
      <c r="KP211" s="5" t="str">
        <f t="shared" si="741"/>
        <v>NO APLICA</v>
      </c>
      <c r="KQ211" s="5"/>
      <c r="KR211" s="2"/>
      <c r="KS211" s="4"/>
      <c r="KT211" s="8"/>
      <c r="KU211" s="5" t="str">
        <f t="shared" si="761"/>
        <v>NO APLICA</v>
      </c>
      <c r="KV211" s="2"/>
      <c r="KW211" s="6"/>
      <c r="KX211" s="4"/>
      <c r="KY211" s="8"/>
      <c r="KZ211" s="5" t="str">
        <f t="shared" si="767"/>
        <v>NO APLICA</v>
      </c>
      <c r="LA211" s="5"/>
      <c r="LB211" s="6"/>
      <c r="LC211" s="4"/>
      <c r="LD211" s="8"/>
      <c r="LE211" s="5" t="str">
        <f t="shared" si="762"/>
        <v>NO APLICA</v>
      </c>
      <c r="LF211" s="6"/>
      <c r="LG211" s="6"/>
      <c r="LH211" s="4"/>
      <c r="LI211" s="8"/>
      <c r="LJ211" s="5" t="str">
        <f t="shared" si="600"/>
        <v>NO APLICA</v>
      </c>
      <c r="LK211" s="5"/>
      <c r="LL211" s="5"/>
      <c r="LM211" s="4"/>
      <c r="LN211" s="8"/>
      <c r="LO211" s="5" t="str">
        <f t="shared" si="768"/>
        <v>NO APLICA</v>
      </c>
      <c r="LP211" s="2"/>
      <c r="LQ211" s="6"/>
      <c r="LR211" s="4"/>
      <c r="LS211" s="8"/>
      <c r="LT211" s="5" t="str">
        <f t="shared" si="763"/>
        <v>NO APLICA</v>
      </c>
      <c r="LU211" s="6"/>
      <c r="LV211" s="6"/>
      <c r="LW211" s="4"/>
      <c r="LX211" s="8"/>
      <c r="LY211" s="5" t="str">
        <f t="shared" si="764"/>
        <v>NO APLICA</v>
      </c>
      <c r="LZ211" s="6"/>
      <c r="MA211" s="6"/>
      <c r="MB211" s="4"/>
      <c r="MC211" s="8"/>
      <c r="MD211" s="5" t="str">
        <f t="shared" si="765"/>
        <v>NO APLICA</v>
      </c>
      <c r="ME211" s="2"/>
      <c r="MF211" s="2"/>
      <c r="MG211" s="4"/>
      <c r="MH211" s="8"/>
      <c r="MI211" s="5" t="str">
        <f t="shared" si="742"/>
        <v>NO APLICA</v>
      </c>
      <c r="MJ211" s="2"/>
      <c r="MK211" s="2"/>
      <c r="ML211" s="4"/>
      <c r="MM211" s="8"/>
      <c r="MN211" s="5" t="str">
        <f t="shared" si="743"/>
        <v>NO APLICA</v>
      </c>
      <c r="MO211" s="5"/>
      <c r="MP211" s="2"/>
      <c r="MQ211" s="4"/>
      <c r="MR211" s="8"/>
      <c r="MS211" s="5" t="str">
        <f t="shared" si="744"/>
        <v>NO APLICA</v>
      </c>
      <c r="MT211" s="5"/>
      <c r="MU211" s="2"/>
      <c r="MV211" s="4"/>
      <c r="MW211" s="2"/>
      <c r="MX211" s="5" t="str">
        <f t="shared" si="745"/>
        <v>NO APLICA</v>
      </c>
      <c r="MY211" s="2"/>
      <c r="MZ211" s="6"/>
      <c r="NA211" s="4"/>
      <c r="NB211" s="8"/>
      <c r="NC211" s="5" t="str">
        <f t="shared" si="746"/>
        <v>NO APLICA</v>
      </c>
      <c r="ND211" s="2"/>
      <c r="NE211" s="6"/>
      <c r="NF211" s="4"/>
      <c r="NG211" s="8"/>
      <c r="NH211" s="5" t="str">
        <f t="shared" si="747"/>
        <v>NO APLICA</v>
      </c>
      <c r="NI211" s="2"/>
      <c r="NJ211" s="6"/>
      <c r="NK211" s="4"/>
      <c r="NL211" s="8"/>
      <c r="NM211" s="5" t="str">
        <f t="shared" si="748"/>
        <v>NO APLICA</v>
      </c>
      <c r="NN211" s="2"/>
      <c r="NO211" s="2"/>
      <c r="NP211" s="4"/>
      <c r="NQ211" s="8"/>
      <c r="NR211" s="5" t="str">
        <f t="shared" si="749"/>
        <v>NO APLICA</v>
      </c>
      <c r="NS211" s="2"/>
      <c r="NT211" s="2"/>
      <c r="NU211" s="4"/>
      <c r="NV211" s="2"/>
      <c r="NW211" s="5" t="str">
        <f t="shared" si="750"/>
        <v>NO APLICA</v>
      </c>
      <c r="NX211" s="6"/>
      <c r="NY211" s="6"/>
      <c r="NZ211" s="4"/>
      <c r="OA211" s="8"/>
      <c r="OB211" s="5" t="str">
        <f t="shared" si="751"/>
        <v>NO APLICA</v>
      </c>
      <c r="OC211" s="6"/>
      <c r="OD211" s="6"/>
      <c r="OE211" s="6"/>
      <c r="OF211" s="6"/>
      <c r="OG211" s="5" t="str">
        <f t="shared" si="752"/>
        <v>NO APLICA</v>
      </c>
      <c r="OH211" s="6"/>
      <c r="OI211" s="6"/>
      <c r="OJ211" s="4"/>
      <c r="OK211" s="8"/>
      <c r="OL211" s="5" t="str">
        <f t="shared" si="753"/>
        <v>NO APLICA</v>
      </c>
      <c r="OM211" s="6"/>
      <c r="ON211" s="6"/>
      <c r="OO211" s="6"/>
      <c r="OP211" s="6"/>
      <c r="OQ211" s="5" t="str">
        <f t="shared" si="754"/>
        <v>NO APLICA</v>
      </c>
      <c r="OR211" s="6"/>
      <c r="OS211" s="6"/>
      <c r="OT211" s="6"/>
      <c r="OU211" s="6"/>
      <c r="OV211" s="5" t="str">
        <f t="shared" si="755"/>
        <v>NO APLICA</v>
      </c>
      <c r="OW211" s="6"/>
      <c r="OX211" s="6"/>
      <c r="OY211" s="6"/>
      <c r="OZ211" s="6"/>
      <c r="PA211" s="5" t="str">
        <f t="shared" si="769"/>
        <v>NO APLICA</v>
      </c>
      <c r="PB211" s="6"/>
      <c r="PC211" s="6"/>
      <c r="PD211" s="6"/>
      <c r="PE211" s="6"/>
      <c r="PF211" s="5" t="str">
        <f t="shared" si="756"/>
        <v>NO APLICA</v>
      </c>
      <c r="PG211" s="6"/>
      <c r="PH211" s="6"/>
      <c r="PI211" s="6"/>
      <c r="PJ211" s="6"/>
      <c r="PK211" s="5" t="str">
        <f t="shared" si="757"/>
        <v>NO APLICA</v>
      </c>
      <c r="PL211" s="5"/>
      <c r="PM211" s="6"/>
      <c r="PN211" s="4"/>
      <c r="PO211" s="8"/>
      <c r="PP211" s="5" t="str">
        <f t="shared" si="766"/>
        <v>NO APLICA</v>
      </c>
      <c r="PQ211" s="6"/>
      <c r="PR211" s="6"/>
      <c r="PS211" s="6"/>
      <c r="PT211" s="6"/>
      <c r="PU211" s="5" t="str">
        <f t="shared" si="758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9"/>
        <v>VIGENTE</v>
      </c>
    </row>
    <row r="212" spans="1:442" ht="15.6" hidden="1" thickTop="1" thickBot="1" x14ac:dyDescent="0.35">
      <c r="A212" s="26">
        <v>209</v>
      </c>
      <c r="B212" s="31">
        <v>855</v>
      </c>
      <c r="C212" s="28" t="s">
        <v>645</v>
      </c>
      <c r="D212" s="29" t="s">
        <v>68</v>
      </c>
      <c r="E212" s="30" t="s">
        <v>185</v>
      </c>
      <c r="F212" s="6"/>
      <c r="G212" s="6"/>
      <c r="H212" s="6"/>
      <c r="I212" s="6"/>
      <c r="J212" s="5" t="str">
        <f t="shared" si="696"/>
        <v>NO APLICA</v>
      </c>
      <c r="K212" s="6"/>
      <c r="L212" s="6"/>
      <c r="M212" s="6"/>
      <c r="N212" s="6"/>
      <c r="O212" s="5" t="str">
        <f t="shared" si="699"/>
        <v>NO APLICA</v>
      </c>
      <c r="P212" s="6"/>
      <c r="Q212" s="6"/>
      <c r="R212" s="6"/>
      <c r="S212" s="6"/>
      <c r="T212" s="5" t="str">
        <f t="shared" si="697"/>
        <v>NO APLICA</v>
      </c>
      <c r="U212" s="5"/>
      <c r="V212" s="6" t="s">
        <v>646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647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700"/>
        <v>VIGENTE</v>
      </c>
      <c r="AG212" s="4"/>
      <c r="AH212" s="4"/>
      <c r="AI212" s="4"/>
      <c r="AJ212" s="6"/>
      <c r="AK212" s="5" t="str">
        <f t="shared" si="602"/>
        <v>NO APLICA</v>
      </c>
      <c r="AL212" s="4"/>
      <c r="AM212" s="4"/>
      <c r="AN212" s="4"/>
      <c r="AO212" s="6"/>
      <c r="AP212" s="5" t="str">
        <f t="shared" si="701"/>
        <v>NO APLICA</v>
      </c>
      <c r="AQ212" s="4"/>
      <c r="AR212" s="4"/>
      <c r="AS212" s="4"/>
      <c r="AT212" s="6"/>
      <c r="AU212" s="5" t="str">
        <f t="shared" si="702"/>
        <v>NO APLICA</v>
      </c>
      <c r="AV212" s="4"/>
      <c r="AW212" s="4"/>
      <c r="AX212" s="4"/>
      <c r="AY212" s="6"/>
      <c r="AZ212" s="5" t="str">
        <f t="shared" si="703"/>
        <v>NO APLICA</v>
      </c>
      <c r="BA212" s="4"/>
      <c r="BB212" s="4"/>
      <c r="BC212" s="4"/>
      <c r="BD212" s="6"/>
      <c r="BE212" s="5" t="str">
        <f t="shared" si="704"/>
        <v>NO APLICA</v>
      </c>
      <c r="BF212" s="4"/>
      <c r="BG212" s="4"/>
      <c r="BH212" s="4"/>
      <c r="BI212" s="6"/>
      <c r="BJ212" s="5" t="str">
        <f t="shared" si="705"/>
        <v>NO APLICA</v>
      </c>
      <c r="BK212" s="4"/>
      <c r="BL212" s="4"/>
      <c r="BM212" s="4"/>
      <c r="BN212" s="6"/>
      <c r="BO212" s="5" t="str">
        <f t="shared" si="706"/>
        <v>NO APLICA</v>
      </c>
      <c r="BP212" s="4"/>
      <c r="BQ212" s="4"/>
      <c r="BR212" s="4"/>
      <c r="BS212" s="6"/>
      <c r="BT212" s="5" t="str">
        <f t="shared" si="707"/>
        <v>NO APLICA</v>
      </c>
      <c r="BU212" s="4"/>
      <c r="BV212" s="4"/>
      <c r="BW212" s="4"/>
      <c r="BX212" s="6"/>
      <c r="BY212" s="5" t="str">
        <f t="shared" si="708"/>
        <v>NO APLICA</v>
      </c>
      <c r="BZ212" s="4"/>
      <c r="CA212" s="4"/>
      <c r="CB212" s="4"/>
      <c r="CC212" s="6"/>
      <c r="CD212" s="5" t="str">
        <f t="shared" si="709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10"/>
        <v>NO APLICA</v>
      </c>
      <c r="CO212" s="4"/>
      <c r="CP212" s="4"/>
      <c r="CQ212" s="4"/>
      <c r="CR212" s="6"/>
      <c r="CS212" s="5" t="str">
        <f t="shared" si="711"/>
        <v>NO APLICA</v>
      </c>
      <c r="CT212" s="4"/>
      <c r="CU212" s="4"/>
      <c r="CV212" s="4"/>
      <c r="CW212" s="6"/>
      <c r="CX212" s="5" t="str">
        <f t="shared" si="712"/>
        <v>NO APLICA</v>
      </c>
      <c r="CY212" s="4"/>
      <c r="CZ212" s="4"/>
      <c r="DA212" s="4"/>
      <c r="DB212" s="6"/>
      <c r="DC212" s="5" t="str">
        <f t="shared" si="713"/>
        <v>NO APLICA</v>
      </c>
      <c r="DD212" s="4"/>
      <c r="DE212" s="4"/>
      <c r="DF212" s="4"/>
      <c r="DG212" s="6"/>
      <c r="DH212" s="5" t="str">
        <f t="shared" si="714"/>
        <v>NO APLICA</v>
      </c>
      <c r="DI212" s="4"/>
      <c r="DJ212" s="4"/>
      <c r="DK212" s="4"/>
      <c r="DL212" s="6"/>
      <c r="DM212" s="5" t="str">
        <f t="shared" si="715"/>
        <v>NO APLICA</v>
      </c>
      <c r="DN212" s="4"/>
      <c r="DO212" s="4"/>
      <c r="DP212" s="4"/>
      <c r="DQ212" s="6"/>
      <c r="DR212" s="5" t="str">
        <f t="shared" si="716"/>
        <v>NO APLICA</v>
      </c>
      <c r="DS212" s="4"/>
      <c r="DT212" s="4"/>
      <c r="DU212" s="4"/>
      <c r="DV212" s="6"/>
      <c r="DW212" s="5" t="str">
        <f t="shared" si="717"/>
        <v>NO APLICA</v>
      </c>
      <c r="DX212" s="4"/>
      <c r="DY212" s="4"/>
      <c r="DZ212" s="4"/>
      <c r="EA212" s="6"/>
      <c r="EB212" s="5" t="str">
        <f t="shared" si="718"/>
        <v>NO APLICA</v>
      </c>
      <c r="EC212" s="4"/>
      <c r="ED212" s="4"/>
      <c r="EE212" s="4"/>
      <c r="EF212" s="6"/>
      <c r="EG212" s="5" t="str">
        <f t="shared" si="719"/>
        <v>NO APLICA</v>
      </c>
      <c r="EH212" s="4"/>
      <c r="EI212" s="4"/>
      <c r="EJ212" s="4"/>
      <c r="EK212" s="8"/>
      <c r="EL212" s="5" t="str">
        <f t="shared" si="720"/>
        <v>NO APLICA</v>
      </c>
      <c r="EM212" s="4"/>
      <c r="EN212" s="4"/>
      <c r="EO212" s="4"/>
      <c r="EP212" s="8"/>
      <c r="EQ212" s="5" t="str">
        <f t="shared" si="721"/>
        <v>NO APLICA</v>
      </c>
      <c r="ER212" s="4"/>
      <c r="ES212" s="4"/>
      <c r="ET212" s="4"/>
      <c r="EU212" s="8"/>
      <c r="EV212" s="5" t="str">
        <f t="shared" si="722"/>
        <v>NO APLICA</v>
      </c>
      <c r="EW212" s="4"/>
      <c r="EX212" s="4"/>
      <c r="EY212" s="4"/>
      <c r="EZ212" s="6"/>
      <c r="FA212" s="5" t="str">
        <f t="shared" si="723"/>
        <v>NO APLICA</v>
      </c>
      <c r="FB212" s="4"/>
      <c r="FC212" s="4"/>
      <c r="FD212" s="4"/>
      <c r="FE212" s="6"/>
      <c r="FF212" s="5" t="str">
        <f t="shared" si="724"/>
        <v>NO APLICA</v>
      </c>
      <c r="FG212" s="4"/>
      <c r="FH212" s="4"/>
      <c r="FI212" s="4"/>
      <c r="FJ212" s="6"/>
      <c r="FK212" s="5" t="str">
        <f t="shared" si="725"/>
        <v>NO APLICA</v>
      </c>
      <c r="FL212" s="4"/>
      <c r="FM212" s="4"/>
      <c r="FN212" s="4"/>
      <c r="FO212" s="6"/>
      <c r="FP212" s="5" t="str">
        <f t="shared" si="726"/>
        <v>NO APLICA</v>
      </c>
      <c r="FQ212" s="4"/>
      <c r="FR212" s="4"/>
      <c r="FS212" s="4"/>
      <c r="FT212" s="6"/>
      <c r="FU212" s="5" t="str">
        <f t="shared" si="727"/>
        <v>NO APLICA</v>
      </c>
      <c r="FV212" s="4"/>
      <c r="FW212" s="4"/>
      <c r="FX212" s="4"/>
      <c r="FY212" s="6"/>
      <c r="FZ212" s="5" t="str">
        <f t="shared" si="728"/>
        <v>NO APLICA</v>
      </c>
      <c r="GA212" s="4"/>
      <c r="GB212" s="4"/>
      <c r="GC212" s="4"/>
      <c r="GD212" s="6"/>
      <c r="GE212" s="5" t="str">
        <f t="shared" si="729"/>
        <v>NO APLICA</v>
      </c>
      <c r="GF212" s="4"/>
      <c r="GG212" s="4"/>
      <c r="GH212" s="4"/>
      <c r="GI212" s="8"/>
      <c r="GJ212" s="5" t="str">
        <f t="shared" si="730"/>
        <v>NO APLICA</v>
      </c>
      <c r="GK212" s="4"/>
      <c r="GL212" s="6"/>
      <c r="GM212" s="6"/>
      <c r="GN212" s="6"/>
      <c r="GO212" s="5" t="str">
        <f t="shared" si="731"/>
        <v>NO APLICA</v>
      </c>
      <c r="GP212" s="4"/>
      <c r="GQ212" s="6"/>
      <c r="GR212" s="6"/>
      <c r="GS212" s="6"/>
      <c r="GT212" s="5" t="str">
        <f t="shared" si="610"/>
        <v>NO APLICA</v>
      </c>
      <c r="GU212" s="4"/>
      <c r="GV212" s="6"/>
      <c r="GW212" s="6"/>
      <c r="GX212" s="6"/>
      <c r="GY212" s="5" t="str">
        <f t="shared" si="611"/>
        <v>NO APLICA</v>
      </c>
      <c r="GZ212" s="6"/>
      <c r="HA212" s="6"/>
      <c r="HB212" s="6"/>
      <c r="HC212" s="6"/>
      <c r="HD212" s="5" t="str">
        <f t="shared" si="612"/>
        <v>NO APLICA</v>
      </c>
      <c r="HE212" s="6"/>
      <c r="HF212" s="6"/>
      <c r="HG212" s="4"/>
      <c r="HH212" s="8"/>
      <c r="HI212" s="5" t="str">
        <f t="shared" si="698"/>
        <v>NO APLICA</v>
      </c>
      <c r="HJ212" s="6"/>
      <c r="HK212" s="6"/>
      <c r="HL212" s="6"/>
      <c r="HM212" s="6"/>
      <c r="HN212" s="5" t="str">
        <f t="shared" si="694"/>
        <v>NO APLICA</v>
      </c>
      <c r="HO212" s="6"/>
      <c r="HP212" s="6"/>
      <c r="HQ212" s="6"/>
      <c r="HR212" s="6"/>
      <c r="HS212" s="5" t="str">
        <f t="shared" si="732"/>
        <v>NO APLICA</v>
      </c>
      <c r="HT212" s="6"/>
      <c r="HU212" s="6"/>
      <c r="HV212" s="6"/>
      <c r="HW212" s="6"/>
      <c r="HX212" s="5" t="str">
        <f t="shared" si="733"/>
        <v>NO APLICA</v>
      </c>
      <c r="HY212" s="6"/>
      <c r="HZ212" s="6"/>
      <c r="IA212" s="6"/>
      <c r="IB212" s="6"/>
      <c r="IC212" s="5" t="str">
        <f t="shared" si="734"/>
        <v>NO APLICA</v>
      </c>
      <c r="ID212" s="6"/>
      <c r="IE212" s="6"/>
      <c r="IF212" s="6"/>
      <c r="IG212" s="6"/>
      <c r="IH212" s="5" t="str">
        <f t="shared" si="735"/>
        <v>NO APLICA</v>
      </c>
      <c r="II212" s="6"/>
      <c r="IJ212" s="6"/>
      <c r="IK212" s="6"/>
      <c r="IL212" s="6"/>
      <c r="IM212" s="5" t="str">
        <f t="shared" si="736"/>
        <v>NO APLICA</v>
      </c>
      <c r="IN212" s="6"/>
      <c r="IO212" s="6"/>
      <c r="IP212" s="6"/>
      <c r="IQ212" s="6"/>
      <c r="IR212" s="5" t="str">
        <f t="shared" si="737"/>
        <v>NO APLICA</v>
      </c>
      <c r="IS212" s="6"/>
      <c r="IT212" s="6"/>
      <c r="IU212" s="6"/>
      <c r="IV212" s="6"/>
      <c r="IW212" s="5" t="str">
        <f t="shared" si="738"/>
        <v>NO APLICA</v>
      </c>
      <c r="IX212" s="6"/>
      <c r="IY212" s="6"/>
      <c r="IZ212" s="6"/>
      <c r="JA212" s="6"/>
      <c r="JB212" s="5" t="str">
        <f t="shared" si="739"/>
        <v>NO APLICA</v>
      </c>
      <c r="JC212" s="3" t="s">
        <v>780</v>
      </c>
      <c r="JD212" s="6"/>
      <c r="JE212" s="6"/>
      <c r="JF212" s="6"/>
      <c r="JG212" s="5"/>
      <c r="JH212" s="3" t="s">
        <v>780</v>
      </c>
      <c r="JI212" s="6"/>
      <c r="JJ212" s="6"/>
      <c r="JK212" s="6"/>
      <c r="JL212" s="5"/>
      <c r="JM212" s="6" t="s">
        <v>780</v>
      </c>
      <c r="JN212" s="6"/>
      <c r="JO212" s="6"/>
      <c r="JP212" s="6"/>
      <c r="JQ212" s="5"/>
      <c r="JR212" s="6" t="s">
        <v>780</v>
      </c>
      <c r="JS212" s="6"/>
      <c r="JT212" s="6"/>
      <c r="JU212" s="6"/>
      <c r="JV212" s="5"/>
      <c r="JW212" s="6" t="s">
        <v>780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40"/>
        <v>NO APLICA</v>
      </c>
      <c r="KG212" s="5"/>
      <c r="KH212" s="6"/>
      <c r="KI212" s="6"/>
      <c r="KJ212" s="6"/>
      <c r="KK212" s="5" t="str">
        <f t="shared" si="760"/>
        <v>NO APLICA</v>
      </c>
      <c r="KL212" s="5"/>
      <c r="KM212" s="6"/>
      <c r="KN212" s="6"/>
      <c r="KO212" s="6"/>
      <c r="KP212" s="5" t="str">
        <f t="shared" si="741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7"/>
        <v>NO APLICA</v>
      </c>
      <c r="LA212" s="5"/>
      <c r="LB212" s="6"/>
      <c r="LC212" s="6"/>
      <c r="LD212" s="6"/>
      <c r="LE212" s="5" t="str">
        <f t="shared" si="762"/>
        <v>NO APLICA</v>
      </c>
      <c r="LF212" s="6"/>
      <c r="LG212" s="6"/>
      <c r="LH212" s="6"/>
      <c r="LI212" s="6"/>
      <c r="LJ212" s="5" t="str">
        <f t="shared" si="600"/>
        <v>NO APLICA</v>
      </c>
      <c r="LK212" s="5"/>
      <c r="LL212" s="5"/>
      <c r="LM212" s="4"/>
      <c r="LN212" s="8"/>
      <c r="LO212" s="5" t="str">
        <f t="shared" si="768"/>
        <v>NO APLICA</v>
      </c>
      <c r="LP212" s="6"/>
      <c r="LQ212" s="6"/>
      <c r="LR212" s="6"/>
      <c r="LS212" s="6"/>
      <c r="LT212" s="5" t="str">
        <f t="shared" si="763"/>
        <v>NO APLICA</v>
      </c>
      <c r="LU212" s="6"/>
      <c r="LV212" s="6"/>
      <c r="LW212" s="6"/>
      <c r="LX212" s="6"/>
      <c r="LY212" s="5" t="str">
        <f t="shared" si="764"/>
        <v>NO APLICA</v>
      </c>
      <c r="LZ212" s="6"/>
      <c r="MA212" s="6"/>
      <c r="MB212" s="6"/>
      <c r="MC212" s="6"/>
      <c r="MD212" s="5" t="str">
        <f t="shared" si="765"/>
        <v>NO APLICA</v>
      </c>
      <c r="ME212" s="6"/>
      <c r="MF212" s="6"/>
      <c r="MG212" s="6"/>
      <c r="MH212" s="6"/>
      <c r="MI212" s="5" t="str">
        <f t="shared" si="742"/>
        <v>NO APLICA</v>
      </c>
      <c r="MJ212" s="6"/>
      <c r="MK212" s="6"/>
      <c r="ML212" s="6"/>
      <c r="MM212" s="6"/>
      <c r="MN212" s="5" t="str">
        <f t="shared" si="743"/>
        <v>NO APLICA</v>
      </c>
      <c r="MO212" s="5"/>
      <c r="MP212" s="6"/>
      <c r="MQ212" s="6"/>
      <c r="MR212" s="6"/>
      <c r="MS212" s="5" t="str">
        <f t="shared" si="744"/>
        <v>NO APLICA</v>
      </c>
      <c r="MT212" s="5"/>
      <c r="MU212" s="6"/>
      <c r="MV212" s="6"/>
      <c r="MW212" s="6"/>
      <c r="MX212" s="5" t="str">
        <f t="shared" si="745"/>
        <v>NO APLICA</v>
      </c>
      <c r="MY212" s="6"/>
      <c r="MZ212" s="6"/>
      <c r="NA212" s="6"/>
      <c r="NB212" s="6"/>
      <c r="NC212" s="5" t="str">
        <f t="shared" si="746"/>
        <v>NO APLICA</v>
      </c>
      <c r="ND212" s="6"/>
      <c r="NE212" s="6"/>
      <c r="NF212" s="6"/>
      <c r="NG212" s="6"/>
      <c r="NH212" s="5" t="str">
        <f t="shared" si="747"/>
        <v>NO APLICA</v>
      </c>
      <c r="NI212" s="6"/>
      <c r="NJ212" s="6"/>
      <c r="NK212" s="6"/>
      <c r="NL212" s="6"/>
      <c r="NM212" s="5" t="str">
        <f t="shared" si="748"/>
        <v>NO APLICA</v>
      </c>
      <c r="NN212" s="6"/>
      <c r="NO212" s="6"/>
      <c r="NP212" s="6"/>
      <c r="NQ212" s="6"/>
      <c r="NR212" s="5" t="str">
        <f t="shared" si="749"/>
        <v>NO APLICA</v>
      </c>
      <c r="NS212" s="6"/>
      <c r="NT212" s="6"/>
      <c r="NU212" s="6"/>
      <c r="NV212" s="6"/>
      <c r="NW212" s="5" t="str">
        <f t="shared" si="750"/>
        <v>NO APLICA</v>
      </c>
      <c r="NX212" s="6"/>
      <c r="NY212" s="6"/>
      <c r="NZ212" s="6"/>
      <c r="OA212" s="6"/>
      <c r="OB212" s="5" t="str">
        <f t="shared" si="751"/>
        <v>NO APLICA</v>
      </c>
      <c r="OC212" s="6"/>
      <c r="OD212" s="6"/>
      <c r="OE212" s="6"/>
      <c r="OF212" s="6"/>
      <c r="OG212" s="5" t="str">
        <f t="shared" si="752"/>
        <v>NO APLICA</v>
      </c>
      <c r="OH212" s="6"/>
      <c r="OI212" s="6"/>
      <c r="OJ212" s="6"/>
      <c r="OK212" s="6"/>
      <c r="OL212" s="5" t="str">
        <f t="shared" si="753"/>
        <v>NO APLICA</v>
      </c>
      <c r="OM212" s="6"/>
      <c r="ON212" s="6"/>
      <c r="OO212" s="6"/>
      <c r="OP212" s="6"/>
      <c r="OQ212" s="5" t="str">
        <f t="shared" si="754"/>
        <v>NO APLICA</v>
      </c>
      <c r="OR212" s="6"/>
      <c r="OS212" s="6"/>
      <c r="OT212" s="6"/>
      <c r="OU212" s="6"/>
      <c r="OV212" s="5" t="str">
        <f t="shared" si="755"/>
        <v>NO APLICA</v>
      </c>
      <c r="OW212" s="6"/>
      <c r="OX212" s="6"/>
      <c r="OY212" s="6"/>
      <c r="OZ212" s="6"/>
      <c r="PA212" s="5" t="str">
        <f t="shared" si="769"/>
        <v>NO APLICA</v>
      </c>
      <c r="PB212" s="6"/>
      <c r="PC212" s="6"/>
      <c r="PD212" s="6"/>
      <c r="PE212" s="6"/>
      <c r="PF212" s="5" t="str">
        <f t="shared" si="756"/>
        <v>NO APLICA</v>
      </c>
      <c r="PG212" s="6"/>
      <c r="PH212" s="6"/>
      <c r="PI212" s="6"/>
      <c r="PJ212" s="6"/>
      <c r="PK212" s="5" t="str">
        <f t="shared" si="757"/>
        <v>NO APLICA</v>
      </c>
      <c r="PL212" s="5"/>
      <c r="PM212" s="6"/>
      <c r="PN212" s="6"/>
      <c r="PO212" s="6"/>
      <c r="PP212" s="5" t="str">
        <f t="shared" si="766"/>
        <v>NO APLICA</v>
      </c>
      <c r="PQ212" s="6"/>
      <c r="PR212" s="6"/>
      <c r="PS212" s="6"/>
      <c r="PT212" s="6"/>
      <c r="PU212" s="5" t="str">
        <f t="shared" si="758"/>
        <v>NO APLICA</v>
      </c>
      <c r="PV212" s="5"/>
      <c r="PW212" s="6"/>
      <c r="PX212" s="6"/>
      <c r="PY212" s="6"/>
      <c r="PZ212" s="5" t="str">
        <f t="shared" si="759"/>
        <v>NO APLICA</v>
      </c>
    </row>
    <row r="213" spans="1:442" ht="15.6" hidden="1" thickTop="1" thickBot="1" x14ac:dyDescent="0.35">
      <c r="A213" s="26">
        <v>210</v>
      </c>
      <c r="B213" s="31">
        <v>2</v>
      </c>
      <c r="C213" s="28" t="s">
        <v>648</v>
      </c>
      <c r="D213" s="29" t="s">
        <v>636</v>
      </c>
      <c r="E213" s="30" t="s">
        <v>649</v>
      </c>
      <c r="F213" s="3"/>
      <c r="G213" s="4"/>
      <c r="H213" s="4"/>
      <c r="I213" s="8"/>
      <c r="J213" s="5" t="str">
        <f t="shared" si="696"/>
        <v>NO APLICA</v>
      </c>
      <c r="K213" s="2"/>
      <c r="L213" s="2"/>
      <c r="M213" s="2"/>
      <c r="N213" s="2"/>
      <c r="O213" s="5" t="str">
        <f t="shared" si="699"/>
        <v>NO APLICA</v>
      </c>
      <c r="P213" s="6"/>
      <c r="Q213" s="6"/>
      <c r="R213" s="4"/>
      <c r="S213" s="8"/>
      <c r="T213" s="5" t="str">
        <f t="shared" si="697"/>
        <v>NO APLICA</v>
      </c>
      <c r="U213" s="5"/>
      <c r="V213" s="2"/>
      <c r="W213" s="4"/>
      <c r="X213" s="4"/>
      <c r="Y213" s="8"/>
      <c r="Z213" s="5" t="str">
        <f t="shared" si="605"/>
        <v>NO APLICA</v>
      </c>
      <c r="AA213" s="5"/>
      <c r="AB213" s="2"/>
      <c r="AC213" s="6"/>
      <c r="AD213" s="4"/>
      <c r="AE213" s="8"/>
      <c r="AF213" s="5" t="str">
        <f t="shared" si="700"/>
        <v>NO APLICA</v>
      </c>
      <c r="AG213" s="2"/>
      <c r="AH213" s="4"/>
      <c r="AI213" s="4"/>
      <c r="AJ213" s="8"/>
      <c r="AK213" s="5" t="str">
        <f t="shared" si="602"/>
        <v>NO APLICA</v>
      </c>
      <c r="AL213" s="2"/>
      <c r="AM213" s="4"/>
      <c r="AN213" s="4"/>
      <c r="AO213" s="8"/>
      <c r="AP213" s="5" t="str">
        <f t="shared" si="701"/>
        <v>NO APLICA</v>
      </c>
      <c r="AQ213" s="2"/>
      <c r="AR213" s="4"/>
      <c r="AS213" s="4"/>
      <c r="AT213" s="8"/>
      <c r="AU213" s="5" t="str">
        <f t="shared" si="702"/>
        <v>NO APLICA</v>
      </c>
      <c r="AV213" s="2"/>
      <c r="AW213" s="4"/>
      <c r="AX213" s="4"/>
      <c r="AY213" s="8"/>
      <c r="AZ213" s="5" t="str">
        <f t="shared" si="703"/>
        <v>NO APLICA</v>
      </c>
      <c r="BA213" s="3"/>
      <c r="BB213" s="4"/>
      <c r="BC213" s="4"/>
      <c r="BD213" s="8"/>
      <c r="BE213" s="5" t="str">
        <f t="shared" si="704"/>
        <v>NO APLICA</v>
      </c>
      <c r="BF213" s="2"/>
      <c r="BG213" s="4"/>
      <c r="BH213" s="4"/>
      <c r="BI213" s="8"/>
      <c r="BJ213" s="5" t="str">
        <f t="shared" si="705"/>
        <v>NO APLICA</v>
      </c>
      <c r="BK213" s="3"/>
      <c r="BL213" s="4"/>
      <c r="BM213" s="4"/>
      <c r="BN213" s="8"/>
      <c r="BO213" s="5" t="str">
        <f t="shared" si="706"/>
        <v>NO APLICA</v>
      </c>
      <c r="BP213" s="3"/>
      <c r="BQ213" s="39"/>
      <c r="BR213" s="4"/>
      <c r="BS213" s="8"/>
      <c r="BT213" s="5" t="str">
        <f t="shared" si="707"/>
        <v>NO APLICA</v>
      </c>
      <c r="BU213" s="2"/>
      <c r="BV213" s="4"/>
      <c r="BW213" s="4"/>
      <c r="BX213" s="8"/>
      <c r="BY213" s="5" t="str">
        <f t="shared" si="708"/>
        <v>NO APLICA</v>
      </c>
      <c r="BZ213" s="2"/>
      <c r="CA213" s="4"/>
      <c r="CB213" s="4"/>
      <c r="CC213" s="8"/>
      <c r="CD213" s="5" t="str">
        <f t="shared" si="709"/>
        <v>NO APLICA</v>
      </c>
      <c r="CE213" s="6"/>
      <c r="CF213" s="4"/>
      <c r="CG213" s="4"/>
      <c r="CH213" s="8"/>
      <c r="CI213" s="5" t="str">
        <f t="shared" si="770"/>
        <v>NO APLICA</v>
      </c>
      <c r="CJ213" s="6"/>
      <c r="CK213" s="4"/>
      <c r="CL213" s="4"/>
      <c r="CM213" s="8"/>
      <c r="CN213" s="5" t="str">
        <f t="shared" si="710"/>
        <v>NO APLICA</v>
      </c>
      <c r="CO213" s="2"/>
      <c r="CP213" s="39"/>
      <c r="CQ213" s="4"/>
      <c r="CR213" s="8"/>
      <c r="CS213" s="5" t="str">
        <f t="shared" si="711"/>
        <v>NO APLICA</v>
      </c>
      <c r="CT213" s="2"/>
      <c r="CU213" s="4"/>
      <c r="CV213" s="4"/>
      <c r="CW213" s="8"/>
      <c r="CX213" s="5" t="str">
        <f t="shared" si="712"/>
        <v>NO APLICA</v>
      </c>
      <c r="CY213" s="3"/>
      <c r="CZ213" s="4"/>
      <c r="DA213" s="4"/>
      <c r="DB213" s="8"/>
      <c r="DC213" s="5" t="str">
        <f t="shared" si="713"/>
        <v>NO APLICA</v>
      </c>
      <c r="DD213" s="3"/>
      <c r="DE213" s="39"/>
      <c r="DF213" s="4"/>
      <c r="DG213" s="8"/>
      <c r="DH213" s="5" t="str">
        <f t="shared" si="714"/>
        <v>NO APLICA</v>
      </c>
      <c r="DI213" s="2"/>
      <c r="DJ213" s="39"/>
      <c r="DK213" s="4"/>
      <c r="DL213" s="8"/>
      <c r="DM213" s="5" t="str">
        <f t="shared" si="715"/>
        <v>NO APLICA</v>
      </c>
      <c r="DN213" s="3"/>
      <c r="DO213" s="4"/>
      <c r="DP213" s="4"/>
      <c r="DQ213" s="8"/>
      <c r="DR213" s="5" t="str">
        <f t="shared" si="716"/>
        <v>NO APLICA</v>
      </c>
      <c r="DS213" s="2"/>
      <c r="DT213" s="4"/>
      <c r="DU213" s="4"/>
      <c r="DV213" s="8"/>
      <c r="DW213" s="5" t="str">
        <f t="shared" si="717"/>
        <v>NO APLICA</v>
      </c>
      <c r="DX213" s="3"/>
      <c r="DY213" s="4"/>
      <c r="DZ213" s="4"/>
      <c r="EA213" s="8"/>
      <c r="EB213" s="5" t="str">
        <f t="shared" si="718"/>
        <v>NO APLICA</v>
      </c>
      <c r="EC213" s="3"/>
      <c r="ED213" s="39"/>
      <c r="EE213" s="4"/>
      <c r="EF213" s="8"/>
      <c r="EG213" s="5" t="str">
        <f t="shared" si="719"/>
        <v>NO APLICA</v>
      </c>
      <c r="EH213" s="2"/>
      <c r="EI213" s="4"/>
      <c r="EJ213" s="4"/>
      <c r="EK213" s="8"/>
      <c r="EL213" s="5" t="str">
        <f t="shared" si="720"/>
        <v>NO APLICA</v>
      </c>
      <c r="EM213" s="3"/>
      <c r="EN213" s="4"/>
      <c r="EO213" s="4"/>
      <c r="EP213" s="8"/>
      <c r="EQ213" s="5" t="str">
        <f t="shared" si="721"/>
        <v>NO APLICA</v>
      </c>
      <c r="ER213" s="2"/>
      <c r="ES213" s="39"/>
      <c r="ET213" s="4"/>
      <c r="EU213" s="8"/>
      <c r="EV213" s="5" t="str">
        <f t="shared" si="722"/>
        <v>NO APLICA</v>
      </c>
      <c r="EW213" s="2"/>
      <c r="EX213" s="4"/>
      <c r="EY213" s="4"/>
      <c r="EZ213" s="8"/>
      <c r="FA213" s="5" t="str">
        <f t="shared" si="723"/>
        <v>NO APLICA</v>
      </c>
      <c r="FB213" s="2"/>
      <c r="FC213" s="4"/>
      <c r="FD213" s="4"/>
      <c r="FE213" s="8"/>
      <c r="FF213" s="5" t="str">
        <f t="shared" si="724"/>
        <v>NO APLICA</v>
      </c>
      <c r="FG213" s="2"/>
      <c r="FH213" s="4"/>
      <c r="FI213" s="4"/>
      <c r="FJ213" s="8"/>
      <c r="FK213" s="5" t="str">
        <f t="shared" si="725"/>
        <v>NO APLICA</v>
      </c>
      <c r="FL213" s="3"/>
      <c r="FM213" s="39"/>
      <c r="FN213" s="4"/>
      <c r="FO213" s="8"/>
      <c r="FP213" s="5" t="str">
        <f t="shared" si="726"/>
        <v>NO APLICA</v>
      </c>
      <c r="FQ213" s="3"/>
      <c r="FR213" s="39"/>
      <c r="FS213" s="4"/>
      <c r="FT213" s="8"/>
      <c r="FU213" s="5" t="str">
        <f t="shared" si="727"/>
        <v>NO APLICA</v>
      </c>
      <c r="FV213" s="3"/>
      <c r="FW213" s="4"/>
      <c r="FX213" s="4"/>
      <c r="FY213" s="8"/>
      <c r="FZ213" s="5" t="str">
        <f t="shared" si="728"/>
        <v>NO APLICA</v>
      </c>
      <c r="GA213" s="3"/>
      <c r="GB213" s="4"/>
      <c r="GC213" s="4"/>
      <c r="GD213" s="8"/>
      <c r="GE213" s="5" t="str">
        <f t="shared" si="729"/>
        <v>NO APLICA</v>
      </c>
      <c r="GF213" s="3"/>
      <c r="GG213" s="4"/>
      <c r="GH213" s="4"/>
      <c r="GI213" s="8"/>
      <c r="GJ213" s="5" t="str">
        <f t="shared" si="730"/>
        <v>NO APLICA</v>
      </c>
      <c r="GK213" s="3"/>
      <c r="GL213" s="4"/>
      <c r="GM213" s="4"/>
      <c r="GN213" s="8"/>
      <c r="GO213" s="5" t="str">
        <f t="shared" si="731"/>
        <v>NO APLICA</v>
      </c>
      <c r="GP213" s="4"/>
      <c r="GQ213" s="4"/>
      <c r="GR213" s="4"/>
      <c r="GS213" s="8"/>
      <c r="GT213" s="5" t="str">
        <f t="shared" si="610"/>
        <v>NO APLICA</v>
      </c>
      <c r="GU213" s="3"/>
      <c r="GV213" s="4"/>
      <c r="GW213" s="4"/>
      <c r="GX213" s="8"/>
      <c r="GY213" s="5" t="str">
        <f t="shared" si="611"/>
        <v>NO APLICA</v>
      </c>
      <c r="GZ213" s="2"/>
      <c r="HA213" s="4"/>
      <c r="HB213" s="4"/>
      <c r="HC213" s="8"/>
      <c r="HD213" s="5" t="str">
        <f t="shared" si="612"/>
        <v>NO APLICA</v>
      </c>
      <c r="HE213" s="6"/>
      <c r="HF213" s="6"/>
      <c r="HG213" s="4"/>
      <c r="HH213" s="8"/>
      <c r="HI213" s="5" t="str">
        <f t="shared" si="698"/>
        <v>NO APLICA</v>
      </c>
      <c r="HJ213" s="2"/>
      <c r="HK213" s="6"/>
      <c r="HL213" s="4"/>
      <c r="HM213" s="8"/>
      <c r="HN213" s="5" t="str">
        <f t="shared" si="694"/>
        <v>NO APLICA</v>
      </c>
      <c r="HO213" s="2"/>
      <c r="HP213" s="2"/>
      <c r="HQ213" s="4"/>
      <c r="HR213" s="2"/>
      <c r="HS213" s="5" t="str">
        <f t="shared" si="732"/>
        <v>NO APLICA</v>
      </c>
      <c r="HT213" s="2"/>
      <c r="HU213" s="6"/>
      <c r="HV213" s="4"/>
      <c r="HW213" s="8"/>
      <c r="HX213" s="5" t="str">
        <f t="shared" si="733"/>
        <v>NO APLICA</v>
      </c>
      <c r="HY213" s="2"/>
      <c r="HZ213" s="6"/>
      <c r="IA213" s="4"/>
      <c r="IB213" s="8"/>
      <c r="IC213" s="5" t="str">
        <f t="shared" si="734"/>
        <v>NO APLICA</v>
      </c>
      <c r="ID213" s="2"/>
      <c r="IE213" s="6"/>
      <c r="IF213" s="4"/>
      <c r="IG213" s="8"/>
      <c r="IH213" s="5" t="str">
        <f t="shared" si="735"/>
        <v>NO APLICA</v>
      </c>
      <c r="II213" s="6"/>
      <c r="IJ213" s="6"/>
      <c r="IK213" s="4"/>
      <c r="IL213" s="8"/>
      <c r="IM213" s="5" t="str">
        <f t="shared" si="736"/>
        <v>NO APLICA</v>
      </c>
      <c r="IN213" s="2"/>
      <c r="IO213" s="6"/>
      <c r="IP213" s="4"/>
      <c r="IQ213" s="8"/>
      <c r="IR213" s="5" t="str">
        <f t="shared" si="737"/>
        <v>NO APLICA</v>
      </c>
      <c r="IS213" s="2"/>
      <c r="IT213" s="6"/>
      <c r="IU213" s="4"/>
      <c r="IV213" s="8"/>
      <c r="IW213" s="5" t="str">
        <f t="shared" si="738"/>
        <v>NO APLICA</v>
      </c>
      <c r="IX213" s="2"/>
      <c r="IY213" s="6"/>
      <c r="IZ213" s="4"/>
      <c r="JA213" s="8"/>
      <c r="JB213" s="5" t="str">
        <f t="shared" si="739"/>
        <v>NO APLICA</v>
      </c>
      <c r="JC213" s="3" t="s">
        <v>780</v>
      </c>
      <c r="JD213" s="3"/>
      <c r="JE213" s="4"/>
      <c r="JF213" s="8"/>
      <c r="JG213" s="5"/>
      <c r="JH213" s="3" t="s">
        <v>780</v>
      </c>
      <c r="JI213" s="6"/>
      <c r="JJ213" s="6"/>
      <c r="JK213" s="6"/>
      <c r="JL213" s="5"/>
      <c r="JM213" s="6" t="s">
        <v>780</v>
      </c>
      <c r="JN213" s="6"/>
      <c r="JO213" s="6"/>
      <c r="JP213" s="6"/>
      <c r="JQ213" s="5"/>
      <c r="JR213" s="6" t="s">
        <v>780</v>
      </c>
      <c r="JS213" s="6"/>
      <c r="JT213" s="6"/>
      <c r="JU213" s="6"/>
      <c r="JV213" s="5"/>
      <c r="JW213" s="6" t="s">
        <v>780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40"/>
        <v>NO APLICA</v>
      </c>
      <c r="KG213" s="5"/>
      <c r="KH213" s="2"/>
      <c r="KI213" s="4"/>
      <c r="KJ213" s="8"/>
      <c r="KK213" s="5" t="str">
        <f t="shared" si="760"/>
        <v>NO APLICA</v>
      </c>
      <c r="KL213" s="5"/>
      <c r="KM213" s="2"/>
      <c r="KN213" s="4"/>
      <c r="KO213" s="8"/>
      <c r="KP213" s="5" t="str">
        <f t="shared" si="741"/>
        <v>NO APLICA</v>
      </c>
      <c r="KQ213" s="5"/>
      <c r="KR213" s="2"/>
      <c r="KS213" s="4"/>
      <c r="KT213" s="8"/>
      <c r="KU213" s="5" t="str">
        <f t="shared" si="761"/>
        <v>NO APLICA</v>
      </c>
      <c r="KV213" s="2"/>
      <c r="KW213" s="6"/>
      <c r="KX213" s="4"/>
      <c r="KY213" s="8"/>
      <c r="KZ213" s="5" t="str">
        <f t="shared" si="767"/>
        <v>NO APLICA</v>
      </c>
      <c r="LA213" s="5"/>
      <c r="LB213" s="6"/>
      <c r="LC213" s="4"/>
      <c r="LD213" s="8"/>
      <c r="LE213" s="5" t="str">
        <f t="shared" si="762"/>
        <v>NO APLICA</v>
      </c>
      <c r="LF213" s="6"/>
      <c r="LG213" s="6"/>
      <c r="LH213" s="4"/>
      <c r="LI213" s="8"/>
      <c r="LJ213" s="5" t="str">
        <f t="shared" si="600"/>
        <v>NO APLICA</v>
      </c>
      <c r="LK213" s="5"/>
      <c r="LL213" s="5"/>
      <c r="LM213" s="4"/>
      <c r="LN213" s="8"/>
      <c r="LO213" s="5" t="str">
        <f t="shared" si="768"/>
        <v>NO APLICA</v>
      </c>
      <c r="LP213" s="2"/>
      <c r="LQ213" s="6"/>
      <c r="LR213" s="4"/>
      <c r="LS213" s="8"/>
      <c r="LT213" s="5" t="str">
        <f t="shared" si="763"/>
        <v>NO APLICA</v>
      </c>
      <c r="LU213" s="6"/>
      <c r="LV213" s="6"/>
      <c r="LW213" s="4"/>
      <c r="LX213" s="8"/>
      <c r="LY213" s="5" t="str">
        <f t="shared" si="764"/>
        <v>NO APLICA</v>
      </c>
      <c r="LZ213" s="6"/>
      <c r="MA213" s="6"/>
      <c r="MB213" s="4"/>
      <c r="MC213" s="8"/>
      <c r="MD213" s="5" t="str">
        <f t="shared" si="765"/>
        <v>NO APLICA</v>
      </c>
      <c r="ME213" s="2"/>
      <c r="MF213" s="2"/>
      <c r="MG213" s="4"/>
      <c r="MH213" s="8"/>
      <c r="MI213" s="5" t="str">
        <f t="shared" si="742"/>
        <v>NO APLICA</v>
      </c>
      <c r="MJ213" s="2"/>
      <c r="MK213" s="2"/>
      <c r="ML213" s="4"/>
      <c r="MM213" s="8"/>
      <c r="MN213" s="5" t="str">
        <f t="shared" si="743"/>
        <v>NO APLICA</v>
      </c>
      <c r="MO213" s="5"/>
      <c r="MP213" s="2"/>
      <c r="MQ213" s="4"/>
      <c r="MR213" s="8"/>
      <c r="MS213" s="5" t="str">
        <f t="shared" si="744"/>
        <v>NO APLICA</v>
      </c>
      <c r="MT213" s="5"/>
      <c r="MU213" s="2"/>
      <c r="MV213" s="4"/>
      <c r="MW213" s="2"/>
      <c r="MX213" s="5" t="str">
        <f t="shared" si="745"/>
        <v>NO APLICA</v>
      </c>
      <c r="MY213" s="2"/>
      <c r="MZ213" s="6"/>
      <c r="NA213" s="4"/>
      <c r="NB213" s="8"/>
      <c r="NC213" s="5" t="str">
        <f t="shared" si="746"/>
        <v>NO APLICA</v>
      </c>
      <c r="ND213" s="2"/>
      <c r="NE213" s="6"/>
      <c r="NF213" s="4"/>
      <c r="NG213" s="8"/>
      <c r="NH213" s="5" t="str">
        <f t="shared" si="747"/>
        <v>NO APLICA</v>
      </c>
      <c r="NI213" s="2"/>
      <c r="NJ213" s="6"/>
      <c r="NK213" s="4"/>
      <c r="NL213" s="8"/>
      <c r="NM213" s="5" t="str">
        <f t="shared" si="748"/>
        <v>NO APLICA</v>
      </c>
      <c r="NN213" s="2"/>
      <c r="NO213" s="2"/>
      <c r="NP213" s="4"/>
      <c r="NQ213" s="8"/>
      <c r="NR213" s="5" t="str">
        <f t="shared" si="749"/>
        <v>NO APLICA</v>
      </c>
      <c r="NS213" s="2"/>
      <c r="NT213" s="2"/>
      <c r="NU213" s="4"/>
      <c r="NV213" s="2"/>
      <c r="NW213" s="5" t="str">
        <f t="shared" si="750"/>
        <v>NO APLICA</v>
      </c>
      <c r="NX213" s="6"/>
      <c r="NY213" s="6"/>
      <c r="NZ213" s="4"/>
      <c r="OA213" s="8"/>
      <c r="OB213" s="5" t="str">
        <f t="shared" si="751"/>
        <v>NO APLICA</v>
      </c>
      <c r="OC213" s="6"/>
      <c r="OD213" s="6"/>
      <c r="OE213" s="6"/>
      <c r="OF213" s="6"/>
      <c r="OG213" s="5" t="str">
        <f t="shared" si="752"/>
        <v>NO APLICA</v>
      </c>
      <c r="OH213" s="6"/>
      <c r="OI213" s="6"/>
      <c r="OJ213" s="4"/>
      <c r="OK213" s="8"/>
      <c r="OL213" s="5" t="str">
        <f t="shared" si="753"/>
        <v>NO APLICA</v>
      </c>
      <c r="OM213" s="6"/>
      <c r="ON213" s="6"/>
      <c r="OO213" s="6"/>
      <c r="OP213" s="6"/>
      <c r="OQ213" s="5" t="str">
        <f t="shared" si="754"/>
        <v>NO APLICA</v>
      </c>
      <c r="OR213" s="6"/>
      <c r="OS213" s="6"/>
      <c r="OT213" s="6"/>
      <c r="OU213" s="6"/>
      <c r="OV213" s="5" t="str">
        <f t="shared" si="755"/>
        <v>NO APLICA</v>
      </c>
      <c r="OW213" s="6"/>
      <c r="OX213" s="6"/>
      <c r="OY213" s="6"/>
      <c r="OZ213" s="6"/>
      <c r="PA213" s="5" t="str">
        <f t="shared" si="769"/>
        <v>NO APLICA</v>
      </c>
      <c r="PB213" s="6"/>
      <c r="PC213" s="6"/>
      <c r="PD213" s="6"/>
      <c r="PE213" s="6"/>
      <c r="PF213" s="5" t="str">
        <f t="shared" si="756"/>
        <v>NO APLICA</v>
      </c>
      <c r="PG213" s="6"/>
      <c r="PH213" s="6"/>
      <c r="PI213" s="6"/>
      <c r="PJ213" s="6"/>
      <c r="PK213" s="5" t="str">
        <f t="shared" si="757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8"/>
        <v>NO APLICA</v>
      </c>
      <c r="PV213" s="5"/>
      <c r="PW213" s="6"/>
      <c r="PX213" s="6"/>
      <c r="PY213" s="6"/>
      <c r="PZ213" s="5" t="str">
        <f t="shared" si="759"/>
        <v>NO APLICA</v>
      </c>
    </row>
    <row r="214" spans="1:442" ht="15.6" hidden="1" thickTop="1" thickBot="1" x14ac:dyDescent="0.35">
      <c r="A214" s="26">
        <v>211</v>
      </c>
      <c r="B214" s="31">
        <v>1104</v>
      </c>
      <c r="C214" s="28" t="s">
        <v>650</v>
      </c>
      <c r="D214" s="29" t="s">
        <v>113</v>
      </c>
      <c r="E214" s="30" t="s">
        <v>643</v>
      </c>
      <c r="F214" s="6"/>
      <c r="G214" s="6"/>
      <c r="H214" s="6"/>
      <c r="I214" s="6"/>
      <c r="J214" s="5" t="str">
        <f t="shared" si="696"/>
        <v>NO APLICA</v>
      </c>
      <c r="K214" s="6"/>
      <c r="L214" s="6"/>
      <c r="M214" s="6"/>
      <c r="N214" s="6"/>
      <c r="O214" s="5" t="str">
        <f t="shared" si="699"/>
        <v>NO APLICA</v>
      </c>
      <c r="P214" s="6"/>
      <c r="Q214" s="6"/>
      <c r="R214" s="6"/>
      <c r="S214" s="6"/>
      <c r="T214" s="5" t="str">
        <f t="shared" si="697"/>
        <v>NO APLICA</v>
      </c>
      <c r="U214" s="5"/>
      <c r="V214" s="6"/>
      <c r="W214" s="4"/>
      <c r="X214" s="4"/>
      <c r="Y214" s="8"/>
      <c r="Z214" s="5" t="str">
        <f t="shared" si="605"/>
        <v>NO APLICA</v>
      </c>
      <c r="AA214" s="5"/>
      <c r="AB214" s="6"/>
      <c r="AC214" s="6"/>
      <c r="AD214" s="6"/>
      <c r="AE214" s="6"/>
      <c r="AF214" s="5" t="str">
        <f t="shared" si="700"/>
        <v>NO APLICA</v>
      </c>
      <c r="AG214" s="4"/>
      <c r="AH214" s="4"/>
      <c r="AI214" s="4"/>
      <c r="AJ214" s="6"/>
      <c r="AK214" s="5" t="str">
        <f t="shared" si="602"/>
        <v>NO APLICA</v>
      </c>
      <c r="AL214" s="4"/>
      <c r="AM214" s="4"/>
      <c r="AN214" s="4"/>
      <c r="AO214" s="6"/>
      <c r="AP214" s="5" t="str">
        <f t="shared" si="701"/>
        <v>NO APLICA</v>
      </c>
      <c r="AQ214" s="4"/>
      <c r="AR214" s="4"/>
      <c r="AS214" s="4"/>
      <c r="AT214" s="6"/>
      <c r="AU214" s="5" t="str">
        <f t="shared" si="702"/>
        <v>NO APLICA</v>
      </c>
      <c r="AV214" s="4"/>
      <c r="AW214" s="4"/>
      <c r="AX214" s="4"/>
      <c r="AY214" s="6"/>
      <c r="AZ214" s="5" t="str">
        <f t="shared" si="703"/>
        <v>NO APLICA</v>
      </c>
      <c r="BA214" s="4"/>
      <c r="BB214" s="4"/>
      <c r="BC214" s="4"/>
      <c r="BD214" s="6"/>
      <c r="BE214" s="5" t="str">
        <f t="shared" si="704"/>
        <v>NO APLICA</v>
      </c>
      <c r="BF214" s="4"/>
      <c r="BG214" s="4"/>
      <c r="BH214" s="4"/>
      <c r="BI214" s="6"/>
      <c r="BJ214" s="5" t="str">
        <f t="shared" si="705"/>
        <v>NO APLICA</v>
      </c>
      <c r="BK214" s="4"/>
      <c r="BL214" s="4"/>
      <c r="BM214" s="4"/>
      <c r="BN214" s="6"/>
      <c r="BO214" s="5" t="str">
        <f t="shared" si="706"/>
        <v>NO APLICA</v>
      </c>
      <c r="BP214" s="4"/>
      <c r="BQ214" s="4"/>
      <c r="BR214" s="4"/>
      <c r="BS214" s="6"/>
      <c r="BT214" s="5" t="str">
        <f t="shared" si="707"/>
        <v>NO APLICA</v>
      </c>
      <c r="BU214" s="4"/>
      <c r="BV214" s="4"/>
      <c r="BW214" s="4"/>
      <c r="BX214" s="6"/>
      <c r="BY214" s="5" t="str">
        <f t="shared" si="708"/>
        <v>NO APLICA</v>
      </c>
      <c r="BZ214" s="4"/>
      <c r="CA214" s="4"/>
      <c r="CB214" s="4"/>
      <c r="CC214" s="6"/>
      <c r="CD214" s="5" t="str">
        <f t="shared" si="709"/>
        <v>NO APLICA</v>
      </c>
      <c r="CE214" s="6"/>
      <c r="CF214" s="6"/>
      <c r="CG214" s="6"/>
      <c r="CH214" s="6"/>
      <c r="CI214" s="5" t="str">
        <f t="shared" si="770"/>
        <v>NO APLICA</v>
      </c>
      <c r="CJ214" s="4"/>
      <c r="CK214" s="4"/>
      <c r="CL214" s="4"/>
      <c r="CM214" s="6"/>
      <c r="CN214" s="5" t="str">
        <f t="shared" si="710"/>
        <v>NO APLICA</v>
      </c>
      <c r="CO214" s="4"/>
      <c r="CP214" s="4"/>
      <c r="CQ214" s="4"/>
      <c r="CR214" s="6"/>
      <c r="CS214" s="5" t="str">
        <f t="shared" si="711"/>
        <v>NO APLICA</v>
      </c>
      <c r="CT214" s="4"/>
      <c r="CU214" s="4"/>
      <c r="CV214" s="4"/>
      <c r="CW214" s="6"/>
      <c r="CX214" s="5" t="str">
        <f t="shared" si="712"/>
        <v>NO APLICA</v>
      </c>
      <c r="CY214" s="4"/>
      <c r="CZ214" s="4"/>
      <c r="DA214" s="4"/>
      <c r="DB214" s="6"/>
      <c r="DC214" s="5" t="str">
        <f t="shared" si="713"/>
        <v>NO APLICA</v>
      </c>
      <c r="DD214" s="4"/>
      <c r="DE214" s="4"/>
      <c r="DF214" s="4"/>
      <c r="DG214" s="6"/>
      <c r="DH214" s="5" t="str">
        <f t="shared" si="714"/>
        <v>NO APLICA</v>
      </c>
      <c r="DI214" s="4"/>
      <c r="DJ214" s="4"/>
      <c r="DK214" s="4"/>
      <c r="DL214" s="6"/>
      <c r="DM214" s="5" t="str">
        <f t="shared" si="715"/>
        <v>NO APLICA</v>
      </c>
      <c r="DN214" s="4"/>
      <c r="DO214" s="4"/>
      <c r="DP214" s="4"/>
      <c r="DQ214" s="6"/>
      <c r="DR214" s="5" t="str">
        <f t="shared" si="716"/>
        <v>NO APLICA</v>
      </c>
      <c r="DS214" s="4"/>
      <c r="DT214" s="4"/>
      <c r="DU214" s="4"/>
      <c r="DV214" s="6"/>
      <c r="DW214" s="5" t="str">
        <f t="shared" si="717"/>
        <v>NO APLICA</v>
      </c>
      <c r="DX214" s="4"/>
      <c r="DY214" s="4"/>
      <c r="DZ214" s="4"/>
      <c r="EA214" s="6"/>
      <c r="EB214" s="5" t="str">
        <f t="shared" si="718"/>
        <v>NO APLICA</v>
      </c>
      <c r="EC214" s="4"/>
      <c r="ED214" s="4"/>
      <c r="EE214" s="4"/>
      <c r="EF214" s="6"/>
      <c r="EG214" s="5" t="str">
        <f t="shared" si="719"/>
        <v>NO APLICA</v>
      </c>
      <c r="EH214" s="4"/>
      <c r="EI214" s="4"/>
      <c r="EJ214" s="4"/>
      <c r="EK214" s="8"/>
      <c r="EL214" s="5" t="str">
        <f t="shared" si="720"/>
        <v>NO APLICA</v>
      </c>
      <c r="EM214" s="4"/>
      <c r="EN214" s="4"/>
      <c r="EO214" s="4"/>
      <c r="EP214" s="8"/>
      <c r="EQ214" s="5" t="str">
        <f t="shared" si="721"/>
        <v>NO APLICA</v>
      </c>
      <c r="ER214" s="4"/>
      <c r="ES214" s="4"/>
      <c r="ET214" s="4"/>
      <c r="EU214" s="8"/>
      <c r="EV214" s="5" t="str">
        <f t="shared" si="722"/>
        <v>NO APLICA</v>
      </c>
      <c r="EW214" s="4"/>
      <c r="EX214" s="4"/>
      <c r="EY214" s="4"/>
      <c r="EZ214" s="6"/>
      <c r="FA214" s="5" t="str">
        <f t="shared" si="723"/>
        <v>NO APLICA</v>
      </c>
      <c r="FB214" s="4"/>
      <c r="FC214" s="4"/>
      <c r="FD214" s="4"/>
      <c r="FE214" s="6"/>
      <c r="FF214" s="5" t="str">
        <f t="shared" si="724"/>
        <v>NO APLICA</v>
      </c>
      <c r="FG214" s="4"/>
      <c r="FH214" s="4"/>
      <c r="FI214" s="4"/>
      <c r="FJ214" s="6"/>
      <c r="FK214" s="5" t="str">
        <f t="shared" si="725"/>
        <v>NO APLICA</v>
      </c>
      <c r="FL214" s="4"/>
      <c r="FM214" s="4"/>
      <c r="FN214" s="4"/>
      <c r="FO214" s="6"/>
      <c r="FP214" s="5" t="str">
        <f t="shared" si="726"/>
        <v>NO APLICA</v>
      </c>
      <c r="FQ214" s="4"/>
      <c r="FR214" s="4"/>
      <c r="FS214" s="4"/>
      <c r="FT214" s="6"/>
      <c r="FU214" s="5" t="str">
        <f t="shared" si="727"/>
        <v>NO APLICA</v>
      </c>
      <c r="FV214" s="4"/>
      <c r="FW214" s="4"/>
      <c r="FX214" s="4"/>
      <c r="FY214" s="6"/>
      <c r="FZ214" s="5" t="str">
        <f t="shared" si="728"/>
        <v>NO APLICA</v>
      </c>
      <c r="GA214" s="4"/>
      <c r="GB214" s="4"/>
      <c r="GC214" s="4"/>
      <c r="GD214" s="6"/>
      <c r="GE214" s="5" t="str">
        <f t="shared" si="729"/>
        <v>NO APLICA</v>
      </c>
      <c r="GF214" s="4"/>
      <c r="GG214" s="4"/>
      <c r="GH214" s="4"/>
      <c r="GI214" s="8"/>
      <c r="GJ214" s="5" t="str">
        <f t="shared" si="730"/>
        <v>NO APLICA</v>
      </c>
      <c r="GK214" s="4"/>
      <c r="GL214" s="6"/>
      <c r="GM214" s="6"/>
      <c r="GN214" s="6"/>
      <c r="GO214" s="5" t="str">
        <f t="shared" si="731"/>
        <v>NO APLICA</v>
      </c>
      <c r="GP214" s="4"/>
      <c r="GQ214" s="6"/>
      <c r="GR214" s="6"/>
      <c r="GS214" s="6"/>
      <c r="GT214" s="5" t="str">
        <f t="shared" si="610"/>
        <v>NO APLICA</v>
      </c>
      <c r="GU214" s="4"/>
      <c r="GV214" s="6"/>
      <c r="GW214" s="6"/>
      <c r="GX214" s="6"/>
      <c r="GY214" s="5" t="str">
        <f t="shared" si="611"/>
        <v>NO APLICA</v>
      </c>
      <c r="GZ214" s="6"/>
      <c r="HA214" s="6"/>
      <c r="HB214" s="6"/>
      <c r="HC214" s="6"/>
      <c r="HD214" s="5" t="str">
        <f t="shared" si="612"/>
        <v>NO APLICA</v>
      </c>
      <c r="HE214" s="6"/>
      <c r="HF214" s="6"/>
      <c r="HG214" s="4"/>
      <c r="HH214" s="8"/>
      <c r="HI214" s="5" t="str">
        <f t="shared" si="698"/>
        <v>NO APLICA</v>
      </c>
      <c r="HJ214" s="6"/>
      <c r="HK214" s="6"/>
      <c r="HL214" s="6"/>
      <c r="HM214" s="6"/>
      <c r="HN214" s="5" t="str">
        <f t="shared" si="694"/>
        <v>NO APLICA</v>
      </c>
      <c r="HO214" s="6"/>
      <c r="HP214" s="6"/>
      <c r="HQ214" s="6"/>
      <c r="HR214" s="6"/>
      <c r="HS214" s="5" t="str">
        <f t="shared" si="732"/>
        <v>NO APLICA</v>
      </c>
      <c r="HT214" s="6"/>
      <c r="HU214" s="6"/>
      <c r="HV214" s="6"/>
      <c r="HW214" s="6"/>
      <c r="HX214" s="5" t="str">
        <f t="shared" si="733"/>
        <v>NO APLICA</v>
      </c>
      <c r="HY214" s="6"/>
      <c r="HZ214" s="6"/>
      <c r="IA214" s="6"/>
      <c r="IB214" s="6"/>
      <c r="IC214" s="5" t="str">
        <f t="shared" si="734"/>
        <v>NO APLICA</v>
      </c>
      <c r="ID214" s="6"/>
      <c r="IE214" s="6"/>
      <c r="IF214" s="6"/>
      <c r="IG214" s="6"/>
      <c r="IH214" s="5" t="str">
        <f t="shared" si="735"/>
        <v>NO APLICA</v>
      </c>
      <c r="II214" s="6"/>
      <c r="IJ214" s="6"/>
      <c r="IK214" s="6"/>
      <c r="IL214" s="6"/>
      <c r="IM214" s="5" t="str">
        <f t="shared" si="736"/>
        <v>NO APLICA</v>
      </c>
      <c r="IN214" s="6"/>
      <c r="IO214" s="6"/>
      <c r="IP214" s="6"/>
      <c r="IQ214" s="6"/>
      <c r="IR214" s="5" t="str">
        <f t="shared" si="737"/>
        <v>NO APLICA</v>
      </c>
      <c r="IS214" s="6"/>
      <c r="IT214" s="6"/>
      <c r="IU214" s="6"/>
      <c r="IV214" s="6"/>
      <c r="IW214" s="5" t="str">
        <f t="shared" si="738"/>
        <v>NO APLICA</v>
      </c>
      <c r="IX214" s="6"/>
      <c r="IY214" s="6"/>
      <c r="IZ214" s="6"/>
      <c r="JA214" s="6"/>
      <c r="JB214" s="5" t="str">
        <f t="shared" si="739"/>
        <v>NO APLICA</v>
      </c>
      <c r="JC214" s="3" t="s">
        <v>780</v>
      </c>
      <c r="JD214" s="6"/>
      <c r="JE214" s="6"/>
      <c r="JF214" s="6"/>
      <c r="JG214" s="5"/>
      <c r="JH214" s="3" t="s">
        <v>780</v>
      </c>
      <c r="JI214" s="6"/>
      <c r="JJ214" s="6"/>
      <c r="JK214" s="6"/>
      <c r="JL214" s="5"/>
      <c r="JM214" s="6" t="s">
        <v>780</v>
      </c>
      <c r="JN214" s="6"/>
      <c r="JO214" s="6"/>
      <c r="JP214" s="6"/>
      <c r="JQ214" s="5"/>
      <c r="JR214" s="6" t="s">
        <v>780</v>
      </c>
      <c r="JS214" s="6"/>
      <c r="JT214" s="6"/>
      <c r="JU214" s="6"/>
      <c r="JV214" s="5"/>
      <c r="JW214" s="6" t="s">
        <v>780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40"/>
        <v>NO APLICA</v>
      </c>
      <c r="KG214" s="5"/>
      <c r="KH214" s="6"/>
      <c r="KI214" s="6"/>
      <c r="KJ214" s="6"/>
      <c r="KK214" s="5" t="str">
        <f t="shared" si="760"/>
        <v>NO APLICA</v>
      </c>
      <c r="KL214" s="5"/>
      <c r="KM214" s="6"/>
      <c r="KN214" s="6"/>
      <c r="KO214" s="6"/>
      <c r="KP214" s="5" t="str">
        <f t="shared" si="741"/>
        <v>NO APLICA</v>
      </c>
      <c r="KQ214" s="5"/>
      <c r="KR214" s="6"/>
      <c r="KS214" s="6"/>
      <c r="KT214" s="6"/>
      <c r="KU214" s="5" t="str">
        <f t="shared" si="761"/>
        <v>NO APLICA</v>
      </c>
      <c r="KV214" s="6"/>
      <c r="KW214" s="6"/>
      <c r="KX214" s="6"/>
      <c r="KY214" s="6"/>
      <c r="KZ214" s="5" t="str">
        <f t="shared" si="767"/>
        <v>NO APLICA</v>
      </c>
      <c r="LA214" s="5"/>
      <c r="LB214" s="6"/>
      <c r="LC214" s="6"/>
      <c r="LD214" s="6"/>
      <c r="LE214" s="5" t="str">
        <f t="shared" si="762"/>
        <v>NO APLICA</v>
      </c>
      <c r="LF214" s="6"/>
      <c r="LG214" s="6"/>
      <c r="LH214" s="6"/>
      <c r="LI214" s="6"/>
      <c r="LJ214" s="5" t="str">
        <f t="shared" si="600"/>
        <v>NO APLICA</v>
      </c>
      <c r="LK214" s="5"/>
      <c r="LL214" s="5"/>
      <c r="LM214" s="4"/>
      <c r="LN214" s="8"/>
      <c r="LO214" s="5" t="str">
        <f t="shared" si="768"/>
        <v>NO APLICA</v>
      </c>
      <c r="LP214" s="6"/>
      <c r="LQ214" s="6"/>
      <c r="LR214" s="6"/>
      <c r="LS214" s="6"/>
      <c r="LT214" s="5" t="str">
        <f t="shared" si="763"/>
        <v>NO APLICA</v>
      </c>
      <c r="LU214" s="6"/>
      <c r="LV214" s="6"/>
      <c r="LW214" s="6"/>
      <c r="LX214" s="6"/>
      <c r="LY214" s="5" t="str">
        <f t="shared" si="764"/>
        <v>NO APLICA</v>
      </c>
      <c r="LZ214" s="6"/>
      <c r="MA214" s="6"/>
      <c r="MB214" s="6"/>
      <c r="MC214" s="6"/>
      <c r="MD214" s="5" t="str">
        <f t="shared" si="765"/>
        <v>NO APLICA</v>
      </c>
      <c r="ME214" s="6"/>
      <c r="MF214" s="6"/>
      <c r="MG214" s="6"/>
      <c r="MH214" s="6"/>
      <c r="MI214" s="5" t="str">
        <f t="shared" si="742"/>
        <v>NO APLICA</v>
      </c>
      <c r="MJ214" s="6"/>
      <c r="MK214" s="6"/>
      <c r="ML214" s="6"/>
      <c r="MM214" s="6"/>
      <c r="MN214" s="5" t="str">
        <f t="shared" si="743"/>
        <v>NO APLICA</v>
      </c>
      <c r="MO214" s="5"/>
      <c r="MP214" s="6"/>
      <c r="MQ214" s="6"/>
      <c r="MR214" s="6"/>
      <c r="MS214" s="5" t="str">
        <f t="shared" si="744"/>
        <v>NO APLICA</v>
      </c>
      <c r="MT214" s="5"/>
      <c r="MU214" s="6"/>
      <c r="MV214" s="6"/>
      <c r="MW214" s="6"/>
      <c r="MX214" s="5" t="str">
        <f t="shared" si="745"/>
        <v>NO APLICA</v>
      </c>
      <c r="MY214" s="6"/>
      <c r="MZ214" s="6"/>
      <c r="NA214" s="6"/>
      <c r="NB214" s="6"/>
      <c r="NC214" s="5" t="str">
        <f t="shared" si="746"/>
        <v>NO APLICA</v>
      </c>
      <c r="ND214" s="6"/>
      <c r="NE214" s="6"/>
      <c r="NF214" s="6"/>
      <c r="NG214" s="6"/>
      <c r="NH214" s="5" t="str">
        <f t="shared" si="747"/>
        <v>NO APLICA</v>
      </c>
      <c r="NI214" s="6"/>
      <c r="NJ214" s="6"/>
      <c r="NK214" s="6"/>
      <c r="NL214" s="6"/>
      <c r="NM214" s="5" t="str">
        <f t="shared" si="748"/>
        <v>NO APLICA</v>
      </c>
      <c r="NN214" s="6"/>
      <c r="NO214" s="6"/>
      <c r="NP214" s="6"/>
      <c r="NQ214" s="6"/>
      <c r="NR214" s="5" t="str">
        <f t="shared" si="749"/>
        <v>NO APLICA</v>
      </c>
      <c r="NS214" s="6"/>
      <c r="NT214" s="6"/>
      <c r="NU214" s="6"/>
      <c r="NV214" s="6"/>
      <c r="NW214" s="5" t="str">
        <f t="shared" si="750"/>
        <v>NO APLICA</v>
      </c>
      <c r="NX214" s="6"/>
      <c r="NY214" s="6"/>
      <c r="NZ214" s="6"/>
      <c r="OA214" s="6"/>
      <c r="OB214" s="5" t="str">
        <f t="shared" si="751"/>
        <v>NO APLICA</v>
      </c>
      <c r="OC214" s="6"/>
      <c r="OD214" s="6"/>
      <c r="OE214" s="6"/>
      <c r="OF214" s="6"/>
      <c r="OG214" s="5" t="str">
        <f t="shared" si="752"/>
        <v>NO APLICA</v>
      </c>
      <c r="OH214" s="6"/>
      <c r="OI214" s="6"/>
      <c r="OJ214" s="6"/>
      <c r="OK214" s="6"/>
      <c r="OL214" s="5" t="str">
        <f t="shared" si="753"/>
        <v>NO APLICA</v>
      </c>
      <c r="OM214" s="6"/>
      <c r="ON214" s="6"/>
      <c r="OO214" s="6"/>
      <c r="OP214" s="6"/>
      <c r="OQ214" s="5" t="str">
        <f t="shared" si="754"/>
        <v>NO APLICA</v>
      </c>
      <c r="OR214" s="6"/>
      <c r="OS214" s="6"/>
      <c r="OT214" s="6"/>
      <c r="OU214" s="6"/>
      <c r="OV214" s="5" t="str">
        <f t="shared" si="755"/>
        <v>NO APLICA</v>
      </c>
      <c r="OW214" s="6"/>
      <c r="OX214" s="6"/>
      <c r="OY214" s="6"/>
      <c r="OZ214" s="6"/>
      <c r="PA214" s="5" t="str">
        <f t="shared" si="769"/>
        <v>NO APLICA</v>
      </c>
      <c r="PB214" s="6"/>
      <c r="PC214" s="6"/>
      <c r="PD214" s="6"/>
      <c r="PE214" s="6"/>
      <c r="PF214" s="5" t="str">
        <f t="shared" si="756"/>
        <v>NO APLICA</v>
      </c>
      <c r="PG214" s="6"/>
      <c r="PH214" s="6"/>
      <c r="PI214" s="6"/>
      <c r="PJ214" s="6"/>
      <c r="PK214" s="5" t="str">
        <f t="shared" si="757"/>
        <v>NO APLICA</v>
      </c>
      <c r="PL214" s="5"/>
      <c r="PM214" s="6"/>
      <c r="PN214" s="6"/>
      <c r="PO214" s="6"/>
      <c r="PP214" s="5" t="str">
        <f t="shared" si="766"/>
        <v>NO APLICA</v>
      </c>
      <c r="PQ214" s="6"/>
      <c r="PR214" s="6"/>
      <c r="PS214" s="6"/>
      <c r="PT214" s="6"/>
      <c r="PU214" s="5" t="str">
        <f t="shared" si="758"/>
        <v>NO APLICA</v>
      </c>
      <c r="PV214" s="5"/>
      <c r="PW214" s="6"/>
      <c r="PX214" s="6"/>
      <c r="PY214" s="6"/>
      <c r="PZ214" s="5" t="str">
        <f t="shared" si="759"/>
        <v>NO APLICA</v>
      </c>
    </row>
    <row r="215" spans="1:442" ht="15.6" hidden="1" thickTop="1" thickBot="1" x14ac:dyDescent="0.35">
      <c r="A215" s="26">
        <v>212</v>
      </c>
      <c r="B215" s="31">
        <v>1620</v>
      </c>
      <c r="C215" s="28" t="s">
        <v>651</v>
      </c>
      <c r="D215" s="29" t="s">
        <v>68</v>
      </c>
      <c r="E215" s="30" t="s">
        <v>615</v>
      </c>
      <c r="F215" s="6"/>
      <c r="G215" s="6"/>
      <c r="H215" s="6"/>
      <c r="I215" s="6"/>
      <c r="J215" s="5" t="str">
        <f t="shared" si="696"/>
        <v>NO APLICA</v>
      </c>
      <c r="K215" s="6"/>
      <c r="L215" s="6"/>
      <c r="M215" s="6"/>
      <c r="N215" s="6"/>
      <c r="O215" s="5" t="str">
        <f t="shared" si="699"/>
        <v>NO APLICA</v>
      </c>
      <c r="P215" s="6"/>
      <c r="Q215" s="6"/>
      <c r="R215" s="6"/>
      <c r="S215" s="6"/>
      <c r="T215" s="5" t="str">
        <f t="shared" si="69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5"/>
        <v>VIGENTE</v>
      </c>
      <c r="AA215" s="5"/>
      <c r="AB215" s="6" t="s">
        <v>652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700"/>
        <v>VIGENTE</v>
      </c>
      <c r="AG215" s="4"/>
      <c r="AH215" s="4"/>
      <c r="AI215" s="4"/>
      <c r="AJ215" s="6"/>
      <c r="AK215" s="5" t="str">
        <f t="shared" si="602"/>
        <v>NO APLICA</v>
      </c>
      <c r="AL215" s="4"/>
      <c r="AM215" s="4"/>
      <c r="AN215" s="4"/>
      <c r="AO215" s="6"/>
      <c r="AP215" s="5" t="str">
        <f t="shared" si="701"/>
        <v>NO APLICA</v>
      </c>
      <c r="AQ215" s="4"/>
      <c r="AR215" s="4"/>
      <c r="AS215" s="4"/>
      <c r="AT215" s="6"/>
      <c r="AU215" s="5" t="str">
        <f t="shared" si="702"/>
        <v>NO APLICA</v>
      </c>
      <c r="AV215" s="4"/>
      <c r="AW215" s="4"/>
      <c r="AX215" s="4"/>
      <c r="AY215" s="6"/>
      <c r="AZ215" s="5" t="str">
        <f t="shared" si="703"/>
        <v>NO APLICA</v>
      </c>
      <c r="BA215" s="4"/>
      <c r="BB215" s="4"/>
      <c r="BC215" s="4"/>
      <c r="BD215" s="6"/>
      <c r="BE215" s="5" t="str">
        <f t="shared" si="704"/>
        <v>NO APLICA</v>
      </c>
      <c r="BF215" s="4"/>
      <c r="BG215" s="4"/>
      <c r="BH215" s="4"/>
      <c r="BI215" s="6"/>
      <c r="BJ215" s="5" t="str">
        <f t="shared" si="705"/>
        <v>NO APLICA</v>
      </c>
      <c r="BK215" s="4"/>
      <c r="BL215" s="4"/>
      <c r="BM215" s="4"/>
      <c r="BN215" s="6"/>
      <c r="BO215" s="5" t="str">
        <f t="shared" si="706"/>
        <v>NO APLICA</v>
      </c>
      <c r="BP215" s="4"/>
      <c r="BQ215" s="4"/>
      <c r="BR215" s="4"/>
      <c r="BS215" s="6"/>
      <c r="BT215" s="5" t="str">
        <f t="shared" si="707"/>
        <v>NO APLICA</v>
      </c>
      <c r="BU215" s="4"/>
      <c r="BV215" s="4"/>
      <c r="BW215" s="4"/>
      <c r="BX215" s="6"/>
      <c r="BY215" s="5" t="str">
        <f t="shared" si="708"/>
        <v>NO APLICA</v>
      </c>
      <c r="BZ215" s="4"/>
      <c r="CA215" s="4"/>
      <c r="CB215" s="4"/>
      <c r="CC215" s="6"/>
      <c r="CD215" s="5" t="str">
        <f t="shared" si="709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10"/>
        <v>NO APLICA</v>
      </c>
      <c r="CO215" s="4"/>
      <c r="CP215" s="4"/>
      <c r="CQ215" s="4"/>
      <c r="CR215" s="6"/>
      <c r="CS215" s="5" t="str">
        <f t="shared" si="711"/>
        <v>NO APLICA</v>
      </c>
      <c r="CT215" s="4"/>
      <c r="CU215" s="4"/>
      <c r="CV215" s="4"/>
      <c r="CW215" s="6"/>
      <c r="CX215" s="5" t="str">
        <f t="shared" si="712"/>
        <v>NO APLICA</v>
      </c>
      <c r="CY215" s="4"/>
      <c r="CZ215" s="4"/>
      <c r="DA215" s="4"/>
      <c r="DB215" s="6"/>
      <c r="DC215" s="5" t="str">
        <f t="shared" si="713"/>
        <v>NO APLICA</v>
      </c>
      <c r="DD215" s="4"/>
      <c r="DE215" s="4"/>
      <c r="DF215" s="4"/>
      <c r="DG215" s="6"/>
      <c r="DH215" s="5" t="str">
        <f t="shared" si="714"/>
        <v>NO APLICA</v>
      </c>
      <c r="DI215" s="4"/>
      <c r="DJ215" s="4"/>
      <c r="DK215" s="4"/>
      <c r="DL215" s="6"/>
      <c r="DM215" s="5" t="str">
        <f t="shared" si="715"/>
        <v>NO APLICA</v>
      </c>
      <c r="DN215" s="4"/>
      <c r="DO215" s="4"/>
      <c r="DP215" s="4"/>
      <c r="DQ215" s="6"/>
      <c r="DR215" s="5" t="str">
        <f t="shared" si="716"/>
        <v>NO APLICA</v>
      </c>
      <c r="DS215" s="4"/>
      <c r="DT215" s="4"/>
      <c r="DU215" s="4"/>
      <c r="DV215" s="6"/>
      <c r="DW215" s="5" t="str">
        <f t="shared" si="717"/>
        <v>NO APLICA</v>
      </c>
      <c r="DX215" s="4"/>
      <c r="DY215" s="4"/>
      <c r="DZ215" s="4"/>
      <c r="EA215" s="6"/>
      <c r="EB215" s="5" t="str">
        <f t="shared" si="718"/>
        <v>NO APLICA</v>
      </c>
      <c r="EC215" s="4"/>
      <c r="ED215" s="4"/>
      <c r="EE215" s="4"/>
      <c r="EF215" s="6"/>
      <c r="EG215" s="5" t="str">
        <f t="shared" si="719"/>
        <v>NO APLICA</v>
      </c>
      <c r="EH215" s="4"/>
      <c r="EI215" s="4"/>
      <c r="EJ215" s="4"/>
      <c r="EK215" s="8"/>
      <c r="EL215" s="5" t="str">
        <f t="shared" si="720"/>
        <v>NO APLICA</v>
      </c>
      <c r="EM215" s="4"/>
      <c r="EN215" s="4"/>
      <c r="EO215" s="4"/>
      <c r="EP215" s="8"/>
      <c r="EQ215" s="5" t="str">
        <f t="shared" si="721"/>
        <v>NO APLICA</v>
      </c>
      <c r="ER215" s="4"/>
      <c r="ES215" s="4"/>
      <c r="ET215" s="4"/>
      <c r="EU215" s="8"/>
      <c r="EV215" s="5" t="str">
        <f t="shared" si="722"/>
        <v>NO APLICA</v>
      </c>
      <c r="EW215" s="4"/>
      <c r="EX215" s="4"/>
      <c r="EY215" s="4"/>
      <c r="EZ215" s="6"/>
      <c r="FA215" s="5" t="str">
        <f t="shared" si="723"/>
        <v>NO APLICA</v>
      </c>
      <c r="FB215" s="4"/>
      <c r="FC215" s="4"/>
      <c r="FD215" s="4"/>
      <c r="FE215" s="6"/>
      <c r="FF215" s="5" t="str">
        <f t="shared" si="724"/>
        <v>NO APLICA</v>
      </c>
      <c r="FG215" s="4"/>
      <c r="FH215" s="4"/>
      <c r="FI215" s="4"/>
      <c r="FJ215" s="6"/>
      <c r="FK215" s="5" t="str">
        <f t="shared" si="725"/>
        <v>NO APLICA</v>
      </c>
      <c r="FL215" s="4"/>
      <c r="FM215" s="4"/>
      <c r="FN215" s="4"/>
      <c r="FO215" s="6"/>
      <c r="FP215" s="5" t="str">
        <f t="shared" si="726"/>
        <v>NO APLICA</v>
      </c>
      <c r="FQ215" s="4"/>
      <c r="FR215" s="4"/>
      <c r="FS215" s="4"/>
      <c r="FT215" s="6"/>
      <c r="FU215" s="5" t="str">
        <f t="shared" si="727"/>
        <v>NO APLICA</v>
      </c>
      <c r="FV215" s="4"/>
      <c r="FW215" s="4"/>
      <c r="FX215" s="4"/>
      <c r="FY215" s="6"/>
      <c r="FZ215" s="5" t="str">
        <f t="shared" si="728"/>
        <v>NO APLICA</v>
      </c>
      <c r="GA215" s="4"/>
      <c r="GB215" s="4"/>
      <c r="GC215" s="4"/>
      <c r="GD215" s="6"/>
      <c r="GE215" s="5" t="str">
        <f t="shared" si="729"/>
        <v>NO APLICA</v>
      </c>
      <c r="GF215" s="4"/>
      <c r="GG215" s="4"/>
      <c r="GH215" s="4"/>
      <c r="GI215" s="8"/>
      <c r="GJ215" s="5" t="str">
        <f t="shared" si="730"/>
        <v>NO APLICA</v>
      </c>
      <c r="GK215" s="4"/>
      <c r="GL215" s="6"/>
      <c r="GM215" s="6"/>
      <c r="GN215" s="6"/>
      <c r="GO215" s="5" t="str">
        <f t="shared" si="731"/>
        <v>NO APLICA</v>
      </c>
      <c r="GP215" s="4"/>
      <c r="GQ215" s="6"/>
      <c r="GR215" s="6"/>
      <c r="GS215" s="6"/>
      <c r="GT215" s="5" t="str">
        <f t="shared" si="610"/>
        <v>NO APLICA</v>
      </c>
      <c r="GU215" s="4"/>
      <c r="GV215" s="6"/>
      <c r="GW215" s="6"/>
      <c r="GX215" s="6"/>
      <c r="GY215" s="5" t="str">
        <f t="shared" si="611"/>
        <v>NO APLICA</v>
      </c>
      <c r="GZ215" s="6"/>
      <c r="HA215" s="6"/>
      <c r="HB215" s="6"/>
      <c r="HC215" s="6"/>
      <c r="HD215" s="5" t="str">
        <f t="shared" si="612"/>
        <v>NO APLICA</v>
      </c>
      <c r="HE215" s="6"/>
      <c r="HF215" s="6"/>
      <c r="HG215" s="4"/>
      <c r="HH215" s="8"/>
      <c r="HI215" s="5" t="str">
        <f t="shared" si="698"/>
        <v>NO APLICA</v>
      </c>
      <c r="HJ215" s="6"/>
      <c r="HK215" s="6"/>
      <c r="HL215" s="6"/>
      <c r="HM215" s="6"/>
      <c r="HN215" s="5" t="str">
        <f t="shared" si="694"/>
        <v>NO APLICA</v>
      </c>
      <c r="HO215" s="6"/>
      <c r="HP215" s="6"/>
      <c r="HQ215" s="6"/>
      <c r="HR215" s="6"/>
      <c r="HS215" s="5" t="str">
        <f t="shared" si="732"/>
        <v>NO APLICA</v>
      </c>
      <c r="HT215" s="6"/>
      <c r="HU215" s="6"/>
      <c r="HV215" s="6"/>
      <c r="HW215" s="6"/>
      <c r="HX215" s="5" t="str">
        <f t="shared" si="733"/>
        <v>NO APLICA</v>
      </c>
      <c r="HY215" s="6"/>
      <c r="HZ215" s="6"/>
      <c r="IA215" s="6"/>
      <c r="IB215" s="6"/>
      <c r="IC215" s="5" t="str">
        <f t="shared" si="734"/>
        <v>NO APLICA</v>
      </c>
      <c r="ID215" s="6"/>
      <c r="IE215" s="6"/>
      <c r="IF215" s="6"/>
      <c r="IG215" s="6"/>
      <c r="IH215" s="5" t="str">
        <f t="shared" si="735"/>
        <v>NO APLICA</v>
      </c>
      <c r="II215" s="6"/>
      <c r="IJ215" s="6"/>
      <c r="IK215" s="6"/>
      <c r="IL215" s="6"/>
      <c r="IM215" s="5" t="str">
        <f t="shared" si="736"/>
        <v>NO APLICA</v>
      </c>
      <c r="IN215" s="6"/>
      <c r="IO215" s="6"/>
      <c r="IP215" s="6"/>
      <c r="IQ215" s="6"/>
      <c r="IR215" s="5" t="str">
        <f t="shared" si="737"/>
        <v>NO APLICA</v>
      </c>
      <c r="IS215" s="6"/>
      <c r="IT215" s="6"/>
      <c r="IU215" s="6"/>
      <c r="IV215" s="6"/>
      <c r="IW215" s="5" t="str">
        <f t="shared" si="738"/>
        <v>NO APLICA</v>
      </c>
      <c r="IX215" s="6"/>
      <c r="IY215" s="6"/>
      <c r="IZ215" s="6"/>
      <c r="JA215" s="6"/>
      <c r="JB215" s="5" t="str">
        <f t="shared" si="739"/>
        <v>NO APLICA</v>
      </c>
      <c r="JC215" s="3" t="s">
        <v>780</v>
      </c>
      <c r="JD215" s="6"/>
      <c r="JE215" s="6"/>
      <c r="JF215" s="6"/>
      <c r="JG215" s="5"/>
      <c r="JH215" s="3" t="s">
        <v>780</v>
      </c>
      <c r="JI215" s="6"/>
      <c r="JJ215" s="6"/>
      <c r="JK215" s="6"/>
      <c r="JL215" s="5"/>
      <c r="JM215" s="6" t="s">
        <v>780</v>
      </c>
      <c r="JN215" s="6"/>
      <c r="JO215" s="6"/>
      <c r="JP215" s="6"/>
      <c r="JQ215" s="5"/>
      <c r="JR215" s="6" t="s">
        <v>780</v>
      </c>
      <c r="JS215" s="6"/>
      <c r="JT215" s="6"/>
      <c r="JU215" s="6"/>
      <c r="JV215" s="5"/>
      <c r="JW215" s="6" t="s">
        <v>780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40"/>
        <v>NO APLICA</v>
      </c>
      <c r="KG215" s="5"/>
      <c r="KH215" s="6"/>
      <c r="KI215" s="6"/>
      <c r="KJ215" s="6"/>
      <c r="KK215" s="5" t="str">
        <f t="shared" si="760"/>
        <v>NO APLICA</v>
      </c>
      <c r="KL215" s="5"/>
      <c r="KM215" s="6"/>
      <c r="KN215" s="6"/>
      <c r="KO215" s="6"/>
      <c r="KP215" s="5" t="str">
        <f t="shared" si="741"/>
        <v>NO APLICA</v>
      </c>
      <c r="KQ215" s="5"/>
      <c r="KR215" s="6"/>
      <c r="KS215" s="6"/>
      <c r="KT215" s="6"/>
      <c r="KU215" s="5" t="str">
        <f t="shared" si="761"/>
        <v>NO APLICA</v>
      </c>
      <c r="KV215" s="6"/>
      <c r="KW215" s="6"/>
      <c r="KX215" s="6"/>
      <c r="KY215" s="6"/>
      <c r="KZ215" s="5" t="str">
        <f t="shared" si="767"/>
        <v>NO APLICA</v>
      </c>
      <c r="LA215" s="5"/>
      <c r="LB215" s="6"/>
      <c r="LC215" s="6"/>
      <c r="LD215" s="6"/>
      <c r="LE215" s="5" t="str">
        <f t="shared" si="762"/>
        <v>NO APLICA</v>
      </c>
      <c r="LF215" s="6"/>
      <c r="LG215" s="6"/>
      <c r="LH215" s="6"/>
      <c r="LI215" s="6"/>
      <c r="LJ215" s="5" t="str">
        <f t="shared" si="600"/>
        <v>NO APLICA</v>
      </c>
      <c r="LK215" s="5"/>
      <c r="LL215" s="5"/>
      <c r="LM215" s="4"/>
      <c r="LN215" s="8"/>
      <c r="LO215" s="5" t="str">
        <f t="shared" si="768"/>
        <v>NO APLICA</v>
      </c>
      <c r="LP215" s="6"/>
      <c r="LQ215" s="6"/>
      <c r="LR215" s="6"/>
      <c r="LS215" s="6"/>
      <c r="LT215" s="5" t="str">
        <f t="shared" si="763"/>
        <v>NO APLICA</v>
      </c>
      <c r="LU215" s="6"/>
      <c r="LV215" s="6"/>
      <c r="LW215" s="6"/>
      <c r="LX215" s="6"/>
      <c r="LY215" s="5" t="str">
        <f t="shared" si="764"/>
        <v>NO APLICA</v>
      </c>
      <c r="LZ215" s="6"/>
      <c r="MA215" s="6"/>
      <c r="MB215" s="6"/>
      <c r="MC215" s="6"/>
      <c r="MD215" s="5" t="str">
        <f t="shared" si="765"/>
        <v>NO APLICA</v>
      </c>
      <c r="ME215" s="6"/>
      <c r="MF215" s="6"/>
      <c r="MG215" s="6"/>
      <c r="MH215" s="6"/>
      <c r="MI215" s="5" t="str">
        <f t="shared" si="742"/>
        <v>NO APLICA</v>
      </c>
      <c r="MJ215" s="6"/>
      <c r="MK215" s="6"/>
      <c r="ML215" s="6"/>
      <c r="MM215" s="6"/>
      <c r="MN215" s="5" t="str">
        <f t="shared" si="743"/>
        <v>NO APLICA</v>
      </c>
      <c r="MO215" s="5"/>
      <c r="MP215" s="6"/>
      <c r="MQ215" s="6"/>
      <c r="MR215" s="6"/>
      <c r="MS215" s="5" t="str">
        <f t="shared" si="744"/>
        <v>NO APLICA</v>
      </c>
      <c r="MT215" s="5"/>
      <c r="MU215" s="6"/>
      <c r="MV215" s="6"/>
      <c r="MW215" s="6"/>
      <c r="MX215" s="5" t="str">
        <f t="shared" si="745"/>
        <v>NO APLICA</v>
      </c>
      <c r="MY215" s="6"/>
      <c r="MZ215" s="6"/>
      <c r="NA215" s="6"/>
      <c r="NB215" s="6"/>
      <c r="NC215" s="5" t="str">
        <f t="shared" si="746"/>
        <v>NO APLICA</v>
      </c>
      <c r="ND215" s="6"/>
      <c r="NE215" s="6"/>
      <c r="NF215" s="6"/>
      <c r="NG215" s="6"/>
      <c r="NH215" s="5" t="str">
        <f t="shared" si="747"/>
        <v>NO APLICA</v>
      </c>
      <c r="NI215" s="6"/>
      <c r="NJ215" s="6"/>
      <c r="NK215" s="6"/>
      <c r="NL215" s="6"/>
      <c r="NM215" s="5" t="str">
        <f t="shared" si="748"/>
        <v>NO APLICA</v>
      </c>
      <c r="NN215" s="6"/>
      <c r="NO215" s="6"/>
      <c r="NP215" s="6"/>
      <c r="NQ215" s="6"/>
      <c r="NR215" s="5" t="str">
        <f t="shared" si="749"/>
        <v>NO APLICA</v>
      </c>
      <c r="NS215" s="6"/>
      <c r="NT215" s="6"/>
      <c r="NU215" s="6"/>
      <c r="NV215" s="6"/>
      <c r="NW215" s="5" t="str">
        <f t="shared" si="750"/>
        <v>NO APLICA</v>
      </c>
      <c r="NX215" s="6"/>
      <c r="NY215" s="6"/>
      <c r="NZ215" s="6"/>
      <c r="OA215" s="6"/>
      <c r="OB215" s="5" t="str">
        <f t="shared" si="751"/>
        <v>NO APLICA</v>
      </c>
      <c r="OC215" s="6"/>
      <c r="OD215" s="6"/>
      <c r="OE215" s="6"/>
      <c r="OF215" s="6"/>
      <c r="OG215" s="5" t="str">
        <f t="shared" si="752"/>
        <v>NO APLICA</v>
      </c>
      <c r="OH215" s="6"/>
      <c r="OI215" s="6"/>
      <c r="OJ215" s="6"/>
      <c r="OK215" s="6"/>
      <c r="OL215" s="5" t="str">
        <f t="shared" si="753"/>
        <v>NO APLICA</v>
      </c>
      <c r="OM215" s="6"/>
      <c r="ON215" s="6"/>
      <c r="OO215" s="6"/>
      <c r="OP215" s="6"/>
      <c r="OQ215" s="5" t="str">
        <f t="shared" si="754"/>
        <v>NO APLICA</v>
      </c>
      <c r="OR215" s="6"/>
      <c r="OS215" s="6"/>
      <c r="OT215" s="6"/>
      <c r="OU215" s="6"/>
      <c r="OV215" s="5" t="str">
        <f t="shared" si="755"/>
        <v>NO APLICA</v>
      </c>
      <c r="OW215" s="6"/>
      <c r="OX215" s="6"/>
      <c r="OY215" s="6"/>
      <c r="OZ215" s="6"/>
      <c r="PA215" s="5" t="str">
        <f t="shared" si="769"/>
        <v>NO APLICA</v>
      </c>
      <c r="PB215" s="6"/>
      <c r="PC215" s="6"/>
      <c r="PD215" s="6"/>
      <c r="PE215" s="6"/>
      <c r="PF215" s="5" t="str">
        <f t="shared" si="756"/>
        <v>NO APLICA</v>
      </c>
      <c r="PG215" s="6"/>
      <c r="PH215" s="6"/>
      <c r="PI215" s="6"/>
      <c r="PJ215" s="6"/>
      <c r="PK215" s="5" t="str">
        <f t="shared" si="757"/>
        <v>NO APLICA</v>
      </c>
      <c r="PL215" s="5"/>
      <c r="PM215" s="6"/>
      <c r="PN215" s="6"/>
      <c r="PO215" s="6"/>
      <c r="PP215" s="5" t="str">
        <f t="shared" si="766"/>
        <v>NO APLICA</v>
      </c>
      <c r="PQ215" s="6"/>
      <c r="PR215" s="6"/>
      <c r="PS215" s="6"/>
      <c r="PT215" s="6"/>
      <c r="PU215" s="5" t="str">
        <f t="shared" si="758"/>
        <v>NO APLICA</v>
      </c>
      <c r="PV215" s="5"/>
      <c r="PW215" s="6"/>
      <c r="PX215" s="6"/>
      <c r="PY215" s="6"/>
      <c r="PZ215" s="5" t="str">
        <f t="shared" si="759"/>
        <v>NO APLICA</v>
      </c>
    </row>
    <row r="216" spans="1:442" ht="15.6" hidden="1" thickTop="1" thickBot="1" x14ac:dyDescent="0.35">
      <c r="A216" s="26">
        <v>213</v>
      </c>
      <c r="B216" s="31">
        <v>1563</v>
      </c>
      <c r="C216" s="28" t="s">
        <v>653</v>
      </c>
      <c r="D216" s="29" t="s">
        <v>113</v>
      </c>
      <c r="E216" s="30" t="s">
        <v>643</v>
      </c>
      <c r="F216" s="6"/>
      <c r="G216" s="6"/>
      <c r="H216" s="6"/>
      <c r="I216" s="6"/>
      <c r="J216" s="5" t="str">
        <f t="shared" si="696"/>
        <v>NO APLICA</v>
      </c>
      <c r="K216" s="6"/>
      <c r="L216" s="6"/>
      <c r="M216" s="6"/>
      <c r="N216" s="6"/>
      <c r="O216" s="5" t="str">
        <f t="shared" si="699"/>
        <v>NO APLICA</v>
      </c>
      <c r="P216" s="6"/>
      <c r="Q216" s="6"/>
      <c r="R216" s="6"/>
      <c r="S216" s="6"/>
      <c r="T216" s="5" t="str">
        <f t="shared" si="697"/>
        <v>NO APLICA</v>
      </c>
      <c r="U216" s="5"/>
      <c r="V216" s="6"/>
      <c r="W216" s="4"/>
      <c r="X216" s="4"/>
      <c r="Y216" s="8"/>
      <c r="Z216" s="5" t="str">
        <f t="shared" si="605"/>
        <v>NO APLICA</v>
      </c>
      <c r="AA216" s="5"/>
      <c r="AB216" s="6"/>
      <c r="AC216" s="6"/>
      <c r="AD216" s="6"/>
      <c r="AE216" s="6"/>
      <c r="AF216" s="5" t="str">
        <f t="shared" si="700"/>
        <v>NO APLICA</v>
      </c>
      <c r="AG216" s="4"/>
      <c r="AH216" s="4"/>
      <c r="AI216" s="4"/>
      <c r="AJ216" s="6"/>
      <c r="AK216" s="5" t="str">
        <f t="shared" si="602"/>
        <v>NO APLICA</v>
      </c>
      <c r="AL216" s="4"/>
      <c r="AM216" s="4"/>
      <c r="AN216" s="4"/>
      <c r="AO216" s="6"/>
      <c r="AP216" s="5" t="str">
        <f t="shared" si="701"/>
        <v>NO APLICA</v>
      </c>
      <c r="AQ216" s="4"/>
      <c r="AR216" s="4"/>
      <c r="AS216" s="4"/>
      <c r="AT216" s="6"/>
      <c r="AU216" s="5" t="str">
        <f t="shared" si="702"/>
        <v>NO APLICA</v>
      </c>
      <c r="AV216" s="4"/>
      <c r="AW216" s="4"/>
      <c r="AX216" s="4"/>
      <c r="AY216" s="6"/>
      <c r="AZ216" s="5" t="str">
        <f t="shared" si="703"/>
        <v>NO APLICA</v>
      </c>
      <c r="BA216" s="4"/>
      <c r="BB216" s="4"/>
      <c r="BC216" s="4"/>
      <c r="BD216" s="6"/>
      <c r="BE216" s="5" t="str">
        <f t="shared" si="704"/>
        <v>NO APLICA</v>
      </c>
      <c r="BF216" s="4"/>
      <c r="BG216" s="4"/>
      <c r="BH216" s="4"/>
      <c r="BI216" s="6"/>
      <c r="BJ216" s="5" t="str">
        <f t="shared" si="705"/>
        <v>NO APLICA</v>
      </c>
      <c r="BK216" s="4"/>
      <c r="BL216" s="4"/>
      <c r="BM216" s="4"/>
      <c r="BN216" s="6"/>
      <c r="BO216" s="5" t="str">
        <f t="shared" si="706"/>
        <v>NO APLICA</v>
      </c>
      <c r="BP216" s="4"/>
      <c r="BQ216" s="4"/>
      <c r="BR216" s="4"/>
      <c r="BS216" s="6"/>
      <c r="BT216" s="5" t="str">
        <f t="shared" si="707"/>
        <v>NO APLICA</v>
      </c>
      <c r="BU216" s="4"/>
      <c r="BV216" s="4"/>
      <c r="BW216" s="4"/>
      <c r="BX216" s="6"/>
      <c r="BY216" s="5" t="str">
        <f t="shared" si="708"/>
        <v>NO APLICA</v>
      </c>
      <c r="BZ216" s="4"/>
      <c r="CA216" s="4"/>
      <c r="CB216" s="4"/>
      <c r="CC216" s="6"/>
      <c r="CD216" s="5" t="str">
        <f t="shared" si="709"/>
        <v>NO APLICA</v>
      </c>
      <c r="CE216" s="6"/>
      <c r="CF216" s="6"/>
      <c r="CG216" s="6"/>
      <c r="CH216" s="6"/>
      <c r="CI216" s="5" t="str">
        <f t="shared" si="770"/>
        <v>NO APLICA</v>
      </c>
      <c r="CJ216" s="4"/>
      <c r="CK216" s="4"/>
      <c r="CL216" s="4"/>
      <c r="CM216" s="6"/>
      <c r="CN216" s="5" t="str">
        <f t="shared" si="710"/>
        <v>NO APLICA</v>
      </c>
      <c r="CO216" s="4"/>
      <c r="CP216" s="4"/>
      <c r="CQ216" s="4"/>
      <c r="CR216" s="6"/>
      <c r="CS216" s="5" t="str">
        <f t="shared" si="711"/>
        <v>NO APLICA</v>
      </c>
      <c r="CT216" s="4"/>
      <c r="CU216" s="4"/>
      <c r="CV216" s="4"/>
      <c r="CW216" s="6"/>
      <c r="CX216" s="5" t="str">
        <f t="shared" si="712"/>
        <v>NO APLICA</v>
      </c>
      <c r="CY216" s="4"/>
      <c r="CZ216" s="4"/>
      <c r="DA216" s="4"/>
      <c r="DB216" s="6"/>
      <c r="DC216" s="5" t="str">
        <f t="shared" si="713"/>
        <v>NO APLICA</v>
      </c>
      <c r="DD216" s="4"/>
      <c r="DE216" s="4"/>
      <c r="DF216" s="4"/>
      <c r="DG216" s="6"/>
      <c r="DH216" s="5" t="str">
        <f t="shared" si="714"/>
        <v>NO APLICA</v>
      </c>
      <c r="DI216" s="4"/>
      <c r="DJ216" s="4"/>
      <c r="DK216" s="4"/>
      <c r="DL216" s="6"/>
      <c r="DM216" s="5" t="str">
        <f t="shared" si="715"/>
        <v>NO APLICA</v>
      </c>
      <c r="DN216" s="4"/>
      <c r="DO216" s="4"/>
      <c r="DP216" s="4"/>
      <c r="DQ216" s="6"/>
      <c r="DR216" s="5" t="str">
        <f t="shared" si="716"/>
        <v>NO APLICA</v>
      </c>
      <c r="DS216" s="4"/>
      <c r="DT216" s="4"/>
      <c r="DU216" s="4"/>
      <c r="DV216" s="6"/>
      <c r="DW216" s="5" t="str">
        <f t="shared" si="717"/>
        <v>NO APLICA</v>
      </c>
      <c r="DX216" s="4"/>
      <c r="DY216" s="4"/>
      <c r="DZ216" s="4"/>
      <c r="EA216" s="6"/>
      <c r="EB216" s="5" t="str">
        <f t="shared" si="718"/>
        <v>NO APLICA</v>
      </c>
      <c r="EC216" s="4"/>
      <c r="ED216" s="4"/>
      <c r="EE216" s="4"/>
      <c r="EF216" s="6"/>
      <c r="EG216" s="5" t="str">
        <f t="shared" si="719"/>
        <v>NO APLICA</v>
      </c>
      <c r="EH216" s="4"/>
      <c r="EI216" s="4"/>
      <c r="EJ216" s="4"/>
      <c r="EK216" s="8"/>
      <c r="EL216" s="5" t="str">
        <f t="shared" si="720"/>
        <v>NO APLICA</v>
      </c>
      <c r="EM216" s="4"/>
      <c r="EN216" s="4"/>
      <c r="EO216" s="4"/>
      <c r="EP216" s="8"/>
      <c r="EQ216" s="5" t="str">
        <f t="shared" si="721"/>
        <v>NO APLICA</v>
      </c>
      <c r="ER216" s="4"/>
      <c r="ES216" s="4"/>
      <c r="ET216" s="4"/>
      <c r="EU216" s="8"/>
      <c r="EV216" s="5" t="str">
        <f t="shared" si="722"/>
        <v>NO APLICA</v>
      </c>
      <c r="EW216" s="4"/>
      <c r="EX216" s="4"/>
      <c r="EY216" s="4"/>
      <c r="EZ216" s="6"/>
      <c r="FA216" s="5" t="str">
        <f t="shared" si="723"/>
        <v>NO APLICA</v>
      </c>
      <c r="FB216" s="4"/>
      <c r="FC216" s="4"/>
      <c r="FD216" s="4"/>
      <c r="FE216" s="6"/>
      <c r="FF216" s="5" t="str">
        <f t="shared" si="724"/>
        <v>NO APLICA</v>
      </c>
      <c r="FG216" s="4"/>
      <c r="FH216" s="4"/>
      <c r="FI216" s="4"/>
      <c r="FJ216" s="6"/>
      <c r="FK216" s="5" t="str">
        <f t="shared" si="725"/>
        <v>NO APLICA</v>
      </c>
      <c r="FL216" s="4"/>
      <c r="FM216" s="4"/>
      <c r="FN216" s="4"/>
      <c r="FO216" s="6"/>
      <c r="FP216" s="5" t="str">
        <f t="shared" si="726"/>
        <v>NO APLICA</v>
      </c>
      <c r="FQ216" s="4"/>
      <c r="FR216" s="4"/>
      <c r="FS216" s="4"/>
      <c r="FT216" s="6"/>
      <c r="FU216" s="5" t="str">
        <f t="shared" si="727"/>
        <v>NO APLICA</v>
      </c>
      <c r="FV216" s="4"/>
      <c r="FW216" s="4"/>
      <c r="FX216" s="4"/>
      <c r="FY216" s="6"/>
      <c r="FZ216" s="5" t="str">
        <f t="shared" si="728"/>
        <v>NO APLICA</v>
      </c>
      <c r="GA216" s="4"/>
      <c r="GB216" s="4"/>
      <c r="GC216" s="4"/>
      <c r="GD216" s="6"/>
      <c r="GE216" s="5" t="str">
        <f t="shared" si="729"/>
        <v>NO APLICA</v>
      </c>
      <c r="GF216" s="4"/>
      <c r="GG216" s="4"/>
      <c r="GH216" s="4"/>
      <c r="GI216" s="8"/>
      <c r="GJ216" s="5" t="str">
        <f t="shared" si="730"/>
        <v>NO APLICA</v>
      </c>
      <c r="GK216" s="4"/>
      <c r="GL216" s="6"/>
      <c r="GM216" s="6"/>
      <c r="GN216" s="6"/>
      <c r="GO216" s="5" t="str">
        <f t="shared" si="731"/>
        <v>NO APLICA</v>
      </c>
      <c r="GP216" s="4"/>
      <c r="GQ216" s="6"/>
      <c r="GR216" s="6"/>
      <c r="GS216" s="6"/>
      <c r="GT216" s="5" t="str">
        <f t="shared" si="610"/>
        <v>NO APLICA</v>
      </c>
      <c r="GU216" s="4"/>
      <c r="GV216" s="6"/>
      <c r="GW216" s="6"/>
      <c r="GX216" s="6"/>
      <c r="GY216" s="5" t="str">
        <f t="shared" si="611"/>
        <v>NO APLICA</v>
      </c>
      <c r="GZ216" s="6"/>
      <c r="HA216" s="6"/>
      <c r="HB216" s="6"/>
      <c r="HC216" s="6"/>
      <c r="HD216" s="5" t="str">
        <f t="shared" si="612"/>
        <v>NO APLICA</v>
      </c>
      <c r="HE216" s="6"/>
      <c r="HF216" s="6"/>
      <c r="HG216" s="4"/>
      <c r="HH216" s="8"/>
      <c r="HI216" s="5" t="str">
        <f t="shared" si="698"/>
        <v>NO APLICA</v>
      </c>
      <c r="HJ216" s="6"/>
      <c r="HK216" s="6"/>
      <c r="HL216" s="6"/>
      <c r="HM216" s="6"/>
      <c r="HN216" s="5" t="str">
        <f t="shared" si="694"/>
        <v>NO APLICA</v>
      </c>
      <c r="HO216" s="6"/>
      <c r="HP216" s="6"/>
      <c r="HQ216" s="6"/>
      <c r="HR216" s="6"/>
      <c r="HS216" s="5" t="str">
        <f t="shared" si="732"/>
        <v>NO APLICA</v>
      </c>
      <c r="HT216" s="6"/>
      <c r="HU216" s="6"/>
      <c r="HV216" s="6"/>
      <c r="HW216" s="6"/>
      <c r="HX216" s="5" t="str">
        <f t="shared" si="733"/>
        <v>NO APLICA</v>
      </c>
      <c r="HY216" s="6"/>
      <c r="HZ216" s="6"/>
      <c r="IA216" s="6"/>
      <c r="IB216" s="6"/>
      <c r="IC216" s="5" t="str">
        <f t="shared" si="734"/>
        <v>NO APLICA</v>
      </c>
      <c r="ID216" s="6"/>
      <c r="IE216" s="6"/>
      <c r="IF216" s="6"/>
      <c r="IG216" s="6"/>
      <c r="IH216" s="5" t="str">
        <f t="shared" si="735"/>
        <v>NO APLICA</v>
      </c>
      <c r="II216" s="6"/>
      <c r="IJ216" s="6"/>
      <c r="IK216" s="6"/>
      <c r="IL216" s="6"/>
      <c r="IM216" s="5" t="str">
        <f t="shared" si="736"/>
        <v>NO APLICA</v>
      </c>
      <c r="IN216" s="6"/>
      <c r="IO216" s="6"/>
      <c r="IP216" s="6"/>
      <c r="IQ216" s="6"/>
      <c r="IR216" s="5" t="str">
        <f t="shared" si="737"/>
        <v>NO APLICA</v>
      </c>
      <c r="IS216" s="6"/>
      <c r="IT216" s="6"/>
      <c r="IU216" s="6"/>
      <c r="IV216" s="6"/>
      <c r="IW216" s="5" t="str">
        <f t="shared" si="738"/>
        <v>NO APLICA</v>
      </c>
      <c r="IX216" s="6"/>
      <c r="IY216" s="6"/>
      <c r="IZ216" s="6"/>
      <c r="JA216" s="6"/>
      <c r="JB216" s="5" t="str">
        <f t="shared" si="739"/>
        <v>NO APLICA</v>
      </c>
      <c r="JC216" s="3" t="s">
        <v>780</v>
      </c>
      <c r="JD216" s="6"/>
      <c r="JE216" s="6"/>
      <c r="JF216" s="6"/>
      <c r="JG216" s="5"/>
      <c r="JH216" s="3" t="s">
        <v>780</v>
      </c>
      <c r="JI216" s="6"/>
      <c r="JJ216" s="6"/>
      <c r="JK216" s="6"/>
      <c r="JL216" s="5"/>
      <c r="JM216" s="6" t="s">
        <v>780</v>
      </c>
      <c r="JN216" s="6"/>
      <c r="JO216" s="6"/>
      <c r="JP216" s="6"/>
      <c r="JQ216" s="5"/>
      <c r="JR216" s="6" t="s">
        <v>780</v>
      </c>
      <c r="JS216" s="6"/>
      <c r="JT216" s="6"/>
      <c r="JU216" s="6"/>
      <c r="JV216" s="5"/>
      <c r="JW216" s="6" t="s">
        <v>780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40"/>
        <v>NO APLICA</v>
      </c>
      <c r="KG216" s="5"/>
      <c r="KH216" s="6"/>
      <c r="KI216" s="6"/>
      <c r="KJ216" s="6"/>
      <c r="KK216" s="5" t="str">
        <f t="shared" si="760"/>
        <v>NO APLICA</v>
      </c>
      <c r="KL216" s="5"/>
      <c r="KM216" s="6"/>
      <c r="KN216" s="6"/>
      <c r="KO216" s="6"/>
      <c r="KP216" s="5" t="str">
        <f t="shared" si="741"/>
        <v>NO APLICA</v>
      </c>
      <c r="KQ216" s="5"/>
      <c r="KR216" s="6"/>
      <c r="KS216" s="6"/>
      <c r="KT216" s="6"/>
      <c r="KU216" s="5" t="str">
        <f t="shared" si="761"/>
        <v>NO APLICA</v>
      </c>
      <c r="KV216" s="6"/>
      <c r="KW216" s="6"/>
      <c r="KX216" s="6"/>
      <c r="KY216" s="6"/>
      <c r="KZ216" s="5" t="str">
        <f t="shared" si="767"/>
        <v>NO APLICA</v>
      </c>
      <c r="LA216" s="5"/>
      <c r="LB216" s="6"/>
      <c r="LC216" s="6"/>
      <c r="LD216" s="6"/>
      <c r="LE216" s="5" t="str">
        <f t="shared" si="762"/>
        <v>NO APLICA</v>
      </c>
      <c r="LF216" s="6"/>
      <c r="LG216" s="6"/>
      <c r="LH216" s="6"/>
      <c r="LI216" s="6"/>
      <c r="LJ216" s="5" t="str">
        <f t="shared" si="600"/>
        <v>NO APLICA</v>
      </c>
      <c r="LK216" s="5"/>
      <c r="LL216" s="5"/>
      <c r="LM216" s="4"/>
      <c r="LN216" s="8"/>
      <c r="LO216" s="5" t="str">
        <f t="shared" si="768"/>
        <v>NO APLICA</v>
      </c>
      <c r="LP216" s="6"/>
      <c r="LQ216" s="6"/>
      <c r="LR216" s="6"/>
      <c r="LS216" s="6"/>
      <c r="LT216" s="5" t="str">
        <f t="shared" si="763"/>
        <v>NO APLICA</v>
      </c>
      <c r="LU216" s="6"/>
      <c r="LV216" s="6"/>
      <c r="LW216" s="6"/>
      <c r="LX216" s="6"/>
      <c r="LY216" s="5" t="str">
        <f t="shared" si="764"/>
        <v>NO APLICA</v>
      </c>
      <c r="LZ216" s="6"/>
      <c r="MA216" s="6"/>
      <c r="MB216" s="6"/>
      <c r="MC216" s="6"/>
      <c r="MD216" s="5" t="str">
        <f t="shared" si="765"/>
        <v>NO APLICA</v>
      </c>
      <c r="ME216" s="6"/>
      <c r="MF216" s="6"/>
      <c r="MG216" s="6"/>
      <c r="MH216" s="6"/>
      <c r="MI216" s="5" t="str">
        <f t="shared" si="742"/>
        <v>NO APLICA</v>
      </c>
      <c r="MJ216" s="6"/>
      <c r="MK216" s="6"/>
      <c r="ML216" s="6"/>
      <c r="MM216" s="6"/>
      <c r="MN216" s="5" t="str">
        <f t="shared" si="743"/>
        <v>NO APLICA</v>
      </c>
      <c r="MO216" s="5"/>
      <c r="MP216" s="6"/>
      <c r="MQ216" s="6"/>
      <c r="MR216" s="6"/>
      <c r="MS216" s="5" t="str">
        <f t="shared" si="744"/>
        <v>NO APLICA</v>
      </c>
      <c r="MT216" s="5"/>
      <c r="MU216" s="6"/>
      <c r="MV216" s="6"/>
      <c r="MW216" s="6"/>
      <c r="MX216" s="5" t="str">
        <f t="shared" si="745"/>
        <v>NO APLICA</v>
      </c>
      <c r="MY216" s="6"/>
      <c r="MZ216" s="6"/>
      <c r="NA216" s="6"/>
      <c r="NB216" s="6"/>
      <c r="NC216" s="5" t="str">
        <f t="shared" si="746"/>
        <v>NO APLICA</v>
      </c>
      <c r="ND216" s="6"/>
      <c r="NE216" s="6"/>
      <c r="NF216" s="6"/>
      <c r="NG216" s="6"/>
      <c r="NH216" s="5" t="str">
        <f t="shared" si="747"/>
        <v>NO APLICA</v>
      </c>
      <c r="NI216" s="6"/>
      <c r="NJ216" s="6"/>
      <c r="NK216" s="6"/>
      <c r="NL216" s="6"/>
      <c r="NM216" s="5" t="str">
        <f t="shared" si="748"/>
        <v>NO APLICA</v>
      </c>
      <c r="NN216" s="6"/>
      <c r="NO216" s="6"/>
      <c r="NP216" s="6"/>
      <c r="NQ216" s="6"/>
      <c r="NR216" s="5" t="str">
        <f t="shared" si="749"/>
        <v>NO APLICA</v>
      </c>
      <c r="NS216" s="6"/>
      <c r="NT216" s="6"/>
      <c r="NU216" s="6"/>
      <c r="NV216" s="6"/>
      <c r="NW216" s="5" t="str">
        <f t="shared" si="750"/>
        <v>NO APLICA</v>
      </c>
      <c r="NX216" s="6"/>
      <c r="NY216" s="6"/>
      <c r="NZ216" s="6"/>
      <c r="OA216" s="6"/>
      <c r="OB216" s="5" t="str">
        <f t="shared" si="751"/>
        <v>NO APLICA</v>
      </c>
      <c r="OC216" s="6"/>
      <c r="OD216" s="6"/>
      <c r="OE216" s="6"/>
      <c r="OF216" s="6"/>
      <c r="OG216" s="5" t="str">
        <f t="shared" si="752"/>
        <v>NO APLICA</v>
      </c>
      <c r="OH216" s="6"/>
      <c r="OI216" s="6"/>
      <c r="OJ216" s="6"/>
      <c r="OK216" s="6"/>
      <c r="OL216" s="5" t="str">
        <f t="shared" si="753"/>
        <v>NO APLICA</v>
      </c>
      <c r="OM216" s="6"/>
      <c r="ON216" s="6"/>
      <c r="OO216" s="6"/>
      <c r="OP216" s="6"/>
      <c r="OQ216" s="5" t="str">
        <f t="shared" si="754"/>
        <v>NO APLICA</v>
      </c>
      <c r="OR216" s="6"/>
      <c r="OS216" s="6"/>
      <c r="OT216" s="6"/>
      <c r="OU216" s="6"/>
      <c r="OV216" s="5" t="str">
        <f t="shared" si="755"/>
        <v>NO APLICA</v>
      </c>
      <c r="OW216" s="6"/>
      <c r="OX216" s="6"/>
      <c r="OY216" s="6"/>
      <c r="OZ216" s="6"/>
      <c r="PA216" s="5" t="str">
        <f t="shared" si="769"/>
        <v>NO APLICA</v>
      </c>
      <c r="PB216" s="6"/>
      <c r="PC216" s="6"/>
      <c r="PD216" s="6"/>
      <c r="PE216" s="6"/>
      <c r="PF216" s="5" t="str">
        <f t="shared" si="756"/>
        <v>NO APLICA</v>
      </c>
      <c r="PG216" s="6"/>
      <c r="PH216" s="6"/>
      <c r="PI216" s="6"/>
      <c r="PJ216" s="6"/>
      <c r="PK216" s="5" t="str">
        <f t="shared" si="757"/>
        <v>NO APLICA</v>
      </c>
      <c r="PL216" s="5"/>
      <c r="PM216" s="6"/>
      <c r="PN216" s="6"/>
      <c r="PO216" s="6"/>
      <c r="PP216" s="5" t="str">
        <f t="shared" si="766"/>
        <v>NO APLICA</v>
      </c>
      <c r="PQ216" s="6"/>
      <c r="PR216" s="6"/>
      <c r="PS216" s="6"/>
      <c r="PT216" s="6"/>
      <c r="PU216" s="5" t="str">
        <f t="shared" si="758"/>
        <v>NO APLICA</v>
      </c>
      <c r="PV216" s="5"/>
      <c r="PW216" s="6"/>
      <c r="PX216" s="6"/>
      <c r="PY216" s="6"/>
      <c r="PZ216" s="5" t="str">
        <f t="shared" si="759"/>
        <v>NO APLICA</v>
      </c>
    </row>
    <row r="217" spans="1:442" ht="15.6" hidden="1" thickTop="1" thickBot="1" x14ac:dyDescent="0.35">
      <c r="A217" s="26">
        <v>214</v>
      </c>
      <c r="B217" s="31">
        <v>610</v>
      </c>
      <c r="C217" s="28" t="s">
        <v>654</v>
      </c>
      <c r="D217" s="29" t="s">
        <v>633</v>
      </c>
      <c r="E217" s="30" t="s">
        <v>655</v>
      </c>
      <c r="F217" s="6"/>
      <c r="G217" s="6"/>
      <c r="H217" s="6"/>
      <c r="I217" s="6"/>
      <c r="J217" s="5" t="str">
        <f t="shared" si="696"/>
        <v>NO APLICA</v>
      </c>
      <c r="K217" s="6"/>
      <c r="L217" s="6"/>
      <c r="M217" s="6"/>
      <c r="N217" s="6"/>
      <c r="O217" s="5" t="str">
        <f t="shared" si="699"/>
        <v>NO APLICA</v>
      </c>
      <c r="P217" s="6"/>
      <c r="Q217" s="6"/>
      <c r="R217" s="6"/>
      <c r="S217" s="6"/>
      <c r="T217" s="5" t="str">
        <f t="shared" si="697"/>
        <v>NO APLICA</v>
      </c>
      <c r="U217" s="5"/>
      <c r="V217" s="6"/>
      <c r="W217" s="4"/>
      <c r="X217" s="4"/>
      <c r="Y217" s="8"/>
      <c r="Z217" s="5" t="str">
        <f t="shared" si="605"/>
        <v>NO APLICA</v>
      </c>
      <c r="AA217" s="5"/>
      <c r="AB217" s="6"/>
      <c r="AC217" s="6"/>
      <c r="AD217" s="6"/>
      <c r="AE217" s="6"/>
      <c r="AF217" s="5" t="str">
        <f t="shared" si="700"/>
        <v>NO APLICA</v>
      </c>
      <c r="AG217" s="4"/>
      <c r="AH217" s="4"/>
      <c r="AI217" s="4"/>
      <c r="AJ217" s="6"/>
      <c r="AK217" s="5" t="str">
        <f t="shared" si="602"/>
        <v>NO APLICA</v>
      </c>
      <c r="AL217" s="4"/>
      <c r="AM217" s="4"/>
      <c r="AN217" s="4"/>
      <c r="AO217" s="6"/>
      <c r="AP217" s="5" t="str">
        <f t="shared" si="701"/>
        <v>NO APLICA</v>
      </c>
      <c r="AQ217" s="4"/>
      <c r="AR217" s="4"/>
      <c r="AS217" s="4"/>
      <c r="AT217" s="6"/>
      <c r="AU217" s="5" t="str">
        <f t="shared" si="702"/>
        <v>NO APLICA</v>
      </c>
      <c r="AV217" s="4"/>
      <c r="AW217" s="4"/>
      <c r="AX217" s="4"/>
      <c r="AY217" s="6"/>
      <c r="AZ217" s="5" t="str">
        <f t="shared" si="703"/>
        <v>NO APLICA</v>
      </c>
      <c r="BA217" s="4"/>
      <c r="BB217" s="4"/>
      <c r="BC217" s="4"/>
      <c r="BD217" s="6"/>
      <c r="BE217" s="5" t="str">
        <f t="shared" si="704"/>
        <v>NO APLICA</v>
      </c>
      <c r="BF217" s="4"/>
      <c r="BG217" s="4"/>
      <c r="BH217" s="4"/>
      <c r="BI217" s="6"/>
      <c r="BJ217" s="5" t="str">
        <f t="shared" si="705"/>
        <v>NO APLICA</v>
      </c>
      <c r="BK217" s="4"/>
      <c r="BL217" s="4"/>
      <c r="BM217" s="4"/>
      <c r="BN217" s="6"/>
      <c r="BO217" s="5" t="str">
        <f t="shared" si="706"/>
        <v>NO APLICA</v>
      </c>
      <c r="BP217" s="4"/>
      <c r="BQ217" s="4"/>
      <c r="BR217" s="4"/>
      <c r="BS217" s="6"/>
      <c r="BT217" s="5" t="str">
        <f t="shared" si="707"/>
        <v>NO APLICA</v>
      </c>
      <c r="BU217" s="4"/>
      <c r="BV217" s="4"/>
      <c r="BW217" s="4"/>
      <c r="BX217" s="6"/>
      <c r="BY217" s="5" t="str">
        <f t="shared" si="708"/>
        <v>NO APLICA</v>
      </c>
      <c r="BZ217" s="4"/>
      <c r="CA217" s="4"/>
      <c r="CB217" s="4"/>
      <c r="CC217" s="6"/>
      <c r="CD217" s="5" t="str">
        <f t="shared" si="709"/>
        <v>NO APLICA</v>
      </c>
      <c r="CE217" s="6"/>
      <c r="CF217" s="6"/>
      <c r="CG217" s="6"/>
      <c r="CH217" s="6"/>
      <c r="CI217" s="5" t="str">
        <f t="shared" si="770"/>
        <v>NO APLICA</v>
      </c>
      <c r="CJ217" s="4"/>
      <c r="CK217" s="4"/>
      <c r="CL217" s="4"/>
      <c r="CM217" s="6"/>
      <c r="CN217" s="5" t="str">
        <f t="shared" si="710"/>
        <v>NO APLICA</v>
      </c>
      <c r="CO217" s="4"/>
      <c r="CP217" s="4"/>
      <c r="CQ217" s="4"/>
      <c r="CR217" s="6"/>
      <c r="CS217" s="5" t="str">
        <f t="shared" si="711"/>
        <v>NO APLICA</v>
      </c>
      <c r="CT217" s="4"/>
      <c r="CU217" s="4"/>
      <c r="CV217" s="4"/>
      <c r="CW217" s="6"/>
      <c r="CX217" s="5" t="str">
        <f t="shared" si="712"/>
        <v>NO APLICA</v>
      </c>
      <c r="CY217" s="4"/>
      <c r="CZ217" s="4"/>
      <c r="DA217" s="4"/>
      <c r="DB217" s="6"/>
      <c r="DC217" s="5" t="str">
        <f t="shared" si="713"/>
        <v>NO APLICA</v>
      </c>
      <c r="DD217" s="4"/>
      <c r="DE217" s="4"/>
      <c r="DF217" s="4"/>
      <c r="DG217" s="6"/>
      <c r="DH217" s="5" t="str">
        <f t="shared" si="714"/>
        <v>NO APLICA</v>
      </c>
      <c r="DI217" s="4"/>
      <c r="DJ217" s="4"/>
      <c r="DK217" s="4"/>
      <c r="DL217" s="6"/>
      <c r="DM217" s="5" t="str">
        <f t="shared" si="715"/>
        <v>NO APLICA</v>
      </c>
      <c r="DN217" s="4"/>
      <c r="DO217" s="4"/>
      <c r="DP217" s="4"/>
      <c r="DQ217" s="6"/>
      <c r="DR217" s="5" t="str">
        <f t="shared" si="716"/>
        <v>NO APLICA</v>
      </c>
      <c r="DS217" s="4"/>
      <c r="DT217" s="4"/>
      <c r="DU217" s="4"/>
      <c r="DV217" s="6"/>
      <c r="DW217" s="5" t="str">
        <f t="shared" si="717"/>
        <v>NO APLICA</v>
      </c>
      <c r="DX217" s="4"/>
      <c r="DY217" s="4"/>
      <c r="DZ217" s="4"/>
      <c r="EA217" s="6"/>
      <c r="EB217" s="5" t="str">
        <f t="shared" si="718"/>
        <v>NO APLICA</v>
      </c>
      <c r="EC217" s="4"/>
      <c r="ED217" s="4"/>
      <c r="EE217" s="4"/>
      <c r="EF217" s="6"/>
      <c r="EG217" s="5" t="str">
        <f t="shared" si="719"/>
        <v>NO APLICA</v>
      </c>
      <c r="EH217" s="4"/>
      <c r="EI217" s="4"/>
      <c r="EJ217" s="4"/>
      <c r="EK217" s="8"/>
      <c r="EL217" s="5" t="str">
        <f t="shared" si="720"/>
        <v>NO APLICA</v>
      </c>
      <c r="EM217" s="4"/>
      <c r="EN217" s="4"/>
      <c r="EO217" s="4"/>
      <c r="EP217" s="8"/>
      <c r="EQ217" s="5" t="str">
        <f t="shared" si="721"/>
        <v>NO APLICA</v>
      </c>
      <c r="ER217" s="4"/>
      <c r="ES217" s="4"/>
      <c r="ET217" s="4"/>
      <c r="EU217" s="8"/>
      <c r="EV217" s="5" t="str">
        <f t="shared" si="722"/>
        <v>NO APLICA</v>
      </c>
      <c r="EW217" s="4"/>
      <c r="EX217" s="4"/>
      <c r="EY217" s="4"/>
      <c r="EZ217" s="6"/>
      <c r="FA217" s="5" t="str">
        <f t="shared" si="723"/>
        <v>NO APLICA</v>
      </c>
      <c r="FB217" s="4"/>
      <c r="FC217" s="4"/>
      <c r="FD217" s="4"/>
      <c r="FE217" s="6"/>
      <c r="FF217" s="5" t="str">
        <f t="shared" si="724"/>
        <v>NO APLICA</v>
      </c>
      <c r="FG217" s="4"/>
      <c r="FH217" s="4"/>
      <c r="FI217" s="4"/>
      <c r="FJ217" s="6"/>
      <c r="FK217" s="5" t="str">
        <f t="shared" si="725"/>
        <v>NO APLICA</v>
      </c>
      <c r="FL217" s="4"/>
      <c r="FM217" s="4"/>
      <c r="FN217" s="4"/>
      <c r="FO217" s="6"/>
      <c r="FP217" s="5" t="str">
        <f t="shared" si="726"/>
        <v>NO APLICA</v>
      </c>
      <c r="FQ217" s="4"/>
      <c r="FR217" s="4"/>
      <c r="FS217" s="4"/>
      <c r="FT217" s="6"/>
      <c r="FU217" s="5" t="str">
        <f t="shared" si="727"/>
        <v>NO APLICA</v>
      </c>
      <c r="FV217" s="4"/>
      <c r="FW217" s="4"/>
      <c r="FX217" s="4"/>
      <c r="FY217" s="6"/>
      <c r="FZ217" s="5" t="str">
        <f t="shared" si="728"/>
        <v>NO APLICA</v>
      </c>
      <c r="GA217" s="4"/>
      <c r="GB217" s="4"/>
      <c r="GC217" s="4"/>
      <c r="GD217" s="6"/>
      <c r="GE217" s="5" t="str">
        <f t="shared" si="729"/>
        <v>NO APLICA</v>
      </c>
      <c r="GF217" s="4"/>
      <c r="GG217" s="4"/>
      <c r="GH217" s="4"/>
      <c r="GI217" s="8"/>
      <c r="GJ217" s="5" t="str">
        <f t="shared" si="730"/>
        <v>NO APLICA</v>
      </c>
      <c r="GK217" s="4"/>
      <c r="GL217" s="6"/>
      <c r="GM217" s="6"/>
      <c r="GN217" s="6"/>
      <c r="GO217" s="5" t="str">
        <f t="shared" si="731"/>
        <v>NO APLICA</v>
      </c>
      <c r="GP217" s="4"/>
      <c r="GQ217" s="6"/>
      <c r="GR217" s="6"/>
      <c r="GS217" s="6"/>
      <c r="GT217" s="5" t="str">
        <f t="shared" si="610"/>
        <v>NO APLICA</v>
      </c>
      <c r="GU217" s="4"/>
      <c r="GV217" s="6"/>
      <c r="GW217" s="6"/>
      <c r="GX217" s="6"/>
      <c r="GY217" s="5" t="str">
        <f t="shared" si="611"/>
        <v>NO APLICA</v>
      </c>
      <c r="GZ217" s="6"/>
      <c r="HA217" s="6"/>
      <c r="HB217" s="6"/>
      <c r="HC217" s="6"/>
      <c r="HD217" s="5" t="str">
        <f t="shared" si="612"/>
        <v>NO APLICA</v>
      </c>
      <c r="HE217" s="6"/>
      <c r="HF217" s="6"/>
      <c r="HG217" s="4"/>
      <c r="HH217" s="8"/>
      <c r="HI217" s="5" t="str">
        <f t="shared" si="698"/>
        <v>NO APLICA</v>
      </c>
      <c r="HJ217" s="6"/>
      <c r="HK217" s="6"/>
      <c r="HL217" s="6"/>
      <c r="HM217" s="6"/>
      <c r="HN217" s="5" t="str">
        <f t="shared" si="694"/>
        <v>NO APLICA</v>
      </c>
      <c r="HO217" s="6"/>
      <c r="HP217" s="6"/>
      <c r="HQ217" s="6"/>
      <c r="HR217" s="6"/>
      <c r="HS217" s="5" t="str">
        <f t="shared" si="732"/>
        <v>NO APLICA</v>
      </c>
      <c r="HT217" s="6"/>
      <c r="HU217" s="6"/>
      <c r="HV217" s="6"/>
      <c r="HW217" s="6"/>
      <c r="HX217" s="5" t="str">
        <f t="shared" si="733"/>
        <v>NO APLICA</v>
      </c>
      <c r="HY217" s="6"/>
      <c r="HZ217" s="6"/>
      <c r="IA217" s="6"/>
      <c r="IB217" s="6"/>
      <c r="IC217" s="5" t="str">
        <f t="shared" si="734"/>
        <v>NO APLICA</v>
      </c>
      <c r="ID217" s="6"/>
      <c r="IE217" s="6"/>
      <c r="IF217" s="6"/>
      <c r="IG217" s="6"/>
      <c r="IH217" s="5" t="str">
        <f t="shared" si="735"/>
        <v>NO APLICA</v>
      </c>
      <c r="II217" s="6"/>
      <c r="IJ217" s="6"/>
      <c r="IK217" s="6"/>
      <c r="IL217" s="6"/>
      <c r="IM217" s="5" t="str">
        <f t="shared" si="736"/>
        <v>NO APLICA</v>
      </c>
      <c r="IN217" s="6"/>
      <c r="IO217" s="6"/>
      <c r="IP217" s="6"/>
      <c r="IQ217" s="6"/>
      <c r="IR217" s="5" t="str">
        <f t="shared" si="737"/>
        <v>NO APLICA</v>
      </c>
      <c r="IS217" s="6"/>
      <c r="IT217" s="6"/>
      <c r="IU217" s="6"/>
      <c r="IV217" s="6"/>
      <c r="IW217" s="5" t="str">
        <f t="shared" si="738"/>
        <v>NO APLICA</v>
      </c>
      <c r="IX217" s="6"/>
      <c r="IY217" s="6"/>
      <c r="IZ217" s="6"/>
      <c r="JA217" s="6"/>
      <c r="JB217" s="5" t="str">
        <f t="shared" si="739"/>
        <v>NO APLICA</v>
      </c>
      <c r="JC217" s="3" t="s">
        <v>780</v>
      </c>
      <c r="JD217" s="3"/>
      <c r="JE217" s="6"/>
      <c r="JF217" s="6"/>
      <c r="JG217" s="5"/>
      <c r="JH217" s="3" t="s">
        <v>780</v>
      </c>
      <c r="JI217" s="6"/>
      <c r="JJ217" s="6"/>
      <c r="JK217" s="6"/>
      <c r="JL217" s="5"/>
      <c r="JM217" s="6" t="s">
        <v>780</v>
      </c>
      <c r="JN217" s="6"/>
      <c r="JO217" s="6"/>
      <c r="JP217" s="6"/>
      <c r="JQ217" s="5"/>
      <c r="JR217" s="6" t="s">
        <v>780</v>
      </c>
      <c r="JS217" s="4"/>
      <c r="JT217" s="6"/>
      <c r="JU217" s="6"/>
      <c r="JV217" s="5"/>
      <c r="JW217" s="6" t="s">
        <v>780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40"/>
        <v>NO APLICA</v>
      </c>
      <c r="KG217" s="5"/>
      <c r="KH217" s="6"/>
      <c r="KI217" s="6"/>
      <c r="KJ217" s="6"/>
      <c r="KK217" s="5" t="str">
        <f t="shared" si="760"/>
        <v>NO APLICA</v>
      </c>
      <c r="KL217" s="5"/>
      <c r="KM217" s="6"/>
      <c r="KN217" s="6"/>
      <c r="KO217" s="6"/>
      <c r="KP217" s="5" t="str">
        <f t="shared" si="741"/>
        <v>NO APLICA</v>
      </c>
      <c r="KQ217" s="5"/>
      <c r="KR217" s="6"/>
      <c r="KS217" s="6"/>
      <c r="KT217" s="6"/>
      <c r="KU217" s="5" t="str">
        <f t="shared" si="761"/>
        <v>NO APLICA</v>
      </c>
      <c r="KV217" s="6"/>
      <c r="KW217" s="6"/>
      <c r="KX217" s="6"/>
      <c r="KY217" s="6"/>
      <c r="KZ217" s="5" t="str">
        <f t="shared" si="767"/>
        <v>NO APLICA</v>
      </c>
      <c r="LA217" s="5"/>
      <c r="LB217" s="6"/>
      <c r="LC217" s="6"/>
      <c r="LD217" s="6"/>
      <c r="LE217" s="5" t="str">
        <f t="shared" si="762"/>
        <v>NO APLICA</v>
      </c>
      <c r="LF217" s="6"/>
      <c r="LG217" s="6"/>
      <c r="LH217" s="6"/>
      <c r="LI217" s="6"/>
      <c r="LJ217" s="5" t="str">
        <f t="shared" si="600"/>
        <v>NO APLICA</v>
      </c>
      <c r="LK217" s="5"/>
      <c r="LL217" s="5"/>
      <c r="LM217" s="4"/>
      <c r="LN217" s="8"/>
      <c r="LO217" s="5" t="str">
        <f t="shared" si="768"/>
        <v>NO APLICA</v>
      </c>
      <c r="LP217" s="6"/>
      <c r="LQ217" s="6"/>
      <c r="LR217" s="6"/>
      <c r="LS217" s="6"/>
      <c r="LT217" s="5" t="str">
        <f t="shared" si="763"/>
        <v>NO APLICA</v>
      </c>
      <c r="LU217" s="6"/>
      <c r="LV217" s="6"/>
      <c r="LW217" s="6"/>
      <c r="LX217" s="6"/>
      <c r="LY217" s="5" t="str">
        <f t="shared" si="764"/>
        <v>NO APLICA</v>
      </c>
      <c r="LZ217" s="6"/>
      <c r="MA217" s="6"/>
      <c r="MB217" s="6"/>
      <c r="MC217" s="6"/>
      <c r="MD217" s="5" t="str">
        <f t="shared" si="765"/>
        <v>NO APLICA</v>
      </c>
      <c r="ME217" s="6"/>
      <c r="MF217" s="6"/>
      <c r="MG217" s="6"/>
      <c r="MH217" s="6"/>
      <c r="MI217" s="5" t="str">
        <f t="shared" si="742"/>
        <v>NO APLICA</v>
      </c>
      <c r="MJ217" s="6"/>
      <c r="MK217" s="6"/>
      <c r="ML217" s="6"/>
      <c r="MM217" s="6"/>
      <c r="MN217" s="5" t="str">
        <f t="shared" si="743"/>
        <v>NO APLICA</v>
      </c>
      <c r="MO217" s="5"/>
      <c r="MP217" s="6"/>
      <c r="MQ217" s="6"/>
      <c r="MR217" s="6"/>
      <c r="MS217" s="5" t="str">
        <f t="shared" si="744"/>
        <v>NO APLICA</v>
      </c>
      <c r="MT217" s="5"/>
      <c r="MU217" s="6"/>
      <c r="MV217" s="6"/>
      <c r="MW217" s="6"/>
      <c r="MX217" s="5" t="str">
        <f t="shared" si="745"/>
        <v>NO APLICA</v>
      </c>
      <c r="MY217" s="6"/>
      <c r="MZ217" s="6"/>
      <c r="NA217" s="6"/>
      <c r="NB217" s="6"/>
      <c r="NC217" s="5" t="str">
        <f t="shared" si="746"/>
        <v>NO APLICA</v>
      </c>
      <c r="ND217" s="6"/>
      <c r="NE217" s="6"/>
      <c r="NF217" s="6"/>
      <c r="NG217" s="6"/>
      <c r="NH217" s="5" t="str">
        <f t="shared" si="747"/>
        <v>NO APLICA</v>
      </c>
      <c r="NI217" s="6"/>
      <c r="NJ217" s="6"/>
      <c r="NK217" s="6"/>
      <c r="NL217" s="6"/>
      <c r="NM217" s="5" t="str">
        <f t="shared" si="748"/>
        <v>NO APLICA</v>
      </c>
      <c r="NN217" s="6"/>
      <c r="NO217" s="6"/>
      <c r="NP217" s="6"/>
      <c r="NQ217" s="6"/>
      <c r="NR217" s="5" t="str">
        <f t="shared" si="749"/>
        <v>NO APLICA</v>
      </c>
      <c r="NS217" s="6"/>
      <c r="NT217" s="6"/>
      <c r="NU217" s="6"/>
      <c r="NV217" s="6"/>
      <c r="NW217" s="5" t="str">
        <f t="shared" si="750"/>
        <v>NO APLICA</v>
      </c>
      <c r="NX217" s="6"/>
      <c r="NY217" s="6"/>
      <c r="NZ217" s="6"/>
      <c r="OA217" s="6"/>
      <c r="OB217" s="5" t="str">
        <f t="shared" si="751"/>
        <v>NO APLICA</v>
      </c>
      <c r="OC217" s="6"/>
      <c r="OD217" s="6"/>
      <c r="OE217" s="6"/>
      <c r="OF217" s="6"/>
      <c r="OG217" s="5" t="str">
        <f t="shared" si="752"/>
        <v>NO APLICA</v>
      </c>
      <c r="OH217" s="6"/>
      <c r="OI217" s="6"/>
      <c r="OJ217" s="6"/>
      <c r="OK217" s="6"/>
      <c r="OL217" s="5" t="str">
        <f t="shared" si="753"/>
        <v>NO APLICA</v>
      </c>
      <c r="OM217" s="6"/>
      <c r="ON217" s="6"/>
      <c r="OO217" s="6"/>
      <c r="OP217" s="6"/>
      <c r="OQ217" s="5" t="str">
        <f t="shared" si="754"/>
        <v>NO APLICA</v>
      </c>
      <c r="OR217" s="6"/>
      <c r="OS217" s="6"/>
      <c r="OT217" s="6"/>
      <c r="OU217" s="6"/>
      <c r="OV217" s="5" t="str">
        <f t="shared" si="755"/>
        <v>NO APLICA</v>
      </c>
      <c r="OW217" s="6"/>
      <c r="OX217" s="6"/>
      <c r="OY217" s="6"/>
      <c r="OZ217" s="6"/>
      <c r="PA217" s="5" t="str">
        <f t="shared" si="769"/>
        <v>NO APLICA</v>
      </c>
      <c r="PB217" s="6"/>
      <c r="PC217" s="6"/>
      <c r="PD217" s="6"/>
      <c r="PE217" s="6"/>
      <c r="PF217" s="5" t="str">
        <f t="shared" si="756"/>
        <v>NO APLICA</v>
      </c>
      <c r="PG217" s="6"/>
      <c r="PH217" s="6"/>
      <c r="PI217" s="6"/>
      <c r="PJ217" s="6"/>
      <c r="PK217" s="5" t="str">
        <f t="shared" si="757"/>
        <v>NO APLICA</v>
      </c>
      <c r="PL217" s="5"/>
      <c r="PM217" s="6"/>
      <c r="PN217" s="6"/>
      <c r="PO217" s="6"/>
      <c r="PP217" s="5" t="str">
        <f t="shared" si="766"/>
        <v>NO APLICA</v>
      </c>
      <c r="PQ217" s="6"/>
      <c r="PR217" s="6"/>
      <c r="PS217" s="6"/>
      <c r="PT217" s="6"/>
      <c r="PU217" s="5" t="str">
        <f t="shared" si="758"/>
        <v>NO APLICA</v>
      </c>
      <c r="PV217" s="5"/>
      <c r="PW217" s="6"/>
      <c r="PX217" s="6"/>
      <c r="PY217" s="6"/>
      <c r="PZ217" s="5" t="str">
        <f t="shared" si="759"/>
        <v>NO APLICA</v>
      </c>
    </row>
    <row r="218" spans="1:442" ht="15.6" hidden="1" thickTop="1" thickBot="1" x14ac:dyDescent="0.35">
      <c r="A218" s="26">
        <v>215</v>
      </c>
      <c r="B218" s="31">
        <v>1635</v>
      </c>
      <c r="C218" s="28" t="s">
        <v>656</v>
      </c>
      <c r="D218" s="29" t="s">
        <v>113</v>
      </c>
      <c r="E218" s="30" t="s">
        <v>657</v>
      </c>
      <c r="F218" s="6"/>
      <c r="G218" s="6"/>
      <c r="H218" s="6"/>
      <c r="I218" s="6"/>
      <c r="J218" s="5" t="str">
        <f t="shared" si="696"/>
        <v>NO APLICA</v>
      </c>
      <c r="K218" s="6"/>
      <c r="L218" s="6"/>
      <c r="M218" s="6"/>
      <c r="N218" s="6"/>
      <c r="O218" s="5" t="str">
        <f t="shared" si="699"/>
        <v>NO APLICA</v>
      </c>
      <c r="P218" s="6"/>
      <c r="Q218" s="6"/>
      <c r="R218" s="6"/>
      <c r="S218" s="6"/>
      <c r="T218" s="5" t="str">
        <f t="shared" si="697"/>
        <v>NO APLICA</v>
      </c>
      <c r="U218" s="5"/>
      <c r="V218" s="6"/>
      <c r="W218" s="4"/>
      <c r="X218" s="4"/>
      <c r="Y218" s="8"/>
      <c r="Z218" s="5" t="str">
        <f t="shared" si="605"/>
        <v>NO APLICA</v>
      </c>
      <c r="AA218" s="5"/>
      <c r="AB218" s="6"/>
      <c r="AC218" s="6"/>
      <c r="AD218" s="6"/>
      <c r="AE218" s="6"/>
      <c r="AF218" s="5" t="str">
        <f t="shared" si="700"/>
        <v>NO APLICA</v>
      </c>
      <c r="AG218" s="4"/>
      <c r="AH218" s="4"/>
      <c r="AI218" s="4"/>
      <c r="AJ218" s="6"/>
      <c r="AK218" s="5" t="str">
        <f t="shared" si="602"/>
        <v>NO APLICA</v>
      </c>
      <c r="AL218" s="4"/>
      <c r="AM218" s="4"/>
      <c r="AN218" s="4"/>
      <c r="AO218" s="6"/>
      <c r="AP218" s="5" t="str">
        <f t="shared" si="701"/>
        <v>NO APLICA</v>
      </c>
      <c r="AQ218" s="4"/>
      <c r="AR218" s="4"/>
      <c r="AS218" s="4"/>
      <c r="AT218" s="6"/>
      <c r="AU218" s="5" t="str">
        <f t="shared" si="702"/>
        <v>NO APLICA</v>
      </c>
      <c r="AV218" s="4"/>
      <c r="AW218" s="4"/>
      <c r="AX218" s="4"/>
      <c r="AY218" s="6"/>
      <c r="AZ218" s="5" t="str">
        <f t="shared" si="703"/>
        <v>NO APLICA</v>
      </c>
      <c r="BA218" s="4"/>
      <c r="BB218" s="4"/>
      <c r="BC218" s="4"/>
      <c r="BD218" s="6"/>
      <c r="BE218" s="5" t="str">
        <f t="shared" si="704"/>
        <v>NO APLICA</v>
      </c>
      <c r="BF218" s="4"/>
      <c r="BG218" s="4"/>
      <c r="BH218" s="4"/>
      <c r="BI218" s="6"/>
      <c r="BJ218" s="5" t="str">
        <f t="shared" si="705"/>
        <v>NO APLICA</v>
      </c>
      <c r="BK218" s="4"/>
      <c r="BL218" s="4"/>
      <c r="BM218" s="4"/>
      <c r="BN218" s="6"/>
      <c r="BO218" s="5" t="str">
        <f t="shared" si="706"/>
        <v>NO APLICA</v>
      </c>
      <c r="BP218" s="4"/>
      <c r="BQ218" s="4"/>
      <c r="BR218" s="4"/>
      <c r="BS218" s="6"/>
      <c r="BT218" s="5" t="str">
        <f t="shared" si="707"/>
        <v>NO APLICA</v>
      </c>
      <c r="BU218" s="4"/>
      <c r="BV218" s="4"/>
      <c r="BW218" s="4"/>
      <c r="BX218" s="6"/>
      <c r="BY218" s="5" t="str">
        <f t="shared" si="708"/>
        <v>NO APLICA</v>
      </c>
      <c r="BZ218" s="4"/>
      <c r="CA218" s="4"/>
      <c r="CB218" s="4"/>
      <c r="CC218" s="6"/>
      <c r="CD218" s="5" t="str">
        <f t="shared" si="709"/>
        <v>NO APLICA</v>
      </c>
      <c r="CE218" s="6"/>
      <c r="CF218" s="6"/>
      <c r="CG218" s="6"/>
      <c r="CH218" s="6"/>
      <c r="CI218" s="5" t="str">
        <f t="shared" si="770"/>
        <v>NO APLICA</v>
      </c>
      <c r="CJ218" s="4"/>
      <c r="CK218" s="4"/>
      <c r="CL218" s="4"/>
      <c r="CM218" s="6"/>
      <c r="CN218" s="5" t="str">
        <f t="shared" si="710"/>
        <v>NO APLICA</v>
      </c>
      <c r="CO218" s="4"/>
      <c r="CP218" s="4"/>
      <c r="CQ218" s="4"/>
      <c r="CR218" s="6"/>
      <c r="CS218" s="5" t="str">
        <f t="shared" si="711"/>
        <v>NO APLICA</v>
      </c>
      <c r="CT218" s="4"/>
      <c r="CU218" s="4"/>
      <c r="CV218" s="4"/>
      <c r="CW218" s="6"/>
      <c r="CX218" s="5" t="str">
        <f t="shared" si="712"/>
        <v>NO APLICA</v>
      </c>
      <c r="CY218" s="4"/>
      <c r="CZ218" s="4"/>
      <c r="DA218" s="4"/>
      <c r="DB218" s="6"/>
      <c r="DC218" s="5" t="str">
        <f t="shared" si="713"/>
        <v>NO APLICA</v>
      </c>
      <c r="DD218" s="4"/>
      <c r="DE218" s="4"/>
      <c r="DF218" s="4"/>
      <c r="DG218" s="6"/>
      <c r="DH218" s="5" t="str">
        <f t="shared" si="714"/>
        <v>NO APLICA</v>
      </c>
      <c r="DI218" s="4"/>
      <c r="DJ218" s="4"/>
      <c r="DK218" s="4"/>
      <c r="DL218" s="6"/>
      <c r="DM218" s="5" t="str">
        <f t="shared" si="715"/>
        <v>NO APLICA</v>
      </c>
      <c r="DN218" s="4"/>
      <c r="DO218" s="4"/>
      <c r="DP218" s="4"/>
      <c r="DQ218" s="6"/>
      <c r="DR218" s="5" t="str">
        <f t="shared" si="716"/>
        <v>NO APLICA</v>
      </c>
      <c r="DS218" s="4"/>
      <c r="DT218" s="4"/>
      <c r="DU218" s="4"/>
      <c r="DV218" s="6"/>
      <c r="DW218" s="5" t="str">
        <f t="shared" si="717"/>
        <v>NO APLICA</v>
      </c>
      <c r="DX218" s="4"/>
      <c r="DY218" s="4"/>
      <c r="DZ218" s="4"/>
      <c r="EA218" s="6"/>
      <c r="EB218" s="5" t="str">
        <f t="shared" si="718"/>
        <v>NO APLICA</v>
      </c>
      <c r="EC218" s="4"/>
      <c r="ED218" s="4"/>
      <c r="EE218" s="4"/>
      <c r="EF218" s="6"/>
      <c r="EG218" s="5" t="str">
        <f t="shared" si="719"/>
        <v>NO APLICA</v>
      </c>
      <c r="EH218" s="4"/>
      <c r="EI218" s="4"/>
      <c r="EJ218" s="4"/>
      <c r="EK218" s="8"/>
      <c r="EL218" s="5" t="str">
        <f t="shared" si="720"/>
        <v>NO APLICA</v>
      </c>
      <c r="EM218" s="4"/>
      <c r="EN218" s="4"/>
      <c r="EO218" s="4"/>
      <c r="EP218" s="8"/>
      <c r="EQ218" s="5" t="str">
        <f t="shared" si="721"/>
        <v>NO APLICA</v>
      </c>
      <c r="ER218" s="4"/>
      <c r="ES218" s="4"/>
      <c r="ET218" s="4"/>
      <c r="EU218" s="8"/>
      <c r="EV218" s="5" t="str">
        <f t="shared" si="722"/>
        <v>NO APLICA</v>
      </c>
      <c r="EW218" s="4"/>
      <c r="EX218" s="4"/>
      <c r="EY218" s="4"/>
      <c r="EZ218" s="6"/>
      <c r="FA218" s="5" t="str">
        <f t="shared" si="723"/>
        <v>NO APLICA</v>
      </c>
      <c r="FB218" s="4"/>
      <c r="FC218" s="4"/>
      <c r="FD218" s="4"/>
      <c r="FE218" s="6"/>
      <c r="FF218" s="5" t="str">
        <f t="shared" si="724"/>
        <v>NO APLICA</v>
      </c>
      <c r="FG218" s="4"/>
      <c r="FH218" s="4"/>
      <c r="FI218" s="4"/>
      <c r="FJ218" s="6"/>
      <c r="FK218" s="5" t="str">
        <f t="shared" si="725"/>
        <v>NO APLICA</v>
      </c>
      <c r="FL218" s="4"/>
      <c r="FM218" s="4"/>
      <c r="FN218" s="4"/>
      <c r="FO218" s="6"/>
      <c r="FP218" s="5" t="str">
        <f t="shared" si="726"/>
        <v>NO APLICA</v>
      </c>
      <c r="FQ218" s="4"/>
      <c r="FR218" s="4"/>
      <c r="FS218" s="4"/>
      <c r="FT218" s="6"/>
      <c r="FU218" s="5" t="str">
        <f t="shared" si="727"/>
        <v>NO APLICA</v>
      </c>
      <c r="FV218" s="4"/>
      <c r="FW218" s="4"/>
      <c r="FX218" s="4"/>
      <c r="FY218" s="6"/>
      <c r="FZ218" s="5" t="str">
        <f t="shared" si="728"/>
        <v>NO APLICA</v>
      </c>
      <c r="GA218" s="4"/>
      <c r="GB218" s="4"/>
      <c r="GC218" s="4"/>
      <c r="GD218" s="6"/>
      <c r="GE218" s="5" t="str">
        <f t="shared" si="729"/>
        <v>NO APLICA</v>
      </c>
      <c r="GF218" s="4"/>
      <c r="GG218" s="4"/>
      <c r="GH218" s="4"/>
      <c r="GI218" s="8"/>
      <c r="GJ218" s="5" t="str">
        <f t="shared" si="730"/>
        <v>NO APLICA</v>
      </c>
      <c r="GK218" s="4"/>
      <c r="GL218" s="6"/>
      <c r="GM218" s="6"/>
      <c r="GN218" s="6"/>
      <c r="GO218" s="5" t="str">
        <f t="shared" si="731"/>
        <v>NO APLICA</v>
      </c>
      <c r="GP218" s="4"/>
      <c r="GQ218" s="6"/>
      <c r="GR218" s="6"/>
      <c r="GS218" s="6"/>
      <c r="GT218" s="5" t="str">
        <f t="shared" si="610"/>
        <v>NO APLICA</v>
      </c>
      <c r="GU218" s="4"/>
      <c r="GV218" s="6"/>
      <c r="GW218" s="6"/>
      <c r="GX218" s="6"/>
      <c r="GY218" s="5" t="str">
        <f t="shared" si="611"/>
        <v>NO APLICA</v>
      </c>
      <c r="GZ218" s="6"/>
      <c r="HA218" s="6"/>
      <c r="HB218" s="6"/>
      <c r="HC218" s="6"/>
      <c r="HD218" s="5" t="str">
        <f t="shared" si="612"/>
        <v>NO APLICA</v>
      </c>
      <c r="HE218" s="6"/>
      <c r="HF218" s="6"/>
      <c r="HG218" s="4"/>
      <c r="HH218" s="8"/>
      <c r="HI218" s="5" t="str">
        <f t="shared" si="698"/>
        <v>NO APLICA</v>
      </c>
      <c r="HJ218" s="6"/>
      <c r="HK218" s="6"/>
      <c r="HL218" s="6"/>
      <c r="HM218" s="6"/>
      <c r="HN218" s="5" t="str">
        <f t="shared" si="694"/>
        <v>NO APLICA</v>
      </c>
      <c r="HO218" s="6"/>
      <c r="HP218" s="6"/>
      <c r="HQ218" s="6"/>
      <c r="HR218" s="6"/>
      <c r="HS218" s="5" t="str">
        <f t="shared" si="732"/>
        <v>NO APLICA</v>
      </c>
      <c r="HT218" s="6"/>
      <c r="HU218" s="6"/>
      <c r="HV218" s="6"/>
      <c r="HW218" s="6"/>
      <c r="HX218" s="5" t="str">
        <f t="shared" si="733"/>
        <v>NO APLICA</v>
      </c>
      <c r="HY218" s="6"/>
      <c r="HZ218" s="6"/>
      <c r="IA218" s="6"/>
      <c r="IB218" s="6"/>
      <c r="IC218" s="5" t="str">
        <f t="shared" si="734"/>
        <v>NO APLICA</v>
      </c>
      <c r="ID218" s="6"/>
      <c r="IE218" s="6"/>
      <c r="IF218" s="6"/>
      <c r="IG218" s="6"/>
      <c r="IH218" s="5" t="str">
        <f t="shared" si="735"/>
        <v>NO APLICA</v>
      </c>
      <c r="II218" s="6"/>
      <c r="IJ218" s="6"/>
      <c r="IK218" s="6"/>
      <c r="IL218" s="6"/>
      <c r="IM218" s="5" t="str">
        <f t="shared" si="736"/>
        <v>NO APLICA</v>
      </c>
      <c r="IN218" s="6"/>
      <c r="IO218" s="6"/>
      <c r="IP218" s="6"/>
      <c r="IQ218" s="6"/>
      <c r="IR218" s="5" t="str">
        <f t="shared" si="737"/>
        <v>NO APLICA</v>
      </c>
      <c r="IS218" s="6"/>
      <c r="IT218" s="6"/>
      <c r="IU218" s="6"/>
      <c r="IV218" s="6"/>
      <c r="IW218" s="5" t="str">
        <f t="shared" si="738"/>
        <v>NO APLICA</v>
      </c>
      <c r="IX218" s="6"/>
      <c r="IY218" s="6"/>
      <c r="IZ218" s="6"/>
      <c r="JA218" s="6"/>
      <c r="JB218" s="5" t="str">
        <f t="shared" si="739"/>
        <v>NO APLICA</v>
      </c>
      <c r="JC218" s="3" t="s">
        <v>780</v>
      </c>
      <c r="JD218" s="6"/>
      <c r="JE218" s="6"/>
      <c r="JF218" s="6"/>
      <c r="JG218" s="5"/>
      <c r="JH218" s="3" t="s">
        <v>780</v>
      </c>
      <c r="JI218" s="6"/>
      <c r="JJ218" s="6"/>
      <c r="JK218" s="6"/>
      <c r="JL218" s="5"/>
      <c r="JM218" s="6" t="s">
        <v>780</v>
      </c>
      <c r="JN218" s="6"/>
      <c r="JO218" s="6"/>
      <c r="JP218" s="6"/>
      <c r="JQ218" s="5"/>
      <c r="JR218" s="6" t="s">
        <v>780</v>
      </c>
      <c r="JS218" s="6"/>
      <c r="JT218" s="6"/>
      <c r="JU218" s="6"/>
      <c r="JV218" s="5"/>
      <c r="JW218" s="6" t="s">
        <v>780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40"/>
        <v>NO APLICA</v>
      </c>
      <c r="KG218" s="5"/>
      <c r="KH218" s="6"/>
      <c r="KI218" s="6"/>
      <c r="KJ218" s="6"/>
      <c r="KK218" s="5" t="str">
        <f t="shared" si="760"/>
        <v>NO APLICA</v>
      </c>
      <c r="KL218" s="5"/>
      <c r="KM218" s="6"/>
      <c r="KN218" s="6"/>
      <c r="KO218" s="6"/>
      <c r="KP218" s="5" t="str">
        <f t="shared" si="741"/>
        <v>NO APLICA</v>
      </c>
      <c r="KQ218" s="5"/>
      <c r="KR218" s="6"/>
      <c r="KS218" s="6"/>
      <c r="KT218" s="6"/>
      <c r="KU218" s="5" t="str">
        <f t="shared" si="761"/>
        <v>NO APLICA</v>
      </c>
      <c r="KV218" s="6"/>
      <c r="KW218" s="6"/>
      <c r="KX218" s="6"/>
      <c r="KY218" s="6"/>
      <c r="KZ218" s="5" t="str">
        <f t="shared" si="767"/>
        <v>NO APLICA</v>
      </c>
      <c r="LA218" s="5"/>
      <c r="LB218" s="6"/>
      <c r="LC218" s="6"/>
      <c r="LD218" s="6"/>
      <c r="LE218" s="5" t="str">
        <f t="shared" si="762"/>
        <v>NO APLICA</v>
      </c>
      <c r="LF218" s="6"/>
      <c r="LG218" s="6"/>
      <c r="LH218" s="6"/>
      <c r="LI218" s="6"/>
      <c r="LJ218" s="5" t="str">
        <f t="shared" si="600"/>
        <v>NO APLICA</v>
      </c>
      <c r="LK218" s="5"/>
      <c r="LL218" s="5"/>
      <c r="LM218" s="4"/>
      <c r="LN218" s="8"/>
      <c r="LO218" s="5" t="str">
        <f t="shared" si="768"/>
        <v>NO APLICA</v>
      </c>
      <c r="LP218" s="6"/>
      <c r="LQ218" s="6"/>
      <c r="LR218" s="6"/>
      <c r="LS218" s="6"/>
      <c r="LT218" s="5" t="str">
        <f t="shared" si="763"/>
        <v>NO APLICA</v>
      </c>
      <c r="LU218" s="6"/>
      <c r="LV218" s="6"/>
      <c r="LW218" s="6"/>
      <c r="LX218" s="6"/>
      <c r="LY218" s="5" t="str">
        <f t="shared" si="764"/>
        <v>NO APLICA</v>
      </c>
      <c r="LZ218" s="6"/>
      <c r="MA218" s="6"/>
      <c r="MB218" s="6"/>
      <c r="MC218" s="6"/>
      <c r="MD218" s="5" t="str">
        <f t="shared" si="765"/>
        <v>NO APLICA</v>
      </c>
      <c r="ME218" s="6"/>
      <c r="MF218" s="6"/>
      <c r="MG218" s="6"/>
      <c r="MH218" s="6"/>
      <c r="MI218" s="5" t="str">
        <f t="shared" si="742"/>
        <v>NO APLICA</v>
      </c>
      <c r="MJ218" s="6"/>
      <c r="MK218" s="6"/>
      <c r="ML218" s="6"/>
      <c r="MM218" s="6"/>
      <c r="MN218" s="5" t="str">
        <f t="shared" si="743"/>
        <v>NO APLICA</v>
      </c>
      <c r="MO218" s="5"/>
      <c r="MP218" s="6"/>
      <c r="MQ218" s="6"/>
      <c r="MR218" s="6"/>
      <c r="MS218" s="5" t="str">
        <f t="shared" si="744"/>
        <v>NO APLICA</v>
      </c>
      <c r="MT218" s="5"/>
      <c r="MU218" s="6"/>
      <c r="MV218" s="6"/>
      <c r="MW218" s="6"/>
      <c r="MX218" s="5" t="str">
        <f t="shared" si="745"/>
        <v>NO APLICA</v>
      </c>
      <c r="MY218" s="6"/>
      <c r="MZ218" s="6"/>
      <c r="NA218" s="6"/>
      <c r="NB218" s="6"/>
      <c r="NC218" s="5" t="str">
        <f t="shared" si="746"/>
        <v>NO APLICA</v>
      </c>
      <c r="ND218" s="6"/>
      <c r="NE218" s="6"/>
      <c r="NF218" s="6"/>
      <c r="NG218" s="6"/>
      <c r="NH218" s="5" t="str">
        <f t="shared" si="747"/>
        <v>NO APLICA</v>
      </c>
      <c r="NI218" s="6"/>
      <c r="NJ218" s="6"/>
      <c r="NK218" s="6"/>
      <c r="NL218" s="6"/>
      <c r="NM218" s="5" t="str">
        <f t="shared" si="748"/>
        <v>NO APLICA</v>
      </c>
      <c r="NN218" s="6"/>
      <c r="NO218" s="6"/>
      <c r="NP218" s="6"/>
      <c r="NQ218" s="6"/>
      <c r="NR218" s="5" t="str">
        <f t="shared" si="749"/>
        <v>NO APLICA</v>
      </c>
      <c r="NS218" s="6"/>
      <c r="NT218" s="6"/>
      <c r="NU218" s="6"/>
      <c r="NV218" s="6"/>
      <c r="NW218" s="5" t="str">
        <f t="shared" si="750"/>
        <v>NO APLICA</v>
      </c>
      <c r="NX218" s="6"/>
      <c r="NY218" s="6"/>
      <c r="NZ218" s="6"/>
      <c r="OA218" s="6"/>
      <c r="OB218" s="5" t="str">
        <f t="shared" si="751"/>
        <v>NO APLICA</v>
      </c>
      <c r="OC218" s="6"/>
      <c r="OD218" s="6"/>
      <c r="OE218" s="6"/>
      <c r="OF218" s="6"/>
      <c r="OG218" s="5" t="str">
        <f t="shared" si="752"/>
        <v>NO APLICA</v>
      </c>
      <c r="OH218" s="6"/>
      <c r="OI218" s="6"/>
      <c r="OJ218" s="6"/>
      <c r="OK218" s="6"/>
      <c r="OL218" s="5" t="str">
        <f t="shared" si="753"/>
        <v>NO APLICA</v>
      </c>
      <c r="OM218" s="6"/>
      <c r="ON218" s="6"/>
      <c r="OO218" s="6"/>
      <c r="OP218" s="6"/>
      <c r="OQ218" s="5" t="str">
        <f t="shared" si="754"/>
        <v>NO APLICA</v>
      </c>
      <c r="OR218" s="6"/>
      <c r="OS218" s="6"/>
      <c r="OT218" s="6"/>
      <c r="OU218" s="6"/>
      <c r="OV218" s="5" t="str">
        <f t="shared" si="755"/>
        <v>NO APLICA</v>
      </c>
      <c r="OW218" s="6"/>
      <c r="OX218" s="6"/>
      <c r="OY218" s="6"/>
      <c r="OZ218" s="6"/>
      <c r="PA218" s="5" t="str">
        <f t="shared" si="769"/>
        <v>NO APLICA</v>
      </c>
      <c r="PB218" s="6"/>
      <c r="PC218" s="6"/>
      <c r="PD218" s="6"/>
      <c r="PE218" s="6"/>
      <c r="PF218" s="5" t="str">
        <f t="shared" si="756"/>
        <v>NO APLICA</v>
      </c>
      <c r="PG218" s="6"/>
      <c r="PH218" s="6"/>
      <c r="PI218" s="6"/>
      <c r="PJ218" s="6"/>
      <c r="PK218" s="5" t="str">
        <f t="shared" si="757"/>
        <v>NO APLICA</v>
      </c>
      <c r="PL218" s="5"/>
      <c r="PM218" s="6"/>
      <c r="PN218" s="6"/>
      <c r="PO218" s="6"/>
      <c r="PP218" s="5" t="str">
        <f t="shared" si="766"/>
        <v>NO APLICA</v>
      </c>
      <c r="PQ218" s="6"/>
      <c r="PR218" s="6"/>
      <c r="PS218" s="6"/>
      <c r="PT218" s="6"/>
      <c r="PU218" s="5" t="str">
        <f t="shared" si="758"/>
        <v>NO APLICA</v>
      </c>
      <c r="PV218" s="5"/>
      <c r="PW218" s="6"/>
      <c r="PX218" s="6"/>
      <c r="PY218" s="6"/>
      <c r="PZ218" s="5" t="str">
        <f t="shared" si="759"/>
        <v>NO APLICA</v>
      </c>
    </row>
    <row r="219" spans="1:442" ht="15.6" hidden="1" thickTop="1" thickBot="1" x14ac:dyDescent="0.35">
      <c r="A219" s="26">
        <v>216</v>
      </c>
      <c r="B219" s="31">
        <v>1533</v>
      </c>
      <c r="C219" s="28" t="s">
        <v>774</v>
      </c>
      <c r="D219" s="29" t="s">
        <v>621</v>
      </c>
      <c r="E219" s="30" t="s">
        <v>622</v>
      </c>
      <c r="F219" s="6"/>
      <c r="G219" s="6"/>
      <c r="H219" s="6"/>
      <c r="I219" s="6"/>
      <c r="J219" s="5" t="str">
        <f t="shared" si="696"/>
        <v>NO APLICA</v>
      </c>
      <c r="K219" s="6"/>
      <c r="L219" s="6"/>
      <c r="M219" s="6"/>
      <c r="N219" s="6"/>
      <c r="O219" s="5" t="str">
        <f t="shared" si="699"/>
        <v>NO APLICA</v>
      </c>
      <c r="P219" s="6"/>
      <c r="Q219" s="6"/>
      <c r="R219" s="6"/>
      <c r="S219" s="6"/>
      <c r="T219" s="5" t="str">
        <f t="shared" si="697"/>
        <v>NO APLICA</v>
      </c>
      <c r="U219" s="5"/>
      <c r="V219" s="6"/>
      <c r="W219" s="4"/>
      <c r="X219" s="4"/>
      <c r="Y219" s="8"/>
      <c r="Z219" s="5" t="str">
        <f t="shared" si="605"/>
        <v>NO APLICA</v>
      </c>
      <c r="AA219" s="5"/>
      <c r="AB219" s="6"/>
      <c r="AC219" s="6"/>
      <c r="AD219" s="6"/>
      <c r="AE219" s="6"/>
      <c r="AF219" s="5" t="str">
        <f t="shared" si="700"/>
        <v>NO APLICA</v>
      </c>
      <c r="AG219" s="4"/>
      <c r="AH219" s="4"/>
      <c r="AI219" s="4"/>
      <c r="AJ219" s="6"/>
      <c r="AK219" s="5" t="str">
        <f t="shared" si="602"/>
        <v>NO APLICA</v>
      </c>
      <c r="AL219" s="4"/>
      <c r="AM219" s="4"/>
      <c r="AN219" s="4"/>
      <c r="AO219" s="6"/>
      <c r="AP219" s="5" t="str">
        <f t="shared" si="701"/>
        <v>NO APLICA</v>
      </c>
      <c r="AQ219" s="4"/>
      <c r="AR219" s="4"/>
      <c r="AS219" s="4"/>
      <c r="AT219" s="6"/>
      <c r="AU219" s="5" t="str">
        <f t="shared" si="702"/>
        <v>NO APLICA</v>
      </c>
      <c r="AV219" s="4"/>
      <c r="AW219" s="4"/>
      <c r="AX219" s="4"/>
      <c r="AY219" s="6"/>
      <c r="AZ219" s="5" t="str">
        <f t="shared" si="703"/>
        <v>NO APLICA</v>
      </c>
      <c r="BA219" s="4"/>
      <c r="BB219" s="4"/>
      <c r="BC219" s="4"/>
      <c r="BD219" s="6"/>
      <c r="BE219" s="5" t="str">
        <f t="shared" si="704"/>
        <v>NO APLICA</v>
      </c>
      <c r="BF219" s="4"/>
      <c r="BG219" s="4"/>
      <c r="BH219" s="4"/>
      <c r="BI219" s="6"/>
      <c r="BJ219" s="5" t="str">
        <f t="shared" si="705"/>
        <v>NO APLICA</v>
      </c>
      <c r="BK219" s="4"/>
      <c r="BL219" s="4"/>
      <c r="BM219" s="4"/>
      <c r="BN219" s="6"/>
      <c r="BO219" s="5" t="str">
        <f t="shared" si="706"/>
        <v>NO APLICA</v>
      </c>
      <c r="BP219" s="4"/>
      <c r="BQ219" s="4"/>
      <c r="BR219" s="4"/>
      <c r="BS219" s="6"/>
      <c r="BT219" s="5" t="str">
        <f t="shared" si="707"/>
        <v>NO APLICA</v>
      </c>
      <c r="BU219" s="4"/>
      <c r="BV219" s="4"/>
      <c r="BW219" s="4"/>
      <c r="BX219" s="6"/>
      <c r="BY219" s="5" t="str">
        <f t="shared" si="708"/>
        <v>NO APLICA</v>
      </c>
      <c r="BZ219" s="4"/>
      <c r="CA219" s="4"/>
      <c r="CB219" s="4"/>
      <c r="CC219" s="6"/>
      <c r="CD219" s="5" t="str">
        <f t="shared" si="709"/>
        <v>NO APLICA</v>
      </c>
      <c r="CE219" s="6"/>
      <c r="CF219" s="6"/>
      <c r="CG219" s="6"/>
      <c r="CH219" s="6"/>
      <c r="CI219" s="5" t="str">
        <f t="shared" si="770"/>
        <v>NO APLICA</v>
      </c>
      <c r="CJ219" s="4"/>
      <c r="CK219" s="4"/>
      <c r="CL219" s="4"/>
      <c r="CM219" s="6"/>
      <c r="CN219" s="5" t="str">
        <f t="shared" si="710"/>
        <v>NO APLICA</v>
      </c>
      <c r="CO219" s="4"/>
      <c r="CP219" s="4"/>
      <c r="CQ219" s="4"/>
      <c r="CR219" s="6"/>
      <c r="CS219" s="5" t="str">
        <f t="shared" si="711"/>
        <v>NO APLICA</v>
      </c>
      <c r="CT219" s="4"/>
      <c r="CU219" s="4"/>
      <c r="CV219" s="4"/>
      <c r="CW219" s="6"/>
      <c r="CX219" s="5" t="str">
        <f t="shared" si="712"/>
        <v>NO APLICA</v>
      </c>
      <c r="CY219" s="4"/>
      <c r="CZ219" s="4"/>
      <c r="DA219" s="4"/>
      <c r="DB219" s="6"/>
      <c r="DC219" s="5" t="str">
        <f t="shared" si="713"/>
        <v>NO APLICA</v>
      </c>
      <c r="DD219" s="4"/>
      <c r="DE219" s="4"/>
      <c r="DF219" s="4"/>
      <c r="DG219" s="6"/>
      <c r="DH219" s="5" t="str">
        <f t="shared" si="714"/>
        <v>NO APLICA</v>
      </c>
      <c r="DI219" s="4"/>
      <c r="DJ219" s="4"/>
      <c r="DK219" s="4"/>
      <c r="DL219" s="6"/>
      <c r="DM219" s="5" t="str">
        <f t="shared" si="715"/>
        <v>NO APLICA</v>
      </c>
      <c r="DN219" s="4"/>
      <c r="DO219" s="4"/>
      <c r="DP219" s="4"/>
      <c r="DQ219" s="6"/>
      <c r="DR219" s="5" t="str">
        <f t="shared" si="716"/>
        <v>NO APLICA</v>
      </c>
      <c r="DS219" s="4"/>
      <c r="DT219" s="4"/>
      <c r="DU219" s="4"/>
      <c r="DV219" s="6"/>
      <c r="DW219" s="5" t="str">
        <f t="shared" si="717"/>
        <v>NO APLICA</v>
      </c>
      <c r="DX219" s="4"/>
      <c r="DY219" s="4"/>
      <c r="DZ219" s="4"/>
      <c r="EA219" s="6"/>
      <c r="EB219" s="5" t="str">
        <f t="shared" si="718"/>
        <v>NO APLICA</v>
      </c>
      <c r="EC219" s="4"/>
      <c r="ED219" s="4"/>
      <c r="EE219" s="4"/>
      <c r="EF219" s="6"/>
      <c r="EG219" s="5" t="str">
        <f t="shared" si="719"/>
        <v>NO APLICA</v>
      </c>
      <c r="EH219" s="4"/>
      <c r="EI219" s="4"/>
      <c r="EJ219" s="4"/>
      <c r="EK219" s="8"/>
      <c r="EL219" s="5" t="str">
        <f t="shared" si="720"/>
        <v>NO APLICA</v>
      </c>
      <c r="EM219" s="4"/>
      <c r="EN219" s="4"/>
      <c r="EO219" s="4"/>
      <c r="EP219" s="8"/>
      <c r="EQ219" s="5" t="str">
        <f t="shared" si="721"/>
        <v>NO APLICA</v>
      </c>
      <c r="ER219" s="4"/>
      <c r="ES219" s="4"/>
      <c r="ET219" s="4"/>
      <c r="EU219" s="8"/>
      <c r="EV219" s="5" t="str">
        <f t="shared" si="722"/>
        <v>NO APLICA</v>
      </c>
      <c r="EW219" s="4"/>
      <c r="EX219" s="4"/>
      <c r="EY219" s="4"/>
      <c r="EZ219" s="6"/>
      <c r="FA219" s="5" t="str">
        <f t="shared" si="723"/>
        <v>NO APLICA</v>
      </c>
      <c r="FB219" s="4"/>
      <c r="FC219" s="4"/>
      <c r="FD219" s="4"/>
      <c r="FE219" s="6"/>
      <c r="FF219" s="5" t="str">
        <f t="shared" si="724"/>
        <v>NO APLICA</v>
      </c>
      <c r="FG219" s="4"/>
      <c r="FH219" s="4"/>
      <c r="FI219" s="4"/>
      <c r="FJ219" s="6"/>
      <c r="FK219" s="5" t="str">
        <f t="shared" si="725"/>
        <v>NO APLICA</v>
      </c>
      <c r="FL219" s="4"/>
      <c r="FM219" s="4"/>
      <c r="FN219" s="4"/>
      <c r="FO219" s="6"/>
      <c r="FP219" s="5" t="str">
        <f t="shared" si="726"/>
        <v>NO APLICA</v>
      </c>
      <c r="FQ219" s="4"/>
      <c r="FR219" s="4"/>
      <c r="FS219" s="4"/>
      <c r="FT219" s="6"/>
      <c r="FU219" s="5" t="str">
        <f t="shared" si="727"/>
        <v>NO APLICA</v>
      </c>
      <c r="FV219" s="4"/>
      <c r="FW219" s="4"/>
      <c r="FX219" s="4"/>
      <c r="FY219" s="6"/>
      <c r="FZ219" s="5" t="str">
        <f t="shared" si="728"/>
        <v>NO APLICA</v>
      </c>
      <c r="GA219" s="4"/>
      <c r="GB219" s="4"/>
      <c r="GC219" s="4"/>
      <c r="GD219" s="6"/>
      <c r="GE219" s="5" t="str">
        <f t="shared" si="729"/>
        <v>NO APLICA</v>
      </c>
      <c r="GF219" s="4"/>
      <c r="GG219" s="4"/>
      <c r="GH219" s="4"/>
      <c r="GI219" s="8"/>
      <c r="GJ219" s="5" t="str">
        <f t="shared" si="730"/>
        <v>NO APLICA</v>
      </c>
      <c r="GK219" s="4"/>
      <c r="GL219" s="6"/>
      <c r="GM219" s="6"/>
      <c r="GN219" s="6"/>
      <c r="GO219" s="5" t="str">
        <f t="shared" si="731"/>
        <v>NO APLICA</v>
      </c>
      <c r="GP219" s="4"/>
      <c r="GQ219" s="6"/>
      <c r="GR219" s="6"/>
      <c r="GS219" s="6"/>
      <c r="GT219" s="5" t="str">
        <f t="shared" si="610"/>
        <v>NO APLICA</v>
      </c>
      <c r="GU219" s="4"/>
      <c r="GV219" s="6"/>
      <c r="GW219" s="6"/>
      <c r="GX219" s="6"/>
      <c r="GY219" s="5" t="str">
        <f t="shared" si="611"/>
        <v>NO APLICA</v>
      </c>
      <c r="GZ219" s="6"/>
      <c r="HA219" s="6"/>
      <c r="HB219" s="6"/>
      <c r="HC219" s="6"/>
      <c r="HD219" s="5" t="str">
        <f t="shared" si="612"/>
        <v>NO APLICA</v>
      </c>
      <c r="HE219" s="6"/>
      <c r="HF219" s="6"/>
      <c r="HG219" s="4"/>
      <c r="HH219" s="8"/>
      <c r="HI219" s="5" t="str">
        <f t="shared" si="698"/>
        <v>NO APLICA</v>
      </c>
      <c r="HJ219" s="6"/>
      <c r="HK219" s="6"/>
      <c r="HL219" s="6"/>
      <c r="HM219" s="6"/>
      <c r="HN219" s="5" t="str">
        <f t="shared" si="694"/>
        <v>NO APLICA</v>
      </c>
      <c r="HO219" s="6"/>
      <c r="HP219" s="6"/>
      <c r="HQ219" s="6"/>
      <c r="HR219" s="6"/>
      <c r="HS219" s="5" t="str">
        <f t="shared" si="732"/>
        <v>NO APLICA</v>
      </c>
      <c r="HT219" s="6"/>
      <c r="HU219" s="6"/>
      <c r="HV219" s="6"/>
      <c r="HW219" s="6"/>
      <c r="HX219" s="5" t="str">
        <f t="shared" si="733"/>
        <v>NO APLICA</v>
      </c>
      <c r="HY219" s="6"/>
      <c r="HZ219" s="6"/>
      <c r="IA219" s="6"/>
      <c r="IB219" s="6"/>
      <c r="IC219" s="5" t="str">
        <f t="shared" si="734"/>
        <v>NO APLICA</v>
      </c>
      <c r="ID219" s="6"/>
      <c r="IE219" s="6"/>
      <c r="IF219" s="6"/>
      <c r="IG219" s="6"/>
      <c r="IH219" s="5" t="str">
        <f t="shared" si="735"/>
        <v>NO APLICA</v>
      </c>
      <c r="II219" s="6"/>
      <c r="IJ219" s="6"/>
      <c r="IK219" s="6"/>
      <c r="IL219" s="6"/>
      <c r="IM219" s="5" t="str">
        <f t="shared" si="736"/>
        <v>NO APLICA</v>
      </c>
      <c r="IN219" s="6"/>
      <c r="IO219" s="6"/>
      <c r="IP219" s="6"/>
      <c r="IQ219" s="6"/>
      <c r="IR219" s="5" t="str">
        <f t="shared" si="737"/>
        <v>NO APLICA</v>
      </c>
      <c r="IS219" s="6"/>
      <c r="IT219" s="6"/>
      <c r="IU219" s="6"/>
      <c r="IV219" s="6"/>
      <c r="IW219" s="5" t="str">
        <f t="shared" si="738"/>
        <v>NO APLICA</v>
      </c>
      <c r="IX219" s="6"/>
      <c r="IY219" s="6"/>
      <c r="IZ219" s="6"/>
      <c r="JA219" s="6"/>
      <c r="JB219" s="5" t="str">
        <f t="shared" si="739"/>
        <v>NO APLICA</v>
      </c>
      <c r="JC219" s="3" t="s">
        <v>780</v>
      </c>
      <c r="JD219" s="6"/>
      <c r="JE219" s="6"/>
      <c r="JF219" s="6"/>
      <c r="JG219" s="5"/>
      <c r="JH219" s="3" t="s">
        <v>780</v>
      </c>
      <c r="JI219" s="6"/>
      <c r="JJ219" s="6"/>
      <c r="JK219" s="6"/>
      <c r="JL219" s="5"/>
      <c r="JM219" s="6" t="s">
        <v>780</v>
      </c>
      <c r="JN219" s="6"/>
      <c r="JO219" s="6"/>
      <c r="JP219" s="6"/>
      <c r="JQ219" s="5"/>
      <c r="JR219" s="6" t="s">
        <v>780</v>
      </c>
      <c r="JS219" s="6"/>
      <c r="JT219" s="6"/>
      <c r="JU219" s="6"/>
      <c r="JV219" s="5"/>
      <c r="JW219" s="6" t="s">
        <v>780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40"/>
        <v>NO APLICA</v>
      </c>
      <c r="KG219" s="5"/>
      <c r="KH219" s="6"/>
      <c r="KI219" s="6"/>
      <c r="KJ219" s="6"/>
      <c r="KK219" s="5" t="str">
        <f t="shared" si="760"/>
        <v>NO APLICA</v>
      </c>
      <c r="KL219" s="5"/>
      <c r="KM219" s="6"/>
      <c r="KN219" s="6"/>
      <c r="KO219" s="6"/>
      <c r="KP219" s="5" t="str">
        <f t="shared" si="741"/>
        <v>NO APLICA</v>
      </c>
      <c r="KQ219" s="5"/>
      <c r="KR219" s="6"/>
      <c r="KS219" s="6"/>
      <c r="KT219" s="6"/>
      <c r="KU219" s="5" t="str">
        <f t="shared" si="761"/>
        <v>NO APLICA</v>
      </c>
      <c r="KV219" s="6"/>
      <c r="KW219" s="6"/>
      <c r="KX219" s="6"/>
      <c r="KY219" s="6"/>
      <c r="KZ219" s="5" t="str">
        <f t="shared" si="767"/>
        <v>NO APLICA</v>
      </c>
      <c r="LA219" s="5"/>
      <c r="LB219" s="6"/>
      <c r="LC219" s="6"/>
      <c r="LD219" s="6"/>
      <c r="LE219" s="5" t="str">
        <f t="shared" si="762"/>
        <v>NO APLICA</v>
      </c>
      <c r="LF219" s="6"/>
      <c r="LG219" s="6"/>
      <c r="LH219" s="6"/>
      <c r="LI219" s="6"/>
      <c r="LJ219" s="5" t="str">
        <f t="shared" si="600"/>
        <v>NO APLICA</v>
      </c>
      <c r="LK219" s="5"/>
      <c r="LL219" s="5"/>
      <c r="LM219" s="4"/>
      <c r="LN219" s="8"/>
      <c r="LO219" s="5" t="str">
        <f t="shared" si="768"/>
        <v>NO APLICA</v>
      </c>
      <c r="LP219" s="6"/>
      <c r="LQ219" s="6"/>
      <c r="LR219" s="6"/>
      <c r="LS219" s="6"/>
      <c r="LT219" s="5" t="str">
        <f t="shared" si="763"/>
        <v>NO APLICA</v>
      </c>
      <c r="LU219" s="6"/>
      <c r="LV219" s="6"/>
      <c r="LW219" s="6"/>
      <c r="LX219" s="6"/>
      <c r="LY219" s="5" t="str">
        <f t="shared" si="764"/>
        <v>NO APLICA</v>
      </c>
      <c r="LZ219" s="6"/>
      <c r="MA219" s="6"/>
      <c r="MB219" s="6"/>
      <c r="MC219" s="6"/>
      <c r="MD219" s="5" t="str">
        <f t="shared" si="765"/>
        <v>NO APLICA</v>
      </c>
      <c r="ME219" s="6"/>
      <c r="MF219" s="6"/>
      <c r="MG219" s="6"/>
      <c r="MH219" s="6"/>
      <c r="MI219" s="5" t="str">
        <f t="shared" si="742"/>
        <v>NO APLICA</v>
      </c>
      <c r="MJ219" s="6"/>
      <c r="MK219" s="6"/>
      <c r="ML219" s="6"/>
      <c r="MM219" s="6"/>
      <c r="MN219" s="5" t="str">
        <f t="shared" si="743"/>
        <v>NO APLICA</v>
      </c>
      <c r="MO219" s="5"/>
      <c r="MP219" s="6"/>
      <c r="MQ219" s="6"/>
      <c r="MR219" s="6"/>
      <c r="MS219" s="5" t="str">
        <f t="shared" si="744"/>
        <v>NO APLICA</v>
      </c>
      <c r="MT219" s="5"/>
      <c r="MU219" s="6"/>
      <c r="MV219" s="6"/>
      <c r="MW219" s="6"/>
      <c r="MX219" s="5" t="str">
        <f t="shared" si="745"/>
        <v>NO APLICA</v>
      </c>
      <c r="MY219" s="6"/>
      <c r="MZ219" s="6"/>
      <c r="NA219" s="6"/>
      <c r="NB219" s="6"/>
      <c r="NC219" s="5" t="str">
        <f t="shared" si="746"/>
        <v>NO APLICA</v>
      </c>
      <c r="ND219" s="6"/>
      <c r="NE219" s="6"/>
      <c r="NF219" s="6"/>
      <c r="NG219" s="6"/>
      <c r="NH219" s="5" t="str">
        <f t="shared" si="747"/>
        <v>NO APLICA</v>
      </c>
      <c r="NI219" s="6"/>
      <c r="NJ219" s="6"/>
      <c r="NK219" s="6"/>
      <c r="NL219" s="6"/>
      <c r="NM219" s="5" t="str">
        <f t="shared" si="748"/>
        <v>NO APLICA</v>
      </c>
      <c r="NN219" s="6"/>
      <c r="NO219" s="6"/>
      <c r="NP219" s="6"/>
      <c r="NQ219" s="6"/>
      <c r="NR219" s="5" t="str">
        <f t="shared" si="749"/>
        <v>NO APLICA</v>
      </c>
      <c r="NS219" s="6"/>
      <c r="NT219" s="6"/>
      <c r="NU219" s="6"/>
      <c r="NV219" s="6"/>
      <c r="NW219" s="5" t="str">
        <f t="shared" si="750"/>
        <v>NO APLICA</v>
      </c>
      <c r="NX219" s="6"/>
      <c r="NY219" s="6"/>
      <c r="NZ219" s="6"/>
      <c r="OA219" s="6"/>
      <c r="OB219" s="5" t="str">
        <f t="shared" si="751"/>
        <v>NO APLICA</v>
      </c>
      <c r="OC219" s="6"/>
      <c r="OD219" s="6"/>
      <c r="OE219" s="6"/>
      <c r="OF219" s="6"/>
      <c r="OG219" s="5" t="str">
        <f t="shared" si="752"/>
        <v>NO APLICA</v>
      </c>
      <c r="OH219" s="6"/>
      <c r="OI219" s="6"/>
      <c r="OJ219" s="6"/>
      <c r="OK219" s="6"/>
      <c r="OL219" s="5" t="str">
        <f t="shared" si="753"/>
        <v>NO APLICA</v>
      </c>
      <c r="OM219" s="6"/>
      <c r="ON219" s="6"/>
      <c r="OO219" s="6"/>
      <c r="OP219" s="6"/>
      <c r="OQ219" s="5" t="str">
        <f t="shared" si="754"/>
        <v>NO APLICA</v>
      </c>
      <c r="OR219" s="6"/>
      <c r="OS219" s="6"/>
      <c r="OT219" s="6"/>
      <c r="OU219" s="6"/>
      <c r="OV219" s="5" t="str">
        <f t="shared" si="755"/>
        <v>NO APLICA</v>
      </c>
      <c r="OW219" s="6"/>
      <c r="OX219" s="6"/>
      <c r="OY219" s="6"/>
      <c r="OZ219" s="6"/>
      <c r="PA219" s="5" t="str">
        <f t="shared" si="769"/>
        <v>NO APLICA</v>
      </c>
      <c r="PB219" s="6"/>
      <c r="PC219" s="6"/>
      <c r="PD219" s="6"/>
      <c r="PE219" s="6"/>
      <c r="PF219" s="5" t="str">
        <f t="shared" si="756"/>
        <v>NO APLICA</v>
      </c>
      <c r="PG219" s="6"/>
      <c r="PH219" s="6"/>
      <c r="PI219" s="6"/>
      <c r="PJ219" s="6"/>
      <c r="PK219" s="5" t="str">
        <f t="shared" si="757"/>
        <v>NO APLICA</v>
      </c>
      <c r="PL219" s="5"/>
      <c r="PM219" s="6"/>
      <c r="PN219" s="6"/>
      <c r="PO219" s="6"/>
      <c r="PP219" s="5" t="str">
        <f t="shared" si="766"/>
        <v>NO APLICA</v>
      </c>
      <c r="PQ219" s="6"/>
      <c r="PR219" s="6"/>
      <c r="PS219" s="6"/>
      <c r="PT219" s="6"/>
      <c r="PU219" s="5" t="str">
        <f t="shared" si="758"/>
        <v>NO APLICA</v>
      </c>
      <c r="PV219" s="5"/>
      <c r="PW219" s="6"/>
      <c r="PX219" s="6"/>
      <c r="PY219" s="6"/>
      <c r="PZ219" s="5" t="str">
        <f t="shared" si="759"/>
        <v>NO APLICA</v>
      </c>
    </row>
    <row r="220" spans="1:442" ht="15.6" hidden="1" thickTop="1" thickBot="1" x14ac:dyDescent="0.35">
      <c r="A220" s="26">
        <v>217</v>
      </c>
      <c r="B220" s="31">
        <v>644</v>
      </c>
      <c r="C220" s="28" t="s">
        <v>658</v>
      </c>
      <c r="D220" s="29" t="s">
        <v>621</v>
      </c>
      <c r="E220" s="30" t="s">
        <v>659</v>
      </c>
      <c r="F220" s="6"/>
      <c r="G220" s="6"/>
      <c r="H220" s="6"/>
      <c r="I220" s="6"/>
      <c r="J220" s="5" t="str">
        <f t="shared" si="696"/>
        <v>NO APLICA</v>
      </c>
      <c r="K220" s="6"/>
      <c r="L220" s="6"/>
      <c r="M220" s="6"/>
      <c r="N220" s="6"/>
      <c r="O220" s="5" t="str">
        <f t="shared" si="699"/>
        <v>NO APLICA</v>
      </c>
      <c r="P220" s="6"/>
      <c r="Q220" s="6"/>
      <c r="R220" s="6"/>
      <c r="S220" s="6"/>
      <c r="T220" s="5" t="str">
        <f t="shared" si="697"/>
        <v>NO APLICA</v>
      </c>
      <c r="U220" s="5"/>
      <c r="V220" s="6"/>
      <c r="W220" s="4"/>
      <c r="X220" s="4"/>
      <c r="Y220" s="8"/>
      <c r="Z220" s="5" t="str">
        <f t="shared" si="605"/>
        <v>NO APLICA</v>
      </c>
      <c r="AA220" s="5"/>
      <c r="AB220" s="6"/>
      <c r="AC220" s="6"/>
      <c r="AD220" s="6"/>
      <c r="AE220" s="6"/>
      <c r="AF220" s="5" t="str">
        <f t="shared" si="700"/>
        <v>NO APLICA</v>
      </c>
      <c r="AG220" s="4"/>
      <c r="AH220" s="4"/>
      <c r="AI220" s="4"/>
      <c r="AJ220" s="6"/>
      <c r="AK220" s="5" t="str">
        <f t="shared" si="602"/>
        <v>NO APLICA</v>
      </c>
      <c r="AL220" s="4"/>
      <c r="AM220" s="4"/>
      <c r="AN220" s="4"/>
      <c r="AO220" s="6"/>
      <c r="AP220" s="5" t="str">
        <f t="shared" si="701"/>
        <v>NO APLICA</v>
      </c>
      <c r="AQ220" s="4"/>
      <c r="AR220" s="4"/>
      <c r="AS220" s="4"/>
      <c r="AT220" s="6"/>
      <c r="AU220" s="5" t="str">
        <f t="shared" si="702"/>
        <v>NO APLICA</v>
      </c>
      <c r="AV220" s="4"/>
      <c r="AW220" s="4"/>
      <c r="AX220" s="4"/>
      <c r="AY220" s="6"/>
      <c r="AZ220" s="5" t="str">
        <f t="shared" si="703"/>
        <v>NO APLICA</v>
      </c>
      <c r="BA220" s="4"/>
      <c r="BB220" s="4"/>
      <c r="BC220" s="4"/>
      <c r="BD220" s="6"/>
      <c r="BE220" s="5" t="str">
        <f t="shared" si="704"/>
        <v>NO APLICA</v>
      </c>
      <c r="BF220" s="4"/>
      <c r="BG220" s="4"/>
      <c r="BH220" s="4"/>
      <c r="BI220" s="6"/>
      <c r="BJ220" s="5" t="str">
        <f t="shared" si="705"/>
        <v>NO APLICA</v>
      </c>
      <c r="BK220" s="4"/>
      <c r="BL220" s="4"/>
      <c r="BM220" s="4"/>
      <c r="BN220" s="6"/>
      <c r="BO220" s="5" t="str">
        <f t="shared" si="706"/>
        <v>NO APLICA</v>
      </c>
      <c r="BP220" s="4"/>
      <c r="BQ220" s="4"/>
      <c r="BR220" s="4"/>
      <c r="BS220" s="6"/>
      <c r="BT220" s="5" t="str">
        <f t="shared" si="707"/>
        <v>NO APLICA</v>
      </c>
      <c r="BU220" s="4"/>
      <c r="BV220" s="4"/>
      <c r="BW220" s="4"/>
      <c r="BX220" s="6"/>
      <c r="BY220" s="5" t="str">
        <f t="shared" si="708"/>
        <v>NO APLICA</v>
      </c>
      <c r="BZ220" s="4"/>
      <c r="CA220" s="4"/>
      <c r="CB220" s="4"/>
      <c r="CC220" s="6"/>
      <c r="CD220" s="5" t="str">
        <f t="shared" si="709"/>
        <v>NO APLICA</v>
      </c>
      <c r="CE220" s="6"/>
      <c r="CF220" s="6"/>
      <c r="CG220" s="6"/>
      <c r="CH220" s="6"/>
      <c r="CI220" s="5" t="str">
        <f t="shared" si="770"/>
        <v>NO APLICA</v>
      </c>
      <c r="CJ220" s="4"/>
      <c r="CK220" s="4"/>
      <c r="CL220" s="4"/>
      <c r="CM220" s="6"/>
      <c r="CN220" s="5" t="str">
        <f t="shared" si="710"/>
        <v>NO APLICA</v>
      </c>
      <c r="CO220" s="4"/>
      <c r="CP220" s="4"/>
      <c r="CQ220" s="4"/>
      <c r="CR220" s="6"/>
      <c r="CS220" s="5" t="str">
        <f t="shared" si="711"/>
        <v>NO APLICA</v>
      </c>
      <c r="CT220" s="4"/>
      <c r="CU220" s="4"/>
      <c r="CV220" s="4"/>
      <c r="CW220" s="6"/>
      <c r="CX220" s="5" t="str">
        <f t="shared" si="712"/>
        <v>NO APLICA</v>
      </c>
      <c r="CY220" s="4"/>
      <c r="CZ220" s="4"/>
      <c r="DA220" s="4"/>
      <c r="DB220" s="6"/>
      <c r="DC220" s="5" t="str">
        <f t="shared" si="713"/>
        <v>NO APLICA</v>
      </c>
      <c r="DD220" s="4"/>
      <c r="DE220" s="4"/>
      <c r="DF220" s="4"/>
      <c r="DG220" s="6"/>
      <c r="DH220" s="5" t="str">
        <f t="shared" si="714"/>
        <v>NO APLICA</v>
      </c>
      <c r="DI220" s="4"/>
      <c r="DJ220" s="4"/>
      <c r="DK220" s="4"/>
      <c r="DL220" s="6"/>
      <c r="DM220" s="5" t="str">
        <f t="shared" si="715"/>
        <v>NO APLICA</v>
      </c>
      <c r="DN220" s="4"/>
      <c r="DO220" s="4"/>
      <c r="DP220" s="4"/>
      <c r="DQ220" s="6"/>
      <c r="DR220" s="5" t="str">
        <f t="shared" si="716"/>
        <v>NO APLICA</v>
      </c>
      <c r="DS220" s="4"/>
      <c r="DT220" s="4"/>
      <c r="DU220" s="4"/>
      <c r="DV220" s="6"/>
      <c r="DW220" s="5" t="str">
        <f t="shared" si="717"/>
        <v>NO APLICA</v>
      </c>
      <c r="DX220" s="4"/>
      <c r="DY220" s="4"/>
      <c r="DZ220" s="4"/>
      <c r="EA220" s="6"/>
      <c r="EB220" s="5" t="str">
        <f t="shared" si="718"/>
        <v>NO APLICA</v>
      </c>
      <c r="EC220" s="4"/>
      <c r="ED220" s="4"/>
      <c r="EE220" s="4"/>
      <c r="EF220" s="6"/>
      <c r="EG220" s="5" t="str">
        <f t="shared" si="719"/>
        <v>NO APLICA</v>
      </c>
      <c r="EH220" s="4"/>
      <c r="EI220" s="4"/>
      <c r="EJ220" s="4"/>
      <c r="EK220" s="8"/>
      <c r="EL220" s="5" t="str">
        <f t="shared" si="720"/>
        <v>NO APLICA</v>
      </c>
      <c r="EM220" s="4"/>
      <c r="EN220" s="4"/>
      <c r="EO220" s="4"/>
      <c r="EP220" s="8"/>
      <c r="EQ220" s="5" t="str">
        <f t="shared" si="721"/>
        <v>NO APLICA</v>
      </c>
      <c r="ER220" s="4"/>
      <c r="ES220" s="4"/>
      <c r="ET220" s="4"/>
      <c r="EU220" s="8"/>
      <c r="EV220" s="5" t="str">
        <f t="shared" si="722"/>
        <v>NO APLICA</v>
      </c>
      <c r="EW220" s="4"/>
      <c r="EX220" s="4"/>
      <c r="EY220" s="4"/>
      <c r="EZ220" s="6"/>
      <c r="FA220" s="5" t="str">
        <f t="shared" si="723"/>
        <v>NO APLICA</v>
      </c>
      <c r="FB220" s="4"/>
      <c r="FC220" s="4"/>
      <c r="FD220" s="4"/>
      <c r="FE220" s="6"/>
      <c r="FF220" s="5" t="str">
        <f t="shared" si="724"/>
        <v>NO APLICA</v>
      </c>
      <c r="FG220" s="4"/>
      <c r="FH220" s="4"/>
      <c r="FI220" s="4"/>
      <c r="FJ220" s="6"/>
      <c r="FK220" s="5" t="str">
        <f t="shared" si="725"/>
        <v>NO APLICA</v>
      </c>
      <c r="FL220" s="4"/>
      <c r="FM220" s="4"/>
      <c r="FN220" s="4"/>
      <c r="FO220" s="6"/>
      <c r="FP220" s="5" t="str">
        <f t="shared" si="726"/>
        <v>NO APLICA</v>
      </c>
      <c r="FQ220" s="4"/>
      <c r="FR220" s="4"/>
      <c r="FS220" s="4"/>
      <c r="FT220" s="6"/>
      <c r="FU220" s="5" t="str">
        <f t="shared" si="727"/>
        <v>NO APLICA</v>
      </c>
      <c r="FV220" s="4"/>
      <c r="FW220" s="4"/>
      <c r="FX220" s="4"/>
      <c r="FY220" s="6"/>
      <c r="FZ220" s="5" t="str">
        <f t="shared" si="728"/>
        <v>NO APLICA</v>
      </c>
      <c r="GA220" s="4"/>
      <c r="GB220" s="4"/>
      <c r="GC220" s="4"/>
      <c r="GD220" s="6"/>
      <c r="GE220" s="5" t="str">
        <f t="shared" si="729"/>
        <v>NO APLICA</v>
      </c>
      <c r="GF220" s="4"/>
      <c r="GG220" s="4"/>
      <c r="GH220" s="4"/>
      <c r="GI220" s="8"/>
      <c r="GJ220" s="5" t="str">
        <f t="shared" si="730"/>
        <v>NO APLICA</v>
      </c>
      <c r="GK220" s="4"/>
      <c r="GL220" s="6"/>
      <c r="GM220" s="6"/>
      <c r="GN220" s="6"/>
      <c r="GO220" s="5" t="str">
        <f t="shared" si="731"/>
        <v>NO APLICA</v>
      </c>
      <c r="GP220" s="4"/>
      <c r="GQ220" s="6"/>
      <c r="GR220" s="6"/>
      <c r="GS220" s="6"/>
      <c r="GT220" s="5" t="str">
        <f t="shared" si="610"/>
        <v>NO APLICA</v>
      </c>
      <c r="GU220" s="4"/>
      <c r="GV220" s="6"/>
      <c r="GW220" s="6"/>
      <c r="GX220" s="6"/>
      <c r="GY220" s="5" t="str">
        <f t="shared" si="611"/>
        <v>NO APLICA</v>
      </c>
      <c r="GZ220" s="6"/>
      <c r="HA220" s="6"/>
      <c r="HB220" s="6"/>
      <c r="HC220" s="6"/>
      <c r="HD220" s="5" t="str">
        <f t="shared" si="612"/>
        <v>NO APLICA</v>
      </c>
      <c r="HE220" s="6"/>
      <c r="HF220" s="6"/>
      <c r="HG220" s="4"/>
      <c r="HH220" s="8"/>
      <c r="HI220" s="5" t="str">
        <f t="shared" si="698"/>
        <v>NO APLICA</v>
      </c>
      <c r="HJ220" s="6"/>
      <c r="HK220" s="6"/>
      <c r="HL220" s="6"/>
      <c r="HM220" s="6"/>
      <c r="HN220" s="5" t="str">
        <f t="shared" si="694"/>
        <v>NO APLICA</v>
      </c>
      <c r="HO220" s="6"/>
      <c r="HP220" s="6"/>
      <c r="HQ220" s="6"/>
      <c r="HR220" s="6"/>
      <c r="HS220" s="5" t="str">
        <f t="shared" si="732"/>
        <v>NO APLICA</v>
      </c>
      <c r="HT220" s="6"/>
      <c r="HU220" s="6"/>
      <c r="HV220" s="6"/>
      <c r="HW220" s="6"/>
      <c r="HX220" s="5" t="str">
        <f t="shared" si="733"/>
        <v>NO APLICA</v>
      </c>
      <c r="HY220" s="6"/>
      <c r="HZ220" s="6"/>
      <c r="IA220" s="6"/>
      <c r="IB220" s="6"/>
      <c r="IC220" s="5" t="str">
        <f t="shared" si="734"/>
        <v>NO APLICA</v>
      </c>
      <c r="ID220" s="6"/>
      <c r="IE220" s="6"/>
      <c r="IF220" s="6"/>
      <c r="IG220" s="6"/>
      <c r="IH220" s="5" t="str">
        <f t="shared" si="735"/>
        <v>NO APLICA</v>
      </c>
      <c r="II220" s="6"/>
      <c r="IJ220" s="6"/>
      <c r="IK220" s="6"/>
      <c r="IL220" s="6"/>
      <c r="IM220" s="5" t="str">
        <f t="shared" si="736"/>
        <v>NO APLICA</v>
      </c>
      <c r="IN220" s="6"/>
      <c r="IO220" s="6"/>
      <c r="IP220" s="6"/>
      <c r="IQ220" s="6"/>
      <c r="IR220" s="5" t="str">
        <f t="shared" si="737"/>
        <v>NO APLICA</v>
      </c>
      <c r="IS220" s="6"/>
      <c r="IT220" s="6"/>
      <c r="IU220" s="6"/>
      <c r="IV220" s="6"/>
      <c r="IW220" s="5" t="str">
        <f t="shared" si="738"/>
        <v>NO APLICA</v>
      </c>
      <c r="IX220" s="6"/>
      <c r="IY220" s="6"/>
      <c r="IZ220" s="6"/>
      <c r="JA220" s="6"/>
      <c r="JB220" s="5" t="str">
        <f t="shared" si="739"/>
        <v>NO APLICA</v>
      </c>
      <c r="JC220" s="3" t="s">
        <v>780</v>
      </c>
      <c r="JD220" s="6"/>
      <c r="JE220" s="6"/>
      <c r="JF220" s="6"/>
      <c r="JG220" s="5"/>
      <c r="JH220" s="3" t="s">
        <v>780</v>
      </c>
      <c r="JI220" s="6"/>
      <c r="JJ220" s="6"/>
      <c r="JK220" s="6"/>
      <c r="JL220" s="5"/>
      <c r="JM220" s="6" t="s">
        <v>780</v>
      </c>
      <c r="JN220" s="6"/>
      <c r="JO220" s="6"/>
      <c r="JP220" s="6"/>
      <c r="JQ220" s="5"/>
      <c r="JR220" s="6" t="s">
        <v>780</v>
      </c>
      <c r="JS220" s="6"/>
      <c r="JT220" s="6"/>
      <c r="JU220" s="6"/>
      <c r="JV220" s="5"/>
      <c r="JW220" s="6" t="s">
        <v>780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40"/>
        <v>NO APLICA</v>
      </c>
      <c r="KG220" s="5"/>
      <c r="KH220" s="6"/>
      <c r="KI220" s="6"/>
      <c r="KJ220" s="6"/>
      <c r="KK220" s="5" t="str">
        <f t="shared" si="760"/>
        <v>NO APLICA</v>
      </c>
      <c r="KL220" s="5"/>
      <c r="KM220" s="6"/>
      <c r="KN220" s="6"/>
      <c r="KO220" s="6"/>
      <c r="KP220" s="5" t="str">
        <f t="shared" si="741"/>
        <v>NO APLICA</v>
      </c>
      <c r="KQ220" s="5"/>
      <c r="KR220" s="6"/>
      <c r="KS220" s="6"/>
      <c r="KT220" s="6"/>
      <c r="KU220" s="5" t="str">
        <f t="shared" si="761"/>
        <v>NO APLICA</v>
      </c>
      <c r="KV220" s="6"/>
      <c r="KW220" s="6"/>
      <c r="KX220" s="6"/>
      <c r="KY220" s="6"/>
      <c r="KZ220" s="5" t="str">
        <f t="shared" si="767"/>
        <v>NO APLICA</v>
      </c>
      <c r="LA220" s="5"/>
      <c r="LB220" s="6"/>
      <c r="LC220" s="6"/>
      <c r="LD220" s="6"/>
      <c r="LE220" s="5" t="str">
        <f t="shared" si="762"/>
        <v>NO APLICA</v>
      </c>
      <c r="LF220" s="6"/>
      <c r="LG220" s="6"/>
      <c r="LH220" s="6"/>
      <c r="LI220" s="6"/>
      <c r="LJ220" s="5" t="str">
        <f t="shared" si="600"/>
        <v>NO APLICA</v>
      </c>
      <c r="LK220" s="5"/>
      <c r="LL220" s="5"/>
      <c r="LM220" s="4"/>
      <c r="LN220" s="8"/>
      <c r="LO220" s="5" t="str">
        <f t="shared" si="768"/>
        <v>NO APLICA</v>
      </c>
      <c r="LP220" s="6"/>
      <c r="LQ220" s="6"/>
      <c r="LR220" s="6"/>
      <c r="LS220" s="6"/>
      <c r="LT220" s="5" t="str">
        <f t="shared" si="763"/>
        <v>NO APLICA</v>
      </c>
      <c r="LU220" s="6"/>
      <c r="LV220" s="6"/>
      <c r="LW220" s="6"/>
      <c r="LX220" s="6"/>
      <c r="LY220" s="5" t="str">
        <f t="shared" si="764"/>
        <v>NO APLICA</v>
      </c>
      <c r="LZ220" s="6"/>
      <c r="MA220" s="6"/>
      <c r="MB220" s="6"/>
      <c r="MC220" s="6"/>
      <c r="MD220" s="5" t="str">
        <f t="shared" si="765"/>
        <v>NO APLICA</v>
      </c>
      <c r="ME220" s="6"/>
      <c r="MF220" s="6"/>
      <c r="MG220" s="6"/>
      <c r="MH220" s="6"/>
      <c r="MI220" s="5" t="str">
        <f t="shared" si="742"/>
        <v>NO APLICA</v>
      </c>
      <c r="MJ220" s="6"/>
      <c r="MK220" s="6"/>
      <c r="ML220" s="6"/>
      <c r="MM220" s="6"/>
      <c r="MN220" s="5" t="str">
        <f t="shared" si="743"/>
        <v>NO APLICA</v>
      </c>
      <c r="MO220" s="5"/>
      <c r="MP220" s="6"/>
      <c r="MQ220" s="6"/>
      <c r="MR220" s="6"/>
      <c r="MS220" s="5" t="str">
        <f t="shared" si="744"/>
        <v>NO APLICA</v>
      </c>
      <c r="MT220" s="5"/>
      <c r="MU220" s="6"/>
      <c r="MV220" s="6"/>
      <c r="MW220" s="6"/>
      <c r="MX220" s="5" t="str">
        <f t="shared" si="745"/>
        <v>NO APLICA</v>
      </c>
      <c r="MY220" s="6"/>
      <c r="MZ220" s="6"/>
      <c r="NA220" s="6"/>
      <c r="NB220" s="6"/>
      <c r="NC220" s="5" t="str">
        <f t="shared" si="746"/>
        <v>NO APLICA</v>
      </c>
      <c r="ND220" s="6"/>
      <c r="NE220" s="6"/>
      <c r="NF220" s="6"/>
      <c r="NG220" s="6"/>
      <c r="NH220" s="5" t="str">
        <f t="shared" si="747"/>
        <v>NO APLICA</v>
      </c>
      <c r="NI220" s="6"/>
      <c r="NJ220" s="6"/>
      <c r="NK220" s="6"/>
      <c r="NL220" s="6"/>
      <c r="NM220" s="5" t="str">
        <f t="shared" si="748"/>
        <v>NO APLICA</v>
      </c>
      <c r="NN220" s="6"/>
      <c r="NO220" s="6"/>
      <c r="NP220" s="6"/>
      <c r="NQ220" s="6"/>
      <c r="NR220" s="5" t="str">
        <f t="shared" si="749"/>
        <v>NO APLICA</v>
      </c>
      <c r="NS220" s="6"/>
      <c r="NT220" s="6"/>
      <c r="NU220" s="6"/>
      <c r="NV220" s="6"/>
      <c r="NW220" s="5" t="str">
        <f t="shared" si="750"/>
        <v>NO APLICA</v>
      </c>
      <c r="NX220" s="6"/>
      <c r="NY220" s="6"/>
      <c r="NZ220" s="6"/>
      <c r="OA220" s="6"/>
      <c r="OB220" s="5" t="str">
        <f t="shared" si="751"/>
        <v>NO APLICA</v>
      </c>
      <c r="OC220" s="6"/>
      <c r="OD220" s="6"/>
      <c r="OE220" s="6"/>
      <c r="OF220" s="6"/>
      <c r="OG220" s="5" t="str">
        <f t="shared" si="752"/>
        <v>NO APLICA</v>
      </c>
      <c r="OH220" s="6"/>
      <c r="OI220" s="6"/>
      <c r="OJ220" s="6"/>
      <c r="OK220" s="6"/>
      <c r="OL220" s="5" t="str">
        <f t="shared" si="753"/>
        <v>NO APLICA</v>
      </c>
      <c r="OM220" s="6"/>
      <c r="ON220" s="6"/>
      <c r="OO220" s="6"/>
      <c r="OP220" s="6"/>
      <c r="OQ220" s="5" t="str">
        <f t="shared" si="754"/>
        <v>NO APLICA</v>
      </c>
      <c r="OR220" s="6"/>
      <c r="OS220" s="6"/>
      <c r="OT220" s="6"/>
      <c r="OU220" s="6"/>
      <c r="OV220" s="5" t="str">
        <f t="shared" si="755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6"/>
        <v>NO APLICA</v>
      </c>
      <c r="PG220" s="6"/>
      <c r="PH220" s="6"/>
      <c r="PI220" s="6"/>
      <c r="PJ220" s="6"/>
      <c r="PK220" s="5" t="str">
        <f t="shared" si="757"/>
        <v>NO APLICA</v>
      </c>
      <c r="PL220" s="5"/>
      <c r="PM220" s="6"/>
      <c r="PN220" s="6"/>
      <c r="PO220" s="6"/>
      <c r="PP220" s="5" t="str">
        <f t="shared" si="766"/>
        <v>NO APLICA</v>
      </c>
      <c r="PQ220" s="6"/>
      <c r="PR220" s="6"/>
      <c r="PS220" s="6"/>
      <c r="PT220" s="6"/>
      <c r="PU220" s="5" t="str">
        <f t="shared" si="758"/>
        <v>NO APLICA</v>
      </c>
      <c r="PV220" s="5"/>
      <c r="PW220" s="6"/>
      <c r="PX220" s="6"/>
      <c r="PY220" s="6"/>
      <c r="PZ220" s="5" t="str">
        <f t="shared" si="759"/>
        <v>NO APLICA</v>
      </c>
    </row>
    <row r="221" spans="1:442" ht="15.6" hidden="1" thickTop="1" thickBot="1" x14ac:dyDescent="0.35">
      <c r="A221" s="26">
        <v>218</v>
      </c>
      <c r="B221" s="31">
        <v>1537</v>
      </c>
      <c r="C221" s="28" t="s">
        <v>660</v>
      </c>
      <c r="D221" s="29" t="s">
        <v>609</v>
      </c>
      <c r="E221" s="30" t="s">
        <v>661</v>
      </c>
      <c r="F221" s="6"/>
      <c r="G221" s="6"/>
      <c r="H221" s="6"/>
      <c r="I221" s="6"/>
      <c r="J221" s="5" t="str">
        <f t="shared" si="696"/>
        <v>NO APLICA</v>
      </c>
      <c r="K221" s="3"/>
      <c r="L221" s="4"/>
      <c r="M221" s="6"/>
      <c r="N221" s="6"/>
      <c r="O221" s="5" t="str">
        <f t="shared" si="699"/>
        <v>NO APLICA</v>
      </c>
      <c r="P221" s="6"/>
      <c r="Q221" s="6"/>
      <c r="R221" s="6"/>
      <c r="S221" s="6"/>
      <c r="T221" s="5" t="str">
        <f t="shared" si="697"/>
        <v>NO APLICA</v>
      </c>
      <c r="U221" s="5"/>
      <c r="V221" s="6" t="s">
        <v>662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00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39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70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39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39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1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39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10"/>
        <v>NO APLICA</v>
      </c>
      <c r="GU221" s="4"/>
      <c r="GV221" s="6"/>
      <c r="GW221" s="6"/>
      <c r="GX221" s="6"/>
      <c r="GY221" s="5" t="str">
        <f t="shared" si="611"/>
        <v>NO APLICA</v>
      </c>
      <c r="GZ221" s="6"/>
      <c r="HA221" s="6"/>
      <c r="HB221" s="6"/>
      <c r="HC221" s="6"/>
      <c r="HD221" s="5" t="str">
        <f t="shared" si="612"/>
        <v>NO APLICA</v>
      </c>
      <c r="HE221" s="6"/>
      <c r="HF221" s="6"/>
      <c r="HG221" s="4"/>
      <c r="HH221" s="8"/>
      <c r="HI221" s="5" t="str">
        <f t="shared" si="698"/>
        <v>NO APLICA</v>
      </c>
      <c r="HJ221" s="6"/>
      <c r="HK221" s="6"/>
      <c r="HL221" s="6"/>
      <c r="HM221" s="6"/>
      <c r="HN221" s="5" t="str">
        <f t="shared" si="694"/>
        <v>NO APLICA</v>
      </c>
      <c r="HO221" s="6"/>
      <c r="HP221" s="6"/>
      <c r="HQ221" s="6"/>
      <c r="HR221" s="6"/>
      <c r="HS221" s="5" t="str">
        <f t="shared" si="732"/>
        <v>NO APLICA</v>
      </c>
      <c r="HT221" s="6"/>
      <c r="HU221" s="6"/>
      <c r="HV221" s="6"/>
      <c r="HW221" s="6"/>
      <c r="HX221" s="5" t="str">
        <f t="shared" si="733"/>
        <v>NO APLICA</v>
      </c>
      <c r="HY221" s="6"/>
      <c r="HZ221" s="6"/>
      <c r="IA221" s="6"/>
      <c r="IB221" s="6"/>
      <c r="IC221" s="5" t="str">
        <f t="shared" si="734"/>
        <v>NO APLICA</v>
      </c>
      <c r="ID221" s="6"/>
      <c r="IE221" s="6"/>
      <c r="IF221" s="6"/>
      <c r="IG221" s="6"/>
      <c r="IH221" s="5" t="str">
        <f t="shared" si="735"/>
        <v>NO APLICA</v>
      </c>
      <c r="II221" s="6"/>
      <c r="IJ221" s="6"/>
      <c r="IK221" s="6"/>
      <c r="IL221" s="6"/>
      <c r="IM221" s="5" t="str">
        <f t="shared" si="736"/>
        <v>NO APLICA</v>
      </c>
      <c r="IN221" s="6"/>
      <c r="IO221" s="6"/>
      <c r="IP221" s="6"/>
      <c r="IQ221" s="6"/>
      <c r="IR221" s="5" t="str">
        <f t="shared" si="737"/>
        <v>NO APLICA</v>
      </c>
      <c r="IS221" s="6"/>
      <c r="IT221" s="6"/>
      <c r="IU221" s="6"/>
      <c r="IV221" s="6"/>
      <c r="IW221" s="5" t="str">
        <f t="shared" si="738"/>
        <v>NO APLICA</v>
      </c>
      <c r="IX221" s="6"/>
      <c r="IY221" s="6"/>
      <c r="IZ221" s="6"/>
      <c r="JA221" s="6"/>
      <c r="JB221" s="5" t="str">
        <f t="shared" si="739"/>
        <v>NO APLICA</v>
      </c>
      <c r="JC221" s="3" t="s">
        <v>780</v>
      </c>
      <c r="JD221" s="6"/>
      <c r="JE221" s="6"/>
      <c r="JF221" s="6"/>
      <c r="JG221" s="5"/>
      <c r="JH221" s="3" t="s">
        <v>780</v>
      </c>
      <c r="JI221" s="6"/>
      <c r="JJ221" s="6"/>
      <c r="JK221" s="6"/>
      <c r="JL221" s="5"/>
      <c r="JM221" s="6" t="s">
        <v>780</v>
      </c>
      <c r="JN221" s="6"/>
      <c r="JO221" s="6"/>
      <c r="JP221" s="6"/>
      <c r="JQ221" s="5"/>
      <c r="JR221" s="6" t="s">
        <v>780</v>
      </c>
      <c r="JS221" s="6"/>
      <c r="JT221" s="6"/>
      <c r="JU221" s="6"/>
      <c r="JV221" s="5"/>
      <c r="JW221" s="6" t="s">
        <v>780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40"/>
        <v>NO APLICA</v>
      </c>
      <c r="KG221" s="5"/>
      <c r="KH221" s="6"/>
      <c r="KI221" s="6"/>
      <c r="KJ221" s="6"/>
      <c r="KK221" s="5" t="str">
        <f t="shared" si="760"/>
        <v>NO APLICA</v>
      </c>
      <c r="KL221" s="5"/>
      <c r="KM221" s="6"/>
      <c r="KN221" s="6"/>
      <c r="KO221" s="6"/>
      <c r="KP221" s="5" t="str">
        <f t="shared" si="741"/>
        <v>NO APLICA</v>
      </c>
      <c r="KQ221" s="5"/>
      <c r="KR221" s="6"/>
      <c r="KS221" s="6"/>
      <c r="KT221" s="6"/>
      <c r="KU221" s="5" t="str">
        <f t="shared" si="761"/>
        <v>NO APLICA</v>
      </c>
      <c r="KV221" s="6"/>
      <c r="KW221" s="6"/>
      <c r="KX221" s="6"/>
      <c r="KY221" s="6"/>
      <c r="KZ221" s="5" t="str">
        <f t="shared" si="767"/>
        <v>NO APLICA</v>
      </c>
      <c r="LA221" s="5"/>
      <c r="LB221" s="6"/>
      <c r="LC221" s="6"/>
      <c r="LD221" s="6"/>
      <c r="LE221" s="5" t="str">
        <f t="shared" si="762"/>
        <v>NO APLICA</v>
      </c>
      <c r="LF221" s="6"/>
      <c r="LG221" s="6"/>
      <c r="LH221" s="6"/>
      <c r="LI221" s="6"/>
      <c r="LJ221" s="5" t="str">
        <f t="shared" si="600"/>
        <v>NO APLICA</v>
      </c>
      <c r="LK221" s="5"/>
      <c r="LL221" s="5"/>
      <c r="LM221" s="4"/>
      <c r="LN221" s="8"/>
      <c r="LO221" s="5" t="str">
        <f t="shared" si="768"/>
        <v>NO APLICA</v>
      </c>
      <c r="LP221" s="6"/>
      <c r="LQ221" s="6"/>
      <c r="LR221" s="6"/>
      <c r="LS221" s="6"/>
      <c r="LT221" s="5" t="str">
        <f t="shared" si="763"/>
        <v>NO APLICA</v>
      </c>
      <c r="LU221" s="6"/>
      <c r="LV221" s="6"/>
      <c r="LW221" s="6"/>
      <c r="LX221" s="6"/>
      <c r="LY221" s="5" t="str">
        <f t="shared" si="764"/>
        <v>NO APLICA</v>
      </c>
      <c r="LZ221" s="6"/>
      <c r="MA221" s="6"/>
      <c r="MB221" s="6"/>
      <c r="MC221" s="6"/>
      <c r="MD221" s="5" t="str">
        <f t="shared" si="765"/>
        <v>NO APLICA</v>
      </c>
      <c r="ME221" s="6"/>
      <c r="MF221" s="6"/>
      <c r="MG221" s="6"/>
      <c r="MH221" s="6"/>
      <c r="MI221" s="5" t="str">
        <f t="shared" si="742"/>
        <v>NO APLICA</v>
      </c>
      <c r="MJ221" s="6"/>
      <c r="MK221" s="6"/>
      <c r="ML221" s="6"/>
      <c r="MM221" s="6"/>
      <c r="MN221" s="5" t="str">
        <f t="shared" si="743"/>
        <v>NO APLICA</v>
      </c>
      <c r="MO221" s="5"/>
      <c r="MP221" s="6"/>
      <c r="MQ221" s="6"/>
      <c r="MR221" s="6"/>
      <c r="MS221" s="5" t="str">
        <f t="shared" si="744"/>
        <v>NO APLICA</v>
      </c>
      <c r="MT221" s="5"/>
      <c r="MU221" s="6"/>
      <c r="MV221" s="6"/>
      <c r="MW221" s="6"/>
      <c r="MX221" s="5" t="str">
        <f t="shared" si="745"/>
        <v>NO APLICA</v>
      </c>
      <c r="MY221" s="6"/>
      <c r="MZ221" s="6"/>
      <c r="NA221" s="6"/>
      <c r="NB221" s="6"/>
      <c r="NC221" s="5" t="str">
        <f t="shared" si="746"/>
        <v>NO APLICA</v>
      </c>
      <c r="ND221" s="6"/>
      <c r="NE221" s="6"/>
      <c r="NF221" s="6"/>
      <c r="NG221" s="6"/>
      <c r="NH221" s="5" t="str">
        <f t="shared" si="747"/>
        <v>NO APLICA</v>
      </c>
      <c r="NI221" s="6"/>
      <c r="NJ221" s="6"/>
      <c r="NK221" s="6"/>
      <c r="NL221" s="6"/>
      <c r="NM221" s="5" t="str">
        <f t="shared" si="748"/>
        <v>NO APLICA</v>
      </c>
      <c r="NN221" s="6"/>
      <c r="NO221" s="6"/>
      <c r="NP221" s="6"/>
      <c r="NQ221" s="6"/>
      <c r="NR221" s="5" t="str">
        <f t="shared" si="749"/>
        <v>NO APLICA</v>
      </c>
      <c r="NS221" s="6"/>
      <c r="NT221" s="6"/>
      <c r="NU221" s="6"/>
      <c r="NV221" s="6"/>
      <c r="NW221" s="5" t="str">
        <f t="shared" si="750"/>
        <v>NO APLICA</v>
      </c>
      <c r="NX221" s="6"/>
      <c r="NY221" s="6"/>
      <c r="NZ221" s="6"/>
      <c r="OA221" s="6"/>
      <c r="OB221" s="5" t="str">
        <f t="shared" si="751"/>
        <v>NO APLICA</v>
      </c>
      <c r="OC221" s="6"/>
      <c r="OD221" s="6"/>
      <c r="OE221" s="6"/>
      <c r="OF221" s="6"/>
      <c r="OG221" s="5" t="str">
        <f t="shared" si="752"/>
        <v>NO APLICA</v>
      </c>
      <c r="OH221" s="6"/>
      <c r="OI221" s="6"/>
      <c r="OJ221" s="6"/>
      <c r="OK221" s="6"/>
      <c r="OL221" s="5" t="str">
        <f t="shared" si="753"/>
        <v>NO APLICA</v>
      </c>
      <c r="OM221" s="6"/>
      <c r="ON221" s="6"/>
      <c r="OO221" s="6"/>
      <c r="OP221" s="6"/>
      <c r="OQ221" s="5" t="str">
        <f t="shared" si="754"/>
        <v>NO APLICA</v>
      </c>
      <c r="OR221" s="4"/>
      <c r="OS221" s="4"/>
      <c r="OT221" s="4"/>
      <c r="OU221" s="8"/>
      <c r="OV221" s="5" t="str">
        <f t="shared" si="755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9"/>
        <v>NO APLICA</v>
      </c>
    </row>
    <row r="222" spans="1:442" ht="15.6" hidden="1" thickTop="1" thickBot="1" x14ac:dyDescent="0.35">
      <c r="A222" s="26">
        <v>219</v>
      </c>
      <c r="B222" s="31">
        <v>1525</v>
      </c>
      <c r="C222" s="28" t="s">
        <v>663</v>
      </c>
      <c r="D222" s="29" t="s">
        <v>621</v>
      </c>
      <c r="E222" s="30" t="s">
        <v>622</v>
      </c>
      <c r="F222" s="6"/>
      <c r="G222" s="6"/>
      <c r="H222" s="6"/>
      <c r="I222" s="6"/>
      <c r="J222" s="5" t="str">
        <f t="shared" si="696"/>
        <v>NO APLICA</v>
      </c>
      <c r="K222" s="6"/>
      <c r="L222" s="6"/>
      <c r="M222" s="6"/>
      <c r="N222" s="6"/>
      <c r="O222" s="5" t="str">
        <f t="shared" si="699"/>
        <v>NO APLICA</v>
      </c>
      <c r="P222" s="6"/>
      <c r="Q222" s="6"/>
      <c r="R222" s="6"/>
      <c r="S222" s="6"/>
      <c r="T222" s="5" t="str">
        <f t="shared" si="697"/>
        <v>NO APLICA</v>
      </c>
      <c r="U222" s="5"/>
      <c r="V222" s="6"/>
      <c r="W222" s="4"/>
      <c r="X222" s="4"/>
      <c r="Y222" s="8"/>
      <c r="Z222" s="5" t="str">
        <f t="shared" si="605"/>
        <v>NO APLICA</v>
      </c>
      <c r="AA222" s="5"/>
      <c r="AB222" s="6"/>
      <c r="AC222" s="6"/>
      <c r="AD222" s="6"/>
      <c r="AE222" s="6"/>
      <c r="AF222" s="5" t="str">
        <f t="shared" si="700"/>
        <v>NO APLICA</v>
      </c>
      <c r="AG222" s="4"/>
      <c r="AH222" s="4"/>
      <c r="AI222" s="4"/>
      <c r="AJ222" s="6"/>
      <c r="AK222" s="5" t="str">
        <f t="shared" si="602"/>
        <v>NO APLICA</v>
      </c>
      <c r="AL222" s="4"/>
      <c r="AM222" s="4"/>
      <c r="AN222" s="4"/>
      <c r="AO222" s="6"/>
      <c r="AP222" s="5" t="str">
        <f t="shared" si="701"/>
        <v>NO APLICA</v>
      </c>
      <c r="AQ222" s="4"/>
      <c r="AR222" s="4"/>
      <c r="AS222" s="4"/>
      <c r="AT222" s="6"/>
      <c r="AU222" s="5" t="str">
        <f t="shared" si="702"/>
        <v>NO APLICA</v>
      </c>
      <c r="AV222" s="4"/>
      <c r="AW222" s="4"/>
      <c r="AX222" s="4"/>
      <c r="AY222" s="6"/>
      <c r="AZ222" s="5" t="str">
        <f t="shared" si="703"/>
        <v>NO APLICA</v>
      </c>
      <c r="BA222" s="4"/>
      <c r="BB222" s="4"/>
      <c r="BC222" s="4"/>
      <c r="BD222" s="6"/>
      <c r="BE222" s="5" t="str">
        <f t="shared" si="704"/>
        <v>NO APLICA</v>
      </c>
      <c r="BF222" s="4"/>
      <c r="BG222" s="4"/>
      <c r="BH222" s="4"/>
      <c r="BI222" s="6"/>
      <c r="BJ222" s="5" t="str">
        <f t="shared" si="705"/>
        <v>NO APLICA</v>
      </c>
      <c r="BK222" s="4"/>
      <c r="BL222" s="4"/>
      <c r="BM222" s="4"/>
      <c r="BN222" s="6"/>
      <c r="BO222" s="5" t="str">
        <f t="shared" si="706"/>
        <v>NO APLICA</v>
      </c>
      <c r="BP222" s="4"/>
      <c r="BQ222" s="4"/>
      <c r="BR222" s="4"/>
      <c r="BS222" s="6"/>
      <c r="BT222" s="5" t="str">
        <f t="shared" si="707"/>
        <v>NO APLICA</v>
      </c>
      <c r="BU222" s="4"/>
      <c r="BV222" s="4"/>
      <c r="BW222" s="4"/>
      <c r="BX222" s="6"/>
      <c r="BY222" s="5" t="str">
        <f t="shared" si="708"/>
        <v>NO APLICA</v>
      </c>
      <c r="BZ222" s="4"/>
      <c r="CA222" s="4"/>
      <c r="CB222" s="4"/>
      <c r="CC222" s="6"/>
      <c r="CD222" s="5" t="str">
        <f t="shared" si="709"/>
        <v>NO APLICA</v>
      </c>
      <c r="CE222" s="6"/>
      <c r="CF222" s="6"/>
      <c r="CG222" s="6"/>
      <c r="CH222" s="6"/>
      <c r="CI222" s="5" t="str">
        <f t="shared" si="770"/>
        <v>NO APLICA</v>
      </c>
      <c r="CJ222" s="4"/>
      <c r="CK222" s="4"/>
      <c r="CL222" s="4"/>
      <c r="CM222" s="6"/>
      <c r="CN222" s="5" t="str">
        <f t="shared" si="710"/>
        <v>NO APLICA</v>
      </c>
      <c r="CO222" s="4"/>
      <c r="CP222" s="4"/>
      <c r="CQ222" s="4"/>
      <c r="CR222" s="6"/>
      <c r="CS222" s="5" t="str">
        <f t="shared" si="711"/>
        <v>NO APLICA</v>
      </c>
      <c r="CT222" s="4"/>
      <c r="CU222" s="4"/>
      <c r="CV222" s="4"/>
      <c r="CW222" s="6"/>
      <c r="CX222" s="5" t="str">
        <f t="shared" si="712"/>
        <v>NO APLICA</v>
      </c>
      <c r="CY222" s="4"/>
      <c r="CZ222" s="4"/>
      <c r="DA222" s="4"/>
      <c r="DB222" s="6"/>
      <c r="DC222" s="5" t="str">
        <f t="shared" si="713"/>
        <v>NO APLICA</v>
      </c>
      <c r="DD222" s="4"/>
      <c r="DE222" s="4"/>
      <c r="DF222" s="4"/>
      <c r="DG222" s="6"/>
      <c r="DH222" s="5" t="str">
        <f t="shared" si="714"/>
        <v>NO APLICA</v>
      </c>
      <c r="DI222" s="4"/>
      <c r="DJ222" s="4"/>
      <c r="DK222" s="4"/>
      <c r="DL222" s="6"/>
      <c r="DM222" s="5" t="str">
        <f t="shared" si="715"/>
        <v>NO APLICA</v>
      </c>
      <c r="DN222" s="4"/>
      <c r="DO222" s="4"/>
      <c r="DP222" s="4"/>
      <c r="DQ222" s="6"/>
      <c r="DR222" s="5" t="str">
        <f t="shared" si="716"/>
        <v>NO APLICA</v>
      </c>
      <c r="DS222" s="4"/>
      <c r="DT222" s="4"/>
      <c r="DU222" s="4"/>
      <c r="DV222" s="6"/>
      <c r="DW222" s="5" t="str">
        <f t="shared" si="717"/>
        <v>NO APLICA</v>
      </c>
      <c r="DX222" s="4"/>
      <c r="DY222" s="4"/>
      <c r="DZ222" s="4"/>
      <c r="EA222" s="6"/>
      <c r="EB222" s="5" t="str">
        <f t="shared" si="718"/>
        <v>NO APLICA</v>
      </c>
      <c r="EC222" s="4"/>
      <c r="ED222" s="4"/>
      <c r="EE222" s="4"/>
      <c r="EF222" s="6"/>
      <c r="EG222" s="5" t="str">
        <f t="shared" si="719"/>
        <v>NO APLICA</v>
      </c>
      <c r="EH222" s="4"/>
      <c r="EI222" s="4"/>
      <c r="EJ222" s="4"/>
      <c r="EK222" s="8"/>
      <c r="EL222" s="5" t="str">
        <f t="shared" si="720"/>
        <v>NO APLICA</v>
      </c>
      <c r="EM222" s="4"/>
      <c r="EN222" s="4"/>
      <c r="EO222" s="4"/>
      <c r="EP222" s="8"/>
      <c r="EQ222" s="5" t="str">
        <f t="shared" si="721"/>
        <v>NO APLICA</v>
      </c>
      <c r="ER222" s="4"/>
      <c r="ES222" s="4"/>
      <c r="ET222" s="4"/>
      <c r="EU222" s="8"/>
      <c r="EV222" s="5" t="str">
        <f t="shared" si="722"/>
        <v>NO APLICA</v>
      </c>
      <c r="EW222" s="4"/>
      <c r="EX222" s="4"/>
      <c r="EY222" s="4"/>
      <c r="EZ222" s="6"/>
      <c r="FA222" s="5" t="str">
        <f t="shared" si="723"/>
        <v>NO APLICA</v>
      </c>
      <c r="FB222" s="4"/>
      <c r="FC222" s="4"/>
      <c r="FD222" s="4"/>
      <c r="FE222" s="6"/>
      <c r="FF222" s="5" t="str">
        <f t="shared" si="724"/>
        <v>NO APLICA</v>
      </c>
      <c r="FG222" s="4"/>
      <c r="FH222" s="4"/>
      <c r="FI222" s="4"/>
      <c r="FJ222" s="6"/>
      <c r="FK222" s="5" t="str">
        <f t="shared" si="725"/>
        <v>NO APLICA</v>
      </c>
      <c r="FL222" s="4"/>
      <c r="FM222" s="4"/>
      <c r="FN222" s="4"/>
      <c r="FO222" s="6"/>
      <c r="FP222" s="5" t="str">
        <f t="shared" si="726"/>
        <v>NO APLICA</v>
      </c>
      <c r="FQ222" s="4"/>
      <c r="FR222" s="4"/>
      <c r="FS222" s="4"/>
      <c r="FT222" s="6"/>
      <c r="FU222" s="5" t="str">
        <f t="shared" si="727"/>
        <v>NO APLICA</v>
      </c>
      <c r="FV222" s="4"/>
      <c r="FW222" s="4"/>
      <c r="FX222" s="4"/>
      <c r="FY222" s="6"/>
      <c r="FZ222" s="5" t="str">
        <f t="shared" si="728"/>
        <v>NO APLICA</v>
      </c>
      <c r="GA222" s="4"/>
      <c r="GB222" s="4"/>
      <c r="GC222" s="4"/>
      <c r="GD222" s="6"/>
      <c r="GE222" s="5" t="str">
        <f t="shared" si="729"/>
        <v>NO APLICA</v>
      </c>
      <c r="GF222" s="4"/>
      <c r="GG222" s="4"/>
      <c r="GH222" s="4"/>
      <c r="GI222" s="8"/>
      <c r="GJ222" s="5" t="str">
        <f t="shared" si="730"/>
        <v>NO APLICA</v>
      </c>
      <c r="GK222" s="4"/>
      <c r="GL222" s="6"/>
      <c r="GM222" s="6"/>
      <c r="GN222" s="6"/>
      <c r="GO222" s="5" t="str">
        <f t="shared" si="731"/>
        <v>NO APLICA</v>
      </c>
      <c r="GP222" s="4"/>
      <c r="GQ222" s="6"/>
      <c r="GR222" s="6"/>
      <c r="GS222" s="6"/>
      <c r="GT222" s="5" t="str">
        <f t="shared" si="610"/>
        <v>NO APLICA</v>
      </c>
      <c r="GU222" s="4"/>
      <c r="GV222" s="6"/>
      <c r="GW222" s="6"/>
      <c r="GX222" s="6"/>
      <c r="GY222" s="5" t="str">
        <f t="shared" si="611"/>
        <v>NO APLICA</v>
      </c>
      <c r="GZ222" s="6"/>
      <c r="HA222" s="6"/>
      <c r="HB222" s="6"/>
      <c r="HC222" s="6"/>
      <c r="HD222" s="5" t="str">
        <f t="shared" si="612"/>
        <v>NO APLICA</v>
      </c>
      <c r="HE222" s="6"/>
      <c r="HF222" s="6"/>
      <c r="HG222" s="4"/>
      <c r="HH222" s="8"/>
      <c r="HI222" s="5" t="str">
        <f t="shared" si="698"/>
        <v>NO APLICA</v>
      </c>
      <c r="HJ222" s="6"/>
      <c r="HK222" s="6"/>
      <c r="HL222" s="6"/>
      <c r="HM222" s="6"/>
      <c r="HN222" s="5" t="str">
        <f t="shared" si="694"/>
        <v>NO APLICA</v>
      </c>
      <c r="HO222" s="6"/>
      <c r="HP222" s="6"/>
      <c r="HQ222" s="6"/>
      <c r="HR222" s="6"/>
      <c r="HS222" s="5" t="str">
        <f t="shared" si="732"/>
        <v>NO APLICA</v>
      </c>
      <c r="HT222" s="6"/>
      <c r="HU222" s="6"/>
      <c r="HV222" s="6"/>
      <c r="HW222" s="6"/>
      <c r="HX222" s="5" t="str">
        <f t="shared" si="733"/>
        <v>NO APLICA</v>
      </c>
      <c r="HY222" s="6"/>
      <c r="HZ222" s="6"/>
      <c r="IA222" s="6"/>
      <c r="IB222" s="6"/>
      <c r="IC222" s="5" t="str">
        <f t="shared" si="734"/>
        <v>NO APLICA</v>
      </c>
      <c r="ID222" s="6"/>
      <c r="IE222" s="6"/>
      <c r="IF222" s="6"/>
      <c r="IG222" s="6"/>
      <c r="IH222" s="5" t="str">
        <f t="shared" si="735"/>
        <v>NO APLICA</v>
      </c>
      <c r="II222" s="6"/>
      <c r="IJ222" s="6"/>
      <c r="IK222" s="6"/>
      <c r="IL222" s="6"/>
      <c r="IM222" s="5" t="str">
        <f t="shared" si="736"/>
        <v>NO APLICA</v>
      </c>
      <c r="IN222" s="6"/>
      <c r="IO222" s="6"/>
      <c r="IP222" s="6"/>
      <c r="IQ222" s="6"/>
      <c r="IR222" s="5" t="str">
        <f t="shared" si="737"/>
        <v>NO APLICA</v>
      </c>
      <c r="IS222" s="6"/>
      <c r="IT222" s="6"/>
      <c r="IU222" s="6"/>
      <c r="IV222" s="6"/>
      <c r="IW222" s="5" t="str">
        <f t="shared" si="738"/>
        <v>NO APLICA</v>
      </c>
      <c r="IX222" s="6"/>
      <c r="IY222" s="6"/>
      <c r="IZ222" s="6"/>
      <c r="JA222" s="6"/>
      <c r="JB222" s="5" t="str">
        <f t="shared" si="739"/>
        <v>NO APLICA</v>
      </c>
      <c r="JC222" s="3" t="s">
        <v>780</v>
      </c>
      <c r="JD222" s="6"/>
      <c r="JE222" s="6"/>
      <c r="JF222" s="6"/>
      <c r="JG222" s="5"/>
      <c r="JH222" s="3" t="s">
        <v>780</v>
      </c>
      <c r="JI222" s="6"/>
      <c r="JJ222" s="6"/>
      <c r="JK222" s="6"/>
      <c r="JL222" s="5"/>
      <c r="JM222" s="6" t="s">
        <v>780</v>
      </c>
      <c r="JN222" s="6"/>
      <c r="JO222" s="6"/>
      <c r="JP222" s="6"/>
      <c r="JQ222" s="5"/>
      <c r="JR222" s="6" t="s">
        <v>780</v>
      </c>
      <c r="JS222" s="6"/>
      <c r="JT222" s="6"/>
      <c r="JU222" s="6"/>
      <c r="JV222" s="5"/>
      <c r="JW222" s="6" t="s">
        <v>780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40"/>
        <v>NO APLICA</v>
      </c>
      <c r="KG222" s="5"/>
      <c r="KH222" s="6"/>
      <c r="KI222" s="6"/>
      <c r="KJ222" s="6"/>
      <c r="KK222" s="5" t="str">
        <f t="shared" si="760"/>
        <v>NO APLICA</v>
      </c>
      <c r="KL222" s="5"/>
      <c r="KM222" s="6"/>
      <c r="KN222" s="6"/>
      <c r="KO222" s="6"/>
      <c r="KP222" s="5" t="str">
        <f t="shared" si="741"/>
        <v>NO APLICA</v>
      </c>
      <c r="KQ222" s="5"/>
      <c r="KR222" s="6"/>
      <c r="KS222" s="6"/>
      <c r="KT222" s="6"/>
      <c r="KU222" s="5" t="str">
        <f t="shared" si="761"/>
        <v>NO APLICA</v>
      </c>
      <c r="KV222" s="6"/>
      <c r="KW222" s="6"/>
      <c r="KX222" s="6"/>
      <c r="KY222" s="6"/>
      <c r="KZ222" s="5" t="str">
        <f t="shared" si="767"/>
        <v>NO APLICA</v>
      </c>
      <c r="LA222" s="5"/>
      <c r="LB222" s="6"/>
      <c r="LC222" s="6"/>
      <c r="LD222" s="6"/>
      <c r="LE222" s="5" t="str">
        <f t="shared" si="762"/>
        <v>NO APLICA</v>
      </c>
      <c r="LF222" s="6"/>
      <c r="LG222" s="6"/>
      <c r="LH222" s="6"/>
      <c r="LI222" s="6"/>
      <c r="LJ222" s="5" t="str">
        <f t="shared" si="600"/>
        <v>NO APLICA</v>
      </c>
      <c r="LK222" s="5"/>
      <c r="LL222" s="5"/>
      <c r="LM222" s="4"/>
      <c r="LN222" s="8"/>
      <c r="LO222" s="5" t="str">
        <f t="shared" si="768"/>
        <v>NO APLICA</v>
      </c>
      <c r="LP222" s="6"/>
      <c r="LQ222" s="6"/>
      <c r="LR222" s="6"/>
      <c r="LS222" s="6"/>
      <c r="LT222" s="5" t="str">
        <f t="shared" si="763"/>
        <v>NO APLICA</v>
      </c>
      <c r="LU222" s="6"/>
      <c r="LV222" s="6"/>
      <c r="LW222" s="6"/>
      <c r="LX222" s="6"/>
      <c r="LY222" s="5" t="str">
        <f t="shared" si="764"/>
        <v>NO APLICA</v>
      </c>
      <c r="LZ222" s="6"/>
      <c r="MA222" s="6"/>
      <c r="MB222" s="6"/>
      <c r="MC222" s="6"/>
      <c r="MD222" s="5" t="str">
        <f t="shared" si="765"/>
        <v>NO APLICA</v>
      </c>
      <c r="ME222" s="6"/>
      <c r="MF222" s="6"/>
      <c r="MG222" s="6"/>
      <c r="MH222" s="6"/>
      <c r="MI222" s="5" t="str">
        <f t="shared" si="742"/>
        <v>NO APLICA</v>
      </c>
      <c r="MJ222" s="6"/>
      <c r="MK222" s="6"/>
      <c r="ML222" s="6"/>
      <c r="MM222" s="6"/>
      <c r="MN222" s="5" t="str">
        <f t="shared" si="743"/>
        <v>NO APLICA</v>
      </c>
      <c r="MO222" s="5"/>
      <c r="MP222" s="6"/>
      <c r="MQ222" s="6"/>
      <c r="MR222" s="6"/>
      <c r="MS222" s="5" t="str">
        <f t="shared" si="744"/>
        <v>NO APLICA</v>
      </c>
      <c r="MT222" s="5"/>
      <c r="MU222" s="6"/>
      <c r="MV222" s="6"/>
      <c r="MW222" s="6"/>
      <c r="MX222" s="5" t="str">
        <f t="shared" si="745"/>
        <v>NO APLICA</v>
      </c>
      <c r="MY222" s="6"/>
      <c r="MZ222" s="6"/>
      <c r="NA222" s="6"/>
      <c r="NB222" s="6"/>
      <c r="NC222" s="5" t="str">
        <f t="shared" si="746"/>
        <v>NO APLICA</v>
      </c>
      <c r="ND222" s="6"/>
      <c r="NE222" s="6"/>
      <c r="NF222" s="6"/>
      <c r="NG222" s="6"/>
      <c r="NH222" s="5" t="str">
        <f t="shared" si="747"/>
        <v>NO APLICA</v>
      </c>
      <c r="NI222" s="6"/>
      <c r="NJ222" s="6"/>
      <c r="NK222" s="6"/>
      <c r="NL222" s="6"/>
      <c r="NM222" s="5" t="str">
        <f t="shared" si="748"/>
        <v>NO APLICA</v>
      </c>
      <c r="NN222" s="6"/>
      <c r="NO222" s="6"/>
      <c r="NP222" s="6"/>
      <c r="NQ222" s="6"/>
      <c r="NR222" s="5" t="str">
        <f t="shared" si="749"/>
        <v>NO APLICA</v>
      </c>
      <c r="NS222" s="6"/>
      <c r="NT222" s="6"/>
      <c r="NU222" s="6"/>
      <c r="NV222" s="6"/>
      <c r="NW222" s="5" t="str">
        <f t="shared" si="750"/>
        <v>NO APLICA</v>
      </c>
      <c r="NX222" s="6"/>
      <c r="NY222" s="6"/>
      <c r="NZ222" s="6"/>
      <c r="OA222" s="6"/>
      <c r="OB222" s="5" t="str">
        <f t="shared" si="751"/>
        <v>NO APLICA</v>
      </c>
      <c r="OC222" s="6"/>
      <c r="OD222" s="6"/>
      <c r="OE222" s="6"/>
      <c r="OF222" s="6"/>
      <c r="OG222" s="5" t="str">
        <f t="shared" si="752"/>
        <v>NO APLICA</v>
      </c>
      <c r="OH222" s="6"/>
      <c r="OI222" s="6"/>
      <c r="OJ222" s="6"/>
      <c r="OK222" s="6"/>
      <c r="OL222" s="5" t="str">
        <f t="shared" si="753"/>
        <v>NO APLICA</v>
      </c>
      <c r="OM222" s="6"/>
      <c r="ON222" s="6"/>
      <c r="OO222" s="6"/>
      <c r="OP222" s="6"/>
      <c r="OQ222" s="5" t="str">
        <f t="shared" si="754"/>
        <v>NO APLICA</v>
      </c>
      <c r="OR222" s="6"/>
      <c r="OS222" s="6"/>
      <c r="OT222" s="6"/>
      <c r="OU222" s="6"/>
      <c r="OV222" s="5" t="str">
        <f t="shared" si="755"/>
        <v>NO APLICA</v>
      </c>
      <c r="OW222" s="6"/>
      <c r="OX222" s="6"/>
      <c r="OY222" s="6"/>
      <c r="OZ222" s="6"/>
      <c r="PA222" s="5" t="str">
        <f t="shared" si="769"/>
        <v>NO APLICA</v>
      </c>
      <c r="PB222" s="6"/>
      <c r="PC222" s="6"/>
      <c r="PD222" s="6"/>
      <c r="PE222" s="6"/>
      <c r="PF222" s="5" t="str">
        <f t="shared" si="756"/>
        <v>NO APLICA</v>
      </c>
      <c r="PG222" s="6"/>
      <c r="PH222" s="6"/>
      <c r="PI222" s="6"/>
      <c r="PJ222" s="6"/>
      <c r="PK222" s="5" t="str">
        <f t="shared" si="757"/>
        <v>NO APLICA</v>
      </c>
      <c r="PL222" s="5"/>
      <c r="PM222" s="6"/>
      <c r="PN222" s="6"/>
      <c r="PO222" s="6"/>
      <c r="PP222" s="5" t="str">
        <f t="shared" si="766"/>
        <v>NO APLICA</v>
      </c>
      <c r="PQ222" s="6"/>
      <c r="PR222" s="6"/>
      <c r="PS222" s="6"/>
      <c r="PT222" s="6"/>
      <c r="PU222" s="5" t="str">
        <f t="shared" si="758"/>
        <v>NO APLICA</v>
      </c>
      <c r="PV222" s="5"/>
      <c r="PW222" s="6"/>
      <c r="PX222" s="6"/>
      <c r="PY222" s="6"/>
      <c r="PZ222" s="5" t="str">
        <f t="shared" si="759"/>
        <v>NO APLICA</v>
      </c>
    </row>
    <row r="223" spans="1:442" ht="15.6" hidden="1" thickTop="1" thickBot="1" x14ac:dyDescent="0.35">
      <c r="A223" s="26">
        <v>220</v>
      </c>
      <c r="B223" s="31">
        <v>603</v>
      </c>
      <c r="C223" s="28" t="s">
        <v>664</v>
      </c>
      <c r="D223" s="29" t="s">
        <v>627</v>
      </c>
      <c r="E223" s="30" t="s">
        <v>665</v>
      </c>
      <c r="F223" s="6"/>
      <c r="G223" s="6"/>
      <c r="H223" s="6"/>
      <c r="I223" s="6"/>
      <c r="J223" s="5" t="str">
        <f t="shared" si="696"/>
        <v>NO APLICA</v>
      </c>
      <c r="K223" s="6"/>
      <c r="L223" s="6"/>
      <c r="M223" s="6"/>
      <c r="N223" s="6"/>
      <c r="O223" s="5" t="str">
        <f t="shared" si="699"/>
        <v>NO APLICA</v>
      </c>
      <c r="P223" s="6"/>
      <c r="Q223" s="6"/>
      <c r="R223" s="6"/>
      <c r="S223" s="6"/>
      <c r="T223" s="5" t="str">
        <f t="shared" si="697"/>
        <v>NO APLICA</v>
      </c>
      <c r="U223" s="5"/>
      <c r="V223" s="6"/>
      <c r="W223" s="4"/>
      <c r="X223" s="4"/>
      <c r="Y223" s="8"/>
      <c r="Z223" s="5" t="str">
        <f t="shared" si="605"/>
        <v>NO APLICA</v>
      </c>
      <c r="AA223" s="5"/>
      <c r="AB223" s="6"/>
      <c r="AC223" s="6"/>
      <c r="AD223" s="6"/>
      <c r="AE223" s="6"/>
      <c r="AF223" s="5" t="str">
        <f t="shared" si="700"/>
        <v>NO APLICA</v>
      </c>
      <c r="AG223" s="4"/>
      <c r="AH223" s="4"/>
      <c r="AI223" s="4"/>
      <c r="AJ223" s="6"/>
      <c r="AK223" s="5" t="str">
        <f t="shared" si="602"/>
        <v>NO APLICA</v>
      </c>
      <c r="AL223" s="4"/>
      <c r="AM223" s="4"/>
      <c r="AN223" s="4"/>
      <c r="AO223" s="6"/>
      <c r="AP223" s="5" t="str">
        <f t="shared" si="701"/>
        <v>NO APLICA</v>
      </c>
      <c r="AQ223" s="4"/>
      <c r="AR223" s="4"/>
      <c r="AS223" s="4"/>
      <c r="AT223" s="6"/>
      <c r="AU223" s="5" t="str">
        <f t="shared" si="702"/>
        <v>NO APLICA</v>
      </c>
      <c r="AV223" s="4"/>
      <c r="AW223" s="4"/>
      <c r="AX223" s="4"/>
      <c r="AY223" s="6"/>
      <c r="AZ223" s="5" t="str">
        <f t="shared" si="703"/>
        <v>NO APLICA</v>
      </c>
      <c r="BA223" s="4"/>
      <c r="BB223" s="4"/>
      <c r="BC223" s="4"/>
      <c r="BD223" s="6"/>
      <c r="BE223" s="5" t="str">
        <f t="shared" si="704"/>
        <v>NO APLICA</v>
      </c>
      <c r="BF223" s="4"/>
      <c r="BG223" s="4"/>
      <c r="BH223" s="4"/>
      <c r="BI223" s="6"/>
      <c r="BJ223" s="5" t="str">
        <f t="shared" si="705"/>
        <v>NO APLICA</v>
      </c>
      <c r="BK223" s="4"/>
      <c r="BL223" s="4"/>
      <c r="BM223" s="4"/>
      <c r="BN223" s="6"/>
      <c r="BO223" s="5" t="str">
        <f t="shared" si="706"/>
        <v>NO APLICA</v>
      </c>
      <c r="BP223" s="4"/>
      <c r="BQ223" s="4"/>
      <c r="BR223" s="4"/>
      <c r="BS223" s="6"/>
      <c r="BT223" s="5" t="str">
        <f t="shared" si="707"/>
        <v>NO APLICA</v>
      </c>
      <c r="BU223" s="4"/>
      <c r="BV223" s="4"/>
      <c r="BW223" s="4"/>
      <c r="BX223" s="6"/>
      <c r="BY223" s="5" t="str">
        <f t="shared" si="708"/>
        <v>NO APLICA</v>
      </c>
      <c r="BZ223" s="4"/>
      <c r="CA223" s="4"/>
      <c r="CB223" s="4"/>
      <c r="CC223" s="6"/>
      <c r="CD223" s="5" t="str">
        <f t="shared" si="709"/>
        <v>NO APLICA</v>
      </c>
      <c r="CE223" s="6"/>
      <c r="CF223" s="6"/>
      <c r="CG223" s="6"/>
      <c r="CH223" s="6"/>
      <c r="CI223" s="5" t="str">
        <f t="shared" si="770"/>
        <v>NO APLICA</v>
      </c>
      <c r="CJ223" s="4"/>
      <c r="CK223" s="4"/>
      <c r="CL223" s="4"/>
      <c r="CM223" s="6"/>
      <c r="CN223" s="5" t="str">
        <f t="shared" si="710"/>
        <v>NO APLICA</v>
      </c>
      <c r="CO223" s="4"/>
      <c r="CP223" s="4"/>
      <c r="CQ223" s="4"/>
      <c r="CR223" s="6"/>
      <c r="CS223" s="5" t="str">
        <f t="shared" si="711"/>
        <v>NO APLICA</v>
      </c>
      <c r="CT223" s="4"/>
      <c r="CU223" s="4"/>
      <c r="CV223" s="4"/>
      <c r="CW223" s="6"/>
      <c r="CX223" s="5" t="str">
        <f t="shared" si="712"/>
        <v>NO APLICA</v>
      </c>
      <c r="CY223" s="4"/>
      <c r="CZ223" s="4"/>
      <c r="DA223" s="4"/>
      <c r="DB223" s="6"/>
      <c r="DC223" s="5" t="str">
        <f t="shared" si="713"/>
        <v>NO APLICA</v>
      </c>
      <c r="DD223" s="4"/>
      <c r="DE223" s="4"/>
      <c r="DF223" s="4"/>
      <c r="DG223" s="6"/>
      <c r="DH223" s="5" t="str">
        <f t="shared" si="714"/>
        <v>NO APLICA</v>
      </c>
      <c r="DI223" s="4"/>
      <c r="DJ223" s="4"/>
      <c r="DK223" s="4"/>
      <c r="DL223" s="6"/>
      <c r="DM223" s="5" t="str">
        <f t="shared" si="715"/>
        <v>NO APLICA</v>
      </c>
      <c r="DN223" s="4"/>
      <c r="DO223" s="4"/>
      <c r="DP223" s="4"/>
      <c r="DQ223" s="6"/>
      <c r="DR223" s="5" t="str">
        <f t="shared" si="716"/>
        <v>NO APLICA</v>
      </c>
      <c r="DS223" s="4"/>
      <c r="DT223" s="4"/>
      <c r="DU223" s="4"/>
      <c r="DV223" s="6"/>
      <c r="DW223" s="5" t="str">
        <f t="shared" si="717"/>
        <v>NO APLICA</v>
      </c>
      <c r="DX223" s="4"/>
      <c r="DY223" s="4"/>
      <c r="DZ223" s="4"/>
      <c r="EA223" s="6"/>
      <c r="EB223" s="5" t="str">
        <f t="shared" si="718"/>
        <v>NO APLICA</v>
      </c>
      <c r="EC223" s="4"/>
      <c r="ED223" s="4"/>
      <c r="EE223" s="4"/>
      <c r="EF223" s="6"/>
      <c r="EG223" s="5" t="str">
        <f t="shared" si="719"/>
        <v>NO APLICA</v>
      </c>
      <c r="EH223" s="4"/>
      <c r="EI223" s="4"/>
      <c r="EJ223" s="4"/>
      <c r="EK223" s="8"/>
      <c r="EL223" s="5" t="str">
        <f t="shared" si="720"/>
        <v>NO APLICA</v>
      </c>
      <c r="EM223" s="4"/>
      <c r="EN223" s="4"/>
      <c r="EO223" s="4"/>
      <c r="EP223" s="8"/>
      <c r="EQ223" s="5" t="str">
        <f t="shared" si="721"/>
        <v>NO APLICA</v>
      </c>
      <c r="ER223" s="4"/>
      <c r="ES223" s="4"/>
      <c r="ET223" s="4"/>
      <c r="EU223" s="8"/>
      <c r="EV223" s="5" t="str">
        <f t="shared" si="722"/>
        <v>NO APLICA</v>
      </c>
      <c r="EW223" s="4"/>
      <c r="EX223" s="4"/>
      <c r="EY223" s="4"/>
      <c r="EZ223" s="6"/>
      <c r="FA223" s="5" t="str">
        <f t="shared" si="723"/>
        <v>NO APLICA</v>
      </c>
      <c r="FB223" s="4"/>
      <c r="FC223" s="4"/>
      <c r="FD223" s="4"/>
      <c r="FE223" s="6"/>
      <c r="FF223" s="5" t="str">
        <f t="shared" si="724"/>
        <v>NO APLICA</v>
      </c>
      <c r="FG223" s="4"/>
      <c r="FH223" s="4"/>
      <c r="FI223" s="4"/>
      <c r="FJ223" s="6"/>
      <c r="FK223" s="5" t="str">
        <f t="shared" si="725"/>
        <v>NO APLICA</v>
      </c>
      <c r="FL223" s="4"/>
      <c r="FM223" s="4"/>
      <c r="FN223" s="4"/>
      <c r="FO223" s="6"/>
      <c r="FP223" s="5" t="str">
        <f t="shared" si="726"/>
        <v>NO APLICA</v>
      </c>
      <c r="FQ223" s="4"/>
      <c r="FR223" s="4"/>
      <c r="FS223" s="4"/>
      <c r="FT223" s="6"/>
      <c r="FU223" s="5" t="str">
        <f t="shared" si="727"/>
        <v>NO APLICA</v>
      </c>
      <c r="FV223" s="4"/>
      <c r="FW223" s="4"/>
      <c r="FX223" s="4"/>
      <c r="FY223" s="6"/>
      <c r="FZ223" s="5" t="str">
        <f t="shared" si="728"/>
        <v>NO APLICA</v>
      </c>
      <c r="GA223" s="4"/>
      <c r="GB223" s="4"/>
      <c r="GC223" s="4"/>
      <c r="GD223" s="6"/>
      <c r="GE223" s="5" t="str">
        <f t="shared" si="729"/>
        <v>NO APLICA</v>
      </c>
      <c r="GF223" s="4"/>
      <c r="GG223" s="4"/>
      <c r="GH223" s="4"/>
      <c r="GI223" s="8"/>
      <c r="GJ223" s="5" t="str">
        <f t="shared" si="730"/>
        <v>NO APLICA</v>
      </c>
      <c r="GK223" s="4"/>
      <c r="GL223" s="6"/>
      <c r="GM223" s="6"/>
      <c r="GN223" s="6"/>
      <c r="GO223" s="5" t="str">
        <f t="shared" si="731"/>
        <v>NO APLICA</v>
      </c>
      <c r="GP223" s="4"/>
      <c r="GQ223" s="6"/>
      <c r="GR223" s="6"/>
      <c r="GS223" s="6"/>
      <c r="GT223" s="5" t="str">
        <f t="shared" si="610"/>
        <v>NO APLICA</v>
      </c>
      <c r="GU223" s="4"/>
      <c r="GV223" s="6"/>
      <c r="GW223" s="6"/>
      <c r="GX223" s="6"/>
      <c r="GY223" s="5" t="str">
        <f t="shared" si="611"/>
        <v>NO APLICA</v>
      </c>
      <c r="GZ223" s="6"/>
      <c r="HA223" s="6"/>
      <c r="HB223" s="6"/>
      <c r="HC223" s="6"/>
      <c r="HD223" s="5" t="str">
        <f t="shared" si="612"/>
        <v>NO APLICA</v>
      </c>
      <c r="HE223" s="6"/>
      <c r="HF223" s="6"/>
      <c r="HG223" s="4"/>
      <c r="HH223" s="8"/>
      <c r="HI223" s="5" t="str">
        <f t="shared" si="698"/>
        <v>NO APLICA</v>
      </c>
      <c r="HJ223" s="6"/>
      <c r="HK223" s="6"/>
      <c r="HL223" s="6"/>
      <c r="HM223" s="6"/>
      <c r="HN223" s="5" t="str">
        <f t="shared" si="694"/>
        <v>NO APLICA</v>
      </c>
      <c r="HO223" s="6"/>
      <c r="HP223" s="6"/>
      <c r="HQ223" s="6"/>
      <c r="HR223" s="6"/>
      <c r="HS223" s="5" t="str">
        <f t="shared" si="732"/>
        <v>NO APLICA</v>
      </c>
      <c r="HT223" s="6"/>
      <c r="HU223" s="6"/>
      <c r="HV223" s="6"/>
      <c r="HW223" s="6"/>
      <c r="HX223" s="5" t="str">
        <f t="shared" si="733"/>
        <v>NO APLICA</v>
      </c>
      <c r="HY223" s="6"/>
      <c r="HZ223" s="6"/>
      <c r="IA223" s="6"/>
      <c r="IB223" s="6"/>
      <c r="IC223" s="5" t="str">
        <f t="shared" si="734"/>
        <v>NO APLICA</v>
      </c>
      <c r="ID223" s="6"/>
      <c r="IE223" s="6"/>
      <c r="IF223" s="6"/>
      <c r="IG223" s="6"/>
      <c r="IH223" s="5" t="str">
        <f t="shared" si="735"/>
        <v>NO APLICA</v>
      </c>
      <c r="II223" s="6"/>
      <c r="IJ223" s="6"/>
      <c r="IK223" s="6"/>
      <c r="IL223" s="6"/>
      <c r="IM223" s="5" t="str">
        <f t="shared" si="736"/>
        <v>NO APLICA</v>
      </c>
      <c r="IN223" s="6"/>
      <c r="IO223" s="6"/>
      <c r="IP223" s="6"/>
      <c r="IQ223" s="6"/>
      <c r="IR223" s="5" t="str">
        <f t="shared" si="737"/>
        <v>NO APLICA</v>
      </c>
      <c r="IS223" s="6"/>
      <c r="IT223" s="6"/>
      <c r="IU223" s="6"/>
      <c r="IV223" s="6"/>
      <c r="IW223" s="5" t="str">
        <f t="shared" si="738"/>
        <v>NO APLICA</v>
      </c>
      <c r="IX223" s="6"/>
      <c r="IY223" s="6"/>
      <c r="IZ223" s="6"/>
      <c r="JA223" s="6"/>
      <c r="JB223" s="5" t="str">
        <f t="shared" si="739"/>
        <v>NO APLICA</v>
      </c>
      <c r="JC223" s="3" t="s">
        <v>780</v>
      </c>
      <c r="JD223" s="6"/>
      <c r="JE223" s="6"/>
      <c r="JF223" s="6"/>
      <c r="JG223" s="5"/>
      <c r="JH223" s="3" t="s">
        <v>780</v>
      </c>
      <c r="JI223" s="6"/>
      <c r="JJ223" s="6"/>
      <c r="JK223" s="6"/>
      <c r="JL223" s="5"/>
      <c r="JM223" s="6" t="s">
        <v>780</v>
      </c>
      <c r="JN223" s="6"/>
      <c r="JO223" s="6"/>
      <c r="JP223" s="6"/>
      <c r="JQ223" s="5"/>
      <c r="JR223" s="6" t="s">
        <v>780</v>
      </c>
      <c r="JS223" s="6"/>
      <c r="JT223" s="6"/>
      <c r="JU223" s="6"/>
      <c r="JV223" s="5"/>
      <c r="JW223" s="6" t="s">
        <v>780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40"/>
        <v>NO APLICA</v>
      </c>
      <c r="KG223" s="5"/>
      <c r="KH223" s="6"/>
      <c r="KI223" s="6"/>
      <c r="KJ223" s="6"/>
      <c r="KK223" s="5" t="str">
        <f t="shared" si="760"/>
        <v>NO APLICA</v>
      </c>
      <c r="KL223" s="5"/>
      <c r="KM223" s="6"/>
      <c r="KN223" s="6"/>
      <c r="KO223" s="6"/>
      <c r="KP223" s="5" t="str">
        <f t="shared" si="741"/>
        <v>NO APLICA</v>
      </c>
      <c r="KQ223" s="5"/>
      <c r="KR223" s="6"/>
      <c r="KS223" s="6"/>
      <c r="KT223" s="6"/>
      <c r="KU223" s="5" t="str">
        <f t="shared" si="761"/>
        <v>NO APLICA</v>
      </c>
      <c r="KV223" s="6"/>
      <c r="KW223" s="6"/>
      <c r="KX223" s="6"/>
      <c r="KY223" s="6"/>
      <c r="KZ223" s="5" t="str">
        <f t="shared" si="767"/>
        <v>NO APLICA</v>
      </c>
      <c r="LA223" s="5"/>
      <c r="LB223" s="6"/>
      <c r="LC223" s="6"/>
      <c r="LD223" s="6"/>
      <c r="LE223" s="5" t="str">
        <f t="shared" si="762"/>
        <v>NO APLICA</v>
      </c>
      <c r="LF223" s="6"/>
      <c r="LG223" s="6"/>
      <c r="LH223" s="6"/>
      <c r="LI223" s="6"/>
      <c r="LJ223" s="5" t="str">
        <f t="shared" si="600"/>
        <v>NO APLICA</v>
      </c>
      <c r="LK223" s="5"/>
      <c r="LL223" s="5"/>
      <c r="LM223" s="4"/>
      <c r="LN223" s="8"/>
      <c r="LO223" s="5" t="str">
        <f t="shared" si="768"/>
        <v>NO APLICA</v>
      </c>
      <c r="LP223" s="6"/>
      <c r="LQ223" s="6"/>
      <c r="LR223" s="6"/>
      <c r="LS223" s="6"/>
      <c r="LT223" s="5" t="str">
        <f t="shared" si="763"/>
        <v>NO APLICA</v>
      </c>
      <c r="LU223" s="6"/>
      <c r="LV223" s="6"/>
      <c r="LW223" s="6"/>
      <c r="LX223" s="6"/>
      <c r="LY223" s="5" t="str">
        <f t="shared" si="764"/>
        <v>NO APLICA</v>
      </c>
      <c r="LZ223" s="6"/>
      <c r="MA223" s="6"/>
      <c r="MB223" s="6"/>
      <c r="MC223" s="6"/>
      <c r="MD223" s="5" t="str">
        <f t="shared" si="765"/>
        <v>NO APLICA</v>
      </c>
      <c r="ME223" s="6"/>
      <c r="MF223" s="6"/>
      <c r="MG223" s="6"/>
      <c r="MH223" s="6"/>
      <c r="MI223" s="5" t="str">
        <f t="shared" si="742"/>
        <v>NO APLICA</v>
      </c>
      <c r="MJ223" s="6"/>
      <c r="MK223" s="6"/>
      <c r="ML223" s="6"/>
      <c r="MM223" s="6"/>
      <c r="MN223" s="5" t="str">
        <f t="shared" si="743"/>
        <v>NO APLICA</v>
      </c>
      <c r="MO223" s="5"/>
      <c r="MP223" s="6"/>
      <c r="MQ223" s="6"/>
      <c r="MR223" s="6"/>
      <c r="MS223" s="5" t="str">
        <f t="shared" si="744"/>
        <v>NO APLICA</v>
      </c>
      <c r="MT223" s="5"/>
      <c r="MU223" s="6"/>
      <c r="MV223" s="6"/>
      <c r="MW223" s="6"/>
      <c r="MX223" s="5" t="str">
        <f t="shared" si="745"/>
        <v>NO APLICA</v>
      </c>
      <c r="MY223" s="6"/>
      <c r="MZ223" s="6"/>
      <c r="NA223" s="6"/>
      <c r="NB223" s="6"/>
      <c r="NC223" s="5" t="str">
        <f t="shared" si="746"/>
        <v>NO APLICA</v>
      </c>
      <c r="ND223" s="6"/>
      <c r="NE223" s="6"/>
      <c r="NF223" s="6"/>
      <c r="NG223" s="6"/>
      <c r="NH223" s="5" t="str">
        <f t="shared" si="747"/>
        <v>NO APLICA</v>
      </c>
      <c r="NI223" s="6"/>
      <c r="NJ223" s="6"/>
      <c r="NK223" s="6"/>
      <c r="NL223" s="6"/>
      <c r="NM223" s="5" t="str">
        <f t="shared" si="748"/>
        <v>NO APLICA</v>
      </c>
      <c r="NN223" s="6"/>
      <c r="NO223" s="6"/>
      <c r="NP223" s="6"/>
      <c r="NQ223" s="6"/>
      <c r="NR223" s="5" t="str">
        <f t="shared" si="749"/>
        <v>NO APLICA</v>
      </c>
      <c r="NS223" s="6"/>
      <c r="NT223" s="6"/>
      <c r="NU223" s="6"/>
      <c r="NV223" s="6"/>
      <c r="NW223" s="5" t="str">
        <f t="shared" si="750"/>
        <v>NO APLICA</v>
      </c>
      <c r="NX223" s="6"/>
      <c r="NY223" s="6"/>
      <c r="NZ223" s="6"/>
      <c r="OA223" s="6"/>
      <c r="OB223" s="5" t="str">
        <f t="shared" si="751"/>
        <v>NO APLICA</v>
      </c>
      <c r="OC223" s="6"/>
      <c r="OD223" s="6"/>
      <c r="OE223" s="6"/>
      <c r="OF223" s="6"/>
      <c r="OG223" s="5" t="str">
        <f t="shared" si="752"/>
        <v>NO APLICA</v>
      </c>
      <c r="OH223" s="6"/>
      <c r="OI223" s="6"/>
      <c r="OJ223" s="6"/>
      <c r="OK223" s="6"/>
      <c r="OL223" s="5" t="str">
        <f t="shared" si="753"/>
        <v>NO APLICA</v>
      </c>
      <c r="OM223" s="6"/>
      <c r="ON223" s="6"/>
      <c r="OO223" s="6"/>
      <c r="OP223" s="6"/>
      <c r="OQ223" s="5" t="str">
        <f t="shared" si="754"/>
        <v>NO APLICA</v>
      </c>
      <c r="OR223" s="6"/>
      <c r="OS223" s="6"/>
      <c r="OT223" s="6"/>
      <c r="OU223" s="6"/>
      <c r="OV223" s="5" t="str">
        <f t="shared" si="755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6"/>
        <v>NO APLICA</v>
      </c>
      <c r="PG223" s="6"/>
      <c r="PH223" s="6"/>
      <c r="PI223" s="6"/>
      <c r="PJ223" s="6"/>
      <c r="PK223" s="5" t="str">
        <f t="shared" si="757"/>
        <v>NO APLICA</v>
      </c>
      <c r="PL223" s="5"/>
      <c r="PM223" s="6"/>
      <c r="PN223" s="6"/>
      <c r="PO223" s="6"/>
      <c r="PP223" s="5" t="str">
        <f t="shared" si="766"/>
        <v>NO APLICA</v>
      </c>
      <c r="PQ223" s="6"/>
      <c r="PR223" s="6"/>
      <c r="PS223" s="6"/>
      <c r="PT223" s="6"/>
      <c r="PU223" s="5" t="str">
        <f t="shared" si="758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9"/>
        <v>VIGENTE</v>
      </c>
    </row>
    <row r="224" spans="1:442" ht="15.6" hidden="1" thickTop="1" thickBot="1" x14ac:dyDescent="0.35">
      <c r="A224" s="26">
        <v>221</v>
      </c>
      <c r="B224" s="31">
        <v>1657</v>
      </c>
      <c r="C224" s="28" t="s">
        <v>666</v>
      </c>
      <c r="D224" s="29" t="s">
        <v>667</v>
      </c>
      <c r="E224" s="30" t="s">
        <v>668</v>
      </c>
      <c r="F224" s="6"/>
      <c r="G224" s="6"/>
      <c r="H224" s="6"/>
      <c r="I224" s="6"/>
      <c r="J224" s="5" t="str">
        <f t="shared" si="696"/>
        <v>NO APLICA</v>
      </c>
      <c r="K224" s="6"/>
      <c r="L224" s="6"/>
      <c r="M224" s="6"/>
      <c r="N224" s="6"/>
      <c r="O224" s="5" t="str">
        <f t="shared" si="699"/>
        <v>NO APLICA</v>
      </c>
      <c r="P224" s="6"/>
      <c r="Q224" s="6"/>
      <c r="R224" s="6"/>
      <c r="S224" s="6"/>
      <c r="T224" s="5" t="str">
        <f t="shared" si="697"/>
        <v>NO APLICA</v>
      </c>
      <c r="U224" s="5"/>
      <c r="V224" s="6"/>
      <c r="W224" s="4"/>
      <c r="X224" s="4"/>
      <c r="Y224" s="8"/>
      <c r="Z224" s="5" t="str">
        <f t="shared" si="605"/>
        <v>NO APLICA</v>
      </c>
      <c r="AA224" s="5"/>
      <c r="AB224" s="6"/>
      <c r="AC224" s="6"/>
      <c r="AD224" s="6"/>
      <c r="AE224" s="6"/>
      <c r="AF224" s="5" t="str">
        <f t="shared" si="700"/>
        <v>NO APLICA</v>
      </c>
      <c r="AG224" s="4"/>
      <c r="AH224" s="4"/>
      <c r="AI224" s="4"/>
      <c r="AJ224" s="6"/>
      <c r="AK224" s="5" t="str">
        <f t="shared" si="602"/>
        <v>NO APLICA</v>
      </c>
      <c r="AL224" s="4"/>
      <c r="AM224" s="4"/>
      <c r="AN224" s="4"/>
      <c r="AO224" s="6"/>
      <c r="AP224" s="5" t="str">
        <f t="shared" si="701"/>
        <v>NO APLICA</v>
      </c>
      <c r="AQ224" s="4"/>
      <c r="AR224" s="4"/>
      <c r="AS224" s="4"/>
      <c r="AT224" s="6"/>
      <c r="AU224" s="5" t="str">
        <f t="shared" si="702"/>
        <v>NO APLICA</v>
      </c>
      <c r="AV224" s="4"/>
      <c r="AW224" s="4"/>
      <c r="AX224" s="4"/>
      <c r="AY224" s="6"/>
      <c r="AZ224" s="5" t="str">
        <f t="shared" si="703"/>
        <v>NO APLICA</v>
      </c>
      <c r="BA224" s="4"/>
      <c r="BB224" s="4"/>
      <c r="BC224" s="4"/>
      <c r="BD224" s="6"/>
      <c r="BE224" s="5" t="str">
        <f t="shared" si="704"/>
        <v>NO APLICA</v>
      </c>
      <c r="BF224" s="4"/>
      <c r="BG224" s="4"/>
      <c r="BH224" s="4"/>
      <c r="BI224" s="6"/>
      <c r="BJ224" s="5" t="str">
        <f t="shared" si="705"/>
        <v>NO APLICA</v>
      </c>
      <c r="BK224" s="4"/>
      <c r="BL224" s="4"/>
      <c r="BM224" s="4"/>
      <c r="BN224" s="6"/>
      <c r="BO224" s="5" t="str">
        <f t="shared" si="706"/>
        <v>NO APLICA</v>
      </c>
      <c r="BP224" s="4"/>
      <c r="BQ224" s="4"/>
      <c r="BR224" s="4"/>
      <c r="BS224" s="6"/>
      <c r="BT224" s="5" t="str">
        <f t="shared" si="707"/>
        <v>NO APLICA</v>
      </c>
      <c r="BU224" s="4"/>
      <c r="BV224" s="4"/>
      <c r="BW224" s="4"/>
      <c r="BX224" s="6"/>
      <c r="BY224" s="5" t="str">
        <f t="shared" si="708"/>
        <v>NO APLICA</v>
      </c>
      <c r="BZ224" s="4"/>
      <c r="CA224" s="4"/>
      <c r="CB224" s="4"/>
      <c r="CC224" s="6"/>
      <c r="CD224" s="5" t="str">
        <f t="shared" si="709"/>
        <v>NO APLICA</v>
      </c>
      <c r="CE224" s="6"/>
      <c r="CF224" s="6"/>
      <c r="CG224" s="6"/>
      <c r="CH224" s="6"/>
      <c r="CI224" s="5" t="str">
        <f t="shared" si="770"/>
        <v>NO APLICA</v>
      </c>
      <c r="CJ224" s="4"/>
      <c r="CK224" s="4"/>
      <c r="CL224" s="4"/>
      <c r="CM224" s="6"/>
      <c r="CN224" s="5" t="str">
        <f t="shared" si="710"/>
        <v>NO APLICA</v>
      </c>
      <c r="CO224" s="4"/>
      <c r="CP224" s="4"/>
      <c r="CQ224" s="4"/>
      <c r="CR224" s="6"/>
      <c r="CS224" s="5" t="str">
        <f t="shared" si="711"/>
        <v>NO APLICA</v>
      </c>
      <c r="CT224" s="4"/>
      <c r="CU224" s="4"/>
      <c r="CV224" s="4"/>
      <c r="CW224" s="6"/>
      <c r="CX224" s="5" t="str">
        <f t="shared" si="712"/>
        <v>NO APLICA</v>
      </c>
      <c r="CY224" s="4"/>
      <c r="CZ224" s="4"/>
      <c r="DA224" s="4"/>
      <c r="DB224" s="6"/>
      <c r="DC224" s="5" t="str">
        <f t="shared" si="713"/>
        <v>NO APLICA</v>
      </c>
      <c r="DD224" s="4"/>
      <c r="DE224" s="4"/>
      <c r="DF224" s="4"/>
      <c r="DG224" s="6"/>
      <c r="DH224" s="5" t="str">
        <f t="shared" si="714"/>
        <v>NO APLICA</v>
      </c>
      <c r="DI224" s="4"/>
      <c r="DJ224" s="4"/>
      <c r="DK224" s="4"/>
      <c r="DL224" s="6"/>
      <c r="DM224" s="5" t="str">
        <f t="shared" si="715"/>
        <v>NO APLICA</v>
      </c>
      <c r="DN224" s="4"/>
      <c r="DO224" s="4"/>
      <c r="DP224" s="4"/>
      <c r="DQ224" s="6"/>
      <c r="DR224" s="5" t="str">
        <f t="shared" si="716"/>
        <v>NO APLICA</v>
      </c>
      <c r="DS224" s="4"/>
      <c r="DT224" s="4"/>
      <c r="DU224" s="4"/>
      <c r="DV224" s="6"/>
      <c r="DW224" s="5" t="str">
        <f t="shared" si="717"/>
        <v>NO APLICA</v>
      </c>
      <c r="DX224" s="4"/>
      <c r="DY224" s="4"/>
      <c r="DZ224" s="4"/>
      <c r="EA224" s="6"/>
      <c r="EB224" s="5" t="str">
        <f t="shared" si="718"/>
        <v>NO APLICA</v>
      </c>
      <c r="EC224" s="4"/>
      <c r="ED224" s="4"/>
      <c r="EE224" s="4"/>
      <c r="EF224" s="6"/>
      <c r="EG224" s="5" t="str">
        <f t="shared" si="719"/>
        <v>NO APLICA</v>
      </c>
      <c r="EH224" s="4"/>
      <c r="EI224" s="4"/>
      <c r="EJ224" s="4"/>
      <c r="EK224" s="8"/>
      <c r="EL224" s="5" t="str">
        <f t="shared" si="720"/>
        <v>NO APLICA</v>
      </c>
      <c r="EM224" s="4"/>
      <c r="EN224" s="4"/>
      <c r="EO224" s="4"/>
      <c r="EP224" s="8"/>
      <c r="EQ224" s="5" t="str">
        <f t="shared" si="721"/>
        <v>NO APLICA</v>
      </c>
      <c r="ER224" s="4"/>
      <c r="ES224" s="4"/>
      <c r="ET224" s="4"/>
      <c r="EU224" s="8"/>
      <c r="EV224" s="5" t="str">
        <f t="shared" si="722"/>
        <v>NO APLICA</v>
      </c>
      <c r="EW224" s="4"/>
      <c r="EX224" s="4"/>
      <c r="EY224" s="4"/>
      <c r="EZ224" s="6"/>
      <c r="FA224" s="5" t="str">
        <f t="shared" si="723"/>
        <v>NO APLICA</v>
      </c>
      <c r="FB224" s="4"/>
      <c r="FC224" s="4"/>
      <c r="FD224" s="4"/>
      <c r="FE224" s="6"/>
      <c r="FF224" s="5" t="str">
        <f t="shared" si="724"/>
        <v>NO APLICA</v>
      </c>
      <c r="FG224" s="4"/>
      <c r="FH224" s="4"/>
      <c r="FI224" s="4"/>
      <c r="FJ224" s="6"/>
      <c r="FK224" s="5" t="str">
        <f t="shared" si="725"/>
        <v>NO APLICA</v>
      </c>
      <c r="FL224" s="4"/>
      <c r="FM224" s="4"/>
      <c r="FN224" s="4"/>
      <c r="FO224" s="6"/>
      <c r="FP224" s="5" t="str">
        <f t="shared" si="726"/>
        <v>NO APLICA</v>
      </c>
      <c r="FQ224" s="4"/>
      <c r="FR224" s="4"/>
      <c r="FS224" s="4"/>
      <c r="FT224" s="6"/>
      <c r="FU224" s="5" t="str">
        <f t="shared" si="727"/>
        <v>NO APLICA</v>
      </c>
      <c r="FV224" s="4"/>
      <c r="FW224" s="4"/>
      <c r="FX224" s="4"/>
      <c r="FY224" s="6"/>
      <c r="FZ224" s="5" t="str">
        <f t="shared" si="728"/>
        <v>NO APLICA</v>
      </c>
      <c r="GA224" s="4"/>
      <c r="GB224" s="4"/>
      <c r="GC224" s="4"/>
      <c r="GD224" s="6"/>
      <c r="GE224" s="5" t="str">
        <f t="shared" si="729"/>
        <v>NO APLICA</v>
      </c>
      <c r="GF224" s="4"/>
      <c r="GG224" s="4"/>
      <c r="GH224" s="4"/>
      <c r="GI224" s="8"/>
      <c r="GJ224" s="5" t="str">
        <f t="shared" si="730"/>
        <v>NO APLICA</v>
      </c>
      <c r="GK224" s="4"/>
      <c r="GL224" s="6"/>
      <c r="GM224" s="6"/>
      <c r="GN224" s="6"/>
      <c r="GO224" s="5" t="str">
        <f t="shared" si="731"/>
        <v>NO APLICA</v>
      </c>
      <c r="GP224" s="4"/>
      <c r="GQ224" s="6"/>
      <c r="GR224" s="6"/>
      <c r="GS224" s="6"/>
      <c r="GT224" s="5" t="str">
        <f t="shared" si="610"/>
        <v>NO APLICA</v>
      </c>
      <c r="GU224" s="4"/>
      <c r="GV224" s="6"/>
      <c r="GW224" s="6"/>
      <c r="GX224" s="6"/>
      <c r="GY224" s="5" t="str">
        <f t="shared" si="611"/>
        <v>NO APLICA</v>
      </c>
      <c r="GZ224" s="6"/>
      <c r="HA224" s="6"/>
      <c r="HB224" s="6"/>
      <c r="HC224" s="6"/>
      <c r="HD224" s="5" t="str">
        <f t="shared" si="612"/>
        <v>NO APLICA</v>
      </c>
      <c r="HE224" s="6"/>
      <c r="HF224" s="6"/>
      <c r="HG224" s="4"/>
      <c r="HH224" s="8"/>
      <c r="HI224" s="5" t="str">
        <f t="shared" si="698"/>
        <v>NO APLICA</v>
      </c>
      <c r="HJ224" s="6"/>
      <c r="HK224" s="6"/>
      <c r="HL224" s="6"/>
      <c r="HM224" s="6"/>
      <c r="HN224" s="5" t="str">
        <f t="shared" si="694"/>
        <v>NO APLICA</v>
      </c>
      <c r="HO224" s="6"/>
      <c r="HP224" s="6"/>
      <c r="HQ224" s="6"/>
      <c r="HR224" s="6"/>
      <c r="HS224" s="5" t="str">
        <f t="shared" si="732"/>
        <v>NO APLICA</v>
      </c>
      <c r="HT224" s="6"/>
      <c r="HU224" s="6"/>
      <c r="HV224" s="6"/>
      <c r="HW224" s="6"/>
      <c r="HX224" s="5" t="str">
        <f t="shared" si="733"/>
        <v>NO APLICA</v>
      </c>
      <c r="HY224" s="6"/>
      <c r="HZ224" s="6"/>
      <c r="IA224" s="6"/>
      <c r="IB224" s="6"/>
      <c r="IC224" s="5" t="str">
        <f t="shared" si="734"/>
        <v>NO APLICA</v>
      </c>
      <c r="ID224" s="6"/>
      <c r="IE224" s="6"/>
      <c r="IF224" s="6"/>
      <c r="IG224" s="6"/>
      <c r="IH224" s="5" t="str">
        <f t="shared" si="735"/>
        <v>NO APLICA</v>
      </c>
      <c r="II224" s="6"/>
      <c r="IJ224" s="6"/>
      <c r="IK224" s="6"/>
      <c r="IL224" s="6"/>
      <c r="IM224" s="5" t="str">
        <f t="shared" si="736"/>
        <v>NO APLICA</v>
      </c>
      <c r="IN224" s="6"/>
      <c r="IO224" s="6"/>
      <c r="IP224" s="6"/>
      <c r="IQ224" s="6"/>
      <c r="IR224" s="5" t="str">
        <f t="shared" si="737"/>
        <v>NO APLICA</v>
      </c>
      <c r="IS224" s="6"/>
      <c r="IT224" s="6"/>
      <c r="IU224" s="6"/>
      <c r="IV224" s="6"/>
      <c r="IW224" s="5" t="str">
        <f t="shared" si="738"/>
        <v>NO APLICA</v>
      </c>
      <c r="IX224" s="6"/>
      <c r="IY224" s="6"/>
      <c r="IZ224" s="6"/>
      <c r="JA224" s="6"/>
      <c r="JB224" s="5" t="str">
        <f t="shared" si="739"/>
        <v>NO APLICA</v>
      </c>
      <c r="JC224" s="3" t="s">
        <v>780</v>
      </c>
      <c r="JD224" s="10"/>
      <c r="JE224" s="4"/>
      <c r="JF224" s="8"/>
      <c r="JG224" s="5"/>
      <c r="JH224" s="3" t="s">
        <v>780</v>
      </c>
      <c r="JI224" s="10"/>
      <c r="JJ224" s="4"/>
      <c r="JK224" s="8"/>
      <c r="JL224" s="5"/>
      <c r="JM224" s="6" t="s">
        <v>780</v>
      </c>
      <c r="JN224" s="6"/>
      <c r="JO224" s="6"/>
      <c r="JP224" s="6"/>
      <c r="JQ224" s="5"/>
      <c r="JR224" s="6" t="s">
        <v>780</v>
      </c>
      <c r="JS224" s="10"/>
      <c r="JT224" s="4"/>
      <c r="JU224" s="8"/>
      <c r="JV224" s="5"/>
      <c r="JW224" s="6" t="s">
        <v>780</v>
      </c>
      <c r="JX224" s="25"/>
      <c r="JY224" s="4"/>
      <c r="JZ224" s="8"/>
      <c r="KA224" s="5"/>
      <c r="KB224" s="5"/>
      <c r="KC224" s="6"/>
      <c r="KD224" s="6"/>
      <c r="KE224" s="6"/>
      <c r="KF224" s="5" t="str">
        <f t="shared" si="740"/>
        <v>NO APLICA</v>
      </c>
      <c r="KG224" s="5"/>
      <c r="KH224" s="6"/>
      <c r="KI224" s="6"/>
      <c r="KJ224" s="6"/>
      <c r="KK224" s="5" t="str">
        <f t="shared" si="760"/>
        <v>NO APLICA</v>
      </c>
      <c r="KL224" s="5"/>
      <c r="KM224" s="6"/>
      <c r="KN224" s="6"/>
      <c r="KO224" s="6"/>
      <c r="KP224" s="5" t="str">
        <f t="shared" si="741"/>
        <v>NO APLICA</v>
      </c>
      <c r="KQ224" s="5"/>
      <c r="KR224" s="6"/>
      <c r="KS224" s="6"/>
      <c r="KT224" s="6"/>
      <c r="KU224" s="5" t="str">
        <f t="shared" si="761"/>
        <v>NO APLICA</v>
      </c>
      <c r="KV224" s="6"/>
      <c r="KW224" s="6"/>
      <c r="KX224" s="6"/>
      <c r="KY224" s="6"/>
      <c r="KZ224" s="5" t="str">
        <f t="shared" si="767"/>
        <v>NO APLICA</v>
      </c>
      <c r="LA224" s="5"/>
      <c r="LB224" s="6"/>
      <c r="LC224" s="6"/>
      <c r="LD224" s="6"/>
      <c r="LE224" s="5" t="str">
        <f t="shared" si="762"/>
        <v>NO APLICA</v>
      </c>
      <c r="LF224" s="6"/>
      <c r="LG224" s="6"/>
      <c r="LH224" s="6"/>
      <c r="LI224" s="6"/>
      <c r="LJ224" s="5" t="str">
        <f t="shared" si="600"/>
        <v>NO APLICA</v>
      </c>
      <c r="LK224" s="5"/>
      <c r="LL224" s="5"/>
      <c r="LM224" s="4"/>
      <c r="LN224" s="8"/>
      <c r="LO224" s="5" t="str">
        <f t="shared" si="768"/>
        <v>NO APLICA</v>
      </c>
      <c r="LP224" s="6"/>
      <c r="LQ224" s="6"/>
      <c r="LR224" s="6"/>
      <c r="LS224" s="6"/>
      <c r="LT224" s="5" t="str">
        <f t="shared" si="763"/>
        <v>NO APLICA</v>
      </c>
      <c r="LU224" s="6"/>
      <c r="LV224" s="6"/>
      <c r="LW224" s="6"/>
      <c r="LX224" s="6"/>
      <c r="LY224" s="5" t="str">
        <f t="shared" si="764"/>
        <v>NO APLICA</v>
      </c>
      <c r="LZ224" s="6"/>
      <c r="MA224" s="6"/>
      <c r="MB224" s="6"/>
      <c r="MC224" s="6"/>
      <c r="MD224" s="5" t="str">
        <f t="shared" si="765"/>
        <v>NO APLICA</v>
      </c>
      <c r="ME224" s="6"/>
      <c r="MF224" s="6"/>
      <c r="MG224" s="6"/>
      <c r="MH224" s="6"/>
      <c r="MI224" s="5" t="str">
        <f t="shared" si="742"/>
        <v>NO APLICA</v>
      </c>
      <c r="MJ224" s="6"/>
      <c r="MK224" s="6"/>
      <c r="ML224" s="6"/>
      <c r="MM224" s="6"/>
      <c r="MN224" s="5" t="str">
        <f t="shared" si="743"/>
        <v>NO APLICA</v>
      </c>
      <c r="MO224" s="5"/>
      <c r="MP224" s="6"/>
      <c r="MQ224" s="6"/>
      <c r="MR224" s="6"/>
      <c r="MS224" s="5" t="str">
        <f t="shared" si="744"/>
        <v>NO APLICA</v>
      </c>
      <c r="MT224" s="5"/>
      <c r="MU224" s="6"/>
      <c r="MV224" s="6"/>
      <c r="MW224" s="6"/>
      <c r="MX224" s="5" t="str">
        <f t="shared" si="745"/>
        <v>NO APLICA</v>
      </c>
      <c r="MY224" s="6"/>
      <c r="MZ224" s="6"/>
      <c r="NA224" s="6"/>
      <c r="NB224" s="6"/>
      <c r="NC224" s="5" t="str">
        <f t="shared" si="746"/>
        <v>NO APLICA</v>
      </c>
      <c r="ND224" s="6"/>
      <c r="NE224" s="6"/>
      <c r="NF224" s="6"/>
      <c r="NG224" s="6"/>
      <c r="NH224" s="5" t="str">
        <f t="shared" si="747"/>
        <v>NO APLICA</v>
      </c>
      <c r="NI224" s="6"/>
      <c r="NJ224" s="6"/>
      <c r="NK224" s="6"/>
      <c r="NL224" s="6"/>
      <c r="NM224" s="5" t="str">
        <f t="shared" si="748"/>
        <v>NO APLICA</v>
      </c>
      <c r="NN224" s="6"/>
      <c r="NO224" s="6"/>
      <c r="NP224" s="6"/>
      <c r="NQ224" s="6"/>
      <c r="NR224" s="5" t="str">
        <f t="shared" si="749"/>
        <v>NO APLICA</v>
      </c>
      <c r="NS224" s="6"/>
      <c r="NT224" s="6"/>
      <c r="NU224" s="6"/>
      <c r="NV224" s="6"/>
      <c r="NW224" s="5" t="str">
        <f t="shared" si="750"/>
        <v>NO APLICA</v>
      </c>
      <c r="NX224" s="6"/>
      <c r="NY224" s="6"/>
      <c r="NZ224" s="6"/>
      <c r="OA224" s="6"/>
      <c r="OB224" s="5" t="str">
        <f t="shared" si="751"/>
        <v>NO APLICA</v>
      </c>
      <c r="OC224" s="6"/>
      <c r="OD224" s="6"/>
      <c r="OE224" s="6"/>
      <c r="OF224" s="6"/>
      <c r="OG224" s="5" t="str">
        <f t="shared" si="752"/>
        <v>NO APLICA</v>
      </c>
      <c r="OH224" s="6"/>
      <c r="OI224" s="6"/>
      <c r="OJ224" s="6"/>
      <c r="OK224" s="6"/>
      <c r="OL224" s="5" t="str">
        <f t="shared" si="753"/>
        <v>NO APLICA</v>
      </c>
      <c r="OM224" s="6"/>
      <c r="ON224" s="6"/>
      <c r="OO224" s="6"/>
      <c r="OP224" s="6"/>
      <c r="OQ224" s="5" t="str">
        <f t="shared" si="754"/>
        <v>NO APLICA</v>
      </c>
      <c r="OR224" s="6"/>
      <c r="OS224" s="6"/>
      <c r="OT224" s="6"/>
      <c r="OU224" s="6"/>
      <c r="OV224" s="5" t="str">
        <f t="shared" si="755"/>
        <v>NO APLICA</v>
      </c>
      <c r="OW224" s="6"/>
      <c r="OX224" s="6"/>
      <c r="OY224" s="6"/>
      <c r="OZ224" s="6"/>
      <c r="PA224" s="5" t="str">
        <f t="shared" si="769"/>
        <v>NO APLICA</v>
      </c>
      <c r="PB224" s="6"/>
      <c r="PC224" s="6"/>
      <c r="PD224" s="6"/>
      <c r="PE224" s="6"/>
      <c r="PF224" s="5" t="str">
        <f t="shared" si="756"/>
        <v>NO APLICA</v>
      </c>
      <c r="PG224" s="6"/>
      <c r="PH224" s="6"/>
      <c r="PI224" s="6"/>
      <c r="PJ224" s="6"/>
      <c r="PK224" s="5" t="str">
        <f t="shared" si="757"/>
        <v>NO APLICA</v>
      </c>
      <c r="PL224" s="5"/>
      <c r="PM224" s="6"/>
      <c r="PN224" s="6"/>
      <c r="PO224" s="6"/>
      <c r="PP224" s="5" t="str">
        <f t="shared" si="766"/>
        <v>NO APLICA</v>
      </c>
      <c r="PQ224" s="6"/>
      <c r="PR224" s="6"/>
      <c r="PS224" s="6"/>
      <c r="PT224" s="6"/>
      <c r="PU224" s="5" t="str">
        <f t="shared" si="758"/>
        <v>NO APLICA</v>
      </c>
      <c r="PV224" s="5"/>
      <c r="PW224" s="6"/>
      <c r="PX224" s="6"/>
      <c r="PY224" s="6"/>
      <c r="PZ224" s="5" t="str">
        <f t="shared" si="759"/>
        <v>NO APLICA</v>
      </c>
    </row>
    <row r="225" spans="1:442" ht="15.6" hidden="1" thickTop="1" thickBot="1" x14ac:dyDescent="0.35">
      <c r="A225" s="26">
        <v>222</v>
      </c>
      <c r="B225" s="31">
        <v>201</v>
      </c>
      <c r="C225" s="28" t="s">
        <v>669</v>
      </c>
      <c r="D225" s="29" t="s">
        <v>604</v>
      </c>
      <c r="E225" s="30" t="s">
        <v>605</v>
      </c>
      <c r="F225" s="3"/>
      <c r="G225" s="4"/>
      <c r="H225" s="4"/>
      <c r="I225" s="8"/>
      <c r="J225" s="5" t="str">
        <f t="shared" si="696"/>
        <v>NO APLICA</v>
      </c>
      <c r="K225" s="2"/>
      <c r="L225" s="2"/>
      <c r="M225" s="2"/>
      <c r="N225" s="2"/>
      <c r="O225" s="5" t="str">
        <f t="shared" si="699"/>
        <v>NO APLICA</v>
      </c>
      <c r="P225" s="6"/>
      <c r="Q225" s="6"/>
      <c r="R225" s="4"/>
      <c r="S225" s="8"/>
      <c r="T225" s="5" t="str">
        <f t="shared" si="697"/>
        <v>NO APLICA</v>
      </c>
      <c r="U225" s="5"/>
      <c r="V225" s="2"/>
      <c r="W225" s="4"/>
      <c r="X225" s="4"/>
      <c r="Y225" s="8"/>
      <c r="Z225" s="5" t="str">
        <f t="shared" si="605"/>
        <v>NO APLICA</v>
      </c>
      <c r="AA225" s="5"/>
      <c r="AB225" s="2"/>
      <c r="AC225" s="6"/>
      <c r="AD225" s="4"/>
      <c r="AE225" s="8"/>
      <c r="AF225" s="5" t="str">
        <f t="shared" si="700"/>
        <v>NO APLICA</v>
      </c>
      <c r="AG225" s="2"/>
      <c r="AH225" s="4"/>
      <c r="AI225" s="4"/>
      <c r="AJ225" s="8"/>
      <c r="AK225" s="5" t="str">
        <f t="shared" si="602"/>
        <v>NO APLICA</v>
      </c>
      <c r="AL225" s="2"/>
      <c r="AM225" s="4"/>
      <c r="AN225" s="4"/>
      <c r="AO225" s="8"/>
      <c r="AP225" s="5" t="str">
        <f t="shared" si="701"/>
        <v>NO APLICA</v>
      </c>
      <c r="AQ225" s="2"/>
      <c r="AR225" s="4"/>
      <c r="AS225" s="4"/>
      <c r="AT225" s="8"/>
      <c r="AU225" s="5" t="str">
        <f t="shared" si="702"/>
        <v>NO APLICA</v>
      </c>
      <c r="AV225" s="2"/>
      <c r="AW225" s="4"/>
      <c r="AX225" s="4"/>
      <c r="AY225" s="8"/>
      <c r="AZ225" s="5" t="str">
        <f t="shared" si="703"/>
        <v>NO APLICA</v>
      </c>
      <c r="BA225" s="3"/>
      <c r="BB225" s="4"/>
      <c r="BC225" s="4"/>
      <c r="BD225" s="8"/>
      <c r="BE225" s="5" t="str">
        <f t="shared" si="704"/>
        <v>NO APLICA</v>
      </c>
      <c r="BF225" s="2"/>
      <c r="BG225" s="4"/>
      <c r="BH225" s="4"/>
      <c r="BI225" s="8"/>
      <c r="BJ225" s="5" t="str">
        <f t="shared" si="705"/>
        <v>NO APLICA</v>
      </c>
      <c r="BK225" s="3"/>
      <c r="BL225" s="4"/>
      <c r="BM225" s="4"/>
      <c r="BN225" s="8"/>
      <c r="BO225" s="5" t="str">
        <f t="shared" si="706"/>
        <v>NO APLICA</v>
      </c>
      <c r="BP225" s="3"/>
      <c r="BQ225" s="39"/>
      <c r="BR225" s="4"/>
      <c r="BS225" s="8"/>
      <c r="BT225" s="5" t="str">
        <f t="shared" si="707"/>
        <v>NO APLICA</v>
      </c>
      <c r="BU225" s="2"/>
      <c r="BV225" s="4"/>
      <c r="BW225" s="4"/>
      <c r="BX225" s="8"/>
      <c r="BY225" s="5" t="str">
        <f t="shared" si="708"/>
        <v>NO APLICA</v>
      </c>
      <c r="BZ225" s="2"/>
      <c r="CA225" s="4"/>
      <c r="CB225" s="4"/>
      <c r="CC225" s="8"/>
      <c r="CD225" s="5" t="str">
        <f t="shared" si="709"/>
        <v>NO APLICA</v>
      </c>
      <c r="CE225" s="6"/>
      <c r="CF225" s="4"/>
      <c r="CG225" s="4"/>
      <c r="CH225" s="8"/>
      <c r="CI225" s="5" t="str">
        <f t="shared" si="770"/>
        <v>NO APLICA</v>
      </c>
      <c r="CJ225" s="6"/>
      <c r="CK225" s="4"/>
      <c r="CL225" s="4"/>
      <c r="CM225" s="8"/>
      <c r="CN225" s="5" t="str">
        <f t="shared" si="710"/>
        <v>NO APLICA</v>
      </c>
      <c r="CO225" s="2"/>
      <c r="CP225" s="39"/>
      <c r="CQ225" s="4"/>
      <c r="CR225" s="8"/>
      <c r="CS225" s="5" t="str">
        <f t="shared" si="711"/>
        <v>NO APLICA</v>
      </c>
      <c r="CT225" s="2"/>
      <c r="CU225" s="4"/>
      <c r="CV225" s="4"/>
      <c r="CW225" s="8"/>
      <c r="CX225" s="5" t="str">
        <f t="shared" si="712"/>
        <v>NO APLICA</v>
      </c>
      <c r="CY225" s="3"/>
      <c r="CZ225" s="4"/>
      <c r="DA225" s="4"/>
      <c r="DB225" s="8"/>
      <c r="DC225" s="5" t="str">
        <f t="shared" si="713"/>
        <v>NO APLICA</v>
      </c>
      <c r="DD225" s="3"/>
      <c r="DE225" s="39"/>
      <c r="DF225" s="4"/>
      <c r="DG225" s="8"/>
      <c r="DH225" s="5" t="str">
        <f t="shared" si="714"/>
        <v>NO APLICA</v>
      </c>
      <c r="DI225" s="2"/>
      <c r="DJ225" s="39"/>
      <c r="DK225" s="4"/>
      <c r="DL225" s="8"/>
      <c r="DM225" s="5" t="str">
        <f t="shared" si="715"/>
        <v>NO APLICA</v>
      </c>
      <c r="DN225" s="3"/>
      <c r="DO225" s="4"/>
      <c r="DP225" s="4"/>
      <c r="DQ225" s="8"/>
      <c r="DR225" s="5" t="str">
        <f t="shared" si="716"/>
        <v>NO APLICA</v>
      </c>
      <c r="DS225" s="2"/>
      <c r="DT225" s="4"/>
      <c r="DU225" s="4"/>
      <c r="DV225" s="8"/>
      <c r="DW225" s="5" t="str">
        <f t="shared" si="717"/>
        <v>NO APLICA</v>
      </c>
      <c r="DX225" s="3"/>
      <c r="DY225" s="4"/>
      <c r="DZ225" s="4"/>
      <c r="EA225" s="8"/>
      <c r="EB225" s="5" t="str">
        <f t="shared" si="718"/>
        <v>NO APLICA</v>
      </c>
      <c r="EC225" s="3"/>
      <c r="ED225" s="39"/>
      <c r="EE225" s="4"/>
      <c r="EF225" s="8"/>
      <c r="EG225" s="5" t="str">
        <f t="shared" si="719"/>
        <v>NO APLICA</v>
      </c>
      <c r="EH225" s="2"/>
      <c r="EI225" s="4"/>
      <c r="EJ225" s="4"/>
      <c r="EK225" s="8"/>
      <c r="EL225" s="5" t="str">
        <f t="shared" si="720"/>
        <v>NO APLICA</v>
      </c>
      <c r="EM225" s="3"/>
      <c r="EN225" s="4"/>
      <c r="EO225" s="4"/>
      <c r="EP225" s="8"/>
      <c r="EQ225" s="5" t="str">
        <f t="shared" si="721"/>
        <v>NO APLICA</v>
      </c>
      <c r="ER225" s="2"/>
      <c r="ES225" s="39"/>
      <c r="ET225" s="4"/>
      <c r="EU225" s="8"/>
      <c r="EV225" s="5" t="str">
        <f t="shared" si="722"/>
        <v>NO APLICA</v>
      </c>
      <c r="EW225" s="2"/>
      <c r="EX225" s="4"/>
      <c r="EY225" s="4"/>
      <c r="EZ225" s="8"/>
      <c r="FA225" s="5" t="str">
        <f t="shared" si="723"/>
        <v>NO APLICA</v>
      </c>
      <c r="FB225" s="2"/>
      <c r="FC225" s="4"/>
      <c r="FD225" s="4"/>
      <c r="FE225" s="8"/>
      <c r="FF225" s="5" t="str">
        <f t="shared" si="724"/>
        <v>NO APLICA</v>
      </c>
      <c r="FG225" s="2"/>
      <c r="FH225" s="4"/>
      <c r="FI225" s="4"/>
      <c r="FJ225" s="8"/>
      <c r="FK225" s="5" t="str">
        <f t="shared" si="725"/>
        <v>NO APLICA</v>
      </c>
      <c r="FL225" s="3"/>
      <c r="FM225" s="39"/>
      <c r="FN225" s="4"/>
      <c r="FO225" s="8"/>
      <c r="FP225" s="5" t="str">
        <f t="shared" si="726"/>
        <v>NO APLICA</v>
      </c>
      <c r="FQ225" s="3"/>
      <c r="FR225" s="39"/>
      <c r="FS225" s="4"/>
      <c r="FT225" s="8"/>
      <c r="FU225" s="5" t="str">
        <f t="shared" si="727"/>
        <v>NO APLICA</v>
      </c>
      <c r="FV225" s="3"/>
      <c r="FW225" s="4"/>
      <c r="FX225" s="4"/>
      <c r="FY225" s="8"/>
      <c r="FZ225" s="5" t="str">
        <f t="shared" si="728"/>
        <v>NO APLICA</v>
      </c>
      <c r="GA225" s="3"/>
      <c r="GB225" s="4"/>
      <c r="GC225" s="4"/>
      <c r="GD225" s="8"/>
      <c r="GE225" s="5" t="str">
        <f t="shared" si="729"/>
        <v>NO APLICA</v>
      </c>
      <c r="GF225" s="3"/>
      <c r="GG225" s="4"/>
      <c r="GH225" s="4"/>
      <c r="GI225" s="8"/>
      <c r="GJ225" s="5" t="str">
        <f t="shared" si="730"/>
        <v>NO APLICA</v>
      </c>
      <c r="GK225" s="3"/>
      <c r="GL225" s="4"/>
      <c r="GM225" s="4"/>
      <c r="GN225" s="8"/>
      <c r="GO225" s="5" t="str">
        <f t="shared" si="731"/>
        <v>NO APLICA</v>
      </c>
      <c r="GP225" s="4"/>
      <c r="GQ225" s="4"/>
      <c r="GR225" s="4"/>
      <c r="GS225" s="8"/>
      <c r="GT225" s="5" t="str">
        <f t="shared" si="610"/>
        <v>NO APLICA</v>
      </c>
      <c r="GU225" s="3"/>
      <c r="GV225" s="4"/>
      <c r="GW225" s="4"/>
      <c r="GX225" s="8"/>
      <c r="GY225" s="5" t="str">
        <f t="shared" si="611"/>
        <v>NO APLICA</v>
      </c>
      <c r="GZ225" s="2"/>
      <c r="HA225" s="4"/>
      <c r="HB225" s="4"/>
      <c r="HC225" s="8"/>
      <c r="HD225" s="5" t="str">
        <f t="shared" si="612"/>
        <v>NO APLICA</v>
      </c>
      <c r="HE225" s="6"/>
      <c r="HF225" s="6"/>
      <c r="HG225" s="4"/>
      <c r="HH225" s="8"/>
      <c r="HI225" s="5" t="str">
        <f t="shared" si="698"/>
        <v>NO APLICA</v>
      </c>
      <c r="HJ225" s="2"/>
      <c r="HK225" s="6"/>
      <c r="HL225" s="4"/>
      <c r="HM225" s="8"/>
      <c r="HN225" s="5" t="str">
        <f t="shared" si="694"/>
        <v>NO APLICA</v>
      </c>
      <c r="HO225" s="2"/>
      <c r="HP225" s="2"/>
      <c r="HQ225" s="4"/>
      <c r="HR225" s="2"/>
      <c r="HS225" s="5" t="str">
        <f t="shared" si="732"/>
        <v>NO APLICA</v>
      </c>
      <c r="HT225" s="2"/>
      <c r="HU225" s="6"/>
      <c r="HV225" s="4"/>
      <c r="HW225" s="8"/>
      <c r="HX225" s="5" t="str">
        <f t="shared" si="733"/>
        <v>NO APLICA</v>
      </c>
      <c r="HY225" s="2"/>
      <c r="HZ225" s="6"/>
      <c r="IA225" s="4"/>
      <c r="IB225" s="8"/>
      <c r="IC225" s="5" t="str">
        <f t="shared" si="734"/>
        <v>NO APLICA</v>
      </c>
      <c r="ID225" s="2"/>
      <c r="IE225" s="6"/>
      <c r="IF225" s="4"/>
      <c r="IG225" s="8"/>
      <c r="IH225" s="5" t="str">
        <f t="shared" si="735"/>
        <v>NO APLICA</v>
      </c>
      <c r="II225" s="6"/>
      <c r="IJ225" s="6"/>
      <c r="IK225" s="4"/>
      <c r="IL225" s="8"/>
      <c r="IM225" s="5" t="str">
        <f t="shared" si="736"/>
        <v>NO APLICA</v>
      </c>
      <c r="IN225" s="2"/>
      <c r="IO225" s="6"/>
      <c r="IP225" s="4"/>
      <c r="IQ225" s="8"/>
      <c r="IR225" s="5" t="str">
        <f t="shared" si="737"/>
        <v>NO APLICA</v>
      </c>
      <c r="IS225" s="2"/>
      <c r="IT225" s="6"/>
      <c r="IU225" s="4"/>
      <c r="IV225" s="8"/>
      <c r="IW225" s="5" t="str">
        <f t="shared" si="738"/>
        <v>NO APLICA</v>
      </c>
      <c r="IX225" s="2"/>
      <c r="IY225" s="6"/>
      <c r="IZ225" s="4"/>
      <c r="JA225" s="8"/>
      <c r="JB225" s="5" t="str">
        <f t="shared" si="739"/>
        <v>NO APLICA</v>
      </c>
      <c r="JC225" s="3" t="s">
        <v>780</v>
      </c>
      <c r="JD225" s="3"/>
      <c r="JE225" s="4"/>
      <c r="JF225" s="8"/>
      <c r="JG225" s="5"/>
      <c r="JH225" s="3" t="s">
        <v>780</v>
      </c>
      <c r="JI225" s="6"/>
      <c r="JJ225" s="6"/>
      <c r="JK225" s="6"/>
      <c r="JL225" s="5"/>
      <c r="JM225" s="6" t="s">
        <v>780</v>
      </c>
      <c r="JN225" s="6"/>
      <c r="JO225" s="6"/>
      <c r="JP225" s="6"/>
      <c r="JQ225" s="5"/>
      <c r="JR225" s="6" t="s">
        <v>780</v>
      </c>
      <c r="JS225" s="6"/>
      <c r="JT225" s="6"/>
      <c r="JU225" s="6"/>
      <c r="JV225" s="5"/>
      <c r="JW225" s="6" t="s">
        <v>780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40"/>
        <v>NO APLICA</v>
      </c>
      <c r="KG225" s="5"/>
      <c r="KH225" s="2"/>
      <c r="KI225" s="4"/>
      <c r="KJ225" s="8"/>
      <c r="KK225" s="5" t="str">
        <f t="shared" si="760"/>
        <v>NO APLICA</v>
      </c>
      <c r="KL225" s="5"/>
      <c r="KM225" s="2"/>
      <c r="KN225" s="4"/>
      <c r="KO225" s="8"/>
      <c r="KP225" s="5" t="str">
        <f t="shared" si="741"/>
        <v>NO APLICA</v>
      </c>
      <c r="KQ225" s="5"/>
      <c r="KR225" s="2"/>
      <c r="KS225" s="4"/>
      <c r="KT225" s="8"/>
      <c r="KU225" s="5" t="str">
        <f t="shared" si="761"/>
        <v>NO APLICA</v>
      </c>
      <c r="KV225" s="2"/>
      <c r="KW225" s="6"/>
      <c r="KX225" s="4"/>
      <c r="KY225" s="8"/>
      <c r="KZ225" s="5" t="str">
        <f t="shared" si="767"/>
        <v>NO APLICA</v>
      </c>
      <c r="LA225" s="5"/>
      <c r="LB225" s="6"/>
      <c r="LC225" s="4"/>
      <c r="LD225" s="8"/>
      <c r="LE225" s="5" t="str">
        <f t="shared" si="762"/>
        <v>NO APLICA</v>
      </c>
      <c r="LF225" s="6"/>
      <c r="LG225" s="6"/>
      <c r="LH225" s="4"/>
      <c r="LI225" s="8"/>
      <c r="LJ225" s="5" t="str">
        <f t="shared" si="600"/>
        <v>NO APLICA</v>
      </c>
      <c r="LK225" s="5"/>
      <c r="LL225" s="5"/>
      <c r="LM225" s="4"/>
      <c r="LN225" s="8"/>
      <c r="LO225" s="5" t="str">
        <f t="shared" si="768"/>
        <v>NO APLICA</v>
      </c>
      <c r="LP225" s="2"/>
      <c r="LQ225" s="6"/>
      <c r="LR225" s="4"/>
      <c r="LS225" s="8"/>
      <c r="LT225" s="5" t="str">
        <f t="shared" si="763"/>
        <v>NO APLICA</v>
      </c>
      <c r="LU225" s="6"/>
      <c r="LV225" s="6"/>
      <c r="LW225" s="4"/>
      <c r="LX225" s="8"/>
      <c r="LY225" s="5" t="str">
        <f t="shared" si="764"/>
        <v>NO APLICA</v>
      </c>
      <c r="LZ225" s="6"/>
      <c r="MA225" s="6"/>
      <c r="MB225" s="4"/>
      <c r="MC225" s="8"/>
      <c r="MD225" s="5" t="str">
        <f t="shared" si="765"/>
        <v>NO APLICA</v>
      </c>
      <c r="ME225" s="2"/>
      <c r="MF225" s="2"/>
      <c r="MG225" s="4"/>
      <c r="MH225" s="8"/>
      <c r="MI225" s="5" t="str">
        <f t="shared" si="742"/>
        <v>NO APLICA</v>
      </c>
      <c r="MJ225" s="2"/>
      <c r="MK225" s="2"/>
      <c r="ML225" s="4"/>
      <c r="MM225" s="8"/>
      <c r="MN225" s="5" t="str">
        <f t="shared" si="743"/>
        <v>NO APLICA</v>
      </c>
      <c r="MO225" s="5"/>
      <c r="MP225" s="2"/>
      <c r="MQ225" s="4"/>
      <c r="MR225" s="8"/>
      <c r="MS225" s="5" t="str">
        <f t="shared" si="744"/>
        <v>NO APLICA</v>
      </c>
      <c r="MT225" s="5"/>
      <c r="MU225" s="2"/>
      <c r="MV225" s="4"/>
      <c r="MW225" s="2"/>
      <c r="MX225" s="5" t="str">
        <f t="shared" si="745"/>
        <v>NO APLICA</v>
      </c>
      <c r="MY225" s="2"/>
      <c r="MZ225" s="6"/>
      <c r="NA225" s="4"/>
      <c r="NB225" s="8"/>
      <c r="NC225" s="5" t="str">
        <f t="shared" si="746"/>
        <v>NO APLICA</v>
      </c>
      <c r="ND225" s="2"/>
      <c r="NE225" s="6"/>
      <c r="NF225" s="4"/>
      <c r="NG225" s="8"/>
      <c r="NH225" s="5" t="str">
        <f t="shared" si="747"/>
        <v>NO APLICA</v>
      </c>
      <c r="NI225" s="2"/>
      <c r="NJ225" s="6"/>
      <c r="NK225" s="4"/>
      <c r="NL225" s="8"/>
      <c r="NM225" s="5" t="str">
        <f t="shared" si="748"/>
        <v>NO APLICA</v>
      </c>
      <c r="NN225" s="2"/>
      <c r="NO225" s="2"/>
      <c r="NP225" s="4"/>
      <c r="NQ225" s="8"/>
      <c r="NR225" s="5" t="str">
        <f t="shared" si="749"/>
        <v>NO APLICA</v>
      </c>
      <c r="NS225" s="2"/>
      <c r="NT225" s="2"/>
      <c r="NU225" s="4"/>
      <c r="NV225" s="2"/>
      <c r="NW225" s="5" t="str">
        <f t="shared" si="750"/>
        <v>NO APLICA</v>
      </c>
      <c r="NX225" s="6"/>
      <c r="NY225" s="6"/>
      <c r="NZ225" s="4"/>
      <c r="OA225" s="8"/>
      <c r="OB225" s="5" t="str">
        <f t="shared" si="751"/>
        <v>NO APLICA</v>
      </c>
      <c r="OC225" s="6"/>
      <c r="OD225" s="6"/>
      <c r="OE225" s="6"/>
      <c r="OF225" s="6"/>
      <c r="OG225" s="5" t="str">
        <f t="shared" si="752"/>
        <v>NO APLICA</v>
      </c>
      <c r="OH225" s="6"/>
      <c r="OI225" s="6"/>
      <c r="OJ225" s="4"/>
      <c r="OK225" s="8"/>
      <c r="OL225" s="5" t="str">
        <f t="shared" si="753"/>
        <v>NO APLICA</v>
      </c>
      <c r="OM225" s="6"/>
      <c r="ON225" s="6"/>
      <c r="OO225" s="6"/>
      <c r="OP225" s="6"/>
      <c r="OQ225" s="5" t="str">
        <f t="shared" si="754"/>
        <v>NO APLICA</v>
      </c>
      <c r="OR225" s="6"/>
      <c r="OS225" s="6"/>
      <c r="OT225" s="6"/>
      <c r="OU225" s="6"/>
      <c r="OV225" s="5" t="str">
        <f t="shared" si="755"/>
        <v>NO APLICA</v>
      </c>
      <c r="OW225" s="6"/>
      <c r="OX225" s="6"/>
      <c r="OY225" s="6"/>
      <c r="OZ225" s="6"/>
      <c r="PA225" s="5" t="str">
        <f t="shared" si="769"/>
        <v>NO APLICA</v>
      </c>
      <c r="PB225" s="6"/>
      <c r="PC225" s="6"/>
      <c r="PD225" s="6"/>
      <c r="PE225" s="6"/>
      <c r="PF225" s="5" t="str">
        <f t="shared" si="756"/>
        <v>NO APLICA</v>
      </c>
      <c r="PG225" s="6"/>
      <c r="PH225" s="6"/>
      <c r="PI225" s="6"/>
      <c r="PJ225" s="6"/>
      <c r="PK225" s="5" t="str">
        <f t="shared" si="757"/>
        <v>NO APLICA</v>
      </c>
      <c r="PL225" s="5"/>
      <c r="PM225" s="6"/>
      <c r="PN225" s="4"/>
      <c r="PO225" s="8"/>
      <c r="PP225" s="5" t="str">
        <f t="shared" si="766"/>
        <v>NO APLICA</v>
      </c>
      <c r="PQ225" s="6"/>
      <c r="PR225" s="6"/>
      <c r="PS225" s="6"/>
      <c r="PT225" s="6"/>
      <c r="PU225" s="5" t="str">
        <f t="shared" si="758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9"/>
        <v>VIGENTE</v>
      </c>
    </row>
    <row r="226" spans="1:442" ht="15.6" hidden="1" thickTop="1" thickBot="1" x14ac:dyDescent="0.35">
      <c r="A226" s="26">
        <v>223</v>
      </c>
      <c r="B226" s="31">
        <v>7</v>
      </c>
      <c r="C226" s="28" t="s">
        <v>670</v>
      </c>
      <c r="D226" s="29" t="s">
        <v>604</v>
      </c>
      <c r="E226" s="30" t="s">
        <v>671</v>
      </c>
      <c r="F226" s="3"/>
      <c r="G226" s="4"/>
      <c r="H226" s="4"/>
      <c r="I226" s="8"/>
      <c r="J226" s="5" t="str">
        <f t="shared" si="696"/>
        <v>NO APLICA</v>
      </c>
      <c r="K226" s="2"/>
      <c r="L226" s="2"/>
      <c r="M226" s="2"/>
      <c r="N226" s="2"/>
      <c r="O226" s="5" t="str">
        <f t="shared" si="699"/>
        <v>NO APLICA</v>
      </c>
      <c r="P226" s="6"/>
      <c r="Q226" s="6"/>
      <c r="R226" s="4"/>
      <c r="S226" s="8"/>
      <c r="T226" s="5" t="str">
        <f t="shared" si="697"/>
        <v>NO APLICA</v>
      </c>
      <c r="U226" s="5"/>
      <c r="V226" s="2"/>
      <c r="W226" s="4"/>
      <c r="X226" s="4"/>
      <c r="Y226" s="8"/>
      <c r="Z226" s="5" t="str">
        <f t="shared" si="605"/>
        <v>NO APLICA</v>
      </c>
      <c r="AA226" s="5"/>
      <c r="AB226" s="2"/>
      <c r="AC226" s="6"/>
      <c r="AD226" s="4"/>
      <c r="AE226" s="8"/>
      <c r="AF226" s="5" t="str">
        <f t="shared" si="700"/>
        <v>NO APLICA</v>
      </c>
      <c r="AG226" s="2"/>
      <c r="AH226" s="4"/>
      <c r="AI226" s="4"/>
      <c r="AJ226" s="8"/>
      <c r="AK226" s="5" t="str">
        <f t="shared" si="602"/>
        <v>NO APLICA</v>
      </c>
      <c r="AL226" s="2"/>
      <c r="AM226" s="4"/>
      <c r="AN226" s="4"/>
      <c r="AO226" s="8"/>
      <c r="AP226" s="5" t="str">
        <f t="shared" si="701"/>
        <v>NO APLICA</v>
      </c>
      <c r="AQ226" s="2"/>
      <c r="AR226" s="4"/>
      <c r="AS226" s="4"/>
      <c r="AT226" s="8"/>
      <c r="AU226" s="5" t="str">
        <f t="shared" si="702"/>
        <v>NO APLICA</v>
      </c>
      <c r="AV226" s="2"/>
      <c r="AW226" s="4"/>
      <c r="AX226" s="4"/>
      <c r="AY226" s="8"/>
      <c r="AZ226" s="5" t="str">
        <f t="shared" si="703"/>
        <v>NO APLICA</v>
      </c>
      <c r="BA226" s="3"/>
      <c r="BB226" s="4"/>
      <c r="BC226" s="4"/>
      <c r="BD226" s="8"/>
      <c r="BE226" s="5" t="str">
        <f t="shared" si="704"/>
        <v>NO APLICA</v>
      </c>
      <c r="BF226" s="2"/>
      <c r="BG226" s="4"/>
      <c r="BH226" s="4"/>
      <c r="BI226" s="8"/>
      <c r="BJ226" s="5" t="str">
        <f t="shared" si="705"/>
        <v>NO APLICA</v>
      </c>
      <c r="BK226" s="3"/>
      <c r="BL226" s="4"/>
      <c r="BM226" s="4"/>
      <c r="BN226" s="8"/>
      <c r="BO226" s="5" t="str">
        <f t="shared" si="706"/>
        <v>NO APLICA</v>
      </c>
      <c r="BP226" s="3"/>
      <c r="BQ226" s="39"/>
      <c r="BR226" s="4"/>
      <c r="BS226" s="8"/>
      <c r="BT226" s="5" t="str">
        <f t="shared" si="707"/>
        <v>NO APLICA</v>
      </c>
      <c r="BU226" s="2"/>
      <c r="BV226" s="4"/>
      <c r="BW226" s="4"/>
      <c r="BX226" s="8"/>
      <c r="BY226" s="5" t="str">
        <f t="shared" si="708"/>
        <v>NO APLICA</v>
      </c>
      <c r="BZ226" s="2"/>
      <c r="CA226" s="4"/>
      <c r="CB226" s="4"/>
      <c r="CC226" s="8"/>
      <c r="CD226" s="5" t="str">
        <f t="shared" si="709"/>
        <v>NO APLICA</v>
      </c>
      <c r="CE226" s="6"/>
      <c r="CF226" s="4"/>
      <c r="CG226" s="4"/>
      <c r="CH226" s="8"/>
      <c r="CI226" s="5" t="str">
        <f t="shared" si="770"/>
        <v>NO APLICA</v>
      </c>
      <c r="CJ226" s="6"/>
      <c r="CK226" s="4"/>
      <c r="CL226" s="4"/>
      <c r="CM226" s="8"/>
      <c r="CN226" s="5" t="str">
        <f t="shared" si="710"/>
        <v>NO APLICA</v>
      </c>
      <c r="CO226" s="2"/>
      <c r="CP226" s="39"/>
      <c r="CQ226" s="4"/>
      <c r="CR226" s="8"/>
      <c r="CS226" s="5" t="str">
        <f t="shared" si="711"/>
        <v>NO APLICA</v>
      </c>
      <c r="CT226" s="2"/>
      <c r="CU226" s="4"/>
      <c r="CV226" s="4"/>
      <c r="CW226" s="8"/>
      <c r="CX226" s="5" t="str">
        <f t="shared" si="712"/>
        <v>NO APLICA</v>
      </c>
      <c r="CY226" s="3"/>
      <c r="CZ226" s="4"/>
      <c r="DA226" s="4"/>
      <c r="DB226" s="8"/>
      <c r="DC226" s="5" t="str">
        <f t="shared" si="713"/>
        <v>NO APLICA</v>
      </c>
      <c r="DD226" s="3"/>
      <c r="DE226" s="39"/>
      <c r="DF226" s="4"/>
      <c r="DG226" s="8"/>
      <c r="DH226" s="5" t="str">
        <f t="shared" si="714"/>
        <v>NO APLICA</v>
      </c>
      <c r="DI226" s="2"/>
      <c r="DJ226" s="39"/>
      <c r="DK226" s="4"/>
      <c r="DL226" s="8"/>
      <c r="DM226" s="5" t="str">
        <f t="shared" si="715"/>
        <v>NO APLICA</v>
      </c>
      <c r="DN226" s="3"/>
      <c r="DO226" s="4"/>
      <c r="DP226" s="4"/>
      <c r="DQ226" s="8"/>
      <c r="DR226" s="5" t="str">
        <f t="shared" si="716"/>
        <v>NO APLICA</v>
      </c>
      <c r="DS226" s="2"/>
      <c r="DT226" s="4"/>
      <c r="DU226" s="4"/>
      <c r="DV226" s="8"/>
      <c r="DW226" s="5" t="str">
        <f t="shared" si="717"/>
        <v>NO APLICA</v>
      </c>
      <c r="DX226" s="3"/>
      <c r="DY226" s="4"/>
      <c r="DZ226" s="4"/>
      <c r="EA226" s="8"/>
      <c r="EB226" s="5" t="str">
        <f t="shared" si="718"/>
        <v>NO APLICA</v>
      </c>
      <c r="EC226" s="3"/>
      <c r="ED226" s="39"/>
      <c r="EE226" s="4"/>
      <c r="EF226" s="8"/>
      <c r="EG226" s="5" t="str">
        <f t="shared" si="719"/>
        <v>NO APLICA</v>
      </c>
      <c r="EH226" s="2"/>
      <c r="EI226" s="4"/>
      <c r="EJ226" s="4"/>
      <c r="EK226" s="8"/>
      <c r="EL226" s="5" t="str">
        <f t="shared" si="720"/>
        <v>NO APLICA</v>
      </c>
      <c r="EM226" s="3"/>
      <c r="EN226" s="4"/>
      <c r="EO226" s="4"/>
      <c r="EP226" s="8"/>
      <c r="EQ226" s="5" t="str">
        <f t="shared" si="721"/>
        <v>NO APLICA</v>
      </c>
      <c r="ER226" s="2"/>
      <c r="ES226" s="39"/>
      <c r="ET226" s="4"/>
      <c r="EU226" s="8"/>
      <c r="EV226" s="5" t="str">
        <f t="shared" si="722"/>
        <v>NO APLICA</v>
      </c>
      <c r="EW226" s="2"/>
      <c r="EX226" s="4"/>
      <c r="EY226" s="4"/>
      <c r="EZ226" s="8"/>
      <c r="FA226" s="5" t="str">
        <f t="shared" si="723"/>
        <v>NO APLICA</v>
      </c>
      <c r="FB226" s="2"/>
      <c r="FC226" s="4"/>
      <c r="FD226" s="4"/>
      <c r="FE226" s="8"/>
      <c r="FF226" s="5" t="str">
        <f t="shared" si="724"/>
        <v>NO APLICA</v>
      </c>
      <c r="FG226" s="2"/>
      <c r="FH226" s="4"/>
      <c r="FI226" s="4"/>
      <c r="FJ226" s="8"/>
      <c r="FK226" s="5" t="str">
        <f t="shared" si="725"/>
        <v>NO APLICA</v>
      </c>
      <c r="FL226" s="3"/>
      <c r="FM226" s="39"/>
      <c r="FN226" s="4"/>
      <c r="FO226" s="8"/>
      <c r="FP226" s="5" t="str">
        <f t="shared" si="726"/>
        <v>NO APLICA</v>
      </c>
      <c r="FQ226" s="3"/>
      <c r="FR226" s="39"/>
      <c r="FS226" s="4"/>
      <c r="FT226" s="8"/>
      <c r="FU226" s="5" t="str">
        <f t="shared" si="727"/>
        <v>NO APLICA</v>
      </c>
      <c r="FV226" s="3"/>
      <c r="FW226" s="4"/>
      <c r="FX226" s="4"/>
      <c r="FY226" s="8"/>
      <c r="FZ226" s="5" t="str">
        <f t="shared" si="728"/>
        <v>NO APLICA</v>
      </c>
      <c r="GA226" s="3"/>
      <c r="GB226" s="4"/>
      <c r="GC226" s="4"/>
      <c r="GD226" s="8"/>
      <c r="GE226" s="5" t="str">
        <f t="shared" si="729"/>
        <v>NO APLICA</v>
      </c>
      <c r="GF226" s="3"/>
      <c r="GG226" s="4"/>
      <c r="GH226" s="4"/>
      <c r="GI226" s="8"/>
      <c r="GJ226" s="5" t="str">
        <f t="shared" si="730"/>
        <v>NO APLICA</v>
      </c>
      <c r="GK226" s="3"/>
      <c r="GL226" s="4"/>
      <c r="GM226" s="4"/>
      <c r="GN226" s="8"/>
      <c r="GO226" s="5" t="str">
        <f t="shared" si="731"/>
        <v>NO APLICA</v>
      </c>
      <c r="GP226" s="4"/>
      <c r="GQ226" s="4"/>
      <c r="GR226" s="4"/>
      <c r="GS226" s="8"/>
      <c r="GT226" s="5" t="str">
        <f t="shared" si="610"/>
        <v>NO APLICA</v>
      </c>
      <c r="GU226" s="3"/>
      <c r="GV226" s="4"/>
      <c r="GW226" s="4"/>
      <c r="GX226" s="8"/>
      <c r="GY226" s="5" t="str">
        <f t="shared" si="611"/>
        <v>NO APLICA</v>
      </c>
      <c r="GZ226" s="2"/>
      <c r="HA226" s="4"/>
      <c r="HB226" s="4"/>
      <c r="HC226" s="8"/>
      <c r="HD226" s="5" t="str">
        <f t="shared" si="612"/>
        <v>NO APLICA</v>
      </c>
      <c r="HE226" s="6"/>
      <c r="HF226" s="6"/>
      <c r="HG226" s="4"/>
      <c r="HH226" s="8"/>
      <c r="HI226" s="5" t="str">
        <f t="shared" si="698"/>
        <v>NO APLICA</v>
      </c>
      <c r="HJ226" s="2"/>
      <c r="HK226" s="6"/>
      <c r="HL226" s="4"/>
      <c r="HM226" s="8"/>
      <c r="HN226" s="5" t="str">
        <f t="shared" si="694"/>
        <v>NO APLICA</v>
      </c>
      <c r="HO226" s="2"/>
      <c r="HP226" s="2"/>
      <c r="HQ226" s="4"/>
      <c r="HR226" s="2"/>
      <c r="HS226" s="5" t="str">
        <f t="shared" si="732"/>
        <v>NO APLICA</v>
      </c>
      <c r="HT226" s="2"/>
      <c r="HU226" s="6"/>
      <c r="HV226" s="4"/>
      <c r="HW226" s="8"/>
      <c r="HX226" s="5" t="str">
        <f t="shared" si="733"/>
        <v>NO APLICA</v>
      </c>
      <c r="HY226" s="2"/>
      <c r="HZ226" s="6"/>
      <c r="IA226" s="4"/>
      <c r="IB226" s="8"/>
      <c r="IC226" s="5" t="str">
        <f t="shared" si="734"/>
        <v>NO APLICA</v>
      </c>
      <c r="ID226" s="2"/>
      <c r="IE226" s="6"/>
      <c r="IF226" s="4"/>
      <c r="IG226" s="8"/>
      <c r="IH226" s="5" t="str">
        <f t="shared" si="735"/>
        <v>NO APLICA</v>
      </c>
      <c r="II226" s="6"/>
      <c r="IJ226" s="6"/>
      <c r="IK226" s="4"/>
      <c r="IL226" s="8"/>
      <c r="IM226" s="5" t="str">
        <f t="shared" si="736"/>
        <v>NO APLICA</v>
      </c>
      <c r="IN226" s="2"/>
      <c r="IO226" s="6"/>
      <c r="IP226" s="4"/>
      <c r="IQ226" s="8"/>
      <c r="IR226" s="5" t="str">
        <f t="shared" si="737"/>
        <v>NO APLICA</v>
      </c>
      <c r="IS226" s="2"/>
      <c r="IT226" s="6"/>
      <c r="IU226" s="4"/>
      <c r="IV226" s="8"/>
      <c r="IW226" s="5" t="str">
        <f t="shared" si="738"/>
        <v>NO APLICA</v>
      </c>
      <c r="IX226" s="2"/>
      <c r="IY226" s="6"/>
      <c r="IZ226" s="4"/>
      <c r="JA226" s="8"/>
      <c r="JB226" s="5" t="str">
        <f t="shared" si="739"/>
        <v>NO APLICA</v>
      </c>
      <c r="JC226" s="3" t="s">
        <v>780</v>
      </c>
      <c r="JD226" s="3"/>
      <c r="JE226" s="4"/>
      <c r="JF226" s="8"/>
      <c r="JG226" s="5"/>
      <c r="JH226" s="3" t="s">
        <v>780</v>
      </c>
      <c r="JI226" s="6"/>
      <c r="JJ226" s="6"/>
      <c r="JK226" s="6"/>
      <c r="JL226" s="5"/>
      <c r="JM226" s="6" t="s">
        <v>780</v>
      </c>
      <c r="JN226" s="6"/>
      <c r="JO226" s="6"/>
      <c r="JP226" s="6"/>
      <c r="JQ226" s="5"/>
      <c r="JR226" s="6" t="s">
        <v>780</v>
      </c>
      <c r="JS226" s="6"/>
      <c r="JT226" s="6"/>
      <c r="JU226" s="6"/>
      <c r="JV226" s="5"/>
      <c r="JW226" s="6" t="s">
        <v>780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40"/>
        <v>NO APLICA</v>
      </c>
      <c r="KG226" s="5"/>
      <c r="KH226" s="2"/>
      <c r="KI226" s="4"/>
      <c r="KJ226" s="8"/>
      <c r="KK226" s="5" t="str">
        <f t="shared" si="760"/>
        <v>NO APLICA</v>
      </c>
      <c r="KL226" s="5"/>
      <c r="KM226" s="2"/>
      <c r="KN226" s="4"/>
      <c r="KO226" s="8"/>
      <c r="KP226" s="5" t="str">
        <f t="shared" si="741"/>
        <v>NO APLICA</v>
      </c>
      <c r="KQ226" s="5"/>
      <c r="KR226" s="2"/>
      <c r="KS226" s="4"/>
      <c r="KT226" s="8"/>
      <c r="KU226" s="5" t="str">
        <f t="shared" si="761"/>
        <v>NO APLICA</v>
      </c>
      <c r="KV226" s="2"/>
      <c r="KW226" s="6"/>
      <c r="KX226" s="4"/>
      <c r="KY226" s="8"/>
      <c r="KZ226" s="5" t="str">
        <f t="shared" si="767"/>
        <v>NO APLICA</v>
      </c>
      <c r="LA226" s="5"/>
      <c r="LB226" s="6"/>
      <c r="LC226" s="4"/>
      <c r="LD226" s="8"/>
      <c r="LE226" s="5" t="str">
        <f t="shared" si="762"/>
        <v>NO APLICA</v>
      </c>
      <c r="LF226" s="6"/>
      <c r="LG226" s="6"/>
      <c r="LH226" s="4"/>
      <c r="LI226" s="8"/>
      <c r="LJ226" s="5" t="str">
        <f t="shared" si="600"/>
        <v>NO APLICA</v>
      </c>
      <c r="LK226" s="5"/>
      <c r="LL226" s="5"/>
      <c r="LM226" s="4"/>
      <c r="LN226" s="8"/>
      <c r="LO226" s="5" t="str">
        <f t="shared" si="768"/>
        <v>NO APLICA</v>
      </c>
      <c r="LP226" s="2"/>
      <c r="LQ226" s="6"/>
      <c r="LR226" s="4"/>
      <c r="LS226" s="8"/>
      <c r="LT226" s="5" t="str">
        <f t="shared" si="763"/>
        <v>NO APLICA</v>
      </c>
      <c r="LU226" s="6"/>
      <c r="LV226" s="6"/>
      <c r="LW226" s="4"/>
      <c r="LX226" s="8"/>
      <c r="LY226" s="5" t="str">
        <f t="shared" si="764"/>
        <v>NO APLICA</v>
      </c>
      <c r="LZ226" s="6"/>
      <c r="MA226" s="6"/>
      <c r="MB226" s="4"/>
      <c r="MC226" s="8"/>
      <c r="MD226" s="5" t="str">
        <f t="shared" si="765"/>
        <v>NO APLICA</v>
      </c>
      <c r="ME226" s="2"/>
      <c r="MF226" s="2"/>
      <c r="MG226" s="4"/>
      <c r="MH226" s="8"/>
      <c r="MI226" s="5" t="str">
        <f t="shared" si="742"/>
        <v>NO APLICA</v>
      </c>
      <c r="MJ226" s="2"/>
      <c r="MK226" s="2"/>
      <c r="ML226" s="4"/>
      <c r="MM226" s="8"/>
      <c r="MN226" s="5" t="str">
        <f t="shared" si="743"/>
        <v>NO APLICA</v>
      </c>
      <c r="MO226" s="5"/>
      <c r="MP226" s="2"/>
      <c r="MQ226" s="4"/>
      <c r="MR226" s="8"/>
      <c r="MS226" s="5" t="str">
        <f t="shared" si="744"/>
        <v>NO APLICA</v>
      </c>
      <c r="MT226" s="5"/>
      <c r="MU226" s="2"/>
      <c r="MV226" s="4"/>
      <c r="MW226" s="2"/>
      <c r="MX226" s="5" t="str">
        <f t="shared" si="745"/>
        <v>NO APLICA</v>
      </c>
      <c r="MY226" s="2"/>
      <c r="MZ226" s="6"/>
      <c r="NA226" s="4"/>
      <c r="NB226" s="8"/>
      <c r="NC226" s="5" t="str">
        <f t="shared" si="746"/>
        <v>NO APLICA</v>
      </c>
      <c r="ND226" s="2"/>
      <c r="NE226" s="6"/>
      <c r="NF226" s="4"/>
      <c r="NG226" s="8"/>
      <c r="NH226" s="5" t="str">
        <f t="shared" si="747"/>
        <v>NO APLICA</v>
      </c>
      <c r="NI226" s="2"/>
      <c r="NJ226" s="6"/>
      <c r="NK226" s="4"/>
      <c r="NL226" s="8"/>
      <c r="NM226" s="5" t="str">
        <f t="shared" si="748"/>
        <v>NO APLICA</v>
      </c>
      <c r="NN226" s="2"/>
      <c r="NO226" s="2"/>
      <c r="NP226" s="4"/>
      <c r="NQ226" s="8"/>
      <c r="NR226" s="5" t="str">
        <f t="shared" si="749"/>
        <v>NO APLICA</v>
      </c>
      <c r="NS226" s="2"/>
      <c r="NT226" s="2"/>
      <c r="NU226" s="4"/>
      <c r="NV226" s="2"/>
      <c r="NW226" s="5" t="str">
        <f t="shared" si="750"/>
        <v>NO APLICA</v>
      </c>
      <c r="NX226" s="6"/>
      <c r="NY226" s="6"/>
      <c r="NZ226" s="4"/>
      <c r="OA226" s="8"/>
      <c r="OB226" s="5" t="str">
        <f t="shared" si="751"/>
        <v>NO APLICA</v>
      </c>
      <c r="OC226" s="6"/>
      <c r="OD226" s="6"/>
      <c r="OE226" s="6"/>
      <c r="OF226" s="6"/>
      <c r="OG226" s="5" t="str">
        <f t="shared" si="752"/>
        <v>NO APLICA</v>
      </c>
      <c r="OH226" s="6"/>
      <c r="OI226" s="6"/>
      <c r="OJ226" s="4"/>
      <c r="OK226" s="8"/>
      <c r="OL226" s="5" t="str">
        <f t="shared" si="753"/>
        <v>NO APLICA</v>
      </c>
      <c r="OM226" s="6"/>
      <c r="ON226" s="6"/>
      <c r="OO226" s="6"/>
      <c r="OP226" s="6"/>
      <c r="OQ226" s="5" t="str">
        <f t="shared" si="754"/>
        <v>NO APLICA</v>
      </c>
      <c r="OR226" s="6"/>
      <c r="OS226" s="6"/>
      <c r="OT226" s="6"/>
      <c r="OU226" s="6"/>
      <c r="OV226" s="5" t="str">
        <f t="shared" si="755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6"/>
        <v>NO APLICA</v>
      </c>
      <c r="PG226" s="6"/>
      <c r="PH226" s="6"/>
      <c r="PI226" s="6"/>
      <c r="PJ226" s="6"/>
      <c r="PK226" s="5" t="str">
        <f t="shared" si="757"/>
        <v>NO APLICA</v>
      </c>
      <c r="PL226" s="5"/>
      <c r="PM226" s="6"/>
      <c r="PN226" s="4"/>
      <c r="PO226" s="8"/>
      <c r="PP226" s="5" t="str">
        <f t="shared" si="766"/>
        <v>NO APLICA</v>
      </c>
      <c r="PQ226" s="6"/>
      <c r="PR226" s="6"/>
      <c r="PS226" s="6"/>
      <c r="PT226" s="6"/>
      <c r="PU226" s="5" t="str">
        <f t="shared" si="758"/>
        <v>NO APLICA</v>
      </c>
      <c r="PV226" s="5"/>
      <c r="PW226" s="6"/>
      <c r="PX226" s="6"/>
      <c r="PY226" s="6"/>
      <c r="PZ226" s="5" t="str">
        <f t="shared" si="759"/>
        <v>NO APLICA</v>
      </c>
    </row>
    <row r="227" spans="1:442" ht="15.6" hidden="1" thickTop="1" thickBot="1" x14ac:dyDescent="0.35">
      <c r="A227" s="26">
        <v>224</v>
      </c>
      <c r="B227" s="31">
        <v>11</v>
      </c>
      <c r="C227" s="28" t="s">
        <v>672</v>
      </c>
      <c r="D227" s="29" t="s">
        <v>604</v>
      </c>
      <c r="E227" s="30" t="s">
        <v>673</v>
      </c>
      <c r="F227" s="3"/>
      <c r="G227" s="4"/>
      <c r="H227" s="4"/>
      <c r="I227" s="8"/>
      <c r="J227" s="5" t="str">
        <f t="shared" si="696"/>
        <v>NO APLICA</v>
      </c>
      <c r="K227" s="2"/>
      <c r="L227" s="2"/>
      <c r="M227" s="2"/>
      <c r="N227" s="2"/>
      <c r="O227" s="5" t="str">
        <f t="shared" si="699"/>
        <v>NO APLICA</v>
      </c>
      <c r="P227" s="6"/>
      <c r="Q227" s="6"/>
      <c r="R227" s="4"/>
      <c r="S227" s="8"/>
      <c r="T227" s="5" t="str">
        <f t="shared" si="697"/>
        <v>NO APLICA</v>
      </c>
      <c r="U227" s="5"/>
      <c r="V227" s="2"/>
      <c r="W227" s="4"/>
      <c r="X227" s="4"/>
      <c r="Y227" s="8"/>
      <c r="Z227" s="5" t="str">
        <f t="shared" si="605"/>
        <v>NO APLICA</v>
      </c>
      <c r="AA227" s="5"/>
      <c r="AB227" s="2"/>
      <c r="AC227" s="6"/>
      <c r="AD227" s="4"/>
      <c r="AE227" s="8"/>
      <c r="AF227" s="5" t="str">
        <f t="shared" si="700"/>
        <v>NO APLICA</v>
      </c>
      <c r="AG227" s="2"/>
      <c r="AH227" s="4"/>
      <c r="AI227" s="4"/>
      <c r="AJ227" s="8"/>
      <c r="AK227" s="5" t="str">
        <f t="shared" si="602"/>
        <v>NO APLICA</v>
      </c>
      <c r="AL227" s="2"/>
      <c r="AM227" s="4"/>
      <c r="AN227" s="4"/>
      <c r="AO227" s="8"/>
      <c r="AP227" s="5" t="str">
        <f t="shared" si="701"/>
        <v>NO APLICA</v>
      </c>
      <c r="AQ227" s="2"/>
      <c r="AR227" s="4"/>
      <c r="AS227" s="4"/>
      <c r="AT227" s="8"/>
      <c r="AU227" s="5" t="str">
        <f t="shared" si="702"/>
        <v>NO APLICA</v>
      </c>
      <c r="AV227" s="2"/>
      <c r="AW227" s="4"/>
      <c r="AX227" s="4"/>
      <c r="AY227" s="8"/>
      <c r="AZ227" s="5" t="str">
        <f t="shared" si="703"/>
        <v>NO APLICA</v>
      </c>
      <c r="BA227" s="3"/>
      <c r="BB227" s="4"/>
      <c r="BC227" s="4"/>
      <c r="BD227" s="8"/>
      <c r="BE227" s="5" t="str">
        <f t="shared" si="704"/>
        <v>NO APLICA</v>
      </c>
      <c r="BF227" s="2"/>
      <c r="BG227" s="4"/>
      <c r="BH227" s="4"/>
      <c r="BI227" s="8"/>
      <c r="BJ227" s="5" t="str">
        <f t="shared" si="705"/>
        <v>NO APLICA</v>
      </c>
      <c r="BK227" s="3"/>
      <c r="BL227" s="4"/>
      <c r="BM227" s="4"/>
      <c r="BN227" s="8"/>
      <c r="BO227" s="5" t="str">
        <f t="shared" si="706"/>
        <v>NO APLICA</v>
      </c>
      <c r="BP227" s="3"/>
      <c r="BQ227" s="39"/>
      <c r="BR227" s="4"/>
      <c r="BS227" s="8"/>
      <c r="BT227" s="5" t="str">
        <f t="shared" si="707"/>
        <v>NO APLICA</v>
      </c>
      <c r="BU227" s="2"/>
      <c r="BV227" s="4"/>
      <c r="BW227" s="4"/>
      <c r="BX227" s="8"/>
      <c r="BY227" s="5" t="str">
        <f t="shared" si="708"/>
        <v>NO APLICA</v>
      </c>
      <c r="BZ227" s="2"/>
      <c r="CA227" s="4"/>
      <c r="CB227" s="4"/>
      <c r="CC227" s="8"/>
      <c r="CD227" s="5" t="str">
        <f t="shared" si="709"/>
        <v>NO APLICA</v>
      </c>
      <c r="CE227" s="6"/>
      <c r="CF227" s="4"/>
      <c r="CG227" s="4"/>
      <c r="CH227" s="8"/>
      <c r="CI227" s="5" t="str">
        <f t="shared" si="770"/>
        <v>NO APLICA</v>
      </c>
      <c r="CJ227" s="6"/>
      <c r="CK227" s="4"/>
      <c r="CL227" s="4"/>
      <c r="CM227" s="8"/>
      <c r="CN227" s="5" t="str">
        <f t="shared" si="710"/>
        <v>NO APLICA</v>
      </c>
      <c r="CO227" s="2"/>
      <c r="CP227" s="39"/>
      <c r="CQ227" s="4"/>
      <c r="CR227" s="8"/>
      <c r="CS227" s="5" t="str">
        <f t="shared" si="711"/>
        <v>NO APLICA</v>
      </c>
      <c r="CT227" s="2"/>
      <c r="CU227" s="4"/>
      <c r="CV227" s="4"/>
      <c r="CW227" s="8"/>
      <c r="CX227" s="5" t="str">
        <f t="shared" si="712"/>
        <v>NO APLICA</v>
      </c>
      <c r="CY227" s="3"/>
      <c r="CZ227" s="4"/>
      <c r="DA227" s="4"/>
      <c r="DB227" s="8"/>
      <c r="DC227" s="5" t="str">
        <f t="shared" si="713"/>
        <v>NO APLICA</v>
      </c>
      <c r="DD227" s="3"/>
      <c r="DE227" s="39"/>
      <c r="DF227" s="4"/>
      <c r="DG227" s="8"/>
      <c r="DH227" s="5" t="str">
        <f t="shared" si="714"/>
        <v>NO APLICA</v>
      </c>
      <c r="DI227" s="2"/>
      <c r="DJ227" s="39"/>
      <c r="DK227" s="4"/>
      <c r="DL227" s="8"/>
      <c r="DM227" s="5" t="str">
        <f t="shared" si="715"/>
        <v>NO APLICA</v>
      </c>
      <c r="DN227" s="3"/>
      <c r="DO227" s="4"/>
      <c r="DP227" s="4"/>
      <c r="DQ227" s="8"/>
      <c r="DR227" s="5" t="str">
        <f t="shared" si="716"/>
        <v>NO APLICA</v>
      </c>
      <c r="DS227" s="2"/>
      <c r="DT227" s="4"/>
      <c r="DU227" s="4"/>
      <c r="DV227" s="8"/>
      <c r="DW227" s="5" t="str">
        <f t="shared" si="717"/>
        <v>NO APLICA</v>
      </c>
      <c r="DX227" s="3"/>
      <c r="DY227" s="4"/>
      <c r="DZ227" s="4"/>
      <c r="EA227" s="8"/>
      <c r="EB227" s="5" t="str">
        <f t="shared" si="718"/>
        <v>NO APLICA</v>
      </c>
      <c r="EC227" s="3"/>
      <c r="ED227" s="39"/>
      <c r="EE227" s="4"/>
      <c r="EF227" s="8"/>
      <c r="EG227" s="5" t="str">
        <f t="shared" si="719"/>
        <v>NO APLICA</v>
      </c>
      <c r="EH227" s="2"/>
      <c r="EI227" s="4"/>
      <c r="EJ227" s="4"/>
      <c r="EK227" s="8"/>
      <c r="EL227" s="5" t="str">
        <f t="shared" si="720"/>
        <v>NO APLICA</v>
      </c>
      <c r="EM227" s="3"/>
      <c r="EN227" s="4"/>
      <c r="EO227" s="4"/>
      <c r="EP227" s="8"/>
      <c r="EQ227" s="5" t="str">
        <f t="shared" si="721"/>
        <v>NO APLICA</v>
      </c>
      <c r="ER227" s="2"/>
      <c r="ES227" s="39"/>
      <c r="ET227" s="4"/>
      <c r="EU227" s="8"/>
      <c r="EV227" s="5" t="str">
        <f t="shared" si="722"/>
        <v>NO APLICA</v>
      </c>
      <c r="EW227" s="2"/>
      <c r="EX227" s="4"/>
      <c r="EY227" s="4"/>
      <c r="EZ227" s="8"/>
      <c r="FA227" s="5" t="str">
        <f t="shared" si="723"/>
        <v>NO APLICA</v>
      </c>
      <c r="FB227" s="2"/>
      <c r="FC227" s="4"/>
      <c r="FD227" s="4"/>
      <c r="FE227" s="8"/>
      <c r="FF227" s="5" t="str">
        <f t="shared" si="724"/>
        <v>NO APLICA</v>
      </c>
      <c r="FG227" s="2"/>
      <c r="FH227" s="4"/>
      <c r="FI227" s="4"/>
      <c r="FJ227" s="8"/>
      <c r="FK227" s="5" t="str">
        <f t="shared" si="725"/>
        <v>NO APLICA</v>
      </c>
      <c r="FL227" s="3"/>
      <c r="FM227" s="39"/>
      <c r="FN227" s="4"/>
      <c r="FO227" s="8"/>
      <c r="FP227" s="5" t="str">
        <f t="shared" si="726"/>
        <v>NO APLICA</v>
      </c>
      <c r="FQ227" s="3"/>
      <c r="FR227" s="39"/>
      <c r="FS227" s="4"/>
      <c r="FT227" s="8"/>
      <c r="FU227" s="5" t="str">
        <f t="shared" si="727"/>
        <v>NO APLICA</v>
      </c>
      <c r="FV227" s="3"/>
      <c r="FW227" s="4"/>
      <c r="FX227" s="4"/>
      <c r="FY227" s="8"/>
      <c r="FZ227" s="5" t="str">
        <f t="shared" si="728"/>
        <v>NO APLICA</v>
      </c>
      <c r="GA227" s="3"/>
      <c r="GB227" s="4"/>
      <c r="GC227" s="4"/>
      <c r="GD227" s="8"/>
      <c r="GE227" s="5" t="str">
        <f t="shared" si="729"/>
        <v>NO APLICA</v>
      </c>
      <c r="GF227" s="3"/>
      <c r="GG227" s="4"/>
      <c r="GH227" s="4"/>
      <c r="GI227" s="8"/>
      <c r="GJ227" s="5" t="str">
        <f t="shared" si="730"/>
        <v>NO APLICA</v>
      </c>
      <c r="GK227" s="3"/>
      <c r="GL227" s="4"/>
      <c r="GM227" s="4"/>
      <c r="GN227" s="8"/>
      <c r="GO227" s="5" t="str">
        <f t="shared" si="731"/>
        <v>NO APLICA</v>
      </c>
      <c r="GP227" s="4"/>
      <c r="GQ227" s="4"/>
      <c r="GR227" s="4"/>
      <c r="GS227" s="8"/>
      <c r="GT227" s="5" t="str">
        <f t="shared" si="610"/>
        <v>NO APLICA</v>
      </c>
      <c r="GU227" s="3"/>
      <c r="GV227" s="4"/>
      <c r="GW227" s="4"/>
      <c r="GX227" s="8"/>
      <c r="GY227" s="5" t="str">
        <f t="shared" si="611"/>
        <v>NO APLICA</v>
      </c>
      <c r="GZ227" s="2"/>
      <c r="HA227" s="4"/>
      <c r="HB227" s="4"/>
      <c r="HC227" s="8"/>
      <c r="HD227" s="5" t="str">
        <f t="shared" si="612"/>
        <v>NO APLICA</v>
      </c>
      <c r="HE227" s="6"/>
      <c r="HF227" s="6"/>
      <c r="HG227" s="4"/>
      <c r="HH227" s="8"/>
      <c r="HI227" s="5" t="str">
        <f t="shared" si="698"/>
        <v>NO APLICA</v>
      </c>
      <c r="HJ227" s="2"/>
      <c r="HK227" s="6"/>
      <c r="HL227" s="4"/>
      <c r="HM227" s="8"/>
      <c r="HN227" s="5" t="str">
        <f t="shared" si="694"/>
        <v>NO APLICA</v>
      </c>
      <c r="HO227" s="2"/>
      <c r="HP227" s="2"/>
      <c r="HQ227" s="4"/>
      <c r="HR227" s="2"/>
      <c r="HS227" s="5" t="str">
        <f t="shared" si="732"/>
        <v>NO APLICA</v>
      </c>
      <c r="HT227" s="2"/>
      <c r="HU227" s="6"/>
      <c r="HV227" s="4"/>
      <c r="HW227" s="8"/>
      <c r="HX227" s="5" t="str">
        <f t="shared" si="733"/>
        <v>NO APLICA</v>
      </c>
      <c r="HY227" s="2"/>
      <c r="HZ227" s="6"/>
      <c r="IA227" s="4"/>
      <c r="IB227" s="8"/>
      <c r="IC227" s="5" t="str">
        <f t="shared" si="734"/>
        <v>NO APLICA</v>
      </c>
      <c r="ID227" s="2"/>
      <c r="IE227" s="6"/>
      <c r="IF227" s="4"/>
      <c r="IG227" s="8"/>
      <c r="IH227" s="5" t="str">
        <f t="shared" si="735"/>
        <v>NO APLICA</v>
      </c>
      <c r="II227" s="6"/>
      <c r="IJ227" s="6"/>
      <c r="IK227" s="4"/>
      <c r="IL227" s="8"/>
      <c r="IM227" s="5" t="str">
        <f t="shared" si="736"/>
        <v>NO APLICA</v>
      </c>
      <c r="IN227" s="2"/>
      <c r="IO227" s="6"/>
      <c r="IP227" s="4"/>
      <c r="IQ227" s="8"/>
      <c r="IR227" s="5" t="str">
        <f t="shared" si="737"/>
        <v>NO APLICA</v>
      </c>
      <c r="IS227" s="2"/>
      <c r="IT227" s="6"/>
      <c r="IU227" s="4"/>
      <c r="IV227" s="8"/>
      <c r="IW227" s="5" t="str">
        <f t="shared" si="738"/>
        <v>NO APLICA</v>
      </c>
      <c r="IX227" s="2"/>
      <c r="IY227" s="6"/>
      <c r="IZ227" s="4"/>
      <c r="JA227" s="8"/>
      <c r="JB227" s="5" t="str">
        <f t="shared" si="739"/>
        <v>NO APLICA</v>
      </c>
      <c r="JC227" s="3" t="s">
        <v>780</v>
      </c>
      <c r="JD227" s="3"/>
      <c r="JE227" s="4"/>
      <c r="JF227" s="8"/>
      <c r="JG227" s="5"/>
      <c r="JH227" s="3" t="s">
        <v>780</v>
      </c>
      <c r="JI227" s="6"/>
      <c r="JJ227" s="6"/>
      <c r="JK227" s="6"/>
      <c r="JL227" s="5"/>
      <c r="JM227" s="6" t="s">
        <v>780</v>
      </c>
      <c r="JN227" s="6"/>
      <c r="JO227" s="6"/>
      <c r="JP227" s="6"/>
      <c r="JQ227" s="5"/>
      <c r="JR227" s="6" t="s">
        <v>780</v>
      </c>
      <c r="JS227" s="6"/>
      <c r="JT227" s="6"/>
      <c r="JU227" s="6"/>
      <c r="JV227" s="5"/>
      <c r="JW227" s="6" t="s">
        <v>780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40"/>
        <v>NO APLICA</v>
      </c>
      <c r="KG227" s="5"/>
      <c r="KH227" s="2"/>
      <c r="KI227" s="4"/>
      <c r="KJ227" s="8"/>
      <c r="KK227" s="5" t="str">
        <f t="shared" si="760"/>
        <v>NO APLICA</v>
      </c>
      <c r="KL227" s="5"/>
      <c r="KM227" s="2"/>
      <c r="KN227" s="4"/>
      <c r="KO227" s="8"/>
      <c r="KP227" s="5" t="str">
        <f t="shared" si="741"/>
        <v>NO APLICA</v>
      </c>
      <c r="KQ227" s="5"/>
      <c r="KR227" s="2"/>
      <c r="KS227" s="4"/>
      <c r="KT227" s="8"/>
      <c r="KU227" s="5" t="str">
        <f t="shared" si="761"/>
        <v>NO APLICA</v>
      </c>
      <c r="KV227" s="2"/>
      <c r="KW227" s="6"/>
      <c r="KX227" s="4"/>
      <c r="KY227" s="8"/>
      <c r="KZ227" s="5" t="str">
        <f t="shared" si="767"/>
        <v>NO APLICA</v>
      </c>
      <c r="LA227" s="5"/>
      <c r="LB227" s="6"/>
      <c r="LC227" s="4"/>
      <c r="LD227" s="8"/>
      <c r="LE227" s="5" t="str">
        <f t="shared" si="762"/>
        <v>NO APLICA</v>
      </c>
      <c r="LF227" s="6"/>
      <c r="LG227" s="6"/>
      <c r="LH227" s="4"/>
      <c r="LI227" s="8"/>
      <c r="LJ227" s="5" t="str">
        <f t="shared" si="600"/>
        <v>NO APLICA</v>
      </c>
      <c r="LK227" s="5"/>
      <c r="LL227" s="5"/>
      <c r="LM227" s="4"/>
      <c r="LN227" s="8"/>
      <c r="LO227" s="5" t="str">
        <f t="shared" si="768"/>
        <v>NO APLICA</v>
      </c>
      <c r="LP227" s="2"/>
      <c r="LQ227" s="6"/>
      <c r="LR227" s="4"/>
      <c r="LS227" s="8"/>
      <c r="LT227" s="5" t="str">
        <f t="shared" si="763"/>
        <v>NO APLICA</v>
      </c>
      <c r="LU227" s="6"/>
      <c r="LV227" s="6"/>
      <c r="LW227" s="4"/>
      <c r="LX227" s="8"/>
      <c r="LY227" s="5" t="str">
        <f t="shared" si="764"/>
        <v>NO APLICA</v>
      </c>
      <c r="LZ227" s="6"/>
      <c r="MA227" s="6"/>
      <c r="MB227" s="4"/>
      <c r="MC227" s="8"/>
      <c r="MD227" s="5" t="str">
        <f t="shared" si="765"/>
        <v>NO APLICA</v>
      </c>
      <c r="ME227" s="2"/>
      <c r="MF227" s="2"/>
      <c r="MG227" s="4"/>
      <c r="MH227" s="8"/>
      <c r="MI227" s="5" t="str">
        <f t="shared" si="742"/>
        <v>NO APLICA</v>
      </c>
      <c r="MJ227" s="2"/>
      <c r="MK227" s="2"/>
      <c r="ML227" s="4"/>
      <c r="MM227" s="8"/>
      <c r="MN227" s="5" t="str">
        <f t="shared" si="743"/>
        <v>NO APLICA</v>
      </c>
      <c r="MO227" s="5"/>
      <c r="MP227" s="2"/>
      <c r="MQ227" s="4"/>
      <c r="MR227" s="8"/>
      <c r="MS227" s="5" t="str">
        <f t="shared" si="744"/>
        <v>NO APLICA</v>
      </c>
      <c r="MT227" s="5"/>
      <c r="MU227" s="2"/>
      <c r="MV227" s="4"/>
      <c r="MW227" s="2"/>
      <c r="MX227" s="5" t="str">
        <f t="shared" si="745"/>
        <v>NO APLICA</v>
      </c>
      <c r="MY227" s="2"/>
      <c r="MZ227" s="6"/>
      <c r="NA227" s="4"/>
      <c r="NB227" s="8"/>
      <c r="NC227" s="5" t="str">
        <f t="shared" si="746"/>
        <v>NO APLICA</v>
      </c>
      <c r="ND227" s="2"/>
      <c r="NE227" s="6"/>
      <c r="NF227" s="4"/>
      <c r="NG227" s="8"/>
      <c r="NH227" s="5" t="str">
        <f t="shared" si="747"/>
        <v>NO APLICA</v>
      </c>
      <c r="NI227" s="2"/>
      <c r="NJ227" s="6"/>
      <c r="NK227" s="4"/>
      <c r="NL227" s="8"/>
      <c r="NM227" s="5" t="str">
        <f t="shared" si="748"/>
        <v>NO APLICA</v>
      </c>
      <c r="NN227" s="2"/>
      <c r="NO227" s="2"/>
      <c r="NP227" s="4"/>
      <c r="NQ227" s="8"/>
      <c r="NR227" s="5" t="str">
        <f t="shared" si="749"/>
        <v>NO APLICA</v>
      </c>
      <c r="NS227" s="2"/>
      <c r="NT227" s="2"/>
      <c r="NU227" s="4"/>
      <c r="NV227" s="2"/>
      <c r="NW227" s="5" t="str">
        <f t="shared" si="750"/>
        <v>NO APLICA</v>
      </c>
      <c r="NX227" s="6"/>
      <c r="NY227" s="6"/>
      <c r="NZ227" s="4"/>
      <c r="OA227" s="8"/>
      <c r="OB227" s="5" t="str">
        <f t="shared" si="751"/>
        <v>NO APLICA</v>
      </c>
      <c r="OC227" s="6"/>
      <c r="OD227" s="6"/>
      <c r="OE227" s="6"/>
      <c r="OF227" s="6"/>
      <c r="OG227" s="5" t="str">
        <f t="shared" si="752"/>
        <v>NO APLICA</v>
      </c>
      <c r="OH227" s="6"/>
      <c r="OI227" s="6"/>
      <c r="OJ227" s="4"/>
      <c r="OK227" s="8"/>
      <c r="OL227" s="5" t="str">
        <f t="shared" si="753"/>
        <v>NO APLICA</v>
      </c>
      <c r="OM227" s="6"/>
      <c r="ON227" s="6"/>
      <c r="OO227" s="6"/>
      <c r="OP227" s="6"/>
      <c r="OQ227" s="5" t="str">
        <f t="shared" si="754"/>
        <v>NO APLICA</v>
      </c>
      <c r="OR227" s="6"/>
      <c r="OS227" s="6"/>
      <c r="OT227" s="6"/>
      <c r="OU227" s="6"/>
      <c r="OV227" s="5" t="str">
        <f t="shared" si="755"/>
        <v>NO APLICA</v>
      </c>
      <c r="OW227" s="6"/>
      <c r="OX227" s="6"/>
      <c r="OY227" s="6"/>
      <c r="OZ227" s="6"/>
      <c r="PA227" s="5" t="str">
        <f t="shared" si="769"/>
        <v>NO APLICA</v>
      </c>
      <c r="PB227" s="6"/>
      <c r="PC227" s="6"/>
      <c r="PD227" s="6"/>
      <c r="PE227" s="6"/>
      <c r="PF227" s="5" t="str">
        <f t="shared" si="756"/>
        <v>NO APLICA</v>
      </c>
      <c r="PG227" s="6"/>
      <c r="PH227" s="6"/>
      <c r="PI227" s="6"/>
      <c r="PJ227" s="6"/>
      <c r="PK227" s="5" t="str">
        <f t="shared" si="757"/>
        <v>NO APLICA</v>
      </c>
      <c r="PL227" s="5"/>
      <c r="PM227" s="6"/>
      <c r="PN227" s="4"/>
      <c r="PO227" s="8"/>
      <c r="PP227" s="5" t="str">
        <f t="shared" si="766"/>
        <v>NO APLICA</v>
      </c>
      <c r="PQ227" s="6"/>
      <c r="PR227" s="6"/>
      <c r="PS227" s="6"/>
      <c r="PT227" s="6"/>
      <c r="PU227" s="5" t="str">
        <f t="shared" si="758"/>
        <v>NO APLICA</v>
      </c>
      <c r="PV227" s="5"/>
      <c r="PW227" s="6"/>
      <c r="PX227" s="6"/>
      <c r="PY227" s="6"/>
      <c r="PZ227" s="5" t="str">
        <f t="shared" si="759"/>
        <v>NO APLICA</v>
      </c>
    </row>
    <row r="228" spans="1:442" ht="15.6" hidden="1" thickTop="1" thickBot="1" x14ac:dyDescent="0.35">
      <c r="A228" s="26">
        <v>225</v>
      </c>
      <c r="B228" s="31">
        <v>1720</v>
      </c>
      <c r="C228" s="28" t="s">
        <v>674</v>
      </c>
      <c r="D228" s="29" t="s">
        <v>609</v>
      </c>
      <c r="E228" s="30" t="s">
        <v>778</v>
      </c>
      <c r="F228" s="3"/>
      <c r="G228" s="4"/>
      <c r="H228" s="4"/>
      <c r="I228" s="8"/>
      <c r="J228" s="5" t="str">
        <f t="shared" si="696"/>
        <v>NO APLICA</v>
      </c>
      <c r="K228" s="2"/>
      <c r="L228" s="2"/>
      <c r="M228" s="2"/>
      <c r="N228" s="2"/>
      <c r="O228" s="5" t="str">
        <f t="shared" si="699"/>
        <v>NO APLICA</v>
      </c>
      <c r="P228" s="6"/>
      <c r="Q228" s="6"/>
      <c r="R228" s="4"/>
      <c r="S228" s="8"/>
      <c r="T228" s="5" t="str">
        <f t="shared" si="697"/>
        <v>NO APLICA</v>
      </c>
      <c r="U228" s="5"/>
      <c r="V228" s="2"/>
      <c r="W228" s="4"/>
      <c r="X228" s="4"/>
      <c r="Y228" s="8"/>
      <c r="Z228" s="5" t="str">
        <f t="shared" si="605"/>
        <v>NO APLICA</v>
      </c>
      <c r="AA228" s="5"/>
      <c r="AB228" s="2"/>
      <c r="AC228" s="6"/>
      <c r="AD228" s="4"/>
      <c r="AE228" s="8"/>
      <c r="AF228" s="5" t="str">
        <f t="shared" si="700"/>
        <v>NO APLICA</v>
      </c>
      <c r="AG228" s="2"/>
      <c r="AH228" s="4"/>
      <c r="AI228" s="4"/>
      <c r="AJ228" s="8"/>
      <c r="AK228" s="5" t="str">
        <f t="shared" si="602"/>
        <v>NO APLICA</v>
      </c>
      <c r="AL228" s="2"/>
      <c r="AM228" s="4"/>
      <c r="AN228" s="4"/>
      <c r="AO228" s="8"/>
      <c r="AP228" s="5" t="str">
        <f t="shared" si="701"/>
        <v>NO APLICA</v>
      </c>
      <c r="AQ228" s="2"/>
      <c r="AR228" s="4"/>
      <c r="AS228" s="4"/>
      <c r="AT228" s="8"/>
      <c r="AU228" s="5" t="str">
        <f t="shared" si="702"/>
        <v>NO APLICA</v>
      </c>
      <c r="AV228" s="2"/>
      <c r="AW228" s="4"/>
      <c r="AX228" s="4"/>
      <c r="AY228" s="8"/>
      <c r="AZ228" s="5" t="str">
        <f t="shared" si="703"/>
        <v>NO APLICA</v>
      </c>
      <c r="BA228" s="3"/>
      <c r="BB228" s="4"/>
      <c r="BC228" s="4"/>
      <c r="BD228" s="8"/>
      <c r="BE228" s="5" t="str">
        <f t="shared" si="704"/>
        <v>NO APLICA</v>
      </c>
      <c r="BF228" s="2"/>
      <c r="BG228" s="4"/>
      <c r="BH228" s="4"/>
      <c r="BI228" s="8"/>
      <c r="BJ228" s="5" t="str">
        <f t="shared" si="705"/>
        <v>NO APLICA</v>
      </c>
      <c r="BK228" s="3"/>
      <c r="BL228" s="4"/>
      <c r="BM228" s="4"/>
      <c r="BN228" s="8"/>
      <c r="BO228" s="5" t="str">
        <f t="shared" si="706"/>
        <v>NO APLICA</v>
      </c>
      <c r="BP228" s="3"/>
      <c r="BQ228" s="39"/>
      <c r="BR228" s="4"/>
      <c r="BS228" s="8"/>
      <c r="BT228" s="5" t="str">
        <f t="shared" si="707"/>
        <v>NO APLICA</v>
      </c>
      <c r="BU228" s="2"/>
      <c r="BV228" s="4"/>
      <c r="BW228" s="4"/>
      <c r="BX228" s="8"/>
      <c r="BY228" s="5" t="str">
        <f t="shared" si="708"/>
        <v>NO APLICA</v>
      </c>
      <c r="BZ228" s="2"/>
      <c r="CA228" s="4"/>
      <c r="CB228" s="4"/>
      <c r="CC228" s="8"/>
      <c r="CD228" s="5" t="str">
        <f t="shared" si="709"/>
        <v>NO APLICA</v>
      </c>
      <c r="CE228" s="6"/>
      <c r="CF228" s="4"/>
      <c r="CG228" s="4"/>
      <c r="CH228" s="8"/>
      <c r="CI228" s="5" t="str">
        <f t="shared" si="770"/>
        <v>NO APLICA</v>
      </c>
      <c r="CJ228" s="6"/>
      <c r="CK228" s="4"/>
      <c r="CL228" s="4"/>
      <c r="CM228" s="8"/>
      <c r="CN228" s="5" t="str">
        <f t="shared" si="710"/>
        <v>NO APLICA</v>
      </c>
      <c r="CO228" s="2"/>
      <c r="CP228" s="39"/>
      <c r="CQ228" s="4"/>
      <c r="CR228" s="8"/>
      <c r="CS228" s="5" t="str">
        <f t="shared" si="711"/>
        <v>NO APLICA</v>
      </c>
      <c r="CT228" s="2"/>
      <c r="CU228" s="4"/>
      <c r="CV228" s="4"/>
      <c r="CW228" s="8"/>
      <c r="CX228" s="5" t="str">
        <f t="shared" si="712"/>
        <v>NO APLICA</v>
      </c>
      <c r="CY228" s="3"/>
      <c r="CZ228" s="4"/>
      <c r="DA228" s="4"/>
      <c r="DB228" s="8"/>
      <c r="DC228" s="5" t="str">
        <f t="shared" si="713"/>
        <v>NO APLICA</v>
      </c>
      <c r="DD228" s="3"/>
      <c r="DE228" s="39"/>
      <c r="DF228" s="4"/>
      <c r="DG228" s="8"/>
      <c r="DH228" s="5" t="str">
        <f t="shared" si="714"/>
        <v>NO APLICA</v>
      </c>
      <c r="DI228" s="2"/>
      <c r="DJ228" s="39"/>
      <c r="DK228" s="4"/>
      <c r="DL228" s="8"/>
      <c r="DM228" s="5" t="str">
        <f t="shared" si="715"/>
        <v>NO APLICA</v>
      </c>
      <c r="DN228" s="3"/>
      <c r="DO228" s="4"/>
      <c r="DP228" s="4"/>
      <c r="DQ228" s="8"/>
      <c r="DR228" s="5" t="str">
        <f t="shared" si="716"/>
        <v>NO APLICA</v>
      </c>
      <c r="DS228" s="2"/>
      <c r="DT228" s="4"/>
      <c r="DU228" s="4"/>
      <c r="DV228" s="8"/>
      <c r="DW228" s="5" t="str">
        <f t="shared" si="717"/>
        <v>NO APLICA</v>
      </c>
      <c r="DX228" s="3"/>
      <c r="DY228" s="4"/>
      <c r="DZ228" s="4"/>
      <c r="EA228" s="8"/>
      <c r="EB228" s="5" t="str">
        <f t="shared" si="718"/>
        <v>NO APLICA</v>
      </c>
      <c r="EC228" s="3"/>
      <c r="ED228" s="39"/>
      <c r="EE228" s="4"/>
      <c r="EF228" s="8"/>
      <c r="EG228" s="5" t="str">
        <f t="shared" si="719"/>
        <v>NO APLICA</v>
      </c>
      <c r="EH228" s="2"/>
      <c r="EI228" s="4"/>
      <c r="EJ228" s="4"/>
      <c r="EK228" s="8"/>
      <c r="EL228" s="5" t="str">
        <f t="shared" si="720"/>
        <v>NO APLICA</v>
      </c>
      <c r="EM228" s="3"/>
      <c r="EN228" s="4"/>
      <c r="EO228" s="4"/>
      <c r="EP228" s="8"/>
      <c r="EQ228" s="5" t="str">
        <f t="shared" si="721"/>
        <v>NO APLICA</v>
      </c>
      <c r="ER228" s="2"/>
      <c r="ES228" s="39"/>
      <c r="ET228" s="4"/>
      <c r="EU228" s="8"/>
      <c r="EV228" s="5" t="str">
        <f t="shared" si="722"/>
        <v>NO APLICA</v>
      </c>
      <c r="EW228" s="2"/>
      <c r="EX228" s="4"/>
      <c r="EY228" s="4"/>
      <c r="EZ228" s="8"/>
      <c r="FA228" s="5" t="str">
        <f t="shared" si="723"/>
        <v>NO APLICA</v>
      </c>
      <c r="FB228" s="2"/>
      <c r="FC228" s="4"/>
      <c r="FD228" s="4"/>
      <c r="FE228" s="8"/>
      <c r="FF228" s="5" t="str">
        <f t="shared" si="724"/>
        <v>NO APLICA</v>
      </c>
      <c r="FG228" s="2"/>
      <c r="FH228" s="4"/>
      <c r="FI228" s="4"/>
      <c r="FJ228" s="8"/>
      <c r="FK228" s="5" t="str">
        <f t="shared" si="725"/>
        <v>NO APLICA</v>
      </c>
      <c r="FL228" s="3"/>
      <c r="FM228" s="39"/>
      <c r="FN228" s="4"/>
      <c r="FO228" s="8"/>
      <c r="FP228" s="5" t="str">
        <f t="shared" si="726"/>
        <v>NO APLICA</v>
      </c>
      <c r="FQ228" s="3"/>
      <c r="FR228" s="39"/>
      <c r="FS228" s="4"/>
      <c r="FT228" s="8"/>
      <c r="FU228" s="5" t="str">
        <f t="shared" si="727"/>
        <v>NO APLICA</v>
      </c>
      <c r="FV228" s="3"/>
      <c r="FW228" s="4"/>
      <c r="FX228" s="4"/>
      <c r="FY228" s="8"/>
      <c r="FZ228" s="5" t="str">
        <f t="shared" si="728"/>
        <v>NO APLICA</v>
      </c>
      <c r="GA228" s="3"/>
      <c r="GB228" s="4"/>
      <c r="GC228" s="4"/>
      <c r="GD228" s="8"/>
      <c r="GE228" s="5" t="str">
        <f t="shared" si="729"/>
        <v>NO APLICA</v>
      </c>
      <c r="GF228" s="3"/>
      <c r="GG228" s="4"/>
      <c r="GH228" s="4"/>
      <c r="GI228" s="8"/>
      <c r="GJ228" s="5" t="str">
        <f t="shared" si="730"/>
        <v>NO APLICA</v>
      </c>
      <c r="GK228" s="3"/>
      <c r="GL228" s="4"/>
      <c r="GM228" s="4"/>
      <c r="GN228" s="8"/>
      <c r="GO228" s="5" t="str">
        <f t="shared" si="731"/>
        <v>NO APLICA</v>
      </c>
      <c r="GP228" s="4"/>
      <c r="GQ228" s="4"/>
      <c r="GR228" s="4"/>
      <c r="GS228" s="8"/>
      <c r="GT228" s="5" t="str">
        <f t="shared" si="610"/>
        <v>NO APLICA</v>
      </c>
      <c r="GU228" s="3"/>
      <c r="GV228" s="4"/>
      <c r="GW228" s="4"/>
      <c r="GX228" s="8"/>
      <c r="GY228" s="5" t="str">
        <f t="shared" si="611"/>
        <v>NO APLICA</v>
      </c>
      <c r="GZ228" s="2"/>
      <c r="HA228" s="4"/>
      <c r="HB228" s="4"/>
      <c r="HC228" s="8"/>
      <c r="HD228" s="5" t="str">
        <f t="shared" si="612"/>
        <v>NO APLICA</v>
      </c>
      <c r="HE228" s="6"/>
      <c r="HF228" s="6"/>
      <c r="HG228" s="4"/>
      <c r="HH228" s="8"/>
      <c r="HI228" s="5" t="str">
        <f t="shared" si="698"/>
        <v>NO APLICA</v>
      </c>
      <c r="HJ228" s="2"/>
      <c r="HK228" s="6"/>
      <c r="HL228" s="4"/>
      <c r="HM228" s="8"/>
      <c r="HN228" s="5" t="str">
        <f t="shared" si="694"/>
        <v>NO APLICA</v>
      </c>
      <c r="HO228" s="2"/>
      <c r="HP228" s="2"/>
      <c r="HQ228" s="4"/>
      <c r="HR228" s="2"/>
      <c r="HS228" s="5" t="str">
        <f t="shared" si="732"/>
        <v>NO APLICA</v>
      </c>
      <c r="HT228" s="2"/>
      <c r="HU228" s="6"/>
      <c r="HV228" s="4"/>
      <c r="HW228" s="8"/>
      <c r="HX228" s="5" t="str">
        <f t="shared" si="733"/>
        <v>NO APLICA</v>
      </c>
      <c r="HY228" s="2"/>
      <c r="HZ228" s="6"/>
      <c r="IA228" s="4"/>
      <c r="IB228" s="8"/>
      <c r="IC228" s="5" t="str">
        <f t="shared" si="734"/>
        <v>NO APLICA</v>
      </c>
      <c r="ID228" s="2"/>
      <c r="IE228" s="6"/>
      <c r="IF228" s="4"/>
      <c r="IG228" s="8"/>
      <c r="IH228" s="5" t="str">
        <f t="shared" si="735"/>
        <v>NO APLICA</v>
      </c>
      <c r="II228" s="6"/>
      <c r="IJ228" s="6"/>
      <c r="IK228" s="4"/>
      <c r="IL228" s="8"/>
      <c r="IM228" s="5" t="str">
        <f t="shared" si="736"/>
        <v>NO APLICA</v>
      </c>
      <c r="IN228" s="2"/>
      <c r="IO228" s="6"/>
      <c r="IP228" s="4"/>
      <c r="IQ228" s="8"/>
      <c r="IR228" s="5" t="str">
        <f t="shared" si="737"/>
        <v>NO APLICA</v>
      </c>
      <c r="IS228" s="2"/>
      <c r="IT228" s="6"/>
      <c r="IU228" s="4"/>
      <c r="IV228" s="8"/>
      <c r="IW228" s="5" t="str">
        <f t="shared" si="738"/>
        <v>NO APLICA</v>
      </c>
      <c r="IX228" s="2"/>
      <c r="IY228" s="6"/>
      <c r="IZ228" s="4"/>
      <c r="JA228" s="8"/>
      <c r="JB228" s="5" t="str">
        <f t="shared" si="739"/>
        <v>NO APLICA</v>
      </c>
      <c r="JC228" s="3" t="s">
        <v>780</v>
      </c>
      <c r="JD228" s="3"/>
      <c r="JE228" s="4"/>
      <c r="JF228" s="8"/>
      <c r="JG228" s="5"/>
      <c r="JH228" s="3" t="s">
        <v>780</v>
      </c>
      <c r="JI228" s="6"/>
      <c r="JJ228" s="6"/>
      <c r="JK228" s="6"/>
      <c r="JL228" s="5"/>
      <c r="JM228" s="6" t="s">
        <v>780</v>
      </c>
      <c r="JN228" s="6"/>
      <c r="JO228" s="6"/>
      <c r="JP228" s="6"/>
      <c r="JQ228" s="5"/>
      <c r="JR228" s="6" t="s">
        <v>780</v>
      </c>
      <c r="JS228" s="6"/>
      <c r="JT228" s="6"/>
      <c r="JU228" s="6"/>
      <c r="JV228" s="5"/>
      <c r="JW228" s="6" t="s">
        <v>780</v>
      </c>
      <c r="JX228" s="3"/>
      <c r="JY228" s="4"/>
      <c r="JZ228" s="8"/>
      <c r="KA228" s="38"/>
      <c r="KB228" s="5"/>
      <c r="KC228" s="2"/>
      <c r="KD228" s="4"/>
      <c r="KE228" s="8"/>
      <c r="KF228" s="5" t="str">
        <f t="shared" si="740"/>
        <v>NO APLICA</v>
      </c>
      <c r="KG228" s="5"/>
      <c r="KH228" s="2"/>
      <c r="KI228" s="4"/>
      <c r="KJ228" s="8"/>
      <c r="KK228" s="5" t="str">
        <f t="shared" si="760"/>
        <v>NO APLICA</v>
      </c>
      <c r="KL228" s="5"/>
      <c r="KM228" s="2"/>
      <c r="KN228" s="4"/>
      <c r="KO228" s="8"/>
      <c r="KP228" s="5" t="str">
        <f t="shared" si="741"/>
        <v>NO APLICA</v>
      </c>
      <c r="KQ228" s="5"/>
      <c r="KR228" s="2"/>
      <c r="KS228" s="4"/>
      <c r="KT228" s="8"/>
      <c r="KU228" s="5" t="str">
        <f t="shared" si="761"/>
        <v>NO APLICA</v>
      </c>
      <c r="KV228" s="2"/>
      <c r="KW228" s="6"/>
      <c r="KX228" s="4"/>
      <c r="KY228" s="8"/>
      <c r="KZ228" s="5" t="str">
        <f t="shared" si="767"/>
        <v>NO APLICA</v>
      </c>
      <c r="LA228" s="5"/>
      <c r="LB228" s="6"/>
      <c r="LC228" s="4"/>
      <c r="LD228" s="8"/>
      <c r="LE228" s="5" t="str">
        <f t="shared" si="762"/>
        <v>NO APLICA</v>
      </c>
      <c r="LF228" s="6"/>
      <c r="LG228" s="6"/>
      <c r="LH228" s="4"/>
      <c r="LI228" s="8"/>
      <c r="LJ228" s="5" t="str">
        <f t="shared" si="600"/>
        <v>NO APLICA</v>
      </c>
      <c r="LK228" s="5"/>
      <c r="LL228" s="5"/>
      <c r="LM228" s="4"/>
      <c r="LN228" s="8"/>
      <c r="LO228" s="5" t="str">
        <f t="shared" si="768"/>
        <v>NO APLICA</v>
      </c>
      <c r="LP228" s="2"/>
      <c r="LQ228" s="6"/>
      <c r="LR228" s="4"/>
      <c r="LS228" s="8"/>
      <c r="LT228" s="5" t="str">
        <f t="shared" si="763"/>
        <v>NO APLICA</v>
      </c>
      <c r="LU228" s="6"/>
      <c r="LV228" s="6"/>
      <c r="LW228" s="4"/>
      <c r="LX228" s="8"/>
      <c r="LY228" s="5" t="str">
        <f t="shared" si="764"/>
        <v>NO APLICA</v>
      </c>
      <c r="LZ228" s="6"/>
      <c r="MA228" s="6"/>
      <c r="MB228" s="4"/>
      <c r="MC228" s="8"/>
      <c r="MD228" s="5" t="str">
        <f t="shared" si="765"/>
        <v>NO APLICA</v>
      </c>
      <c r="ME228" s="2"/>
      <c r="MF228" s="2"/>
      <c r="MG228" s="4"/>
      <c r="MH228" s="8"/>
      <c r="MI228" s="5" t="str">
        <f t="shared" si="742"/>
        <v>NO APLICA</v>
      </c>
      <c r="MJ228" s="2"/>
      <c r="MK228" s="2"/>
      <c r="ML228" s="4"/>
      <c r="MM228" s="8"/>
      <c r="MN228" s="5" t="str">
        <f t="shared" si="743"/>
        <v>NO APLICA</v>
      </c>
      <c r="MO228" s="5"/>
      <c r="MP228" s="2"/>
      <c r="MQ228" s="4"/>
      <c r="MR228" s="8"/>
      <c r="MS228" s="5" t="str">
        <f t="shared" si="744"/>
        <v>NO APLICA</v>
      </c>
      <c r="MT228" s="5"/>
      <c r="MU228" s="2"/>
      <c r="MV228" s="4"/>
      <c r="MW228" s="2"/>
      <c r="MX228" s="5" t="str">
        <f t="shared" si="745"/>
        <v>NO APLICA</v>
      </c>
      <c r="MY228" s="2"/>
      <c r="MZ228" s="6"/>
      <c r="NA228" s="4"/>
      <c r="NB228" s="8"/>
      <c r="NC228" s="5" t="str">
        <f t="shared" si="746"/>
        <v>NO APLICA</v>
      </c>
      <c r="ND228" s="2"/>
      <c r="NE228" s="6"/>
      <c r="NF228" s="4"/>
      <c r="NG228" s="8"/>
      <c r="NH228" s="5" t="str">
        <f t="shared" si="747"/>
        <v>NO APLICA</v>
      </c>
      <c r="NI228" s="2"/>
      <c r="NJ228" s="6"/>
      <c r="NK228" s="4"/>
      <c r="NL228" s="8"/>
      <c r="NM228" s="5" t="str">
        <f t="shared" si="748"/>
        <v>NO APLICA</v>
      </c>
      <c r="NN228" s="2"/>
      <c r="NO228" s="2"/>
      <c r="NP228" s="4"/>
      <c r="NQ228" s="8"/>
      <c r="NR228" s="5" t="str">
        <f t="shared" si="749"/>
        <v>NO APLICA</v>
      </c>
      <c r="NS228" s="2"/>
      <c r="NT228" s="2"/>
      <c r="NU228" s="4"/>
      <c r="NV228" s="2"/>
      <c r="NW228" s="5" t="str">
        <f t="shared" si="750"/>
        <v>NO APLICA</v>
      </c>
      <c r="NX228" s="6"/>
      <c r="NY228" s="6"/>
      <c r="NZ228" s="4"/>
      <c r="OA228" s="8"/>
      <c r="OB228" s="5" t="str">
        <f t="shared" si="751"/>
        <v>NO APLICA</v>
      </c>
      <c r="OC228" s="6"/>
      <c r="OD228" s="6"/>
      <c r="OE228" s="6"/>
      <c r="OF228" s="6"/>
      <c r="OG228" s="5" t="str">
        <f t="shared" si="752"/>
        <v>NO APLICA</v>
      </c>
      <c r="OH228" s="6"/>
      <c r="OI228" s="6"/>
      <c r="OJ228" s="4"/>
      <c r="OK228" s="8"/>
      <c r="OL228" s="5" t="str">
        <f t="shared" si="753"/>
        <v>NO APLICA</v>
      </c>
      <c r="OM228" s="6"/>
      <c r="ON228" s="6"/>
      <c r="OO228" s="6"/>
      <c r="OP228" s="6"/>
      <c r="OQ228" s="5" t="str">
        <f t="shared" si="754"/>
        <v>NO APLICA</v>
      </c>
      <c r="OR228" s="6"/>
      <c r="OS228" s="6"/>
      <c r="OT228" s="6"/>
      <c r="OU228" s="6"/>
      <c r="OV228" s="5" t="str">
        <f t="shared" si="755"/>
        <v>NO APLICA</v>
      </c>
      <c r="OW228" s="6"/>
      <c r="OX228" s="6"/>
      <c r="OY228" s="6"/>
      <c r="OZ228" s="6"/>
      <c r="PA228" s="5" t="str">
        <f t="shared" si="769"/>
        <v>NO APLICA</v>
      </c>
      <c r="PB228" s="6"/>
      <c r="PC228" s="6"/>
      <c r="PD228" s="6"/>
      <c r="PE228" s="6"/>
      <c r="PF228" s="5" t="str">
        <f t="shared" si="756"/>
        <v>NO APLICA</v>
      </c>
      <c r="PG228" s="6"/>
      <c r="PH228" s="6"/>
      <c r="PI228" s="6"/>
      <c r="PJ228" s="6"/>
      <c r="PK228" s="5" t="str">
        <f t="shared" si="757"/>
        <v>NO APLICA</v>
      </c>
      <c r="PL228" s="5"/>
      <c r="PM228" s="6"/>
      <c r="PN228" s="4"/>
      <c r="PO228" s="8"/>
      <c r="PP228" s="5" t="str">
        <f t="shared" si="766"/>
        <v>NO APLICA</v>
      </c>
      <c r="PQ228" s="6"/>
      <c r="PR228" s="6"/>
      <c r="PS228" s="6"/>
      <c r="PT228" s="6"/>
      <c r="PU228" s="5" t="str">
        <f t="shared" si="758"/>
        <v>NO APLICA</v>
      </c>
      <c r="PV228" s="5"/>
      <c r="PW228" s="6"/>
      <c r="PX228" s="6"/>
      <c r="PY228" s="6"/>
      <c r="PZ228" s="5" t="str">
        <f t="shared" si="759"/>
        <v>NO APLICA</v>
      </c>
    </row>
    <row r="229" spans="1:442" ht="15.6" hidden="1" thickTop="1" thickBot="1" x14ac:dyDescent="0.35">
      <c r="A229" s="26">
        <v>226</v>
      </c>
      <c r="B229" s="31">
        <v>1122</v>
      </c>
      <c r="C229" s="28" t="s">
        <v>675</v>
      </c>
      <c r="D229" s="29" t="s">
        <v>68</v>
      </c>
      <c r="E229" s="30" t="s">
        <v>615</v>
      </c>
      <c r="F229" s="6"/>
      <c r="G229" s="6"/>
      <c r="H229" s="6"/>
      <c r="I229" s="6"/>
      <c r="J229" s="5" t="str">
        <f t="shared" si="696"/>
        <v>NO APLICA</v>
      </c>
      <c r="K229" s="6"/>
      <c r="L229" s="6"/>
      <c r="M229" s="6"/>
      <c r="N229" s="6"/>
      <c r="O229" s="5" t="str">
        <f t="shared" si="699"/>
        <v>NO APLICA</v>
      </c>
      <c r="P229" s="6"/>
      <c r="Q229" s="6"/>
      <c r="R229" s="6"/>
      <c r="S229" s="6"/>
      <c r="T229" s="5" t="str">
        <f t="shared" si="697"/>
        <v>NO APLICA</v>
      </c>
      <c r="U229" s="5"/>
      <c r="V229" s="6"/>
      <c r="W229" s="4"/>
      <c r="X229" s="4"/>
      <c r="Y229" s="8"/>
      <c r="Z229" s="5" t="str">
        <f t="shared" si="605"/>
        <v>NO APLICA</v>
      </c>
      <c r="AA229" s="5"/>
      <c r="AB229" s="6"/>
      <c r="AC229" s="6"/>
      <c r="AD229" s="6"/>
      <c r="AE229" s="6"/>
      <c r="AF229" s="5" t="str">
        <f t="shared" si="700"/>
        <v>NO APLICA</v>
      </c>
      <c r="AG229" s="4"/>
      <c r="AH229" s="4"/>
      <c r="AI229" s="4"/>
      <c r="AJ229" s="6"/>
      <c r="AK229" s="5" t="str">
        <f t="shared" si="602"/>
        <v>NO APLICA</v>
      </c>
      <c r="AL229" s="4"/>
      <c r="AM229" s="4"/>
      <c r="AN229" s="4"/>
      <c r="AO229" s="6"/>
      <c r="AP229" s="5" t="str">
        <f t="shared" si="701"/>
        <v>NO APLICA</v>
      </c>
      <c r="AQ229" s="4"/>
      <c r="AR229" s="4"/>
      <c r="AS229" s="4"/>
      <c r="AT229" s="6"/>
      <c r="AU229" s="5" t="str">
        <f t="shared" si="702"/>
        <v>NO APLICA</v>
      </c>
      <c r="AV229" s="4"/>
      <c r="AW229" s="4"/>
      <c r="AX229" s="4"/>
      <c r="AY229" s="6"/>
      <c r="AZ229" s="5" t="str">
        <f t="shared" si="703"/>
        <v>NO APLICA</v>
      </c>
      <c r="BA229" s="4"/>
      <c r="BB229" s="4"/>
      <c r="BC229" s="4"/>
      <c r="BD229" s="6"/>
      <c r="BE229" s="5" t="str">
        <f t="shared" si="704"/>
        <v>NO APLICA</v>
      </c>
      <c r="BF229" s="4"/>
      <c r="BG229" s="4"/>
      <c r="BH229" s="4"/>
      <c r="BI229" s="6"/>
      <c r="BJ229" s="5" t="str">
        <f t="shared" si="705"/>
        <v>NO APLICA</v>
      </c>
      <c r="BK229" s="4"/>
      <c r="BL229" s="4"/>
      <c r="BM229" s="4"/>
      <c r="BN229" s="6"/>
      <c r="BO229" s="5" t="str">
        <f t="shared" si="706"/>
        <v>NO APLICA</v>
      </c>
      <c r="BP229" s="4"/>
      <c r="BQ229" s="4"/>
      <c r="BR229" s="4"/>
      <c r="BS229" s="6"/>
      <c r="BT229" s="5" t="str">
        <f t="shared" si="707"/>
        <v>NO APLICA</v>
      </c>
      <c r="BU229" s="4"/>
      <c r="BV229" s="4"/>
      <c r="BW229" s="4"/>
      <c r="BX229" s="6"/>
      <c r="BY229" s="5" t="str">
        <f t="shared" si="708"/>
        <v>NO APLICA</v>
      </c>
      <c r="BZ229" s="4"/>
      <c r="CA229" s="4"/>
      <c r="CB229" s="4"/>
      <c r="CC229" s="6"/>
      <c r="CD229" s="5" t="str">
        <f t="shared" si="709"/>
        <v>NO APLICA</v>
      </c>
      <c r="CE229" s="6"/>
      <c r="CF229" s="6"/>
      <c r="CG229" s="6"/>
      <c r="CH229" s="6"/>
      <c r="CI229" s="5" t="str">
        <f t="shared" si="770"/>
        <v>NO APLICA</v>
      </c>
      <c r="CJ229" s="4"/>
      <c r="CK229" s="4"/>
      <c r="CL229" s="4"/>
      <c r="CM229" s="6"/>
      <c r="CN229" s="5" t="str">
        <f t="shared" si="710"/>
        <v>NO APLICA</v>
      </c>
      <c r="CO229" s="4"/>
      <c r="CP229" s="4"/>
      <c r="CQ229" s="4"/>
      <c r="CR229" s="6"/>
      <c r="CS229" s="5" t="str">
        <f t="shared" si="711"/>
        <v>NO APLICA</v>
      </c>
      <c r="CT229" s="4"/>
      <c r="CU229" s="4"/>
      <c r="CV229" s="4"/>
      <c r="CW229" s="6"/>
      <c r="CX229" s="5" t="str">
        <f t="shared" si="712"/>
        <v>NO APLICA</v>
      </c>
      <c r="CY229" s="4"/>
      <c r="CZ229" s="4"/>
      <c r="DA229" s="4"/>
      <c r="DB229" s="6"/>
      <c r="DC229" s="5" t="str">
        <f t="shared" si="713"/>
        <v>NO APLICA</v>
      </c>
      <c r="DD229" s="4"/>
      <c r="DE229" s="4"/>
      <c r="DF229" s="4"/>
      <c r="DG229" s="6"/>
      <c r="DH229" s="5" t="str">
        <f t="shared" si="714"/>
        <v>NO APLICA</v>
      </c>
      <c r="DI229" s="4"/>
      <c r="DJ229" s="4"/>
      <c r="DK229" s="4"/>
      <c r="DL229" s="6"/>
      <c r="DM229" s="5" t="str">
        <f t="shared" si="715"/>
        <v>NO APLICA</v>
      </c>
      <c r="DN229" s="4"/>
      <c r="DO229" s="4"/>
      <c r="DP229" s="4"/>
      <c r="DQ229" s="6"/>
      <c r="DR229" s="5" t="str">
        <f t="shared" si="716"/>
        <v>NO APLICA</v>
      </c>
      <c r="DS229" s="4"/>
      <c r="DT229" s="4"/>
      <c r="DU229" s="4"/>
      <c r="DV229" s="6"/>
      <c r="DW229" s="5" t="str">
        <f t="shared" si="717"/>
        <v>NO APLICA</v>
      </c>
      <c r="DX229" s="4"/>
      <c r="DY229" s="4"/>
      <c r="DZ229" s="4"/>
      <c r="EA229" s="6"/>
      <c r="EB229" s="5" t="str">
        <f t="shared" si="718"/>
        <v>NO APLICA</v>
      </c>
      <c r="EC229" s="4"/>
      <c r="ED229" s="4"/>
      <c r="EE229" s="4"/>
      <c r="EF229" s="6"/>
      <c r="EG229" s="5" t="str">
        <f t="shared" si="719"/>
        <v>NO APLICA</v>
      </c>
      <c r="EH229" s="4"/>
      <c r="EI229" s="4"/>
      <c r="EJ229" s="4"/>
      <c r="EK229" s="8"/>
      <c r="EL229" s="5" t="str">
        <f t="shared" si="720"/>
        <v>NO APLICA</v>
      </c>
      <c r="EM229" s="4"/>
      <c r="EN229" s="4"/>
      <c r="EO229" s="4"/>
      <c r="EP229" s="8"/>
      <c r="EQ229" s="5" t="str">
        <f t="shared" si="721"/>
        <v>NO APLICA</v>
      </c>
      <c r="ER229" s="4"/>
      <c r="ES229" s="4"/>
      <c r="ET229" s="4"/>
      <c r="EU229" s="8"/>
      <c r="EV229" s="5" t="str">
        <f t="shared" si="722"/>
        <v>NO APLICA</v>
      </c>
      <c r="EW229" s="4"/>
      <c r="EX229" s="4"/>
      <c r="EY229" s="4"/>
      <c r="EZ229" s="6"/>
      <c r="FA229" s="5" t="str">
        <f t="shared" si="723"/>
        <v>NO APLICA</v>
      </c>
      <c r="FB229" s="4"/>
      <c r="FC229" s="4"/>
      <c r="FD229" s="4"/>
      <c r="FE229" s="6"/>
      <c r="FF229" s="5" t="str">
        <f t="shared" si="724"/>
        <v>NO APLICA</v>
      </c>
      <c r="FG229" s="4"/>
      <c r="FH229" s="4"/>
      <c r="FI229" s="4"/>
      <c r="FJ229" s="6"/>
      <c r="FK229" s="5" t="str">
        <f t="shared" si="725"/>
        <v>NO APLICA</v>
      </c>
      <c r="FL229" s="4"/>
      <c r="FM229" s="4"/>
      <c r="FN229" s="4"/>
      <c r="FO229" s="6"/>
      <c r="FP229" s="5" t="str">
        <f t="shared" si="726"/>
        <v>NO APLICA</v>
      </c>
      <c r="FQ229" s="4"/>
      <c r="FR229" s="4"/>
      <c r="FS229" s="4"/>
      <c r="FT229" s="6"/>
      <c r="FU229" s="5" t="str">
        <f t="shared" si="727"/>
        <v>NO APLICA</v>
      </c>
      <c r="FV229" s="4"/>
      <c r="FW229" s="4"/>
      <c r="FX229" s="4"/>
      <c r="FY229" s="6"/>
      <c r="FZ229" s="5" t="str">
        <f t="shared" si="728"/>
        <v>NO APLICA</v>
      </c>
      <c r="GA229" s="4"/>
      <c r="GB229" s="4"/>
      <c r="GC229" s="4"/>
      <c r="GD229" s="6"/>
      <c r="GE229" s="5" t="str">
        <f t="shared" si="729"/>
        <v>NO APLICA</v>
      </c>
      <c r="GF229" s="4"/>
      <c r="GG229" s="4"/>
      <c r="GH229" s="4"/>
      <c r="GI229" s="8"/>
      <c r="GJ229" s="5" t="str">
        <f t="shared" si="730"/>
        <v>NO APLICA</v>
      </c>
      <c r="GK229" s="4"/>
      <c r="GL229" s="6"/>
      <c r="GM229" s="6"/>
      <c r="GN229" s="6"/>
      <c r="GO229" s="5" t="str">
        <f t="shared" si="731"/>
        <v>NO APLICA</v>
      </c>
      <c r="GP229" s="4"/>
      <c r="GQ229" s="6"/>
      <c r="GR229" s="6"/>
      <c r="GS229" s="6"/>
      <c r="GT229" s="5" t="str">
        <f t="shared" si="610"/>
        <v>NO APLICA</v>
      </c>
      <c r="GU229" s="4"/>
      <c r="GV229" s="6"/>
      <c r="GW229" s="6"/>
      <c r="GX229" s="6"/>
      <c r="GY229" s="5" t="str">
        <f t="shared" si="611"/>
        <v>NO APLICA</v>
      </c>
      <c r="GZ229" s="6"/>
      <c r="HA229" s="6"/>
      <c r="HB229" s="6"/>
      <c r="HC229" s="6"/>
      <c r="HD229" s="5" t="str">
        <f t="shared" si="612"/>
        <v>NO APLICA</v>
      </c>
      <c r="HE229" s="6"/>
      <c r="HF229" s="6"/>
      <c r="HG229" s="4"/>
      <c r="HH229" s="8"/>
      <c r="HI229" s="5" t="str">
        <f t="shared" si="698"/>
        <v>NO APLICA</v>
      </c>
      <c r="HJ229" s="6"/>
      <c r="HK229" s="6"/>
      <c r="HL229" s="6"/>
      <c r="HM229" s="6"/>
      <c r="HN229" s="5" t="str">
        <f t="shared" si="694"/>
        <v>NO APLICA</v>
      </c>
      <c r="HO229" s="6"/>
      <c r="HP229" s="6"/>
      <c r="HQ229" s="6"/>
      <c r="HR229" s="6"/>
      <c r="HS229" s="5" t="str">
        <f t="shared" si="732"/>
        <v>NO APLICA</v>
      </c>
      <c r="HT229" s="6"/>
      <c r="HU229" s="6"/>
      <c r="HV229" s="6"/>
      <c r="HW229" s="6"/>
      <c r="HX229" s="5" t="str">
        <f t="shared" si="733"/>
        <v>NO APLICA</v>
      </c>
      <c r="HY229" s="6"/>
      <c r="HZ229" s="6"/>
      <c r="IA229" s="6"/>
      <c r="IB229" s="6"/>
      <c r="IC229" s="5" t="str">
        <f t="shared" si="734"/>
        <v>NO APLICA</v>
      </c>
      <c r="ID229" s="6"/>
      <c r="IE229" s="6"/>
      <c r="IF229" s="6"/>
      <c r="IG229" s="6"/>
      <c r="IH229" s="5" t="str">
        <f t="shared" si="735"/>
        <v>NO APLICA</v>
      </c>
      <c r="II229" s="6"/>
      <c r="IJ229" s="6"/>
      <c r="IK229" s="6"/>
      <c r="IL229" s="6"/>
      <c r="IM229" s="5" t="str">
        <f t="shared" si="736"/>
        <v>NO APLICA</v>
      </c>
      <c r="IN229" s="6"/>
      <c r="IO229" s="6"/>
      <c r="IP229" s="6"/>
      <c r="IQ229" s="6"/>
      <c r="IR229" s="5" t="str">
        <f t="shared" si="737"/>
        <v>NO APLICA</v>
      </c>
      <c r="IS229" s="6"/>
      <c r="IT229" s="6"/>
      <c r="IU229" s="6"/>
      <c r="IV229" s="6"/>
      <c r="IW229" s="5" t="str">
        <f t="shared" si="738"/>
        <v>NO APLICA</v>
      </c>
      <c r="IX229" s="6"/>
      <c r="IY229" s="6"/>
      <c r="IZ229" s="6"/>
      <c r="JA229" s="6"/>
      <c r="JB229" s="5" t="str">
        <f t="shared" si="739"/>
        <v>NO APLICA</v>
      </c>
      <c r="JC229" s="3" t="s">
        <v>780</v>
      </c>
      <c r="JD229" s="6"/>
      <c r="JE229" s="6"/>
      <c r="JF229" s="6"/>
      <c r="JG229" s="5"/>
      <c r="JH229" s="3" t="s">
        <v>780</v>
      </c>
      <c r="JI229" s="6"/>
      <c r="JJ229" s="6"/>
      <c r="JK229" s="6"/>
      <c r="JL229" s="5"/>
      <c r="JM229" s="6" t="s">
        <v>780</v>
      </c>
      <c r="JN229" s="6"/>
      <c r="JO229" s="6"/>
      <c r="JP229" s="6"/>
      <c r="JQ229" s="5"/>
      <c r="JR229" s="6" t="s">
        <v>780</v>
      </c>
      <c r="JS229" s="6"/>
      <c r="JT229" s="6"/>
      <c r="JU229" s="6"/>
      <c r="JV229" s="5"/>
      <c r="JW229" s="6" t="s">
        <v>780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40"/>
        <v>NO APLICA</v>
      </c>
      <c r="KG229" s="5"/>
      <c r="KH229" s="6"/>
      <c r="KI229" s="6"/>
      <c r="KJ229" s="6"/>
      <c r="KK229" s="5" t="str">
        <f t="shared" si="760"/>
        <v>NO APLICA</v>
      </c>
      <c r="KL229" s="5"/>
      <c r="KM229" s="6"/>
      <c r="KN229" s="6"/>
      <c r="KO229" s="6"/>
      <c r="KP229" s="5" t="str">
        <f t="shared" si="741"/>
        <v>NO APLICA</v>
      </c>
      <c r="KQ229" s="5"/>
      <c r="KR229" s="6"/>
      <c r="KS229" s="6"/>
      <c r="KT229" s="6"/>
      <c r="KU229" s="5" t="str">
        <f t="shared" si="761"/>
        <v>NO APLICA</v>
      </c>
      <c r="KV229" s="6"/>
      <c r="KW229" s="6"/>
      <c r="KX229" s="6"/>
      <c r="KY229" s="6"/>
      <c r="KZ229" s="5" t="str">
        <f t="shared" si="767"/>
        <v>NO APLICA</v>
      </c>
      <c r="LA229" s="5"/>
      <c r="LB229" s="6"/>
      <c r="LC229" s="6"/>
      <c r="LD229" s="6"/>
      <c r="LE229" s="5" t="str">
        <f t="shared" si="762"/>
        <v>NO APLICA</v>
      </c>
      <c r="LF229" s="6"/>
      <c r="LG229" s="6"/>
      <c r="LH229" s="6"/>
      <c r="LI229" s="6"/>
      <c r="LJ229" s="5" t="str">
        <f t="shared" si="600"/>
        <v>NO APLICA</v>
      </c>
      <c r="LK229" s="5"/>
      <c r="LL229" s="5"/>
      <c r="LM229" s="4"/>
      <c r="LN229" s="8"/>
      <c r="LO229" s="5" t="str">
        <f t="shared" si="768"/>
        <v>NO APLICA</v>
      </c>
      <c r="LP229" s="6"/>
      <c r="LQ229" s="6"/>
      <c r="LR229" s="6"/>
      <c r="LS229" s="6"/>
      <c r="LT229" s="5" t="str">
        <f t="shared" si="763"/>
        <v>NO APLICA</v>
      </c>
      <c r="LU229" s="6"/>
      <c r="LV229" s="6"/>
      <c r="LW229" s="6"/>
      <c r="LX229" s="6"/>
      <c r="LY229" s="5" t="str">
        <f t="shared" si="764"/>
        <v>NO APLICA</v>
      </c>
      <c r="LZ229" s="6"/>
      <c r="MA229" s="6"/>
      <c r="MB229" s="6"/>
      <c r="MC229" s="6"/>
      <c r="MD229" s="5" t="str">
        <f t="shared" si="765"/>
        <v>NO APLICA</v>
      </c>
      <c r="ME229" s="6"/>
      <c r="MF229" s="6"/>
      <c r="MG229" s="6"/>
      <c r="MH229" s="6"/>
      <c r="MI229" s="5" t="str">
        <f t="shared" si="742"/>
        <v>NO APLICA</v>
      </c>
      <c r="MJ229" s="6"/>
      <c r="MK229" s="6"/>
      <c r="ML229" s="6"/>
      <c r="MM229" s="6"/>
      <c r="MN229" s="5" t="str">
        <f t="shared" si="743"/>
        <v>NO APLICA</v>
      </c>
      <c r="MO229" s="5"/>
      <c r="MP229" s="6"/>
      <c r="MQ229" s="6"/>
      <c r="MR229" s="6"/>
      <c r="MS229" s="5" t="str">
        <f t="shared" si="744"/>
        <v>NO APLICA</v>
      </c>
      <c r="MT229" s="5"/>
      <c r="MU229" s="6"/>
      <c r="MV229" s="6"/>
      <c r="MW229" s="6"/>
      <c r="MX229" s="5" t="str">
        <f t="shared" si="745"/>
        <v>NO APLICA</v>
      </c>
      <c r="MY229" s="6"/>
      <c r="MZ229" s="6"/>
      <c r="NA229" s="6"/>
      <c r="NB229" s="6"/>
      <c r="NC229" s="5" t="str">
        <f t="shared" si="746"/>
        <v>NO APLICA</v>
      </c>
      <c r="ND229" s="6"/>
      <c r="NE229" s="6"/>
      <c r="NF229" s="6"/>
      <c r="NG229" s="6"/>
      <c r="NH229" s="5" t="str">
        <f t="shared" si="747"/>
        <v>NO APLICA</v>
      </c>
      <c r="NI229" s="6"/>
      <c r="NJ229" s="6"/>
      <c r="NK229" s="6"/>
      <c r="NL229" s="6"/>
      <c r="NM229" s="5" t="str">
        <f t="shared" si="748"/>
        <v>NO APLICA</v>
      </c>
      <c r="NN229" s="6"/>
      <c r="NO229" s="6"/>
      <c r="NP229" s="6"/>
      <c r="NQ229" s="6"/>
      <c r="NR229" s="5" t="str">
        <f t="shared" si="749"/>
        <v>NO APLICA</v>
      </c>
      <c r="NS229" s="6"/>
      <c r="NT229" s="6"/>
      <c r="NU229" s="6"/>
      <c r="NV229" s="6"/>
      <c r="NW229" s="5" t="str">
        <f t="shared" si="750"/>
        <v>NO APLICA</v>
      </c>
      <c r="NX229" s="6"/>
      <c r="NY229" s="6"/>
      <c r="NZ229" s="6"/>
      <c r="OA229" s="6"/>
      <c r="OB229" s="5" t="str">
        <f t="shared" si="751"/>
        <v>NO APLICA</v>
      </c>
      <c r="OC229" s="6"/>
      <c r="OD229" s="6"/>
      <c r="OE229" s="6"/>
      <c r="OF229" s="6"/>
      <c r="OG229" s="5" t="str">
        <f t="shared" si="752"/>
        <v>NO APLICA</v>
      </c>
      <c r="OH229" s="6"/>
      <c r="OI229" s="6"/>
      <c r="OJ229" s="6"/>
      <c r="OK229" s="6"/>
      <c r="OL229" s="5" t="str">
        <f t="shared" si="753"/>
        <v>NO APLICA</v>
      </c>
      <c r="OM229" s="6"/>
      <c r="ON229" s="6"/>
      <c r="OO229" s="6"/>
      <c r="OP229" s="6"/>
      <c r="OQ229" s="5" t="str">
        <f t="shared" si="754"/>
        <v>NO APLICA</v>
      </c>
      <c r="OR229" s="6"/>
      <c r="OS229" s="6"/>
      <c r="OT229" s="6"/>
      <c r="OU229" s="6"/>
      <c r="OV229" s="5" t="str">
        <f t="shared" si="755"/>
        <v>NO APLICA</v>
      </c>
      <c r="OW229" s="6"/>
      <c r="OX229" s="6"/>
      <c r="OY229" s="6"/>
      <c r="OZ229" s="6"/>
      <c r="PA229" s="5" t="str">
        <f t="shared" si="769"/>
        <v>NO APLICA</v>
      </c>
      <c r="PB229" s="6"/>
      <c r="PC229" s="6"/>
      <c r="PD229" s="6"/>
      <c r="PE229" s="6"/>
      <c r="PF229" s="5" t="str">
        <f t="shared" si="756"/>
        <v>NO APLICA</v>
      </c>
      <c r="PG229" s="6"/>
      <c r="PH229" s="6"/>
      <c r="PI229" s="6"/>
      <c r="PJ229" s="6"/>
      <c r="PK229" s="5" t="str">
        <f t="shared" si="757"/>
        <v>NO APLICA</v>
      </c>
      <c r="PL229" s="5"/>
      <c r="PM229" s="6"/>
      <c r="PN229" s="6"/>
      <c r="PO229" s="6"/>
      <c r="PP229" s="5" t="str">
        <f t="shared" si="766"/>
        <v>NO APLICA</v>
      </c>
      <c r="PQ229" s="6"/>
      <c r="PR229" s="6"/>
      <c r="PS229" s="6"/>
      <c r="PT229" s="6"/>
      <c r="PU229" s="5" t="str">
        <f t="shared" si="758"/>
        <v>NO APLICA</v>
      </c>
      <c r="PV229" s="5"/>
      <c r="PW229" s="6"/>
      <c r="PX229" s="6"/>
      <c r="PY229" s="6"/>
      <c r="PZ229" s="5" t="str">
        <f t="shared" si="759"/>
        <v>NO APLICA</v>
      </c>
    </row>
    <row r="230" spans="1:442" ht="15.6" hidden="1" thickTop="1" thickBot="1" x14ac:dyDescent="0.35">
      <c r="A230" s="26">
        <v>227</v>
      </c>
      <c r="B230" s="31">
        <v>1374</v>
      </c>
      <c r="C230" s="28" t="s">
        <v>676</v>
      </c>
      <c r="D230" s="29" t="s">
        <v>113</v>
      </c>
      <c r="E230" s="30" t="s">
        <v>602</v>
      </c>
      <c r="F230" s="6"/>
      <c r="G230" s="6"/>
      <c r="H230" s="6"/>
      <c r="I230" s="6"/>
      <c r="J230" s="5" t="str">
        <f t="shared" si="696"/>
        <v>NO APLICA</v>
      </c>
      <c r="K230" s="6"/>
      <c r="L230" s="6"/>
      <c r="M230" s="6"/>
      <c r="N230" s="6"/>
      <c r="O230" s="5" t="str">
        <f t="shared" si="699"/>
        <v>NO APLICA</v>
      </c>
      <c r="P230" s="6"/>
      <c r="Q230" s="6"/>
      <c r="R230" s="6"/>
      <c r="S230" s="6"/>
      <c r="T230" s="5" t="str">
        <f t="shared" si="697"/>
        <v>NO APLICA</v>
      </c>
      <c r="U230" s="5"/>
      <c r="V230" s="6"/>
      <c r="W230" s="4"/>
      <c r="X230" s="4"/>
      <c r="Y230" s="8"/>
      <c r="Z230" s="5" t="str">
        <f t="shared" si="605"/>
        <v>NO APLICA</v>
      </c>
      <c r="AA230" s="5"/>
      <c r="AB230" s="6"/>
      <c r="AC230" s="6"/>
      <c r="AD230" s="6"/>
      <c r="AE230" s="6"/>
      <c r="AF230" s="5" t="str">
        <f t="shared" si="700"/>
        <v>NO APLICA</v>
      </c>
      <c r="AG230" s="4"/>
      <c r="AH230" s="4"/>
      <c r="AI230" s="4"/>
      <c r="AJ230" s="6"/>
      <c r="AK230" s="5" t="str">
        <f t="shared" si="602"/>
        <v>NO APLICA</v>
      </c>
      <c r="AL230" s="4"/>
      <c r="AM230" s="4"/>
      <c r="AN230" s="4"/>
      <c r="AO230" s="6"/>
      <c r="AP230" s="5" t="str">
        <f t="shared" si="701"/>
        <v>NO APLICA</v>
      </c>
      <c r="AQ230" s="4"/>
      <c r="AR230" s="4"/>
      <c r="AS230" s="4"/>
      <c r="AT230" s="6"/>
      <c r="AU230" s="5" t="str">
        <f t="shared" si="702"/>
        <v>NO APLICA</v>
      </c>
      <c r="AV230" s="4"/>
      <c r="AW230" s="4"/>
      <c r="AX230" s="4"/>
      <c r="AY230" s="6"/>
      <c r="AZ230" s="5" t="str">
        <f t="shared" si="703"/>
        <v>NO APLICA</v>
      </c>
      <c r="BA230" s="4"/>
      <c r="BB230" s="4"/>
      <c r="BC230" s="4"/>
      <c r="BD230" s="6"/>
      <c r="BE230" s="5" t="str">
        <f t="shared" si="704"/>
        <v>NO APLICA</v>
      </c>
      <c r="BF230" s="4"/>
      <c r="BG230" s="4"/>
      <c r="BH230" s="4"/>
      <c r="BI230" s="6"/>
      <c r="BJ230" s="5" t="str">
        <f t="shared" si="705"/>
        <v>NO APLICA</v>
      </c>
      <c r="BK230" s="4"/>
      <c r="BL230" s="4"/>
      <c r="BM230" s="4"/>
      <c r="BN230" s="6"/>
      <c r="BO230" s="5" t="str">
        <f t="shared" si="706"/>
        <v>NO APLICA</v>
      </c>
      <c r="BP230" s="4"/>
      <c r="BQ230" s="4"/>
      <c r="BR230" s="4"/>
      <c r="BS230" s="6"/>
      <c r="BT230" s="5" t="str">
        <f t="shared" si="707"/>
        <v>NO APLICA</v>
      </c>
      <c r="BU230" s="4"/>
      <c r="BV230" s="4"/>
      <c r="BW230" s="4"/>
      <c r="BX230" s="6"/>
      <c r="BY230" s="5" t="str">
        <f t="shared" si="708"/>
        <v>NO APLICA</v>
      </c>
      <c r="BZ230" s="4"/>
      <c r="CA230" s="4"/>
      <c r="CB230" s="4"/>
      <c r="CC230" s="6"/>
      <c r="CD230" s="5" t="str">
        <f t="shared" si="709"/>
        <v>NO APLICA</v>
      </c>
      <c r="CE230" s="6"/>
      <c r="CF230" s="6"/>
      <c r="CG230" s="6"/>
      <c r="CH230" s="6"/>
      <c r="CI230" s="5" t="str">
        <f t="shared" si="770"/>
        <v>NO APLICA</v>
      </c>
      <c r="CJ230" s="4"/>
      <c r="CK230" s="4"/>
      <c r="CL230" s="4"/>
      <c r="CM230" s="6"/>
      <c r="CN230" s="5" t="str">
        <f t="shared" si="710"/>
        <v>NO APLICA</v>
      </c>
      <c r="CO230" s="4"/>
      <c r="CP230" s="4"/>
      <c r="CQ230" s="4"/>
      <c r="CR230" s="6"/>
      <c r="CS230" s="5" t="str">
        <f t="shared" si="711"/>
        <v>NO APLICA</v>
      </c>
      <c r="CT230" s="4"/>
      <c r="CU230" s="4"/>
      <c r="CV230" s="4"/>
      <c r="CW230" s="6"/>
      <c r="CX230" s="5" t="str">
        <f t="shared" si="712"/>
        <v>NO APLICA</v>
      </c>
      <c r="CY230" s="4"/>
      <c r="CZ230" s="4"/>
      <c r="DA230" s="4"/>
      <c r="DB230" s="6"/>
      <c r="DC230" s="5" t="str">
        <f t="shared" si="713"/>
        <v>NO APLICA</v>
      </c>
      <c r="DD230" s="4"/>
      <c r="DE230" s="4"/>
      <c r="DF230" s="4"/>
      <c r="DG230" s="6"/>
      <c r="DH230" s="5" t="str">
        <f t="shared" si="714"/>
        <v>NO APLICA</v>
      </c>
      <c r="DI230" s="4"/>
      <c r="DJ230" s="4"/>
      <c r="DK230" s="4"/>
      <c r="DL230" s="6"/>
      <c r="DM230" s="5" t="str">
        <f t="shared" si="715"/>
        <v>NO APLICA</v>
      </c>
      <c r="DN230" s="4"/>
      <c r="DO230" s="4"/>
      <c r="DP230" s="4"/>
      <c r="DQ230" s="6"/>
      <c r="DR230" s="5" t="str">
        <f t="shared" si="716"/>
        <v>NO APLICA</v>
      </c>
      <c r="DS230" s="4"/>
      <c r="DT230" s="4"/>
      <c r="DU230" s="4"/>
      <c r="DV230" s="6"/>
      <c r="DW230" s="5" t="str">
        <f t="shared" si="717"/>
        <v>NO APLICA</v>
      </c>
      <c r="DX230" s="4"/>
      <c r="DY230" s="4"/>
      <c r="DZ230" s="4"/>
      <c r="EA230" s="6"/>
      <c r="EB230" s="5" t="str">
        <f t="shared" si="718"/>
        <v>NO APLICA</v>
      </c>
      <c r="EC230" s="4"/>
      <c r="ED230" s="4"/>
      <c r="EE230" s="4"/>
      <c r="EF230" s="6"/>
      <c r="EG230" s="5" t="str">
        <f t="shared" si="719"/>
        <v>NO APLICA</v>
      </c>
      <c r="EH230" s="4"/>
      <c r="EI230" s="4"/>
      <c r="EJ230" s="4"/>
      <c r="EK230" s="8"/>
      <c r="EL230" s="5" t="str">
        <f t="shared" si="720"/>
        <v>NO APLICA</v>
      </c>
      <c r="EM230" s="4"/>
      <c r="EN230" s="4"/>
      <c r="EO230" s="4"/>
      <c r="EP230" s="8"/>
      <c r="EQ230" s="5" t="str">
        <f t="shared" si="721"/>
        <v>NO APLICA</v>
      </c>
      <c r="ER230" s="4"/>
      <c r="ES230" s="4"/>
      <c r="ET230" s="4"/>
      <c r="EU230" s="8"/>
      <c r="EV230" s="5" t="str">
        <f t="shared" si="722"/>
        <v>NO APLICA</v>
      </c>
      <c r="EW230" s="4"/>
      <c r="EX230" s="4"/>
      <c r="EY230" s="4"/>
      <c r="EZ230" s="6"/>
      <c r="FA230" s="5" t="str">
        <f t="shared" si="723"/>
        <v>NO APLICA</v>
      </c>
      <c r="FB230" s="4"/>
      <c r="FC230" s="4"/>
      <c r="FD230" s="4"/>
      <c r="FE230" s="6"/>
      <c r="FF230" s="5" t="str">
        <f t="shared" si="724"/>
        <v>NO APLICA</v>
      </c>
      <c r="FG230" s="4"/>
      <c r="FH230" s="4"/>
      <c r="FI230" s="4"/>
      <c r="FJ230" s="6"/>
      <c r="FK230" s="5" t="str">
        <f t="shared" si="725"/>
        <v>NO APLICA</v>
      </c>
      <c r="FL230" s="4"/>
      <c r="FM230" s="4"/>
      <c r="FN230" s="4"/>
      <c r="FO230" s="6"/>
      <c r="FP230" s="5" t="str">
        <f t="shared" si="726"/>
        <v>NO APLICA</v>
      </c>
      <c r="FQ230" s="4"/>
      <c r="FR230" s="4"/>
      <c r="FS230" s="4"/>
      <c r="FT230" s="6"/>
      <c r="FU230" s="5" t="str">
        <f t="shared" si="727"/>
        <v>NO APLICA</v>
      </c>
      <c r="FV230" s="4"/>
      <c r="FW230" s="4"/>
      <c r="FX230" s="4"/>
      <c r="FY230" s="6"/>
      <c r="FZ230" s="5" t="str">
        <f t="shared" si="728"/>
        <v>NO APLICA</v>
      </c>
      <c r="GA230" s="4"/>
      <c r="GB230" s="4"/>
      <c r="GC230" s="4"/>
      <c r="GD230" s="6"/>
      <c r="GE230" s="5" t="str">
        <f t="shared" si="729"/>
        <v>NO APLICA</v>
      </c>
      <c r="GF230" s="4"/>
      <c r="GG230" s="4"/>
      <c r="GH230" s="4"/>
      <c r="GI230" s="8"/>
      <c r="GJ230" s="5" t="str">
        <f t="shared" si="730"/>
        <v>NO APLICA</v>
      </c>
      <c r="GK230" s="4"/>
      <c r="GL230" s="6"/>
      <c r="GM230" s="6"/>
      <c r="GN230" s="6"/>
      <c r="GO230" s="5" t="str">
        <f t="shared" si="731"/>
        <v>NO APLICA</v>
      </c>
      <c r="GP230" s="4"/>
      <c r="GQ230" s="6"/>
      <c r="GR230" s="6"/>
      <c r="GS230" s="6"/>
      <c r="GT230" s="5" t="str">
        <f t="shared" si="610"/>
        <v>NO APLICA</v>
      </c>
      <c r="GU230" s="4"/>
      <c r="GV230" s="6"/>
      <c r="GW230" s="6"/>
      <c r="GX230" s="6"/>
      <c r="GY230" s="5" t="str">
        <f t="shared" si="611"/>
        <v>NO APLICA</v>
      </c>
      <c r="GZ230" s="6"/>
      <c r="HA230" s="6"/>
      <c r="HB230" s="6"/>
      <c r="HC230" s="6"/>
      <c r="HD230" s="5" t="str">
        <f t="shared" si="612"/>
        <v>NO APLICA</v>
      </c>
      <c r="HE230" s="6"/>
      <c r="HF230" s="6"/>
      <c r="HG230" s="4"/>
      <c r="HH230" s="8"/>
      <c r="HI230" s="5" t="str">
        <f t="shared" si="698"/>
        <v>NO APLICA</v>
      </c>
      <c r="HJ230" s="6"/>
      <c r="HK230" s="6"/>
      <c r="HL230" s="6"/>
      <c r="HM230" s="6"/>
      <c r="HN230" s="5" t="str">
        <f t="shared" si="694"/>
        <v>NO APLICA</v>
      </c>
      <c r="HO230" s="6"/>
      <c r="HP230" s="6"/>
      <c r="HQ230" s="6"/>
      <c r="HR230" s="6"/>
      <c r="HS230" s="5" t="str">
        <f t="shared" si="732"/>
        <v>NO APLICA</v>
      </c>
      <c r="HT230" s="6"/>
      <c r="HU230" s="6"/>
      <c r="HV230" s="6"/>
      <c r="HW230" s="6"/>
      <c r="HX230" s="5" t="str">
        <f t="shared" si="733"/>
        <v>NO APLICA</v>
      </c>
      <c r="HY230" s="6"/>
      <c r="HZ230" s="6"/>
      <c r="IA230" s="6"/>
      <c r="IB230" s="6"/>
      <c r="IC230" s="5" t="str">
        <f t="shared" si="734"/>
        <v>NO APLICA</v>
      </c>
      <c r="ID230" s="6"/>
      <c r="IE230" s="6"/>
      <c r="IF230" s="6"/>
      <c r="IG230" s="6"/>
      <c r="IH230" s="5" t="str">
        <f t="shared" si="735"/>
        <v>NO APLICA</v>
      </c>
      <c r="II230" s="6"/>
      <c r="IJ230" s="6"/>
      <c r="IK230" s="6"/>
      <c r="IL230" s="6"/>
      <c r="IM230" s="5" t="str">
        <f t="shared" si="736"/>
        <v>NO APLICA</v>
      </c>
      <c r="IN230" s="6"/>
      <c r="IO230" s="6"/>
      <c r="IP230" s="6"/>
      <c r="IQ230" s="6"/>
      <c r="IR230" s="5" t="str">
        <f t="shared" si="737"/>
        <v>NO APLICA</v>
      </c>
      <c r="IS230" s="6"/>
      <c r="IT230" s="6"/>
      <c r="IU230" s="6"/>
      <c r="IV230" s="6"/>
      <c r="IW230" s="5" t="str">
        <f t="shared" si="738"/>
        <v>NO APLICA</v>
      </c>
      <c r="IX230" s="6"/>
      <c r="IY230" s="6"/>
      <c r="IZ230" s="6"/>
      <c r="JA230" s="6"/>
      <c r="JB230" s="5" t="str">
        <f t="shared" si="739"/>
        <v>NO APLICA</v>
      </c>
      <c r="JC230" s="3" t="s">
        <v>780</v>
      </c>
      <c r="JD230" s="6"/>
      <c r="JE230" s="6"/>
      <c r="JF230" s="6"/>
      <c r="JG230" s="5"/>
      <c r="JH230" s="3" t="s">
        <v>780</v>
      </c>
      <c r="JI230" s="6"/>
      <c r="JJ230" s="6"/>
      <c r="JK230" s="6"/>
      <c r="JL230" s="5"/>
      <c r="JM230" s="6" t="s">
        <v>780</v>
      </c>
      <c r="JN230" s="6"/>
      <c r="JO230" s="6"/>
      <c r="JP230" s="6"/>
      <c r="JQ230" s="5"/>
      <c r="JR230" s="6" t="s">
        <v>780</v>
      </c>
      <c r="JS230" s="6"/>
      <c r="JT230" s="6"/>
      <c r="JU230" s="6"/>
      <c r="JV230" s="5"/>
      <c r="JW230" s="6" t="s">
        <v>780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40"/>
        <v>NO APLICA</v>
      </c>
      <c r="KG230" s="5"/>
      <c r="KH230" s="6"/>
      <c r="KI230" s="6"/>
      <c r="KJ230" s="6"/>
      <c r="KK230" s="5" t="str">
        <f t="shared" si="760"/>
        <v>NO APLICA</v>
      </c>
      <c r="KL230" s="5"/>
      <c r="KM230" s="6"/>
      <c r="KN230" s="6"/>
      <c r="KO230" s="6"/>
      <c r="KP230" s="5" t="str">
        <f t="shared" si="741"/>
        <v>NO APLICA</v>
      </c>
      <c r="KQ230" s="5"/>
      <c r="KR230" s="6"/>
      <c r="KS230" s="6"/>
      <c r="KT230" s="6"/>
      <c r="KU230" s="5" t="str">
        <f t="shared" si="761"/>
        <v>NO APLICA</v>
      </c>
      <c r="KV230" s="6"/>
      <c r="KW230" s="6"/>
      <c r="KX230" s="6"/>
      <c r="KY230" s="6"/>
      <c r="KZ230" s="5" t="str">
        <f t="shared" si="767"/>
        <v>NO APLICA</v>
      </c>
      <c r="LA230" s="5"/>
      <c r="LB230" s="6"/>
      <c r="LC230" s="6"/>
      <c r="LD230" s="6"/>
      <c r="LE230" s="5" t="str">
        <f t="shared" si="762"/>
        <v>NO APLICA</v>
      </c>
      <c r="LF230" s="6"/>
      <c r="LG230" s="6"/>
      <c r="LH230" s="6"/>
      <c r="LI230" s="6"/>
      <c r="LJ230" s="5" t="str">
        <f t="shared" si="600"/>
        <v>NO APLICA</v>
      </c>
      <c r="LK230" s="5"/>
      <c r="LL230" s="5"/>
      <c r="LM230" s="4"/>
      <c r="LN230" s="8"/>
      <c r="LO230" s="5" t="str">
        <f t="shared" si="768"/>
        <v>NO APLICA</v>
      </c>
      <c r="LP230" s="6"/>
      <c r="LQ230" s="6"/>
      <c r="LR230" s="6"/>
      <c r="LS230" s="6"/>
      <c r="LT230" s="5" t="str">
        <f t="shared" si="763"/>
        <v>NO APLICA</v>
      </c>
      <c r="LU230" s="6"/>
      <c r="LV230" s="6"/>
      <c r="LW230" s="6"/>
      <c r="LX230" s="6"/>
      <c r="LY230" s="5" t="str">
        <f t="shared" si="764"/>
        <v>NO APLICA</v>
      </c>
      <c r="LZ230" s="6"/>
      <c r="MA230" s="6"/>
      <c r="MB230" s="6"/>
      <c r="MC230" s="6"/>
      <c r="MD230" s="5" t="str">
        <f t="shared" si="765"/>
        <v>NO APLICA</v>
      </c>
      <c r="ME230" s="6"/>
      <c r="MF230" s="6"/>
      <c r="MG230" s="6"/>
      <c r="MH230" s="6"/>
      <c r="MI230" s="5" t="str">
        <f t="shared" si="742"/>
        <v>NO APLICA</v>
      </c>
      <c r="MJ230" s="6"/>
      <c r="MK230" s="6"/>
      <c r="ML230" s="6"/>
      <c r="MM230" s="6"/>
      <c r="MN230" s="5" t="str">
        <f t="shared" si="743"/>
        <v>NO APLICA</v>
      </c>
      <c r="MO230" s="5"/>
      <c r="MP230" s="6"/>
      <c r="MQ230" s="6"/>
      <c r="MR230" s="6"/>
      <c r="MS230" s="5" t="str">
        <f t="shared" si="744"/>
        <v>NO APLICA</v>
      </c>
      <c r="MT230" s="5"/>
      <c r="MU230" s="6"/>
      <c r="MV230" s="6"/>
      <c r="MW230" s="6"/>
      <c r="MX230" s="5" t="str">
        <f t="shared" si="745"/>
        <v>NO APLICA</v>
      </c>
      <c r="MY230" s="6"/>
      <c r="MZ230" s="6"/>
      <c r="NA230" s="6"/>
      <c r="NB230" s="6"/>
      <c r="NC230" s="5" t="str">
        <f t="shared" si="746"/>
        <v>NO APLICA</v>
      </c>
      <c r="ND230" s="6"/>
      <c r="NE230" s="6"/>
      <c r="NF230" s="6"/>
      <c r="NG230" s="6"/>
      <c r="NH230" s="5" t="str">
        <f t="shared" si="747"/>
        <v>NO APLICA</v>
      </c>
      <c r="NI230" s="6"/>
      <c r="NJ230" s="6"/>
      <c r="NK230" s="6"/>
      <c r="NL230" s="6"/>
      <c r="NM230" s="5" t="str">
        <f t="shared" si="748"/>
        <v>NO APLICA</v>
      </c>
      <c r="NN230" s="6"/>
      <c r="NO230" s="6"/>
      <c r="NP230" s="6"/>
      <c r="NQ230" s="6"/>
      <c r="NR230" s="5" t="str">
        <f t="shared" si="749"/>
        <v>NO APLICA</v>
      </c>
      <c r="NS230" s="6"/>
      <c r="NT230" s="6"/>
      <c r="NU230" s="6"/>
      <c r="NV230" s="6"/>
      <c r="NW230" s="5" t="str">
        <f t="shared" si="750"/>
        <v>NO APLICA</v>
      </c>
      <c r="NX230" s="6"/>
      <c r="NY230" s="6"/>
      <c r="NZ230" s="6"/>
      <c r="OA230" s="6"/>
      <c r="OB230" s="5" t="str">
        <f t="shared" si="751"/>
        <v>NO APLICA</v>
      </c>
      <c r="OC230" s="6"/>
      <c r="OD230" s="6"/>
      <c r="OE230" s="6"/>
      <c r="OF230" s="6"/>
      <c r="OG230" s="5" t="str">
        <f t="shared" si="752"/>
        <v>NO APLICA</v>
      </c>
      <c r="OH230" s="6"/>
      <c r="OI230" s="6"/>
      <c r="OJ230" s="6"/>
      <c r="OK230" s="6"/>
      <c r="OL230" s="5" t="str">
        <f t="shared" si="753"/>
        <v>NO APLICA</v>
      </c>
      <c r="OM230" s="6"/>
      <c r="ON230" s="6"/>
      <c r="OO230" s="6"/>
      <c r="OP230" s="6"/>
      <c r="OQ230" s="5" t="str">
        <f t="shared" si="754"/>
        <v>NO APLICA</v>
      </c>
      <c r="OR230" s="6"/>
      <c r="OS230" s="6"/>
      <c r="OT230" s="6"/>
      <c r="OU230" s="6"/>
      <c r="OV230" s="5" t="str">
        <f t="shared" si="755"/>
        <v>NO APLICA</v>
      </c>
      <c r="OW230" s="6"/>
      <c r="OX230" s="6"/>
      <c r="OY230" s="6"/>
      <c r="OZ230" s="6"/>
      <c r="PA230" s="5" t="str">
        <f t="shared" si="769"/>
        <v>NO APLICA</v>
      </c>
      <c r="PB230" s="6"/>
      <c r="PC230" s="6"/>
      <c r="PD230" s="6"/>
      <c r="PE230" s="6"/>
      <c r="PF230" s="5" t="str">
        <f t="shared" si="756"/>
        <v>NO APLICA</v>
      </c>
      <c r="PG230" s="6"/>
      <c r="PH230" s="6"/>
      <c r="PI230" s="6"/>
      <c r="PJ230" s="6"/>
      <c r="PK230" s="5" t="str">
        <f t="shared" si="757"/>
        <v>NO APLICA</v>
      </c>
      <c r="PL230" s="5"/>
      <c r="PM230" s="6"/>
      <c r="PN230" s="6"/>
      <c r="PO230" s="6"/>
      <c r="PP230" s="5" t="str">
        <f t="shared" si="766"/>
        <v>NO APLICA</v>
      </c>
      <c r="PQ230" s="6"/>
      <c r="PR230" s="6"/>
      <c r="PS230" s="6"/>
      <c r="PT230" s="6"/>
      <c r="PU230" s="5" t="str">
        <f t="shared" si="758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9"/>
        <v>VIGENTE</v>
      </c>
    </row>
    <row r="231" spans="1:442" ht="15.6" hidden="1" thickTop="1" thickBot="1" x14ac:dyDescent="0.35">
      <c r="A231" s="26">
        <v>228</v>
      </c>
      <c r="B231" s="31">
        <v>1542</v>
      </c>
      <c r="C231" s="28" t="s">
        <v>677</v>
      </c>
      <c r="D231" s="29" t="s">
        <v>113</v>
      </c>
      <c r="E231" s="30" t="s">
        <v>678</v>
      </c>
      <c r="F231" s="6"/>
      <c r="G231" s="6"/>
      <c r="H231" s="6"/>
      <c r="I231" s="6"/>
      <c r="J231" s="5" t="str">
        <f t="shared" si="696"/>
        <v>NO APLICA</v>
      </c>
      <c r="K231" s="6"/>
      <c r="L231" s="6"/>
      <c r="M231" s="6"/>
      <c r="N231" s="6"/>
      <c r="O231" s="5" t="str">
        <f t="shared" si="699"/>
        <v>NO APLICA</v>
      </c>
      <c r="P231" s="6"/>
      <c r="Q231" s="6"/>
      <c r="R231" s="6"/>
      <c r="S231" s="6"/>
      <c r="T231" s="5" t="str">
        <f t="shared" si="697"/>
        <v>NO APLICA</v>
      </c>
      <c r="U231" s="5"/>
      <c r="V231" s="6" t="s">
        <v>679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00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1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3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4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6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8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9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10"/>
        <v>NO APLICA</v>
      </c>
      <c r="GU231" s="4"/>
      <c r="GV231" s="6"/>
      <c r="GW231" s="6"/>
      <c r="GX231" s="6"/>
      <c r="GY231" s="5" t="str">
        <f t="shared" si="611"/>
        <v>NO APLICA</v>
      </c>
      <c r="GZ231" s="6"/>
      <c r="HA231" s="6"/>
      <c r="HB231" s="6"/>
      <c r="HC231" s="6"/>
      <c r="HD231" s="5" t="str">
        <f t="shared" si="612"/>
        <v>NO APLICA</v>
      </c>
      <c r="HE231" s="6"/>
      <c r="HF231" s="6"/>
      <c r="HG231" s="4"/>
      <c r="HH231" s="8"/>
      <c r="HI231" s="5" t="str">
        <f t="shared" si="698"/>
        <v>NO APLICA</v>
      </c>
      <c r="HJ231" s="6"/>
      <c r="HK231" s="6"/>
      <c r="HL231" s="6"/>
      <c r="HM231" s="6"/>
      <c r="HN231" s="5" t="str">
        <f t="shared" si="694"/>
        <v>NO APLICA</v>
      </c>
      <c r="HO231" s="6"/>
      <c r="HP231" s="6"/>
      <c r="HQ231" s="6"/>
      <c r="HR231" s="6"/>
      <c r="HS231" s="5" t="str">
        <f t="shared" si="732"/>
        <v>NO APLICA</v>
      </c>
      <c r="HT231" s="6"/>
      <c r="HU231" s="6"/>
      <c r="HV231" s="6"/>
      <c r="HW231" s="6"/>
      <c r="HX231" s="5" t="str">
        <f t="shared" si="733"/>
        <v>NO APLICA</v>
      </c>
      <c r="HY231" s="6"/>
      <c r="HZ231" s="6"/>
      <c r="IA231" s="6"/>
      <c r="IB231" s="6"/>
      <c r="IC231" s="5" t="str">
        <f t="shared" si="734"/>
        <v>NO APLICA</v>
      </c>
      <c r="ID231" s="6"/>
      <c r="IE231" s="6"/>
      <c r="IF231" s="6"/>
      <c r="IG231" s="6"/>
      <c r="IH231" s="5" t="str">
        <f t="shared" si="735"/>
        <v>NO APLICA</v>
      </c>
      <c r="II231" s="6"/>
      <c r="IJ231" s="6"/>
      <c r="IK231" s="6"/>
      <c r="IL231" s="6"/>
      <c r="IM231" s="5" t="str">
        <f t="shared" si="736"/>
        <v>NO APLICA</v>
      </c>
      <c r="IN231" s="6"/>
      <c r="IO231" s="6"/>
      <c r="IP231" s="6"/>
      <c r="IQ231" s="6"/>
      <c r="IR231" s="5" t="str">
        <f t="shared" si="737"/>
        <v>NO APLICA</v>
      </c>
      <c r="IS231" s="6"/>
      <c r="IT231" s="6"/>
      <c r="IU231" s="6"/>
      <c r="IV231" s="6"/>
      <c r="IW231" s="5" t="str">
        <f t="shared" si="738"/>
        <v>NO APLICA</v>
      </c>
      <c r="IX231" s="6"/>
      <c r="IY231" s="6"/>
      <c r="IZ231" s="6"/>
      <c r="JA231" s="6"/>
      <c r="JB231" s="5" t="str">
        <f t="shared" si="739"/>
        <v>NO APLICA</v>
      </c>
      <c r="JC231" s="3" t="s">
        <v>780</v>
      </c>
      <c r="JD231" s="6"/>
      <c r="JE231" s="6"/>
      <c r="JF231" s="6"/>
      <c r="JG231" s="5"/>
      <c r="JH231" s="3" t="s">
        <v>780</v>
      </c>
      <c r="JI231" s="6"/>
      <c r="JJ231" s="6"/>
      <c r="JK231" s="6"/>
      <c r="JL231" s="5"/>
      <c r="JM231" s="6" t="s">
        <v>780</v>
      </c>
      <c r="JN231" s="6"/>
      <c r="JO231" s="6"/>
      <c r="JP231" s="6"/>
      <c r="JQ231" s="5"/>
      <c r="JR231" s="6" t="s">
        <v>780</v>
      </c>
      <c r="JS231" s="6"/>
      <c r="JT231" s="6"/>
      <c r="JU231" s="6"/>
      <c r="JV231" s="5"/>
      <c r="JW231" s="6" t="s">
        <v>780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60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7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00"/>
        <v>NO APLICA</v>
      </c>
      <c r="LK231" s="5"/>
      <c r="LL231" s="5"/>
      <c r="LM231" s="4"/>
      <c r="LN231" s="8"/>
      <c r="LO231" s="5" t="str">
        <f t="shared" si="768"/>
        <v>NO APLICA</v>
      </c>
      <c r="LP231" s="6"/>
      <c r="LQ231" s="6"/>
      <c r="LR231" s="6"/>
      <c r="LS231" s="6"/>
      <c r="LT231" s="5" t="str">
        <f t="shared" si="763"/>
        <v>NO APLICA</v>
      </c>
      <c r="LU231" s="6"/>
      <c r="LV231" s="6"/>
      <c r="LW231" s="6"/>
      <c r="LX231" s="6"/>
      <c r="LY231" s="5" t="str">
        <f t="shared" si="764"/>
        <v>NO APLICA</v>
      </c>
      <c r="LZ231" s="6"/>
      <c r="MA231" s="6"/>
      <c r="MB231" s="6"/>
      <c r="MC231" s="6"/>
      <c r="MD231" s="5" t="str">
        <f t="shared" si="765"/>
        <v>NO APLICA</v>
      </c>
      <c r="ME231" s="6"/>
      <c r="MF231" s="6"/>
      <c r="MG231" s="6"/>
      <c r="MH231" s="6"/>
      <c r="MI231" s="5" t="str">
        <f t="shared" si="742"/>
        <v>NO APLICA</v>
      </c>
      <c r="MJ231" s="6"/>
      <c r="MK231" s="6"/>
      <c r="ML231" s="6"/>
      <c r="MM231" s="6"/>
      <c r="MN231" s="5" t="str">
        <f t="shared" si="743"/>
        <v>NO APLICA</v>
      </c>
      <c r="MO231" s="5"/>
      <c r="MP231" s="6"/>
      <c r="MQ231" s="6"/>
      <c r="MR231" s="6"/>
      <c r="MS231" s="5" t="str">
        <f t="shared" si="744"/>
        <v>NO APLICA</v>
      </c>
      <c r="MT231" s="5"/>
      <c r="MU231" s="6"/>
      <c r="MV231" s="6"/>
      <c r="MW231" s="6"/>
      <c r="MX231" s="5" t="str">
        <f t="shared" si="745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50"/>
        <v>NO APLICA</v>
      </c>
      <c r="NX231" s="6"/>
      <c r="NY231" s="6"/>
      <c r="NZ231" s="6"/>
      <c r="OA231" s="6"/>
      <c r="OB231" s="5" t="str">
        <f t="shared" si="751"/>
        <v>NO APLICA</v>
      </c>
      <c r="OC231" s="6"/>
      <c r="OD231" s="6"/>
      <c r="OE231" s="6"/>
      <c r="OF231" s="6"/>
      <c r="OG231" s="5" t="str">
        <f t="shared" si="752"/>
        <v>NO APLICA</v>
      </c>
      <c r="OH231" s="6"/>
      <c r="OI231" s="6"/>
      <c r="OJ231" s="6"/>
      <c r="OK231" s="6"/>
      <c r="OL231" s="5" t="str">
        <f t="shared" si="753"/>
        <v>NO APLICA</v>
      </c>
      <c r="OM231" s="6"/>
      <c r="ON231" s="6"/>
      <c r="OO231" s="6"/>
      <c r="OP231" s="6"/>
      <c r="OQ231" s="5" t="str">
        <f t="shared" si="754"/>
        <v>NO APLICA</v>
      </c>
      <c r="OR231" s="4"/>
      <c r="OS231" s="4"/>
      <c r="OT231" s="4"/>
      <c r="OU231" s="8"/>
      <c r="OV231" s="5" t="str">
        <f t="shared" si="755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9"/>
        <v>NO APLICA</v>
      </c>
    </row>
    <row r="232" spans="1:442" ht="15.6" hidden="1" thickTop="1" thickBot="1" x14ac:dyDescent="0.35">
      <c r="A232" s="26">
        <v>229</v>
      </c>
      <c r="B232" s="31">
        <v>1530</v>
      </c>
      <c r="C232" s="28" t="s">
        <v>680</v>
      </c>
      <c r="D232" s="29" t="s">
        <v>113</v>
      </c>
      <c r="E232" s="30" t="s">
        <v>643</v>
      </c>
      <c r="F232" s="3"/>
      <c r="G232" s="4"/>
      <c r="H232" s="4"/>
      <c r="I232" s="8"/>
      <c r="J232" s="5" t="str">
        <f t="shared" si="696"/>
        <v>NO APLICA</v>
      </c>
      <c r="K232" s="2"/>
      <c r="L232" s="2"/>
      <c r="M232" s="2"/>
      <c r="N232" s="2"/>
      <c r="O232" s="5" t="str">
        <f t="shared" si="699"/>
        <v>NO APLICA</v>
      </c>
      <c r="P232" s="6"/>
      <c r="Q232" s="6"/>
      <c r="R232" s="4"/>
      <c r="S232" s="8"/>
      <c r="T232" s="5" t="str">
        <f t="shared" si="697"/>
        <v>NO APLICA</v>
      </c>
      <c r="U232" s="5"/>
      <c r="V232" s="2"/>
      <c r="W232" s="4"/>
      <c r="X232" s="4"/>
      <c r="Y232" s="8"/>
      <c r="Z232" s="5" t="str">
        <f t="shared" si="605"/>
        <v>NO APLICA</v>
      </c>
      <c r="AA232" s="5"/>
      <c r="AB232" s="2"/>
      <c r="AC232" s="6"/>
      <c r="AD232" s="4"/>
      <c r="AE232" s="8"/>
      <c r="AF232" s="5" t="str">
        <f t="shared" si="700"/>
        <v>NO APLICA</v>
      </c>
      <c r="AG232" s="2"/>
      <c r="AH232" s="4"/>
      <c r="AI232" s="4"/>
      <c r="AJ232" s="8"/>
      <c r="AK232" s="5" t="str">
        <f t="shared" ref="AK232:AK239" si="772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1"/>
        <v>NO APLICA</v>
      </c>
      <c r="AQ232" s="2"/>
      <c r="AR232" s="4"/>
      <c r="AS232" s="4"/>
      <c r="AT232" s="8"/>
      <c r="AU232" s="5" t="str">
        <f t="shared" si="702"/>
        <v>NO APLICA</v>
      </c>
      <c r="AV232" s="2"/>
      <c r="AW232" s="4"/>
      <c r="AX232" s="4"/>
      <c r="AY232" s="8"/>
      <c r="AZ232" s="5" t="str">
        <f t="shared" si="703"/>
        <v>NO APLICA</v>
      </c>
      <c r="BA232" s="3"/>
      <c r="BB232" s="4"/>
      <c r="BC232" s="4"/>
      <c r="BD232" s="8"/>
      <c r="BE232" s="5" t="str">
        <f t="shared" si="704"/>
        <v>NO APLICA</v>
      </c>
      <c r="BF232" s="2"/>
      <c r="BG232" s="4"/>
      <c r="BH232" s="4"/>
      <c r="BI232" s="8"/>
      <c r="BJ232" s="5" t="str">
        <f t="shared" si="705"/>
        <v>NO APLICA</v>
      </c>
      <c r="BK232" s="3"/>
      <c r="BL232" s="4"/>
      <c r="BM232" s="4"/>
      <c r="BN232" s="8"/>
      <c r="BO232" s="5" t="str">
        <f t="shared" si="706"/>
        <v>NO APLICA</v>
      </c>
      <c r="BP232" s="3"/>
      <c r="BQ232" s="39"/>
      <c r="BR232" s="4"/>
      <c r="BS232" s="8"/>
      <c r="BT232" s="5" t="str">
        <f t="shared" si="707"/>
        <v>NO APLICA</v>
      </c>
      <c r="BU232" s="2"/>
      <c r="BV232" s="4"/>
      <c r="BW232" s="4"/>
      <c r="BX232" s="8"/>
      <c r="BY232" s="5" t="str">
        <f t="shared" si="708"/>
        <v>NO APLICA</v>
      </c>
      <c r="BZ232" s="2"/>
      <c r="CA232" s="4"/>
      <c r="CB232" s="4"/>
      <c r="CC232" s="8"/>
      <c r="CD232" s="5" t="str">
        <f t="shared" si="709"/>
        <v>NO APLICA</v>
      </c>
      <c r="CE232" s="6"/>
      <c r="CF232" s="4"/>
      <c r="CG232" s="4"/>
      <c r="CH232" s="8"/>
      <c r="CI232" s="5" t="str">
        <f t="shared" si="770"/>
        <v>NO APLICA</v>
      </c>
      <c r="CJ232" s="6"/>
      <c r="CK232" s="4"/>
      <c r="CL232" s="4"/>
      <c r="CM232" s="8"/>
      <c r="CN232" s="5" t="str">
        <f t="shared" si="710"/>
        <v>NO APLICA</v>
      </c>
      <c r="CO232" s="2"/>
      <c r="CP232" s="39"/>
      <c r="CQ232" s="4"/>
      <c r="CR232" s="8"/>
      <c r="CS232" s="5" t="str">
        <f t="shared" si="711"/>
        <v>NO APLICA</v>
      </c>
      <c r="CT232" s="2"/>
      <c r="CU232" s="4"/>
      <c r="CV232" s="4"/>
      <c r="CW232" s="8"/>
      <c r="CX232" s="5" t="str">
        <f t="shared" si="712"/>
        <v>NO APLICA</v>
      </c>
      <c r="CY232" s="3"/>
      <c r="CZ232" s="4"/>
      <c r="DA232" s="4"/>
      <c r="DB232" s="8"/>
      <c r="DC232" s="5" t="str">
        <f t="shared" si="713"/>
        <v>NO APLICA</v>
      </c>
      <c r="DD232" s="3"/>
      <c r="DE232" s="39"/>
      <c r="DF232" s="4"/>
      <c r="DG232" s="8"/>
      <c r="DH232" s="5" t="str">
        <f t="shared" si="714"/>
        <v>NO APLICA</v>
      </c>
      <c r="DI232" s="2"/>
      <c r="DJ232" s="39"/>
      <c r="DK232" s="4"/>
      <c r="DL232" s="8"/>
      <c r="DM232" s="5" t="str">
        <f t="shared" si="715"/>
        <v>NO APLICA</v>
      </c>
      <c r="DN232" s="3"/>
      <c r="DO232" s="4"/>
      <c r="DP232" s="4"/>
      <c r="DQ232" s="8"/>
      <c r="DR232" s="5" t="str">
        <f t="shared" si="716"/>
        <v>NO APLICA</v>
      </c>
      <c r="DS232" s="2"/>
      <c r="DT232" s="4"/>
      <c r="DU232" s="4"/>
      <c r="DV232" s="8"/>
      <c r="DW232" s="5" t="str">
        <f t="shared" si="717"/>
        <v>NO APLICA</v>
      </c>
      <c r="DX232" s="3"/>
      <c r="DY232" s="4"/>
      <c r="DZ232" s="4"/>
      <c r="EA232" s="8"/>
      <c r="EB232" s="5" t="str">
        <f t="shared" si="718"/>
        <v>NO APLICA</v>
      </c>
      <c r="EC232" s="3"/>
      <c r="ED232" s="39"/>
      <c r="EE232" s="4"/>
      <c r="EF232" s="8"/>
      <c r="EG232" s="5" t="str">
        <f t="shared" si="719"/>
        <v>NO APLICA</v>
      </c>
      <c r="EH232" s="2"/>
      <c r="EI232" s="4"/>
      <c r="EJ232" s="4"/>
      <c r="EK232" s="8"/>
      <c r="EL232" s="5" t="str">
        <f t="shared" si="720"/>
        <v>NO APLICA</v>
      </c>
      <c r="EM232" s="3"/>
      <c r="EN232" s="4"/>
      <c r="EO232" s="4"/>
      <c r="EP232" s="8"/>
      <c r="EQ232" s="5" t="str">
        <f t="shared" si="721"/>
        <v>NO APLICA</v>
      </c>
      <c r="ER232" s="2"/>
      <c r="ES232" s="39"/>
      <c r="ET232" s="4"/>
      <c r="EU232" s="8"/>
      <c r="EV232" s="5" t="str">
        <f t="shared" si="722"/>
        <v>NO APLICA</v>
      </c>
      <c r="EW232" s="2"/>
      <c r="EX232" s="4"/>
      <c r="EY232" s="4"/>
      <c r="EZ232" s="8"/>
      <c r="FA232" s="5" t="str">
        <f t="shared" si="723"/>
        <v>NO APLICA</v>
      </c>
      <c r="FB232" s="2"/>
      <c r="FC232" s="4"/>
      <c r="FD232" s="4"/>
      <c r="FE232" s="8"/>
      <c r="FF232" s="5" t="str">
        <f t="shared" si="724"/>
        <v>NO APLICA</v>
      </c>
      <c r="FG232" s="2"/>
      <c r="FH232" s="4"/>
      <c r="FI232" s="4"/>
      <c r="FJ232" s="8"/>
      <c r="FK232" s="5" t="str">
        <f t="shared" si="725"/>
        <v>NO APLICA</v>
      </c>
      <c r="FL232" s="3"/>
      <c r="FM232" s="39"/>
      <c r="FN232" s="4"/>
      <c r="FO232" s="8"/>
      <c r="FP232" s="5" t="str">
        <f t="shared" si="726"/>
        <v>NO APLICA</v>
      </c>
      <c r="FQ232" s="3"/>
      <c r="FR232" s="39"/>
      <c r="FS232" s="4"/>
      <c r="FT232" s="8"/>
      <c r="FU232" s="5" t="str">
        <f t="shared" si="727"/>
        <v>NO APLICA</v>
      </c>
      <c r="FV232" s="3"/>
      <c r="FW232" s="4"/>
      <c r="FX232" s="4"/>
      <c r="FY232" s="8"/>
      <c r="FZ232" s="5" t="str">
        <f t="shared" si="728"/>
        <v>NO APLICA</v>
      </c>
      <c r="GA232" s="3"/>
      <c r="GB232" s="4"/>
      <c r="GC232" s="4"/>
      <c r="GD232" s="8"/>
      <c r="GE232" s="5" t="str">
        <f t="shared" si="729"/>
        <v>NO APLICA</v>
      </c>
      <c r="GF232" s="3"/>
      <c r="GG232" s="4"/>
      <c r="GH232" s="4"/>
      <c r="GI232" s="8"/>
      <c r="GJ232" s="5" t="str">
        <f t="shared" si="730"/>
        <v>NO APLICA</v>
      </c>
      <c r="GK232" s="3"/>
      <c r="GL232" s="4"/>
      <c r="GM232" s="4"/>
      <c r="GN232" s="8"/>
      <c r="GO232" s="5" t="str">
        <f t="shared" si="731"/>
        <v>NO APLICA</v>
      </c>
      <c r="GP232" s="4"/>
      <c r="GQ232" s="4"/>
      <c r="GR232" s="4"/>
      <c r="GS232" s="8"/>
      <c r="GT232" s="5" t="str">
        <f t="shared" si="610"/>
        <v>NO APLICA</v>
      </c>
      <c r="GU232" s="3"/>
      <c r="GV232" s="4"/>
      <c r="GW232" s="4"/>
      <c r="GX232" s="8"/>
      <c r="GY232" s="5" t="str">
        <f t="shared" si="611"/>
        <v>NO APLICA</v>
      </c>
      <c r="GZ232" s="2"/>
      <c r="HA232" s="4"/>
      <c r="HB232" s="4"/>
      <c r="HC232" s="8"/>
      <c r="HD232" s="5" t="str">
        <f t="shared" si="612"/>
        <v>NO APLICA</v>
      </c>
      <c r="HE232" s="6"/>
      <c r="HF232" s="6"/>
      <c r="HG232" s="4"/>
      <c r="HH232" s="8"/>
      <c r="HI232" s="5" t="str">
        <f t="shared" si="698"/>
        <v>NO APLICA</v>
      </c>
      <c r="HJ232" s="2"/>
      <c r="HK232" s="6"/>
      <c r="HL232" s="4"/>
      <c r="HM232" s="8"/>
      <c r="HN232" s="5" t="str">
        <f t="shared" si="694"/>
        <v>NO APLICA</v>
      </c>
      <c r="HO232" s="2"/>
      <c r="HP232" s="2"/>
      <c r="HQ232" s="4"/>
      <c r="HR232" s="2"/>
      <c r="HS232" s="5" t="str">
        <f t="shared" si="732"/>
        <v>NO APLICA</v>
      </c>
      <c r="HT232" s="2"/>
      <c r="HU232" s="6"/>
      <c r="HV232" s="4"/>
      <c r="HW232" s="8"/>
      <c r="HX232" s="5" t="str">
        <f t="shared" si="733"/>
        <v>NO APLICA</v>
      </c>
      <c r="HY232" s="2"/>
      <c r="HZ232" s="6"/>
      <c r="IA232" s="4"/>
      <c r="IB232" s="8"/>
      <c r="IC232" s="5" t="str">
        <f t="shared" si="734"/>
        <v>NO APLICA</v>
      </c>
      <c r="ID232" s="2"/>
      <c r="IE232" s="6"/>
      <c r="IF232" s="4"/>
      <c r="IG232" s="8"/>
      <c r="IH232" s="5" t="str">
        <f t="shared" si="735"/>
        <v>NO APLICA</v>
      </c>
      <c r="II232" s="6"/>
      <c r="IJ232" s="6"/>
      <c r="IK232" s="4"/>
      <c r="IL232" s="8"/>
      <c r="IM232" s="5" t="str">
        <f t="shared" si="736"/>
        <v>NO APLICA</v>
      </c>
      <c r="IN232" s="2"/>
      <c r="IO232" s="6"/>
      <c r="IP232" s="4"/>
      <c r="IQ232" s="8"/>
      <c r="IR232" s="5" t="str">
        <f t="shared" si="737"/>
        <v>NO APLICA</v>
      </c>
      <c r="IS232" s="2"/>
      <c r="IT232" s="6"/>
      <c r="IU232" s="4"/>
      <c r="IV232" s="8"/>
      <c r="IW232" s="5" t="str">
        <f t="shared" si="738"/>
        <v>NO APLICA</v>
      </c>
      <c r="IX232" s="2"/>
      <c r="IY232" s="6"/>
      <c r="IZ232" s="4"/>
      <c r="JA232" s="8"/>
      <c r="JB232" s="5" t="str">
        <f t="shared" si="739"/>
        <v>NO APLICA</v>
      </c>
      <c r="JC232" s="3" t="s">
        <v>780</v>
      </c>
      <c r="JD232" s="3"/>
      <c r="JE232" s="4"/>
      <c r="JF232" s="8"/>
      <c r="JG232" s="5"/>
      <c r="JH232" s="3" t="s">
        <v>780</v>
      </c>
      <c r="JI232" s="6"/>
      <c r="JJ232" s="6"/>
      <c r="JK232" s="6"/>
      <c r="JL232" s="5"/>
      <c r="JM232" s="6" t="s">
        <v>780</v>
      </c>
      <c r="JN232" s="6"/>
      <c r="JO232" s="6"/>
      <c r="JP232" s="6"/>
      <c r="JQ232" s="5"/>
      <c r="JR232" s="6" t="s">
        <v>780</v>
      </c>
      <c r="JS232" s="6"/>
      <c r="JT232" s="6"/>
      <c r="JU232" s="6"/>
      <c r="JV232" s="5"/>
      <c r="JW232" s="6" t="s">
        <v>780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40"/>
        <v>NO APLICA</v>
      </c>
      <c r="KG232" s="5"/>
      <c r="KH232" s="2"/>
      <c r="KI232" s="4"/>
      <c r="KJ232" s="8"/>
      <c r="KK232" s="5" t="str">
        <f t="shared" si="760"/>
        <v>NO APLICA</v>
      </c>
      <c r="KL232" s="5"/>
      <c r="KM232" s="2"/>
      <c r="KN232" s="4"/>
      <c r="KO232" s="8"/>
      <c r="KP232" s="5" t="str">
        <f t="shared" si="741"/>
        <v>NO APLICA</v>
      </c>
      <c r="KQ232" s="5"/>
      <c r="KR232" s="2"/>
      <c r="KS232" s="4"/>
      <c r="KT232" s="8"/>
      <c r="KU232" s="5" t="str">
        <f t="shared" si="761"/>
        <v>NO APLICA</v>
      </c>
      <c r="KV232" s="2"/>
      <c r="KW232" s="6"/>
      <c r="KX232" s="4"/>
      <c r="KY232" s="8"/>
      <c r="KZ232" s="5" t="str">
        <f t="shared" si="767"/>
        <v>NO APLICA</v>
      </c>
      <c r="LA232" s="5"/>
      <c r="LB232" s="6"/>
      <c r="LC232" s="4"/>
      <c r="LD232" s="8"/>
      <c r="LE232" s="5" t="str">
        <f t="shared" si="762"/>
        <v>NO APLICA</v>
      </c>
      <c r="LF232" s="6"/>
      <c r="LG232" s="6"/>
      <c r="LH232" s="4"/>
      <c r="LI232" s="8"/>
      <c r="LJ232" s="5" t="str">
        <f t="shared" ref="LJ232:LJ240" si="773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8"/>
        <v>NO APLICA</v>
      </c>
      <c r="LP232" s="2"/>
      <c r="LQ232" s="6"/>
      <c r="LR232" s="4"/>
      <c r="LS232" s="8"/>
      <c r="LT232" s="5" t="str">
        <f t="shared" si="763"/>
        <v>NO APLICA</v>
      </c>
      <c r="LU232" s="6"/>
      <c r="LV232" s="6"/>
      <c r="LW232" s="4"/>
      <c r="LX232" s="8"/>
      <c r="LY232" s="5" t="str">
        <f t="shared" si="764"/>
        <v>NO APLICA</v>
      </c>
      <c r="LZ232" s="6"/>
      <c r="MA232" s="6"/>
      <c r="MB232" s="4"/>
      <c r="MC232" s="8"/>
      <c r="MD232" s="5" t="str">
        <f t="shared" si="765"/>
        <v>NO APLICA</v>
      </c>
      <c r="ME232" s="2"/>
      <c r="MF232" s="2"/>
      <c r="MG232" s="4"/>
      <c r="MH232" s="8"/>
      <c r="MI232" s="5" t="str">
        <f t="shared" si="742"/>
        <v>NO APLICA</v>
      </c>
      <c r="MJ232" s="2"/>
      <c r="MK232" s="2"/>
      <c r="ML232" s="4"/>
      <c r="MM232" s="8"/>
      <c r="MN232" s="5" t="str">
        <f t="shared" si="743"/>
        <v>NO APLICA</v>
      </c>
      <c r="MO232" s="5"/>
      <c r="MP232" s="2"/>
      <c r="MQ232" s="4"/>
      <c r="MR232" s="8"/>
      <c r="MS232" s="5" t="str">
        <f t="shared" si="744"/>
        <v>NO APLICA</v>
      </c>
      <c r="MT232" s="5"/>
      <c r="MU232" s="2"/>
      <c r="MV232" s="4"/>
      <c r="MW232" s="2"/>
      <c r="MX232" s="5" t="str">
        <f t="shared" si="745"/>
        <v>NO APLICA</v>
      </c>
      <c r="MY232" s="2"/>
      <c r="MZ232" s="6"/>
      <c r="NA232" s="4"/>
      <c r="NB232" s="8"/>
      <c r="NC232" s="5" t="str">
        <f t="shared" si="746"/>
        <v>NO APLICA</v>
      </c>
      <c r="ND232" s="2"/>
      <c r="NE232" s="6"/>
      <c r="NF232" s="4"/>
      <c r="NG232" s="8"/>
      <c r="NH232" s="5" t="str">
        <f t="shared" si="747"/>
        <v>NO APLICA</v>
      </c>
      <c r="NI232" s="2"/>
      <c r="NJ232" s="6"/>
      <c r="NK232" s="4"/>
      <c r="NL232" s="8"/>
      <c r="NM232" s="5" t="str">
        <f t="shared" si="748"/>
        <v>NO APLICA</v>
      </c>
      <c r="NN232" s="2"/>
      <c r="NO232" s="2"/>
      <c r="NP232" s="4"/>
      <c r="NQ232" s="8"/>
      <c r="NR232" s="5" t="str">
        <f t="shared" si="749"/>
        <v>NO APLICA</v>
      </c>
      <c r="NS232" s="2"/>
      <c r="NT232" s="2"/>
      <c r="NU232" s="4"/>
      <c r="NV232" s="2"/>
      <c r="NW232" s="5" t="str">
        <f t="shared" si="750"/>
        <v>NO APLICA</v>
      </c>
      <c r="NX232" s="6"/>
      <c r="NY232" s="6"/>
      <c r="NZ232" s="4"/>
      <c r="OA232" s="8"/>
      <c r="OB232" s="5" t="str">
        <f t="shared" si="751"/>
        <v>NO APLICA</v>
      </c>
      <c r="OC232" s="6"/>
      <c r="OD232" s="6"/>
      <c r="OE232" s="6"/>
      <c r="OF232" s="6"/>
      <c r="OG232" s="5" t="str">
        <f t="shared" si="752"/>
        <v>NO APLICA</v>
      </c>
      <c r="OH232" s="6"/>
      <c r="OI232" s="6"/>
      <c r="OJ232" s="4"/>
      <c r="OK232" s="8"/>
      <c r="OL232" s="5" t="str">
        <f t="shared" si="753"/>
        <v>NO APLICA</v>
      </c>
      <c r="OM232" s="6"/>
      <c r="ON232" s="6"/>
      <c r="OO232" s="6"/>
      <c r="OP232" s="6"/>
      <c r="OQ232" s="5" t="str">
        <f t="shared" si="754"/>
        <v>NO APLICA</v>
      </c>
      <c r="OR232" s="6"/>
      <c r="OS232" s="6"/>
      <c r="OT232" s="6"/>
      <c r="OU232" s="6"/>
      <c r="OV232" s="5" t="str">
        <f t="shared" si="755"/>
        <v>NO APLICA</v>
      </c>
      <c r="OW232" s="6"/>
      <c r="OX232" s="6"/>
      <c r="OY232" s="6"/>
      <c r="OZ232" s="6"/>
      <c r="PA232" s="5" t="str">
        <f t="shared" si="769"/>
        <v>NO APLICA</v>
      </c>
      <c r="PB232" s="6"/>
      <c r="PC232" s="6"/>
      <c r="PD232" s="6"/>
      <c r="PE232" s="6"/>
      <c r="PF232" s="5" t="str">
        <f t="shared" si="756"/>
        <v>NO APLICA</v>
      </c>
      <c r="PG232" s="6"/>
      <c r="PH232" s="6"/>
      <c r="PI232" s="6"/>
      <c r="PJ232" s="6"/>
      <c r="PK232" s="5" t="str">
        <f t="shared" si="757"/>
        <v>NO APLICA</v>
      </c>
      <c r="PL232" s="5"/>
      <c r="PM232" s="6"/>
      <c r="PN232" s="4"/>
      <c r="PO232" s="8"/>
      <c r="PP232" s="5" t="str">
        <f t="shared" si="766"/>
        <v>NO APLICA</v>
      </c>
      <c r="PQ232" s="6"/>
      <c r="PR232" s="6"/>
      <c r="PS232" s="6"/>
      <c r="PT232" s="6"/>
      <c r="PU232" s="5" t="str">
        <f t="shared" si="758"/>
        <v>NO APLICA</v>
      </c>
      <c r="PV232" s="5"/>
      <c r="PW232" s="6"/>
      <c r="PX232" s="6"/>
      <c r="PY232" s="6"/>
      <c r="PZ232" s="5" t="str">
        <f t="shared" si="759"/>
        <v>NO APLICA</v>
      </c>
    </row>
    <row r="233" spans="1:442" ht="15.6" hidden="1" thickTop="1" thickBot="1" x14ac:dyDescent="0.35">
      <c r="A233" s="26">
        <v>230</v>
      </c>
      <c r="B233" s="31">
        <v>1686</v>
      </c>
      <c r="C233" s="28" t="s">
        <v>681</v>
      </c>
      <c r="D233" s="29" t="s">
        <v>64</v>
      </c>
      <c r="E233" s="30" t="s">
        <v>81</v>
      </c>
      <c r="F233" s="6"/>
      <c r="G233" s="6"/>
      <c r="H233" s="6"/>
      <c r="I233" s="6"/>
      <c r="J233" s="5" t="str">
        <f t="shared" si="696"/>
        <v>NO APLICA</v>
      </c>
      <c r="K233" s="6"/>
      <c r="L233" s="6"/>
      <c r="M233" s="6"/>
      <c r="N233" s="6"/>
      <c r="O233" s="5" t="str">
        <f t="shared" si="699"/>
        <v>NO APLICA</v>
      </c>
      <c r="P233" s="4"/>
      <c r="Q233" s="4">
        <v>45597</v>
      </c>
      <c r="R233" s="6"/>
      <c r="S233" s="6"/>
      <c r="T233" s="5" t="str">
        <f t="shared" si="697"/>
        <v>NO APLICA</v>
      </c>
      <c r="U233" s="5"/>
      <c r="V233" s="6" t="s">
        <v>682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00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39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39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39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39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1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1"/>
        <v>NO APLICA</v>
      </c>
      <c r="ER233" s="4"/>
      <c r="ES233" s="4"/>
      <c r="ET233" s="4"/>
      <c r="EU233" s="8"/>
      <c r="EV233" s="5" t="str">
        <f t="shared" si="722"/>
        <v>NO APLICA</v>
      </c>
      <c r="EW233" s="4"/>
      <c r="EX233" s="4"/>
      <c r="EY233" s="4"/>
      <c r="EZ233" s="6"/>
      <c r="FA233" s="5" t="str">
        <f t="shared" si="723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5"/>
        <v>NO APLICA</v>
      </c>
      <c r="FL233" s="4"/>
      <c r="FM233" s="39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7"/>
        <v>NO APLICA</v>
      </c>
      <c r="FV233" s="4"/>
      <c r="FW233" s="4"/>
      <c r="FX233" s="4"/>
      <c r="FY233" s="6"/>
      <c r="FZ233" s="5" t="str">
        <f t="shared" si="728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1"/>
        <v>NO APLICA</v>
      </c>
      <c r="GP233" s="4"/>
      <c r="GQ233" s="6"/>
      <c r="GR233" s="6"/>
      <c r="GS233" s="6"/>
      <c r="GT233" s="5" t="str">
        <f t="shared" si="610"/>
        <v>NO APLICA</v>
      </c>
      <c r="GU233" s="4"/>
      <c r="GV233" s="6"/>
      <c r="GW233" s="6"/>
      <c r="GX233" s="6"/>
      <c r="GY233" s="5" t="str">
        <f t="shared" si="611"/>
        <v>NO APLICA</v>
      </c>
      <c r="GZ233" s="6"/>
      <c r="HA233" s="6"/>
      <c r="HB233" s="6"/>
      <c r="HC233" s="6"/>
      <c r="HD233" s="5" t="str">
        <f t="shared" si="612"/>
        <v>NO APLICA</v>
      </c>
      <c r="HE233" s="6"/>
      <c r="HF233" s="6"/>
      <c r="HG233" s="4"/>
      <c r="HH233" s="8"/>
      <c r="HI233" s="5" t="str">
        <f t="shared" si="698"/>
        <v>NO APLICA</v>
      </c>
      <c r="HJ233" s="6"/>
      <c r="HK233" s="6"/>
      <c r="HL233" s="6"/>
      <c r="HM233" s="6"/>
      <c r="HN233" s="5" t="str">
        <f t="shared" si="694"/>
        <v>NO APLICA</v>
      </c>
      <c r="HO233" s="6"/>
      <c r="HP233" s="6"/>
      <c r="HQ233" s="6"/>
      <c r="HR233" s="6"/>
      <c r="HS233" s="5" t="str">
        <f t="shared" si="732"/>
        <v>NO APLICA</v>
      </c>
      <c r="HT233" s="6"/>
      <c r="HU233" s="6"/>
      <c r="HV233" s="6"/>
      <c r="HW233" s="6"/>
      <c r="HX233" s="5" t="str">
        <f t="shared" si="733"/>
        <v>NO APLICA</v>
      </c>
      <c r="HY233" s="6"/>
      <c r="HZ233" s="6"/>
      <c r="IA233" s="6"/>
      <c r="IB233" s="6"/>
      <c r="IC233" s="5" t="str">
        <f t="shared" si="734"/>
        <v>NO APLICA</v>
      </c>
      <c r="ID233" s="6"/>
      <c r="IE233" s="6"/>
      <c r="IF233" s="6"/>
      <c r="IG233" s="6"/>
      <c r="IH233" s="5" t="str">
        <f t="shared" si="735"/>
        <v>NO APLICA</v>
      </c>
      <c r="II233" s="6"/>
      <c r="IJ233" s="6"/>
      <c r="IK233" s="6"/>
      <c r="IL233" s="6"/>
      <c r="IM233" s="5" t="str">
        <f t="shared" si="736"/>
        <v>NO APLICA</v>
      </c>
      <c r="IN233" s="6"/>
      <c r="IO233" s="6"/>
      <c r="IP233" s="6"/>
      <c r="IQ233" s="6"/>
      <c r="IR233" s="5" t="str">
        <f t="shared" si="737"/>
        <v>NO APLICA</v>
      </c>
      <c r="IS233" s="6"/>
      <c r="IT233" s="6"/>
      <c r="IU233" s="6"/>
      <c r="IV233" s="6"/>
      <c r="IW233" s="5" t="str">
        <f t="shared" si="738"/>
        <v>NO APLICA</v>
      </c>
      <c r="IX233" s="6"/>
      <c r="IY233" s="6"/>
      <c r="IZ233" s="6"/>
      <c r="JA233" s="6"/>
      <c r="JB233" s="5" t="str">
        <f t="shared" si="739"/>
        <v>NO APLICA</v>
      </c>
      <c r="JC233" s="3" t="s">
        <v>780</v>
      </c>
      <c r="JD233" s="6"/>
      <c r="JE233" s="6"/>
      <c r="JF233" s="6"/>
      <c r="JG233" s="5"/>
      <c r="JH233" s="3" t="s">
        <v>780</v>
      </c>
      <c r="JI233" s="6"/>
      <c r="JJ233" s="6"/>
      <c r="JK233" s="6"/>
      <c r="JL233" s="5"/>
      <c r="JM233" s="6" t="s">
        <v>780</v>
      </c>
      <c r="JN233" s="6"/>
      <c r="JO233" s="6"/>
      <c r="JP233" s="6"/>
      <c r="JQ233" s="5"/>
      <c r="JR233" s="6" t="s">
        <v>780</v>
      </c>
      <c r="JS233" s="6"/>
      <c r="JT233" s="6"/>
      <c r="JU233" s="6"/>
      <c r="JV233" s="5"/>
      <c r="JW233" s="6" t="s">
        <v>780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40"/>
        <v>NO APLICA</v>
      </c>
      <c r="KG233" s="5"/>
      <c r="KH233" s="6"/>
      <c r="KI233" s="6"/>
      <c r="KJ233" s="6"/>
      <c r="KK233" s="5" t="str">
        <f t="shared" si="760"/>
        <v>NO APLICA</v>
      </c>
      <c r="KL233" s="5"/>
      <c r="KM233" s="6"/>
      <c r="KN233" s="6"/>
      <c r="KO233" s="6"/>
      <c r="KP233" s="5" t="str">
        <f t="shared" si="741"/>
        <v>NO APLICA</v>
      </c>
      <c r="KQ233" s="5"/>
      <c r="KR233" s="6"/>
      <c r="KS233" s="6"/>
      <c r="KT233" s="6"/>
      <c r="KU233" s="5" t="str">
        <f t="shared" si="761"/>
        <v>NO APLICA</v>
      </c>
      <c r="KV233" s="6"/>
      <c r="KW233" s="6"/>
      <c r="KX233" s="6"/>
      <c r="KY233" s="6"/>
      <c r="KZ233" s="5" t="str">
        <f t="shared" si="767"/>
        <v>NO APLICA</v>
      </c>
      <c r="LA233" s="5"/>
      <c r="LB233" s="6"/>
      <c r="LC233" s="6"/>
      <c r="LD233" s="6"/>
      <c r="LE233" s="5" t="str">
        <f t="shared" si="762"/>
        <v>NO APLICA</v>
      </c>
      <c r="LF233" s="6"/>
      <c r="LG233" s="6"/>
      <c r="LH233" s="6"/>
      <c r="LI233" s="6"/>
      <c r="LJ233" s="5" t="str">
        <f t="shared" si="773"/>
        <v>NO APLICA</v>
      </c>
      <c r="LK233" s="5"/>
      <c r="LL233" s="5"/>
      <c r="LM233" s="4"/>
      <c r="LN233" s="8"/>
      <c r="LO233" s="5" t="str">
        <f t="shared" si="768"/>
        <v>NO APLICA</v>
      </c>
      <c r="LP233" s="6"/>
      <c r="LQ233" s="6"/>
      <c r="LR233" s="6"/>
      <c r="LS233" s="6"/>
      <c r="LT233" s="5" t="str">
        <f t="shared" si="763"/>
        <v>NO APLICA</v>
      </c>
      <c r="LU233" s="6"/>
      <c r="LV233" s="6"/>
      <c r="LW233" s="6"/>
      <c r="LX233" s="6"/>
      <c r="LY233" s="5" t="str">
        <f t="shared" si="764"/>
        <v>NO APLICA</v>
      </c>
      <c r="LZ233" s="6"/>
      <c r="MA233" s="6"/>
      <c r="MB233" s="6"/>
      <c r="MC233" s="6"/>
      <c r="MD233" s="5" t="str">
        <f t="shared" si="765"/>
        <v>NO APLICA</v>
      </c>
      <c r="ME233" s="6"/>
      <c r="MF233" s="6"/>
      <c r="MG233" s="6"/>
      <c r="MH233" s="6"/>
      <c r="MI233" s="5" t="str">
        <f t="shared" si="742"/>
        <v>NO APLICA</v>
      </c>
      <c r="MJ233" s="6"/>
      <c r="MK233" s="6"/>
      <c r="ML233" s="6"/>
      <c r="MM233" s="6"/>
      <c r="MN233" s="5" t="str">
        <f t="shared" si="743"/>
        <v>NO APLICA</v>
      </c>
      <c r="MO233" s="5"/>
      <c r="MP233" s="6"/>
      <c r="MQ233" s="6"/>
      <c r="MR233" s="6"/>
      <c r="MS233" s="5" t="str">
        <f t="shared" si="744"/>
        <v>NO APLICA</v>
      </c>
      <c r="MT233" s="5"/>
      <c r="MU233" s="6"/>
      <c r="MV233" s="6"/>
      <c r="MW233" s="6"/>
      <c r="MX233" s="5" t="str">
        <f t="shared" si="745"/>
        <v>NO APLICA</v>
      </c>
      <c r="MY233" s="6"/>
      <c r="MZ233" s="6"/>
      <c r="NA233" s="6"/>
      <c r="NB233" s="6"/>
      <c r="NC233" s="5" t="str">
        <f t="shared" si="746"/>
        <v>NO APLICA</v>
      </c>
      <c r="ND233" s="6"/>
      <c r="NE233" s="6"/>
      <c r="NF233" s="6"/>
      <c r="NG233" s="6"/>
      <c r="NH233" s="5" t="str">
        <f t="shared" si="747"/>
        <v>NO APLICA</v>
      </c>
      <c r="NI233" s="6"/>
      <c r="NJ233" s="6"/>
      <c r="NK233" s="6"/>
      <c r="NL233" s="6"/>
      <c r="NM233" s="5" t="str">
        <f t="shared" si="748"/>
        <v>NO APLICA</v>
      </c>
      <c r="NN233" s="6"/>
      <c r="NO233" s="6"/>
      <c r="NP233" s="6"/>
      <c r="NQ233" s="6"/>
      <c r="NR233" s="5" t="str">
        <f t="shared" si="749"/>
        <v>NO APLICA</v>
      </c>
      <c r="NS233" s="6"/>
      <c r="NT233" s="6"/>
      <c r="NU233" s="6"/>
      <c r="NV233" s="6"/>
      <c r="NW233" s="5" t="str">
        <f t="shared" si="750"/>
        <v>NO APLICA</v>
      </c>
      <c r="NX233" s="6"/>
      <c r="NY233" s="6"/>
      <c r="NZ233" s="6"/>
      <c r="OA233" s="6"/>
      <c r="OB233" s="5" t="str">
        <f t="shared" si="751"/>
        <v>NO APLICA</v>
      </c>
      <c r="OC233" s="6"/>
      <c r="OD233" s="6"/>
      <c r="OE233" s="6"/>
      <c r="OF233" s="6"/>
      <c r="OG233" s="5" t="str">
        <f t="shared" si="752"/>
        <v>NO APLICA</v>
      </c>
      <c r="OH233" s="6"/>
      <c r="OI233" s="6"/>
      <c r="OJ233" s="6"/>
      <c r="OK233" s="6"/>
      <c r="OL233" s="5" t="str">
        <f t="shared" si="753"/>
        <v>NO APLICA</v>
      </c>
      <c r="OM233" s="6"/>
      <c r="ON233" s="6"/>
      <c r="OO233" s="6"/>
      <c r="OP233" s="6"/>
      <c r="OQ233" s="5" t="str">
        <f t="shared" si="754"/>
        <v>NO APLICA</v>
      </c>
      <c r="OR233" s="6"/>
      <c r="OS233" s="6"/>
      <c r="OT233" s="6"/>
      <c r="OU233" s="6"/>
      <c r="OV233" s="5" t="str">
        <f t="shared" si="755"/>
        <v>NO APLICA</v>
      </c>
      <c r="OW233" s="6"/>
      <c r="OX233" s="6"/>
      <c r="OY233" s="6"/>
      <c r="OZ233" s="6"/>
      <c r="PA233" s="5" t="str">
        <f t="shared" si="769"/>
        <v>NO APLICA</v>
      </c>
      <c r="PB233" s="6"/>
      <c r="PC233" s="6"/>
      <c r="PD233" s="6"/>
      <c r="PE233" s="6"/>
      <c r="PF233" s="5" t="str">
        <f t="shared" si="756"/>
        <v>NO APLICA</v>
      </c>
      <c r="PG233" s="6"/>
      <c r="PH233" s="6"/>
      <c r="PI233" s="6"/>
      <c r="PJ233" s="6"/>
      <c r="PK233" s="5" t="str">
        <f t="shared" si="757"/>
        <v>NO APLICA</v>
      </c>
      <c r="PL233" s="5"/>
      <c r="PM233" s="6"/>
      <c r="PN233" s="6"/>
      <c r="PO233" s="6"/>
      <c r="PP233" s="5" t="str">
        <f t="shared" si="766"/>
        <v>NO APLICA</v>
      </c>
      <c r="PQ233" s="6"/>
      <c r="PR233" s="6"/>
      <c r="PS233" s="6"/>
      <c r="PT233" s="6"/>
      <c r="PU233" s="5" t="str">
        <f t="shared" si="758"/>
        <v>NO APLICA</v>
      </c>
      <c r="PV233" s="5"/>
      <c r="PW233" s="6"/>
      <c r="PX233" s="6"/>
      <c r="PY233" s="6"/>
      <c r="PZ233" s="5" t="str">
        <f t="shared" si="759"/>
        <v>NO APLICA</v>
      </c>
    </row>
    <row r="234" spans="1:442" ht="15.6" hidden="1" thickTop="1" thickBot="1" x14ac:dyDescent="0.35">
      <c r="A234" s="26">
        <v>231</v>
      </c>
      <c r="B234" s="31">
        <v>382</v>
      </c>
      <c r="C234" s="28" t="s">
        <v>683</v>
      </c>
      <c r="D234" s="29" t="s">
        <v>667</v>
      </c>
      <c r="E234" s="30" t="s">
        <v>684</v>
      </c>
      <c r="F234" s="6"/>
      <c r="G234" s="6"/>
      <c r="H234" s="6"/>
      <c r="I234" s="6"/>
      <c r="J234" s="5" t="str">
        <f t="shared" si="696"/>
        <v>NO APLICA</v>
      </c>
      <c r="K234" s="6"/>
      <c r="L234" s="6"/>
      <c r="M234" s="6"/>
      <c r="N234" s="6"/>
      <c r="O234" s="5" t="str">
        <f t="shared" si="699"/>
        <v>NO APLICA</v>
      </c>
      <c r="P234" s="6"/>
      <c r="Q234" s="6"/>
      <c r="R234" s="6"/>
      <c r="S234" s="6"/>
      <c r="T234" s="5" t="str">
        <f t="shared" si="69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00"/>
        <v>NO APLICA</v>
      </c>
      <c r="AG234" s="4"/>
      <c r="AH234" s="4"/>
      <c r="AI234" s="4"/>
      <c r="AJ234" s="6"/>
      <c r="AK234" s="5" t="str">
        <f t="shared" si="772"/>
        <v>NO APLICA</v>
      </c>
      <c r="AL234" s="4"/>
      <c r="AM234" s="4"/>
      <c r="AN234" s="4"/>
      <c r="AO234" s="6"/>
      <c r="AP234" s="5" t="str">
        <f t="shared" si="701"/>
        <v>NO APLICA</v>
      </c>
      <c r="AQ234" s="4"/>
      <c r="AR234" s="4"/>
      <c r="AS234" s="4"/>
      <c r="AT234" s="6"/>
      <c r="AU234" s="5" t="str">
        <f t="shared" si="702"/>
        <v>NO APLICA</v>
      </c>
      <c r="AV234" s="4"/>
      <c r="AW234" s="4"/>
      <c r="AX234" s="4"/>
      <c r="AY234" s="6"/>
      <c r="AZ234" s="5" t="str">
        <f t="shared" si="703"/>
        <v>NO APLICA</v>
      </c>
      <c r="BA234" s="4"/>
      <c r="BB234" s="4"/>
      <c r="BC234" s="4"/>
      <c r="BD234" s="6"/>
      <c r="BE234" s="5" t="str">
        <f t="shared" si="704"/>
        <v>NO APLICA</v>
      </c>
      <c r="BF234" s="4"/>
      <c r="BG234" s="4"/>
      <c r="BH234" s="4"/>
      <c r="BI234" s="6"/>
      <c r="BJ234" s="5" t="str">
        <f t="shared" si="705"/>
        <v>NO APLICA</v>
      </c>
      <c r="BK234" s="4"/>
      <c r="BL234" s="4"/>
      <c r="BM234" s="4"/>
      <c r="BN234" s="6"/>
      <c r="BO234" s="5" t="str">
        <f t="shared" si="706"/>
        <v>NO APLICA</v>
      </c>
      <c r="BP234" s="4"/>
      <c r="BQ234" s="4"/>
      <c r="BR234" s="4"/>
      <c r="BS234" s="6"/>
      <c r="BT234" s="5" t="str">
        <f t="shared" si="707"/>
        <v>NO APLICA</v>
      </c>
      <c r="BU234" s="4"/>
      <c r="BV234" s="4"/>
      <c r="BW234" s="4"/>
      <c r="BX234" s="6"/>
      <c r="BY234" s="5" t="str">
        <f t="shared" si="708"/>
        <v>NO APLICA</v>
      </c>
      <c r="BZ234" s="4"/>
      <c r="CA234" s="4"/>
      <c r="CB234" s="4"/>
      <c r="CC234" s="6"/>
      <c r="CD234" s="5" t="str">
        <f t="shared" si="709"/>
        <v>NO APLICA</v>
      </c>
      <c r="CE234" s="6"/>
      <c r="CF234" s="6"/>
      <c r="CG234" s="6"/>
      <c r="CH234" s="6"/>
      <c r="CI234" s="5" t="str">
        <f t="shared" si="770"/>
        <v>NO APLICA</v>
      </c>
      <c r="CJ234" s="4"/>
      <c r="CK234" s="4"/>
      <c r="CL234" s="4"/>
      <c r="CM234" s="6"/>
      <c r="CN234" s="5" t="str">
        <f t="shared" si="710"/>
        <v>NO APLICA</v>
      </c>
      <c r="CO234" s="4"/>
      <c r="CP234" s="4"/>
      <c r="CQ234" s="4"/>
      <c r="CR234" s="6"/>
      <c r="CS234" s="5" t="str">
        <f t="shared" si="711"/>
        <v>NO APLICA</v>
      </c>
      <c r="CT234" s="4"/>
      <c r="CU234" s="4"/>
      <c r="CV234" s="4"/>
      <c r="CW234" s="6"/>
      <c r="CX234" s="5" t="str">
        <f t="shared" si="712"/>
        <v>NO APLICA</v>
      </c>
      <c r="CY234" s="4"/>
      <c r="CZ234" s="4"/>
      <c r="DA234" s="4"/>
      <c r="DB234" s="6"/>
      <c r="DC234" s="5" t="str">
        <f t="shared" si="713"/>
        <v>NO APLICA</v>
      </c>
      <c r="DD234" s="4"/>
      <c r="DE234" s="4"/>
      <c r="DF234" s="4"/>
      <c r="DG234" s="6"/>
      <c r="DH234" s="5" t="str">
        <f t="shared" si="714"/>
        <v>NO APLICA</v>
      </c>
      <c r="DI234" s="4"/>
      <c r="DJ234" s="4"/>
      <c r="DK234" s="4"/>
      <c r="DL234" s="6"/>
      <c r="DM234" s="5" t="str">
        <f t="shared" si="715"/>
        <v>NO APLICA</v>
      </c>
      <c r="DN234" s="4"/>
      <c r="DO234" s="4"/>
      <c r="DP234" s="4"/>
      <c r="DQ234" s="6"/>
      <c r="DR234" s="5" t="str">
        <f t="shared" si="716"/>
        <v>NO APLICA</v>
      </c>
      <c r="DS234" s="4"/>
      <c r="DT234" s="4"/>
      <c r="DU234" s="4"/>
      <c r="DV234" s="6"/>
      <c r="DW234" s="5" t="str">
        <f t="shared" si="717"/>
        <v>NO APLICA</v>
      </c>
      <c r="DX234" s="4"/>
      <c r="DY234" s="4"/>
      <c r="DZ234" s="4"/>
      <c r="EA234" s="6"/>
      <c r="EB234" s="5" t="str">
        <f t="shared" si="718"/>
        <v>NO APLICA</v>
      </c>
      <c r="EC234" s="4"/>
      <c r="ED234" s="4"/>
      <c r="EE234" s="4"/>
      <c r="EF234" s="6"/>
      <c r="EG234" s="5" t="str">
        <f t="shared" si="719"/>
        <v>NO APLICA</v>
      </c>
      <c r="EH234" s="4"/>
      <c r="EI234" s="4"/>
      <c r="EJ234" s="4"/>
      <c r="EK234" s="8"/>
      <c r="EL234" s="5" t="str">
        <f t="shared" si="720"/>
        <v>NO APLICA</v>
      </c>
      <c r="EM234" s="4"/>
      <c r="EN234" s="4"/>
      <c r="EO234" s="4"/>
      <c r="EP234" s="8"/>
      <c r="EQ234" s="5" t="str">
        <f t="shared" si="721"/>
        <v>NO APLICA</v>
      </c>
      <c r="ER234" s="4"/>
      <c r="ES234" s="4"/>
      <c r="ET234" s="4"/>
      <c r="EU234" s="8"/>
      <c r="EV234" s="5" t="str">
        <f t="shared" si="722"/>
        <v>NO APLICA</v>
      </c>
      <c r="EW234" s="4"/>
      <c r="EX234" s="4"/>
      <c r="EY234" s="4"/>
      <c r="EZ234" s="6"/>
      <c r="FA234" s="5" t="str">
        <f t="shared" si="723"/>
        <v>NO APLICA</v>
      </c>
      <c r="FB234" s="4"/>
      <c r="FC234" s="4"/>
      <c r="FD234" s="4"/>
      <c r="FE234" s="6"/>
      <c r="FF234" s="5" t="str">
        <f t="shared" si="724"/>
        <v>NO APLICA</v>
      </c>
      <c r="FG234" s="4"/>
      <c r="FH234" s="4"/>
      <c r="FI234" s="4"/>
      <c r="FJ234" s="6"/>
      <c r="FK234" s="5" t="str">
        <f t="shared" si="725"/>
        <v>NO APLICA</v>
      </c>
      <c r="FL234" s="4"/>
      <c r="FM234" s="4"/>
      <c r="FN234" s="4"/>
      <c r="FO234" s="6"/>
      <c r="FP234" s="5" t="str">
        <f t="shared" si="726"/>
        <v>NO APLICA</v>
      </c>
      <c r="FQ234" s="4"/>
      <c r="FR234" s="4"/>
      <c r="FS234" s="4"/>
      <c r="FT234" s="6"/>
      <c r="FU234" s="5" t="str">
        <f t="shared" si="727"/>
        <v>NO APLICA</v>
      </c>
      <c r="FV234" s="4"/>
      <c r="FW234" s="4"/>
      <c r="FX234" s="4"/>
      <c r="FY234" s="6"/>
      <c r="FZ234" s="5" t="str">
        <f t="shared" si="728"/>
        <v>NO APLICA</v>
      </c>
      <c r="GA234" s="4"/>
      <c r="GB234" s="4"/>
      <c r="GC234" s="4"/>
      <c r="GD234" s="6"/>
      <c r="GE234" s="5" t="str">
        <f t="shared" si="729"/>
        <v>NO APLICA</v>
      </c>
      <c r="GF234" s="4"/>
      <c r="GG234" s="4"/>
      <c r="GH234" s="4"/>
      <c r="GI234" s="8"/>
      <c r="GJ234" s="5" t="str">
        <f t="shared" si="730"/>
        <v>NO APLICA</v>
      </c>
      <c r="GK234" s="4"/>
      <c r="GL234" s="6"/>
      <c r="GM234" s="6"/>
      <c r="GN234" s="6"/>
      <c r="GO234" s="5" t="str">
        <f t="shared" si="731"/>
        <v>NO APLICA</v>
      </c>
      <c r="GP234" s="4"/>
      <c r="GQ234" s="6"/>
      <c r="GR234" s="6"/>
      <c r="GS234" s="6"/>
      <c r="GT234" s="5" t="str">
        <f t="shared" si="610"/>
        <v>NO APLICA</v>
      </c>
      <c r="GU234" s="4"/>
      <c r="GV234" s="6"/>
      <c r="GW234" s="6"/>
      <c r="GX234" s="6"/>
      <c r="GY234" s="5" t="str">
        <f t="shared" si="611"/>
        <v>NO APLICA</v>
      </c>
      <c r="GZ234" s="6"/>
      <c r="HA234" s="6"/>
      <c r="HB234" s="6"/>
      <c r="HC234" s="6"/>
      <c r="HD234" s="5" t="str">
        <f t="shared" si="612"/>
        <v>NO APLICA</v>
      </c>
      <c r="HE234" s="6"/>
      <c r="HF234" s="6"/>
      <c r="HG234" s="4"/>
      <c r="HH234" s="8"/>
      <c r="HI234" s="5" t="str">
        <f t="shared" si="698"/>
        <v>NO APLICA</v>
      </c>
      <c r="HJ234" s="6"/>
      <c r="HK234" s="6"/>
      <c r="HL234" s="6"/>
      <c r="HM234" s="6"/>
      <c r="HN234" s="5" t="str">
        <f t="shared" si="694"/>
        <v>NO APLICA</v>
      </c>
      <c r="HO234" s="6"/>
      <c r="HP234" s="6"/>
      <c r="HQ234" s="6"/>
      <c r="HR234" s="6"/>
      <c r="HS234" s="5" t="str">
        <f t="shared" si="732"/>
        <v>NO APLICA</v>
      </c>
      <c r="HT234" s="6"/>
      <c r="HU234" s="6"/>
      <c r="HV234" s="6"/>
      <c r="HW234" s="6"/>
      <c r="HX234" s="5" t="str">
        <f t="shared" si="733"/>
        <v>NO APLICA</v>
      </c>
      <c r="HY234" s="6"/>
      <c r="HZ234" s="6"/>
      <c r="IA234" s="6"/>
      <c r="IB234" s="6"/>
      <c r="IC234" s="5" t="str">
        <f t="shared" si="734"/>
        <v>NO APLICA</v>
      </c>
      <c r="ID234" s="6"/>
      <c r="IE234" s="6"/>
      <c r="IF234" s="6"/>
      <c r="IG234" s="6"/>
      <c r="IH234" s="5" t="str">
        <f t="shared" si="735"/>
        <v>NO APLICA</v>
      </c>
      <c r="II234" s="6"/>
      <c r="IJ234" s="6"/>
      <c r="IK234" s="6"/>
      <c r="IL234" s="6"/>
      <c r="IM234" s="5" t="str">
        <f t="shared" si="736"/>
        <v>NO APLICA</v>
      </c>
      <c r="IN234" s="6"/>
      <c r="IO234" s="6"/>
      <c r="IP234" s="6"/>
      <c r="IQ234" s="6"/>
      <c r="IR234" s="5" t="str">
        <f t="shared" si="737"/>
        <v>NO APLICA</v>
      </c>
      <c r="IS234" s="6"/>
      <c r="IT234" s="6"/>
      <c r="IU234" s="6"/>
      <c r="IV234" s="6"/>
      <c r="IW234" s="5" t="str">
        <f t="shared" si="738"/>
        <v>NO APLICA</v>
      </c>
      <c r="IX234" s="6"/>
      <c r="IY234" s="6"/>
      <c r="IZ234" s="6"/>
      <c r="JA234" s="6"/>
      <c r="JB234" s="5" t="str">
        <f t="shared" si="739"/>
        <v>NO APLICA</v>
      </c>
      <c r="JC234" s="3" t="s">
        <v>780</v>
      </c>
      <c r="JD234" s="10"/>
      <c r="JE234" s="4"/>
      <c r="JF234" s="8"/>
      <c r="JG234" s="5"/>
      <c r="JH234" s="3" t="s">
        <v>780</v>
      </c>
      <c r="JI234" s="10"/>
      <c r="JJ234" s="4"/>
      <c r="JK234" s="8"/>
      <c r="JL234" s="5"/>
      <c r="JM234" s="6" t="s">
        <v>780</v>
      </c>
      <c r="JN234" s="6"/>
      <c r="JO234" s="6"/>
      <c r="JP234" s="6"/>
      <c r="JQ234" s="5"/>
      <c r="JR234" s="6" t="s">
        <v>780</v>
      </c>
      <c r="JS234" s="10"/>
      <c r="JT234" s="4"/>
      <c r="JU234" s="8"/>
      <c r="JV234" s="5"/>
      <c r="JW234" s="6" t="s">
        <v>780</v>
      </c>
      <c r="JX234" s="25"/>
      <c r="JY234" s="4"/>
      <c r="JZ234" s="8"/>
      <c r="KA234" s="5"/>
      <c r="KB234" s="5"/>
      <c r="KC234" s="6"/>
      <c r="KD234" s="6"/>
      <c r="KE234" s="6"/>
      <c r="KF234" s="5" t="str">
        <f t="shared" si="740"/>
        <v>NO APLICA</v>
      </c>
      <c r="KG234" s="5"/>
      <c r="KH234" s="6"/>
      <c r="KI234" s="6"/>
      <c r="KJ234" s="6"/>
      <c r="KK234" s="5" t="str">
        <f t="shared" si="760"/>
        <v>NO APLICA</v>
      </c>
      <c r="KL234" s="5"/>
      <c r="KM234" s="6"/>
      <c r="KN234" s="6"/>
      <c r="KO234" s="6"/>
      <c r="KP234" s="5" t="str">
        <f t="shared" si="741"/>
        <v>NO APLICA</v>
      </c>
      <c r="KQ234" s="5"/>
      <c r="KR234" s="6"/>
      <c r="KS234" s="6"/>
      <c r="KT234" s="6"/>
      <c r="KU234" s="5" t="str">
        <f t="shared" si="761"/>
        <v>NO APLICA</v>
      </c>
      <c r="KV234" s="6"/>
      <c r="KW234" s="6"/>
      <c r="KX234" s="6"/>
      <c r="KY234" s="6"/>
      <c r="KZ234" s="5" t="str">
        <f t="shared" si="767"/>
        <v>NO APLICA</v>
      </c>
      <c r="LA234" s="5"/>
      <c r="LB234" s="6"/>
      <c r="LC234" s="6"/>
      <c r="LD234" s="6"/>
      <c r="LE234" s="5" t="str">
        <f t="shared" si="762"/>
        <v>NO APLICA</v>
      </c>
      <c r="LF234" s="6"/>
      <c r="LG234" s="6"/>
      <c r="LH234" s="6"/>
      <c r="LI234" s="6"/>
      <c r="LJ234" s="5" t="str">
        <f t="shared" si="773"/>
        <v>NO APLICA</v>
      </c>
      <c r="LK234" s="5"/>
      <c r="LL234" s="5"/>
      <c r="LM234" s="4"/>
      <c r="LN234" s="8"/>
      <c r="LO234" s="5" t="str">
        <f t="shared" si="768"/>
        <v>NO APLICA</v>
      </c>
      <c r="LP234" s="6"/>
      <c r="LQ234" s="6"/>
      <c r="LR234" s="6"/>
      <c r="LS234" s="6"/>
      <c r="LT234" s="5" t="str">
        <f t="shared" si="763"/>
        <v>NO APLICA</v>
      </c>
      <c r="LU234" s="6"/>
      <c r="LV234" s="6"/>
      <c r="LW234" s="6"/>
      <c r="LX234" s="6"/>
      <c r="LY234" s="5" t="str">
        <f t="shared" si="764"/>
        <v>NO APLICA</v>
      </c>
      <c r="LZ234" s="6"/>
      <c r="MA234" s="6"/>
      <c r="MB234" s="6"/>
      <c r="MC234" s="6"/>
      <c r="MD234" s="5" t="str">
        <f t="shared" si="765"/>
        <v>NO APLICA</v>
      </c>
      <c r="ME234" s="6"/>
      <c r="MF234" s="6"/>
      <c r="MG234" s="6"/>
      <c r="MH234" s="6"/>
      <c r="MI234" s="5" t="str">
        <f t="shared" si="742"/>
        <v>NO APLICA</v>
      </c>
      <c r="MJ234" s="6"/>
      <c r="MK234" s="6"/>
      <c r="ML234" s="6"/>
      <c r="MM234" s="6"/>
      <c r="MN234" s="5" t="str">
        <f t="shared" si="743"/>
        <v>NO APLICA</v>
      </c>
      <c r="MO234" s="5"/>
      <c r="MP234" s="6"/>
      <c r="MQ234" s="6"/>
      <c r="MR234" s="6"/>
      <c r="MS234" s="5" t="str">
        <f t="shared" si="744"/>
        <v>NO APLICA</v>
      </c>
      <c r="MT234" s="5"/>
      <c r="MU234" s="6"/>
      <c r="MV234" s="6"/>
      <c r="MW234" s="6"/>
      <c r="MX234" s="5" t="str">
        <f t="shared" si="745"/>
        <v>NO APLICA</v>
      </c>
      <c r="MY234" s="6"/>
      <c r="MZ234" s="6"/>
      <c r="NA234" s="6"/>
      <c r="NB234" s="6"/>
      <c r="NC234" s="5" t="str">
        <f t="shared" si="746"/>
        <v>NO APLICA</v>
      </c>
      <c r="ND234" s="6"/>
      <c r="NE234" s="6"/>
      <c r="NF234" s="6"/>
      <c r="NG234" s="6"/>
      <c r="NH234" s="5" t="str">
        <f t="shared" si="747"/>
        <v>NO APLICA</v>
      </c>
      <c r="NI234" s="6"/>
      <c r="NJ234" s="6"/>
      <c r="NK234" s="6"/>
      <c r="NL234" s="6"/>
      <c r="NM234" s="5" t="str">
        <f t="shared" si="748"/>
        <v>NO APLICA</v>
      </c>
      <c r="NN234" s="6"/>
      <c r="NO234" s="6"/>
      <c r="NP234" s="6"/>
      <c r="NQ234" s="6"/>
      <c r="NR234" s="5" t="str">
        <f t="shared" si="749"/>
        <v>NO APLICA</v>
      </c>
      <c r="NS234" s="6"/>
      <c r="NT234" s="6"/>
      <c r="NU234" s="6"/>
      <c r="NV234" s="6"/>
      <c r="NW234" s="5" t="str">
        <f t="shared" si="750"/>
        <v>NO APLICA</v>
      </c>
      <c r="NX234" s="6"/>
      <c r="NY234" s="6"/>
      <c r="NZ234" s="6"/>
      <c r="OA234" s="6"/>
      <c r="OB234" s="5" t="str">
        <f t="shared" si="751"/>
        <v>NO APLICA</v>
      </c>
      <c r="OC234" s="6"/>
      <c r="OD234" s="6"/>
      <c r="OE234" s="6"/>
      <c r="OF234" s="6"/>
      <c r="OG234" s="5" t="str">
        <f t="shared" si="752"/>
        <v>NO APLICA</v>
      </c>
      <c r="OH234" s="6"/>
      <c r="OI234" s="6"/>
      <c r="OJ234" s="6"/>
      <c r="OK234" s="6"/>
      <c r="OL234" s="5" t="str">
        <f t="shared" si="753"/>
        <v>NO APLICA</v>
      </c>
      <c r="OM234" s="6"/>
      <c r="ON234" s="6"/>
      <c r="OO234" s="6"/>
      <c r="OP234" s="6"/>
      <c r="OQ234" s="5" t="str">
        <f t="shared" si="754"/>
        <v>NO APLICA</v>
      </c>
      <c r="OR234" s="6"/>
      <c r="OS234" s="6"/>
      <c r="OT234" s="6"/>
      <c r="OU234" s="6"/>
      <c r="OV234" s="5" t="str">
        <f t="shared" si="755"/>
        <v>NO APLICA</v>
      </c>
      <c r="OW234" s="6"/>
      <c r="OX234" s="6"/>
      <c r="OY234" s="6"/>
      <c r="OZ234" s="6"/>
      <c r="PA234" s="5" t="str">
        <f t="shared" si="769"/>
        <v>NO APLICA</v>
      </c>
      <c r="PB234" s="6"/>
      <c r="PC234" s="6"/>
      <c r="PD234" s="6"/>
      <c r="PE234" s="6"/>
      <c r="PF234" s="5" t="str">
        <f t="shared" si="756"/>
        <v>NO APLICA</v>
      </c>
      <c r="PG234" s="6"/>
      <c r="PH234" s="6"/>
      <c r="PI234" s="6"/>
      <c r="PJ234" s="6"/>
      <c r="PK234" s="5" t="str">
        <f t="shared" si="757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8"/>
        <v>NO APLICA</v>
      </c>
      <c r="PV234" s="5"/>
      <c r="PW234" s="6"/>
      <c r="PX234" s="6"/>
      <c r="PY234" s="6"/>
      <c r="PZ234" s="5" t="str">
        <f t="shared" si="759"/>
        <v>NO APLICA</v>
      </c>
    </row>
    <row r="235" spans="1:442" ht="15.6" hidden="1" thickTop="1" thickBot="1" x14ac:dyDescent="0.35">
      <c r="A235" s="26">
        <v>232</v>
      </c>
      <c r="B235" s="27">
        <v>1575</v>
      </c>
      <c r="C235" s="28" t="s">
        <v>685</v>
      </c>
      <c r="D235" s="29" t="s">
        <v>609</v>
      </c>
      <c r="E235" s="30" t="s">
        <v>778</v>
      </c>
      <c r="F235" s="6"/>
      <c r="G235" s="6"/>
      <c r="H235" s="6"/>
      <c r="I235" s="6"/>
      <c r="J235" s="5" t="str">
        <f t="shared" si="696"/>
        <v>NO APLICA</v>
      </c>
      <c r="K235" s="6"/>
      <c r="L235" s="6"/>
      <c r="M235" s="6"/>
      <c r="N235" s="6"/>
      <c r="O235" s="5" t="str">
        <f t="shared" si="699"/>
        <v>NO APLICA</v>
      </c>
      <c r="P235" s="6"/>
      <c r="Q235" s="6"/>
      <c r="R235" s="6"/>
      <c r="S235" s="6"/>
      <c r="T235" s="5" t="str">
        <f t="shared" si="69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00"/>
        <v>NO APLICA</v>
      </c>
      <c r="AG235" s="4"/>
      <c r="AH235" s="4"/>
      <c r="AI235" s="4"/>
      <c r="AJ235" s="6"/>
      <c r="AK235" s="5" t="str">
        <f t="shared" si="772"/>
        <v>NO APLICA</v>
      </c>
      <c r="AL235" s="4"/>
      <c r="AM235" s="4"/>
      <c r="AN235" s="4"/>
      <c r="AO235" s="8"/>
      <c r="AP235" s="5" t="str">
        <f t="shared" si="701"/>
        <v>NO APLICA</v>
      </c>
      <c r="AQ235" s="4"/>
      <c r="AR235" s="4"/>
      <c r="AS235" s="4"/>
      <c r="AT235" s="8"/>
      <c r="AU235" s="5" t="str">
        <f t="shared" si="702"/>
        <v>NO APLICA</v>
      </c>
      <c r="AV235" s="4"/>
      <c r="AW235" s="4"/>
      <c r="AX235" s="4"/>
      <c r="AY235" s="8"/>
      <c r="AZ235" s="5" t="str">
        <f t="shared" si="703"/>
        <v>NO APLICA</v>
      </c>
      <c r="BA235" s="4"/>
      <c r="BB235" s="4"/>
      <c r="BC235" s="4"/>
      <c r="BD235" s="8"/>
      <c r="BE235" s="5" t="str">
        <f t="shared" si="704"/>
        <v>NO APLICA</v>
      </c>
      <c r="BF235" s="4"/>
      <c r="BG235" s="4"/>
      <c r="BH235" s="4"/>
      <c r="BI235" s="8"/>
      <c r="BJ235" s="5" t="str">
        <f t="shared" si="705"/>
        <v>NO APLICA</v>
      </c>
      <c r="BK235" s="4"/>
      <c r="BL235" s="4"/>
      <c r="BM235" s="4"/>
      <c r="BN235" s="8"/>
      <c r="BO235" s="5" t="str">
        <f t="shared" si="706"/>
        <v>NO APLICA</v>
      </c>
      <c r="BP235" s="4"/>
      <c r="BQ235" s="4"/>
      <c r="BR235" s="4"/>
      <c r="BS235" s="8"/>
      <c r="BT235" s="5" t="str">
        <f t="shared" si="707"/>
        <v>NO APLICA</v>
      </c>
      <c r="BU235" s="4"/>
      <c r="BV235" s="4"/>
      <c r="BW235" s="4"/>
      <c r="BX235" s="8"/>
      <c r="BY235" s="5" t="str">
        <f t="shared" si="708"/>
        <v>NO APLICA</v>
      </c>
      <c r="BZ235" s="4"/>
      <c r="CA235" s="4"/>
      <c r="CB235" s="4"/>
      <c r="CC235" s="8"/>
      <c r="CD235" s="5" t="str">
        <f t="shared" si="709"/>
        <v>NO APLICA</v>
      </c>
      <c r="CE235" s="2"/>
      <c r="CF235" s="2"/>
      <c r="CG235" s="2"/>
      <c r="CH235" s="2"/>
      <c r="CI235" s="5" t="str">
        <f t="shared" si="770"/>
        <v>NO APLICA</v>
      </c>
      <c r="CJ235" s="4"/>
      <c r="CK235" s="4"/>
      <c r="CL235" s="4"/>
      <c r="CM235" s="8"/>
      <c r="CN235" s="5" t="str">
        <f t="shared" si="710"/>
        <v>NO APLICA</v>
      </c>
      <c r="CO235" s="4"/>
      <c r="CP235" s="4"/>
      <c r="CQ235" s="4"/>
      <c r="CR235" s="8"/>
      <c r="CS235" s="5" t="str">
        <f t="shared" si="711"/>
        <v>NO APLICA</v>
      </c>
      <c r="CT235" s="4"/>
      <c r="CU235" s="4"/>
      <c r="CV235" s="4"/>
      <c r="CW235" s="8"/>
      <c r="CX235" s="5" t="str">
        <f t="shared" si="712"/>
        <v>NO APLICA</v>
      </c>
      <c r="CY235" s="4"/>
      <c r="CZ235" s="4"/>
      <c r="DA235" s="4"/>
      <c r="DB235" s="8"/>
      <c r="DC235" s="5" t="str">
        <f t="shared" si="713"/>
        <v>NO APLICA</v>
      </c>
      <c r="DD235" s="4"/>
      <c r="DE235" s="4"/>
      <c r="DF235" s="4"/>
      <c r="DG235" s="8"/>
      <c r="DH235" s="5" t="str">
        <f t="shared" si="714"/>
        <v>NO APLICA</v>
      </c>
      <c r="DI235" s="4"/>
      <c r="DJ235" s="4"/>
      <c r="DK235" s="4"/>
      <c r="DL235" s="8"/>
      <c r="DM235" s="5" t="str">
        <f t="shared" si="715"/>
        <v>NO APLICA</v>
      </c>
      <c r="DN235" s="4"/>
      <c r="DO235" s="4"/>
      <c r="DP235" s="4"/>
      <c r="DQ235" s="8"/>
      <c r="DR235" s="5" t="str">
        <f t="shared" si="716"/>
        <v>NO APLICA</v>
      </c>
      <c r="DS235" s="4"/>
      <c r="DT235" s="4"/>
      <c r="DU235" s="4"/>
      <c r="DV235" s="8"/>
      <c r="DW235" s="5" t="str">
        <f t="shared" si="717"/>
        <v>NO APLICA</v>
      </c>
      <c r="DX235" s="4"/>
      <c r="DY235" s="4"/>
      <c r="DZ235" s="4"/>
      <c r="EA235" s="8"/>
      <c r="EB235" s="5" t="str">
        <f t="shared" si="718"/>
        <v>NO APLICA</v>
      </c>
      <c r="EC235" s="4"/>
      <c r="ED235" s="4"/>
      <c r="EE235" s="4"/>
      <c r="EF235" s="8"/>
      <c r="EG235" s="5" t="str">
        <f t="shared" si="719"/>
        <v>NO APLICA</v>
      </c>
      <c r="EH235" s="4"/>
      <c r="EI235" s="4"/>
      <c r="EJ235" s="4"/>
      <c r="EK235" s="8"/>
      <c r="EL235" s="5" t="str">
        <f t="shared" si="720"/>
        <v>NO APLICA</v>
      </c>
      <c r="EM235" s="4"/>
      <c r="EN235" s="6"/>
      <c r="EO235" s="4"/>
      <c r="EP235" s="8"/>
      <c r="EQ235" s="5" t="str">
        <f t="shared" si="721"/>
        <v>NO APLICA</v>
      </c>
      <c r="ER235" s="4"/>
      <c r="ES235" s="4"/>
      <c r="ET235" s="4"/>
      <c r="EU235" s="8"/>
      <c r="EV235" s="5" t="str">
        <f t="shared" si="722"/>
        <v>NO APLICA</v>
      </c>
      <c r="EW235" s="4"/>
      <c r="EX235" s="4"/>
      <c r="EY235" s="4"/>
      <c r="EZ235" s="8"/>
      <c r="FA235" s="5" t="str">
        <f t="shared" si="723"/>
        <v>NO APLICA</v>
      </c>
      <c r="FB235" s="4"/>
      <c r="FC235" s="4"/>
      <c r="FD235" s="4"/>
      <c r="FE235" s="8"/>
      <c r="FF235" s="5" t="str">
        <f t="shared" si="724"/>
        <v>NO APLICA</v>
      </c>
      <c r="FG235" s="4"/>
      <c r="FH235" s="4"/>
      <c r="FI235" s="4"/>
      <c r="FJ235" s="8"/>
      <c r="FK235" s="5" t="str">
        <f t="shared" si="725"/>
        <v>NO APLICA</v>
      </c>
      <c r="FL235" s="4"/>
      <c r="FM235" s="4"/>
      <c r="FN235" s="4"/>
      <c r="FO235" s="8"/>
      <c r="FP235" s="5" t="str">
        <f t="shared" si="726"/>
        <v>NO APLICA</v>
      </c>
      <c r="FQ235" s="4"/>
      <c r="FR235" s="4"/>
      <c r="FS235" s="4"/>
      <c r="FT235" s="8"/>
      <c r="FU235" s="5" t="str">
        <f t="shared" si="727"/>
        <v>NO APLICA</v>
      </c>
      <c r="FV235" s="4"/>
      <c r="FW235" s="4"/>
      <c r="FX235" s="4"/>
      <c r="FY235" s="8"/>
      <c r="FZ235" s="5" t="str">
        <f t="shared" si="728"/>
        <v>NO APLICA</v>
      </c>
      <c r="GA235" s="4"/>
      <c r="GB235" s="4"/>
      <c r="GC235" s="4"/>
      <c r="GD235" s="8"/>
      <c r="GE235" s="5" t="str">
        <f t="shared" si="729"/>
        <v>NO APLICA</v>
      </c>
      <c r="GF235" s="4"/>
      <c r="GG235" s="4"/>
      <c r="GH235" s="4"/>
      <c r="GI235" s="8"/>
      <c r="GJ235" s="5" t="str">
        <f t="shared" si="730"/>
        <v>NO APLICA</v>
      </c>
      <c r="GK235" s="4"/>
      <c r="GL235" s="6"/>
      <c r="GM235" s="4"/>
      <c r="GN235" s="8"/>
      <c r="GO235" s="5" t="str">
        <f t="shared" si="731"/>
        <v>NO APLICA</v>
      </c>
      <c r="GP235" s="4"/>
      <c r="GQ235" s="6"/>
      <c r="GR235" s="4"/>
      <c r="GS235" s="8"/>
      <c r="GT235" s="5" t="str">
        <f t="shared" si="610"/>
        <v>NO APLICA</v>
      </c>
      <c r="GU235" s="4"/>
      <c r="GV235" s="6"/>
      <c r="GW235" s="4"/>
      <c r="GX235" s="8"/>
      <c r="GY235" s="5" t="str">
        <f t="shared" si="611"/>
        <v>NO APLICA</v>
      </c>
      <c r="GZ235" s="6"/>
      <c r="HA235" s="6"/>
      <c r="HB235" s="4"/>
      <c r="HC235" s="8"/>
      <c r="HD235" s="5" t="str">
        <f t="shared" si="612"/>
        <v>NO APLICA</v>
      </c>
      <c r="HE235" s="6"/>
      <c r="HF235" s="6"/>
      <c r="HG235" s="4"/>
      <c r="HH235" s="8"/>
      <c r="HI235" s="5" t="str">
        <f t="shared" si="698"/>
        <v>NO APLICA</v>
      </c>
      <c r="HJ235" s="6"/>
      <c r="HK235" s="6"/>
      <c r="HL235" s="6"/>
      <c r="HM235" s="6"/>
      <c r="HN235" s="5" t="str">
        <f t="shared" si="694"/>
        <v>NO APLICA</v>
      </c>
      <c r="HO235" s="6"/>
      <c r="HP235" s="6"/>
      <c r="HQ235" s="6"/>
      <c r="HR235" s="6"/>
      <c r="HS235" s="5" t="str">
        <f t="shared" si="732"/>
        <v>NO APLICA</v>
      </c>
      <c r="HT235" s="6"/>
      <c r="HU235" s="6"/>
      <c r="HV235" s="6"/>
      <c r="HW235" s="6"/>
      <c r="HX235" s="5" t="str">
        <f t="shared" si="733"/>
        <v>NO APLICA</v>
      </c>
      <c r="HY235" s="6"/>
      <c r="HZ235" s="6"/>
      <c r="IA235" s="6"/>
      <c r="IB235" s="6"/>
      <c r="IC235" s="5" t="str">
        <f t="shared" si="734"/>
        <v>NO APLICA</v>
      </c>
      <c r="ID235" s="6"/>
      <c r="IE235" s="6"/>
      <c r="IF235" s="6"/>
      <c r="IG235" s="6"/>
      <c r="IH235" s="5" t="str">
        <f t="shared" si="735"/>
        <v>NO APLICA</v>
      </c>
      <c r="II235" s="6"/>
      <c r="IJ235" s="6"/>
      <c r="IK235" s="6"/>
      <c r="IL235" s="6"/>
      <c r="IM235" s="5" t="str">
        <f t="shared" si="736"/>
        <v>NO APLICA</v>
      </c>
      <c r="IN235" s="6"/>
      <c r="IO235" s="6"/>
      <c r="IP235" s="6"/>
      <c r="IQ235" s="6"/>
      <c r="IR235" s="5" t="str">
        <f t="shared" si="737"/>
        <v>NO APLICA</v>
      </c>
      <c r="IS235" s="6"/>
      <c r="IT235" s="6"/>
      <c r="IU235" s="6"/>
      <c r="IV235" s="6"/>
      <c r="IW235" s="5" t="str">
        <f t="shared" si="738"/>
        <v>NO APLICA</v>
      </c>
      <c r="IX235" s="6"/>
      <c r="IY235" s="6"/>
      <c r="IZ235" s="6"/>
      <c r="JA235" s="6"/>
      <c r="JB235" s="5" t="str">
        <f t="shared" si="739"/>
        <v>NO APLICA</v>
      </c>
      <c r="JC235" s="3" t="s">
        <v>780</v>
      </c>
      <c r="JD235" s="6"/>
      <c r="JE235" s="6"/>
      <c r="JF235" s="6"/>
      <c r="JG235" s="5"/>
      <c r="JH235" s="3" t="s">
        <v>780</v>
      </c>
      <c r="JI235" s="6"/>
      <c r="JJ235" s="6"/>
      <c r="JK235" s="6"/>
      <c r="JL235" s="5"/>
      <c r="JM235" s="6" t="s">
        <v>780</v>
      </c>
      <c r="JN235" s="6"/>
      <c r="JO235" s="6"/>
      <c r="JP235" s="6"/>
      <c r="JQ235" s="5"/>
      <c r="JR235" s="6" t="s">
        <v>780</v>
      </c>
      <c r="JS235" s="6"/>
      <c r="JT235" s="6"/>
      <c r="JU235" s="6"/>
      <c r="JV235" s="5"/>
      <c r="JW235" s="6" t="s">
        <v>780</v>
      </c>
      <c r="JX235" s="3"/>
      <c r="JY235" s="4"/>
      <c r="JZ235" s="8"/>
      <c r="KA235" s="38"/>
      <c r="KB235" s="5"/>
      <c r="KC235" s="6"/>
      <c r="KD235" s="6"/>
      <c r="KE235" s="6"/>
      <c r="KF235" s="5" t="str">
        <f t="shared" si="740"/>
        <v>NO APLICA</v>
      </c>
      <c r="KG235" s="5"/>
      <c r="KH235" s="6"/>
      <c r="KI235" s="6"/>
      <c r="KJ235" s="6"/>
      <c r="KK235" s="5" t="str">
        <f t="shared" si="760"/>
        <v>NO APLICA</v>
      </c>
      <c r="KL235" s="5"/>
      <c r="KM235" s="6"/>
      <c r="KN235" s="6"/>
      <c r="KO235" s="6"/>
      <c r="KP235" s="5" t="str">
        <f t="shared" si="741"/>
        <v>NO APLICA</v>
      </c>
      <c r="KQ235" s="5"/>
      <c r="KR235" s="2"/>
      <c r="KS235" s="2"/>
      <c r="KT235" s="2"/>
      <c r="KU235" s="5" t="str">
        <f t="shared" si="761"/>
        <v>NO APLICA</v>
      </c>
      <c r="KV235" s="6"/>
      <c r="KW235" s="6"/>
      <c r="KX235" s="6"/>
      <c r="KY235" s="6"/>
      <c r="KZ235" s="5" t="str">
        <f t="shared" si="767"/>
        <v>NO APLICA</v>
      </c>
      <c r="LA235" s="5"/>
      <c r="LB235" s="6"/>
      <c r="LC235" s="6"/>
      <c r="LD235" s="6"/>
      <c r="LE235" s="5" t="str">
        <f t="shared" si="762"/>
        <v>NO APLICA</v>
      </c>
      <c r="LF235" s="2"/>
      <c r="LG235" s="6"/>
      <c r="LH235" s="6"/>
      <c r="LI235" s="6"/>
      <c r="LJ235" s="5" t="str">
        <f t="shared" si="773"/>
        <v>NO APLICA</v>
      </c>
      <c r="LK235" s="5"/>
      <c r="LL235" s="5"/>
      <c r="LM235" s="4"/>
      <c r="LN235" s="8"/>
      <c r="LO235" s="5" t="str">
        <f t="shared" si="768"/>
        <v>NO APLICA</v>
      </c>
      <c r="LP235" s="6"/>
      <c r="LQ235" s="6"/>
      <c r="LR235" s="6"/>
      <c r="LS235" s="6"/>
      <c r="LT235" s="5" t="str">
        <f t="shared" si="763"/>
        <v>NO APLICA</v>
      </c>
      <c r="LU235" s="6"/>
      <c r="LV235" s="6"/>
      <c r="LW235" s="6"/>
      <c r="LX235" s="6"/>
      <c r="LY235" s="5" t="str">
        <f t="shared" si="764"/>
        <v>NO APLICA</v>
      </c>
      <c r="LZ235" s="6"/>
      <c r="MA235" s="6"/>
      <c r="MB235" s="6"/>
      <c r="MC235" s="6"/>
      <c r="MD235" s="5" t="str">
        <f t="shared" si="765"/>
        <v>NO APLICA</v>
      </c>
      <c r="ME235" s="6"/>
      <c r="MF235" s="6"/>
      <c r="MG235" s="6"/>
      <c r="MH235" s="6"/>
      <c r="MI235" s="5" t="str">
        <f t="shared" si="742"/>
        <v>NO APLICA</v>
      </c>
      <c r="MJ235" s="6"/>
      <c r="MK235" s="6"/>
      <c r="ML235" s="6"/>
      <c r="MM235" s="6"/>
      <c r="MN235" s="5" t="str">
        <f t="shared" si="743"/>
        <v>NO APLICA</v>
      </c>
      <c r="MO235" s="5"/>
      <c r="MP235" s="6"/>
      <c r="MQ235" s="6"/>
      <c r="MR235" s="6"/>
      <c r="MS235" s="5" t="str">
        <f t="shared" si="744"/>
        <v>NO APLICA</v>
      </c>
      <c r="MT235" s="5"/>
      <c r="MU235" s="6"/>
      <c r="MV235" s="6"/>
      <c r="MW235" s="6"/>
      <c r="MX235" s="5" t="str">
        <f t="shared" si="745"/>
        <v>NO APLICA</v>
      </c>
      <c r="MY235" s="6"/>
      <c r="MZ235" s="6"/>
      <c r="NA235" s="6"/>
      <c r="NB235" s="6"/>
      <c r="NC235" s="5" t="str">
        <f t="shared" si="746"/>
        <v>NO APLICA</v>
      </c>
      <c r="ND235" s="6"/>
      <c r="NE235" s="6"/>
      <c r="NF235" s="6"/>
      <c r="NG235" s="6"/>
      <c r="NH235" s="5" t="str">
        <f t="shared" si="747"/>
        <v>NO APLICA</v>
      </c>
      <c r="NI235" s="6"/>
      <c r="NJ235" s="6"/>
      <c r="NK235" s="6"/>
      <c r="NL235" s="6"/>
      <c r="NM235" s="5" t="str">
        <f t="shared" si="748"/>
        <v>NO APLICA</v>
      </c>
      <c r="NN235" s="6"/>
      <c r="NO235" s="6"/>
      <c r="NP235" s="6"/>
      <c r="NQ235" s="6"/>
      <c r="NR235" s="5" t="str">
        <f t="shared" si="749"/>
        <v>NO APLICA</v>
      </c>
      <c r="NS235" s="6"/>
      <c r="NT235" s="6"/>
      <c r="NU235" s="6"/>
      <c r="NV235" s="6"/>
      <c r="NW235" s="5" t="str">
        <f t="shared" si="750"/>
        <v>NO APLICA</v>
      </c>
      <c r="NX235" s="6"/>
      <c r="NY235" s="6"/>
      <c r="NZ235" s="6"/>
      <c r="OA235" s="6"/>
      <c r="OB235" s="5" t="str">
        <f t="shared" si="751"/>
        <v>NO APLICA</v>
      </c>
      <c r="OC235" s="6"/>
      <c r="OD235" s="6"/>
      <c r="OE235" s="6"/>
      <c r="OF235" s="6"/>
      <c r="OG235" s="5" t="str">
        <f t="shared" si="752"/>
        <v>NO APLICA</v>
      </c>
      <c r="OH235" s="6"/>
      <c r="OI235" s="6"/>
      <c r="OJ235" s="6"/>
      <c r="OK235" s="6"/>
      <c r="OL235" s="5" t="str">
        <f t="shared" si="753"/>
        <v>NO APLICA</v>
      </c>
      <c r="OM235" s="6"/>
      <c r="ON235" s="6"/>
      <c r="OO235" s="6"/>
      <c r="OP235" s="6"/>
      <c r="OQ235" s="5" t="str">
        <f t="shared" si="754"/>
        <v>NO APLICA</v>
      </c>
      <c r="OR235" s="4"/>
      <c r="OS235" s="4"/>
      <c r="OT235" s="4"/>
      <c r="OU235" s="8"/>
      <c r="OV235" s="5" t="str">
        <f t="shared" si="755"/>
        <v>NO APLICA</v>
      </c>
      <c r="OW235" s="6"/>
      <c r="OX235" s="6"/>
      <c r="OY235" s="6"/>
      <c r="OZ235" s="6"/>
      <c r="PA235" s="5" t="str">
        <f t="shared" si="769"/>
        <v>NO APLICA</v>
      </c>
      <c r="PB235" s="6"/>
      <c r="PC235" s="6"/>
      <c r="PD235" s="6"/>
      <c r="PE235" s="6"/>
      <c r="PF235" s="5" t="str">
        <f t="shared" si="756"/>
        <v>NO APLICA</v>
      </c>
      <c r="PG235" s="6"/>
      <c r="PH235" s="6"/>
      <c r="PI235" s="6"/>
      <c r="PJ235" s="6"/>
      <c r="PK235" s="5" t="str">
        <f t="shared" si="757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8"/>
        <v>NO APLICA</v>
      </c>
      <c r="PV235" s="5"/>
      <c r="PW235" s="6"/>
      <c r="PX235" s="6"/>
      <c r="PY235" s="6"/>
      <c r="PZ235" s="5" t="str">
        <f t="shared" si="759"/>
        <v>NO APLICA</v>
      </c>
    </row>
    <row r="236" spans="1:442" ht="15.6" hidden="1" thickTop="1" thickBot="1" x14ac:dyDescent="0.35">
      <c r="A236" s="26">
        <v>233</v>
      </c>
      <c r="B236" s="31">
        <v>1719</v>
      </c>
      <c r="C236" s="28" t="s">
        <v>686</v>
      </c>
      <c r="D236" s="29" t="s">
        <v>64</v>
      </c>
      <c r="E236" s="30" t="s">
        <v>687</v>
      </c>
      <c r="F236" s="6"/>
      <c r="G236" s="6"/>
      <c r="H236" s="6"/>
      <c r="I236" s="6"/>
      <c r="J236" s="5" t="str">
        <f t="shared" si="696"/>
        <v>NO APLICA</v>
      </c>
      <c r="K236" s="6"/>
      <c r="L236" s="6"/>
      <c r="M236" s="6"/>
      <c r="N236" s="6"/>
      <c r="O236" s="5" t="str">
        <f t="shared" si="699"/>
        <v>NO APLICA</v>
      </c>
      <c r="P236" s="6"/>
      <c r="Q236" s="6"/>
      <c r="R236" s="6"/>
      <c r="S236" s="6"/>
      <c r="T236" s="5" t="str">
        <f t="shared" si="697"/>
        <v>NO APLICA</v>
      </c>
      <c r="U236" s="5"/>
      <c r="V236" s="6" t="s">
        <v>688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00"/>
        <v>NO APLICA</v>
      </c>
      <c r="AG236" s="4"/>
      <c r="AH236" s="4"/>
      <c r="AI236" s="4"/>
      <c r="AJ236" s="6"/>
      <c r="AK236" s="5" t="str">
        <f t="shared" si="772"/>
        <v>NO APLICA</v>
      </c>
      <c r="AL236" s="4"/>
      <c r="AM236" s="4"/>
      <c r="AN236" s="4"/>
      <c r="AO236" s="6"/>
      <c r="AP236" s="5" t="str">
        <f t="shared" si="701"/>
        <v>NO APLICA</v>
      </c>
      <c r="AQ236" s="4"/>
      <c r="AR236" s="4"/>
      <c r="AS236" s="4"/>
      <c r="AT236" s="6"/>
      <c r="AU236" s="5" t="str">
        <f t="shared" si="702"/>
        <v>NO APLICA</v>
      </c>
      <c r="AV236" s="4"/>
      <c r="AW236" s="4"/>
      <c r="AX236" s="4"/>
      <c r="AY236" s="6"/>
      <c r="AZ236" s="5" t="str">
        <f t="shared" si="703"/>
        <v>NO APLICA</v>
      </c>
      <c r="BA236" s="4"/>
      <c r="BB236" s="4"/>
      <c r="BC236" s="4"/>
      <c r="BD236" s="6"/>
      <c r="BE236" s="5" t="str">
        <f t="shared" si="704"/>
        <v>NO APLICA</v>
      </c>
      <c r="BF236" s="4"/>
      <c r="BG236" s="4"/>
      <c r="BH236" s="4"/>
      <c r="BI236" s="6"/>
      <c r="BJ236" s="5" t="str">
        <f t="shared" si="705"/>
        <v>NO APLICA</v>
      </c>
      <c r="BK236" s="4"/>
      <c r="BL236" s="4"/>
      <c r="BM236" s="4"/>
      <c r="BN236" s="6"/>
      <c r="BO236" s="5" t="str">
        <f t="shared" si="706"/>
        <v>NO APLICA</v>
      </c>
      <c r="BP236" s="4"/>
      <c r="BQ236" s="4"/>
      <c r="BR236" s="4"/>
      <c r="BS236" s="6"/>
      <c r="BT236" s="5" t="str">
        <f t="shared" si="707"/>
        <v>NO APLICA</v>
      </c>
      <c r="BU236" s="4"/>
      <c r="BV236" s="4"/>
      <c r="BW236" s="4"/>
      <c r="BX236" s="6"/>
      <c r="BY236" s="5" t="str">
        <f t="shared" si="708"/>
        <v>NO APLICA</v>
      </c>
      <c r="BZ236" s="4"/>
      <c r="CA236" s="4"/>
      <c r="CB236" s="4"/>
      <c r="CC236" s="6"/>
      <c r="CD236" s="5" t="str">
        <f t="shared" si="709"/>
        <v>NO APLICA</v>
      </c>
      <c r="CE236" s="6"/>
      <c r="CF236" s="6"/>
      <c r="CG236" s="6"/>
      <c r="CH236" s="6"/>
      <c r="CI236" s="5" t="str">
        <f t="shared" si="770"/>
        <v>NO APLICA</v>
      </c>
      <c r="CJ236" s="4"/>
      <c r="CK236" s="4"/>
      <c r="CL236" s="4"/>
      <c r="CM236" s="6"/>
      <c r="CN236" s="5" t="str">
        <f t="shared" si="710"/>
        <v>NO APLICA</v>
      </c>
      <c r="CO236" s="4"/>
      <c r="CP236" s="4"/>
      <c r="CQ236" s="4"/>
      <c r="CR236" s="6"/>
      <c r="CS236" s="5" t="str">
        <f t="shared" si="711"/>
        <v>NO APLICA</v>
      </c>
      <c r="CT236" s="4"/>
      <c r="CU236" s="4"/>
      <c r="CV236" s="4"/>
      <c r="CW236" s="6"/>
      <c r="CX236" s="5" t="str">
        <f t="shared" si="712"/>
        <v>NO APLICA</v>
      </c>
      <c r="CY236" s="4"/>
      <c r="CZ236" s="4"/>
      <c r="DA236" s="4"/>
      <c r="DB236" s="6"/>
      <c r="DC236" s="5" t="str">
        <f t="shared" si="713"/>
        <v>NO APLICA</v>
      </c>
      <c r="DD236" s="4"/>
      <c r="DE236" s="4"/>
      <c r="DF236" s="4"/>
      <c r="DG236" s="6"/>
      <c r="DH236" s="5" t="str">
        <f t="shared" si="714"/>
        <v>NO APLICA</v>
      </c>
      <c r="DI236" s="4"/>
      <c r="DJ236" s="4"/>
      <c r="DK236" s="4"/>
      <c r="DL236" s="6"/>
      <c r="DM236" s="5" t="str">
        <f t="shared" si="715"/>
        <v>NO APLICA</v>
      </c>
      <c r="DN236" s="4"/>
      <c r="DO236" s="4"/>
      <c r="DP236" s="4"/>
      <c r="DQ236" s="6"/>
      <c r="DR236" s="5" t="str">
        <f t="shared" si="716"/>
        <v>NO APLICA</v>
      </c>
      <c r="DS236" s="4"/>
      <c r="DT236" s="4"/>
      <c r="DU236" s="4"/>
      <c r="DV236" s="6"/>
      <c r="DW236" s="5" t="str">
        <f t="shared" si="717"/>
        <v>NO APLICA</v>
      </c>
      <c r="DX236" s="4"/>
      <c r="DY236" s="4"/>
      <c r="DZ236" s="4"/>
      <c r="EA236" s="6"/>
      <c r="EB236" s="5" t="str">
        <f t="shared" si="718"/>
        <v>NO APLICA</v>
      </c>
      <c r="EC236" s="4"/>
      <c r="ED236" s="4"/>
      <c r="EE236" s="4"/>
      <c r="EF236" s="6"/>
      <c r="EG236" s="5" t="str">
        <f t="shared" si="719"/>
        <v>NO APLICA</v>
      </c>
      <c r="EH236" s="4"/>
      <c r="EI236" s="4"/>
      <c r="EJ236" s="4"/>
      <c r="EK236" s="8"/>
      <c r="EL236" s="5" t="str">
        <f t="shared" si="720"/>
        <v>NO APLICA</v>
      </c>
      <c r="EM236" s="4"/>
      <c r="EN236" s="4"/>
      <c r="EO236" s="4"/>
      <c r="EP236" s="8"/>
      <c r="EQ236" s="5" t="str">
        <f t="shared" si="721"/>
        <v>NO APLICA</v>
      </c>
      <c r="ER236" s="4"/>
      <c r="ES236" s="4"/>
      <c r="ET236" s="4"/>
      <c r="EU236" s="8"/>
      <c r="EV236" s="5" t="str">
        <f t="shared" si="722"/>
        <v>NO APLICA</v>
      </c>
      <c r="EW236" s="4"/>
      <c r="EX236" s="4"/>
      <c r="EY236" s="4"/>
      <c r="EZ236" s="6"/>
      <c r="FA236" s="5" t="str">
        <f t="shared" si="723"/>
        <v>NO APLICA</v>
      </c>
      <c r="FB236" s="4"/>
      <c r="FC236" s="4"/>
      <c r="FD236" s="4"/>
      <c r="FE236" s="6"/>
      <c r="FF236" s="5" t="str">
        <f t="shared" si="724"/>
        <v>NO APLICA</v>
      </c>
      <c r="FG236" s="4"/>
      <c r="FH236" s="4"/>
      <c r="FI236" s="4"/>
      <c r="FJ236" s="6"/>
      <c r="FK236" s="5" t="str">
        <f t="shared" si="725"/>
        <v>NO APLICA</v>
      </c>
      <c r="FL236" s="4"/>
      <c r="FM236" s="4"/>
      <c r="FN236" s="4"/>
      <c r="FO236" s="6"/>
      <c r="FP236" s="5" t="str">
        <f t="shared" si="726"/>
        <v>NO APLICA</v>
      </c>
      <c r="FQ236" s="4"/>
      <c r="FR236" s="4"/>
      <c r="FS236" s="4"/>
      <c r="FT236" s="6"/>
      <c r="FU236" s="5" t="str">
        <f t="shared" si="727"/>
        <v>NO APLICA</v>
      </c>
      <c r="FV236" s="4"/>
      <c r="FW236" s="4"/>
      <c r="FX236" s="4"/>
      <c r="FY236" s="6"/>
      <c r="FZ236" s="5" t="str">
        <f t="shared" si="728"/>
        <v>NO APLICA</v>
      </c>
      <c r="GA236" s="4"/>
      <c r="GB236" s="4"/>
      <c r="GC236" s="4"/>
      <c r="GD236" s="6"/>
      <c r="GE236" s="5" t="str">
        <f t="shared" si="729"/>
        <v>NO APLICA</v>
      </c>
      <c r="GF236" s="4"/>
      <c r="GG236" s="4"/>
      <c r="GH236" s="4"/>
      <c r="GI236" s="8"/>
      <c r="GJ236" s="5" t="str">
        <f t="shared" si="730"/>
        <v>NO APLICA</v>
      </c>
      <c r="GK236" s="4"/>
      <c r="GL236" s="6"/>
      <c r="GM236" s="6"/>
      <c r="GN236" s="6"/>
      <c r="GO236" s="5" t="str">
        <f t="shared" si="731"/>
        <v>NO APLICA</v>
      </c>
      <c r="GP236" s="4"/>
      <c r="GQ236" s="6"/>
      <c r="GR236" s="6"/>
      <c r="GS236" s="6"/>
      <c r="GT236" s="5" t="str">
        <f t="shared" si="610"/>
        <v>NO APLICA</v>
      </c>
      <c r="GU236" s="4"/>
      <c r="GV236" s="6"/>
      <c r="GW236" s="6"/>
      <c r="GX236" s="6"/>
      <c r="GY236" s="5" t="str">
        <f t="shared" si="611"/>
        <v>NO APLICA</v>
      </c>
      <c r="GZ236" s="6"/>
      <c r="HA236" s="6"/>
      <c r="HB236" s="6"/>
      <c r="HC236" s="6"/>
      <c r="HD236" s="5" t="str">
        <f t="shared" si="612"/>
        <v>NO APLICA</v>
      </c>
      <c r="HE236" s="6"/>
      <c r="HF236" s="6"/>
      <c r="HG236" s="4"/>
      <c r="HH236" s="8"/>
      <c r="HI236" s="5" t="str">
        <f t="shared" si="698"/>
        <v>NO APLICA</v>
      </c>
      <c r="HJ236" s="6"/>
      <c r="HK236" s="6"/>
      <c r="HL236" s="6"/>
      <c r="HM236" s="6"/>
      <c r="HN236" s="5" t="str">
        <f t="shared" si="694"/>
        <v>NO APLICA</v>
      </c>
      <c r="HO236" s="6"/>
      <c r="HP236" s="6"/>
      <c r="HQ236" s="6"/>
      <c r="HR236" s="6"/>
      <c r="HS236" s="5" t="str">
        <f t="shared" si="732"/>
        <v>NO APLICA</v>
      </c>
      <c r="HT236" s="6"/>
      <c r="HU236" s="6"/>
      <c r="HV236" s="6"/>
      <c r="HW236" s="6"/>
      <c r="HX236" s="5" t="str">
        <f t="shared" si="733"/>
        <v>NO APLICA</v>
      </c>
      <c r="HY236" s="6"/>
      <c r="HZ236" s="6"/>
      <c r="IA236" s="6"/>
      <c r="IB236" s="6"/>
      <c r="IC236" s="5" t="str">
        <f t="shared" si="734"/>
        <v>NO APLICA</v>
      </c>
      <c r="ID236" s="6"/>
      <c r="IE236" s="6"/>
      <c r="IF236" s="6"/>
      <c r="IG236" s="6"/>
      <c r="IH236" s="5" t="str">
        <f t="shared" si="735"/>
        <v>NO APLICA</v>
      </c>
      <c r="II236" s="6"/>
      <c r="IJ236" s="6"/>
      <c r="IK236" s="6"/>
      <c r="IL236" s="6"/>
      <c r="IM236" s="5" t="str">
        <f t="shared" si="736"/>
        <v>NO APLICA</v>
      </c>
      <c r="IN236" s="6"/>
      <c r="IO236" s="6"/>
      <c r="IP236" s="6"/>
      <c r="IQ236" s="6"/>
      <c r="IR236" s="5" t="str">
        <f t="shared" si="737"/>
        <v>NO APLICA</v>
      </c>
      <c r="IS236" s="6"/>
      <c r="IT236" s="6"/>
      <c r="IU236" s="6"/>
      <c r="IV236" s="6"/>
      <c r="IW236" s="5" t="str">
        <f t="shared" si="738"/>
        <v>NO APLICA</v>
      </c>
      <c r="IX236" s="6"/>
      <c r="IY236" s="6"/>
      <c r="IZ236" s="6"/>
      <c r="JA236" s="6"/>
      <c r="JB236" s="5" t="str">
        <f t="shared" si="739"/>
        <v>NO APLICA</v>
      </c>
      <c r="JC236" s="3" t="s">
        <v>780</v>
      </c>
      <c r="JD236" s="6"/>
      <c r="JE236" s="6"/>
      <c r="JF236" s="6"/>
      <c r="JG236" s="5"/>
      <c r="JH236" s="3" t="s">
        <v>780</v>
      </c>
      <c r="JI236" s="6"/>
      <c r="JJ236" s="6"/>
      <c r="JK236" s="6"/>
      <c r="JL236" s="5"/>
      <c r="JM236" s="6" t="s">
        <v>780</v>
      </c>
      <c r="JN236" s="6"/>
      <c r="JO236" s="6"/>
      <c r="JP236" s="6"/>
      <c r="JQ236" s="5"/>
      <c r="JR236" s="6" t="s">
        <v>780</v>
      </c>
      <c r="JS236" s="6"/>
      <c r="JT236" s="6"/>
      <c r="JU236" s="6"/>
      <c r="JV236" s="5"/>
      <c r="JW236" s="6" t="s">
        <v>780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40"/>
        <v>NO APLICA</v>
      </c>
      <c r="KG236" s="5"/>
      <c r="KH236" s="6"/>
      <c r="KI236" s="6"/>
      <c r="KJ236" s="6"/>
      <c r="KK236" s="5" t="str">
        <f t="shared" si="760"/>
        <v>NO APLICA</v>
      </c>
      <c r="KL236" s="5"/>
      <c r="KM236" s="6"/>
      <c r="KN236" s="6"/>
      <c r="KO236" s="6"/>
      <c r="KP236" s="5" t="str">
        <f t="shared" si="741"/>
        <v>NO APLICA</v>
      </c>
      <c r="KQ236" s="5"/>
      <c r="KR236" s="6"/>
      <c r="KS236" s="6"/>
      <c r="KT236" s="6"/>
      <c r="KU236" s="5" t="str">
        <f t="shared" si="761"/>
        <v>NO APLICA</v>
      </c>
      <c r="KV236" s="6"/>
      <c r="KW236" s="6"/>
      <c r="KX236" s="6"/>
      <c r="KY236" s="6"/>
      <c r="KZ236" s="5" t="str">
        <f t="shared" si="767"/>
        <v>NO APLICA</v>
      </c>
      <c r="LA236" s="5"/>
      <c r="LB236" s="6"/>
      <c r="LC236" s="6"/>
      <c r="LD236" s="6"/>
      <c r="LE236" s="5" t="str">
        <f t="shared" si="762"/>
        <v>NO APLICA</v>
      </c>
      <c r="LF236" s="6"/>
      <c r="LG236" s="6"/>
      <c r="LH236" s="6"/>
      <c r="LI236" s="6"/>
      <c r="LJ236" s="5" t="str">
        <f t="shared" si="773"/>
        <v>NO APLICA</v>
      </c>
      <c r="LK236" s="5"/>
      <c r="LL236" s="5"/>
      <c r="LM236" s="4"/>
      <c r="LN236" s="8"/>
      <c r="LO236" s="5" t="str">
        <f t="shared" si="768"/>
        <v>NO APLICA</v>
      </c>
      <c r="LP236" s="6"/>
      <c r="LQ236" s="6"/>
      <c r="LR236" s="6"/>
      <c r="LS236" s="6"/>
      <c r="LT236" s="5" t="str">
        <f t="shared" si="763"/>
        <v>NO APLICA</v>
      </c>
      <c r="LU236" s="6"/>
      <c r="LV236" s="6"/>
      <c r="LW236" s="6"/>
      <c r="LX236" s="6"/>
      <c r="LY236" s="5" t="str">
        <f t="shared" si="764"/>
        <v>NO APLICA</v>
      </c>
      <c r="LZ236" s="6"/>
      <c r="MA236" s="6"/>
      <c r="MB236" s="6"/>
      <c r="MC236" s="6"/>
      <c r="MD236" s="5" t="str">
        <f t="shared" si="765"/>
        <v>NO APLICA</v>
      </c>
      <c r="ME236" s="6"/>
      <c r="MF236" s="6"/>
      <c r="MG236" s="6"/>
      <c r="MH236" s="6"/>
      <c r="MI236" s="5" t="str">
        <f t="shared" si="742"/>
        <v>NO APLICA</v>
      </c>
      <c r="MJ236" s="6"/>
      <c r="MK236" s="6"/>
      <c r="ML236" s="6"/>
      <c r="MM236" s="6"/>
      <c r="MN236" s="5" t="str">
        <f t="shared" si="743"/>
        <v>NO APLICA</v>
      </c>
      <c r="MO236" s="5"/>
      <c r="MP236" s="6"/>
      <c r="MQ236" s="6"/>
      <c r="MR236" s="6"/>
      <c r="MS236" s="5" t="str">
        <f t="shared" si="744"/>
        <v>NO APLICA</v>
      </c>
      <c r="MT236" s="5"/>
      <c r="MU236" s="6"/>
      <c r="MV236" s="6"/>
      <c r="MW236" s="6"/>
      <c r="MX236" s="5" t="str">
        <f t="shared" si="745"/>
        <v>NO APLICA</v>
      </c>
      <c r="MY236" s="6"/>
      <c r="MZ236" s="6"/>
      <c r="NA236" s="6"/>
      <c r="NB236" s="6"/>
      <c r="NC236" s="5" t="str">
        <f t="shared" si="746"/>
        <v>NO APLICA</v>
      </c>
      <c r="ND236" s="6"/>
      <c r="NE236" s="6"/>
      <c r="NF236" s="6"/>
      <c r="NG236" s="6"/>
      <c r="NH236" s="5" t="str">
        <f t="shared" si="747"/>
        <v>NO APLICA</v>
      </c>
      <c r="NI236" s="6"/>
      <c r="NJ236" s="6"/>
      <c r="NK236" s="6"/>
      <c r="NL236" s="6"/>
      <c r="NM236" s="5" t="str">
        <f t="shared" si="748"/>
        <v>NO APLICA</v>
      </c>
      <c r="NN236" s="6"/>
      <c r="NO236" s="6"/>
      <c r="NP236" s="6"/>
      <c r="NQ236" s="6"/>
      <c r="NR236" s="5" t="str">
        <f t="shared" si="749"/>
        <v>NO APLICA</v>
      </c>
      <c r="NS236" s="6"/>
      <c r="NT236" s="6"/>
      <c r="NU236" s="6"/>
      <c r="NV236" s="6"/>
      <c r="NW236" s="5" t="str">
        <f t="shared" si="750"/>
        <v>NO APLICA</v>
      </c>
      <c r="NX236" s="6"/>
      <c r="NY236" s="6"/>
      <c r="NZ236" s="6"/>
      <c r="OA236" s="6"/>
      <c r="OB236" s="5" t="str">
        <f t="shared" si="751"/>
        <v>NO APLICA</v>
      </c>
      <c r="OC236" s="6"/>
      <c r="OD236" s="6"/>
      <c r="OE236" s="6"/>
      <c r="OF236" s="6"/>
      <c r="OG236" s="5" t="str">
        <f t="shared" si="752"/>
        <v>NO APLICA</v>
      </c>
      <c r="OH236" s="6"/>
      <c r="OI236" s="6"/>
      <c r="OJ236" s="6"/>
      <c r="OK236" s="6"/>
      <c r="OL236" s="5" t="str">
        <f t="shared" si="753"/>
        <v>NO APLICA</v>
      </c>
      <c r="OM236" s="6"/>
      <c r="ON236" s="6"/>
      <c r="OO236" s="6"/>
      <c r="OP236" s="6"/>
      <c r="OQ236" s="5" t="str">
        <f t="shared" si="754"/>
        <v>NO APLICA</v>
      </c>
      <c r="OR236" s="6"/>
      <c r="OS236" s="6"/>
      <c r="OT236" s="6"/>
      <c r="OU236" s="6"/>
      <c r="OV236" s="5" t="str">
        <f t="shared" si="755"/>
        <v>NO APLICA</v>
      </c>
      <c r="OW236" s="6"/>
      <c r="OX236" s="6"/>
      <c r="OY236" s="6"/>
      <c r="OZ236" s="6"/>
      <c r="PA236" s="5" t="str">
        <f t="shared" si="769"/>
        <v>NO APLICA</v>
      </c>
      <c r="PB236" s="6"/>
      <c r="PC236" s="6"/>
      <c r="PD236" s="6"/>
      <c r="PE236" s="6"/>
      <c r="PF236" s="5" t="str">
        <f t="shared" si="756"/>
        <v>NO APLICA</v>
      </c>
      <c r="PG236" s="6"/>
      <c r="PH236" s="6"/>
      <c r="PI236" s="6"/>
      <c r="PJ236" s="6"/>
      <c r="PK236" s="5" t="str">
        <f t="shared" si="757"/>
        <v>NO APLICA</v>
      </c>
      <c r="PL236" s="5"/>
      <c r="PM236" s="6"/>
      <c r="PN236" s="6"/>
      <c r="PO236" s="6"/>
      <c r="PP236" s="5" t="str">
        <f t="shared" si="766"/>
        <v>NO APLICA</v>
      </c>
      <c r="PQ236" s="6"/>
      <c r="PR236" s="6"/>
      <c r="PS236" s="6"/>
      <c r="PT236" s="6"/>
      <c r="PU236" s="5" t="str">
        <f t="shared" si="758"/>
        <v>NO APLICA</v>
      </c>
      <c r="PV236" s="5"/>
      <c r="PW236" s="6"/>
      <c r="PX236" s="6"/>
      <c r="PY236" s="6"/>
      <c r="PZ236" s="5" t="str">
        <f t="shared" si="759"/>
        <v>NO APLICA</v>
      </c>
    </row>
    <row r="237" spans="1:442" ht="15.6" hidden="1" thickTop="1" thickBot="1" x14ac:dyDescent="0.35">
      <c r="A237" s="26">
        <v>234</v>
      </c>
      <c r="B237" s="31">
        <v>1675</v>
      </c>
      <c r="C237" s="28" t="s">
        <v>689</v>
      </c>
      <c r="D237" s="29" t="s">
        <v>609</v>
      </c>
      <c r="E237" s="30" t="s">
        <v>777</v>
      </c>
      <c r="F237" s="3"/>
      <c r="G237" s="4"/>
      <c r="H237" s="4"/>
      <c r="I237" s="8"/>
      <c r="J237" s="5" t="str">
        <f t="shared" si="696"/>
        <v>NO APLICA</v>
      </c>
      <c r="K237" s="2"/>
      <c r="L237" s="2"/>
      <c r="M237" s="2"/>
      <c r="N237" s="2"/>
      <c r="O237" s="5" t="str">
        <f t="shared" si="699"/>
        <v>NO APLICA</v>
      </c>
      <c r="P237" s="6"/>
      <c r="Q237" s="6"/>
      <c r="R237" s="4"/>
      <c r="S237" s="8"/>
      <c r="T237" s="5" t="str">
        <f t="shared" si="69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00"/>
        <v>NO APLICA</v>
      </c>
      <c r="AG237" s="2"/>
      <c r="AH237" s="4"/>
      <c r="AI237" s="4"/>
      <c r="AJ237" s="6"/>
      <c r="AK237" s="5" t="str">
        <f t="shared" si="772"/>
        <v>NO APLICA</v>
      </c>
      <c r="AL237" s="2"/>
      <c r="AM237" s="4"/>
      <c r="AN237" s="4"/>
      <c r="AO237" s="8"/>
      <c r="AP237" s="5" t="str">
        <f t="shared" si="701"/>
        <v>NO APLICA</v>
      </c>
      <c r="AQ237" s="2"/>
      <c r="AR237" s="4"/>
      <c r="AS237" s="4"/>
      <c r="AT237" s="8"/>
      <c r="AU237" s="5" t="str">
        <f t="shared" si="702"/>
        <v>NO APLICA</v>
      </c>
      <c r="AV237" s="2"/>
      <c r="AW237" s="4"/>
      <c r="AX237" s="4"/>
      <c r="AY237" s="8"/>
      <c r="AZ237" s="5" t="str">
        <f t="shared" si="703"/>
        <v>NO APLICA</v>
      </c>
      <c r="BA237" s="3"/>
      <c r="BB237" s="4"/>
      <c r="BC237" s="4"/>
      <c r="BD237" s="8"/>
      <c r="BE237" s="5" t="str">
        <f t="shared" si="704"/>
        <v>NO APLICA</v>
      </c>
      <c r="BF237" s="2"/>
      <c r="BG237" s="4"/>
      <c r="BH237" s="4"/>
      <c r="BI237" s="8"/>
      <c r="BJ237" s="5" t="str">
        <f t="shared" si="705"/>
        <v>NO APLICA</v>
      </c>
      <c r="BK237" s="3"/>
      <c r="BL237" s="4"/>
      <c r="BM237" s="4"/>
      <c r="BN237" s="8"/>
      <c r="BO237" s="5" t="str">
        <f t="shared" si="706"/>
        <v>NO APLICA</v>
      </c>
      <c r="BP237" s="3"/>
      <c r="BQ237" s="39"/>
      <c r="BR237" s="4"/>
      <c r="BS237" s="8"/>
      <c r="BT237" s="5" t="str">
        <f t="shared" si="707"/>
        <v>NO APLICA</v>
      </c>
      <c r="BU237" s="2"/>
      <c r="BV237" s="4"/>
      <c r="BW237" s="4"/>
      <c r="BX237" s="8"/>
      <c r="BY237" s="5" t="str">
        <f t="shared" si="708"/>
        <v>NO APLICA</v>
      </c>
      <c r="BZ237" s="2"/>
      <c r="CA237" s="4"/>
      <c r="CB237" s="4"/>
      <c r="CC237" s="8"/>
      <c r="CD237" s="5" t="str">
        <f t="shared" si="709"/>
        <v>NO APLICA</v>
      </c>
      <c r="CE237" s="6"/>
      <c r="CF237" s="4"/>
      <c r="CG237" s="4"/>
      <c r="CH237" s="8"/>
      <c r="CI237" s="5" t="str">
        <f t="shared" si="770"/>
        <v>NO APLICA</v>
      </c>
      <c r="CJ237" s="6"/>
      <c r="CK237" s="4"/>
      <c r="CL237" s="4"/>
      <c r="CM237" s="8"/>
      <c r="CN237" s="5" t="str">
        <f t="shared" si="710"/>
        <v>NO APLICA</v>
      </c>
      <c r="CO237" s="2"/>
      <c r="CP237" s="39"/>
      <c r="CQ237" s="4"/>
      <c r="CR237" s="8"/>
      <c r="CS237" s="5" t="str">
        <f t="shared" si="711"/>
        <v>NO APLICA</v>
      </c>
      <c r="CT237" s="2"/>
      <c r="CU237" s="4"/>
      <c r="CV237" s="4"/>
      <c r="CW237" s="8"/>
      <c r="CX237" s="5" t="str">
        <f t="shared" si="712"/>
        <v>NO APLICA</v>
      </c>
      <c r="CY237" s="3"/>
      <c r="CZ237" s="4"/>
      <c r="DA237" s="4"/>
      <c r="DB237" s="8"/>
      <c r="DC237" s="5" t="str">
        <f t="shared" si="713"/>
        <v>NO APLICA</v>
      </c>
      <c r="DD237" s="3"/>
      <c r="DE237" s="39"/>
      <c r="DF237" s="4"/>
      <c r="DG237" s="8"/>
      <c r="DH237" s="5" t="str">
        <f t="shared" si="714"/>
        <v>NO APLICA</v>
      </c>
      <c r="DI237" s="2"/>
      <c r="DJ237" s="39"/>
      <c r="DK237" s="4"/>
      <c r="DL237" s="8"/>
      <c r="DM237" s="5" t="str">
        <f t="shared" si="715"/>
        <v>NO APLICA</v>
      </c>
      <c r="DN237" s="3"/>
      <c r="DO237" s="4"/>
      <c r="DP237" s="4"/>
      <c r="DQ237" s="8"/>
      <c r="DR237" s="5" t="str">
        <f t="shared" si="716"/>
        <v>NO APLICA</v>
      </c>
      <c r="DS237" s="2"/>
      <c r="DT237" s="4"/>
      <c r="DU237" s="4"/>
      <c r="DV237" s="8"/>
      <c r="DW237" s="5" t="str">
        <f t="shared" si="717"/>
        <v>NO APLICA</v>
      </c>
      <c r="DX237" s="3"/>
      <c r="DY237" s="4"/>
      <c r="DZ237" s="4"/>
      <c r="EA237" s="8"/>
      <c r="EB237" s="5" t="str">
        <f t="shared" si="718"/>
        <v>NO APLICA</v>
      </c>
      <c r="EC237" s="3"/>
      <c r="ED237" s="39"/>
      <c r="EE237" s="4"/>
      <c r="EF237" s="8"/>
      <c r="EG237" s="5" t="str">
        <f t="shared" si="719"/>
        <v>NO APLICA</v>
      </c>
      <c r="EH237" s="2"/>
      <c r="EI237" s="4"/>
      <c r="EJ237" s="4"/>
      <c r="EK237" s="8"/>
      <c r="EL237" s="5" t="str">
        <f t="shared" si="720"/>
        <v>NO APLICA</v>
      </c>
      <c r="EM237" s="3"/>
      <c r="EN237" s="4"/>
      <c r="EO237" s="4"/>
      <c r="EP237" s="8"/>
      <c r="EQ237" s="5" t="str">
        <f t="shared" si="721"/>
        <v>NO APLICA</v>
      </c>
      <c r="ER237" s="2"/>
      <c r="ES237" s="39"/>
      <c r="ET237" s="4"/>
      <c r="EU237" s="8"/>
      <c r="EV237" s="5" t="str">
        <f t="shared" si="722"/>
        <v>NO APLICA</v>
      </c>
      <c r="EW237" s="2"/>
      <c r="EX237" s="4"/>
      <c r="EY237" s="4"/>
      <c r="EZ237" s="8"/>
      <c r="FA237" s="5" t="str">
        <f t="shared" si="723"/>
        <v>NO APLICA</v>
      </c>
      <c r="FB237" s="2"/>
      <c r="FC237" s="4"/>
      <c r="FD237" s="4"/>
      <c r="FE237" s="8"/>
      <c r="FF237" s="5" t="str">
        <f t="shared" si="724"/>
        <v>NO APLICA</v>
      </c>
      <c r="FG237" s="2"/>
      <c r="FH237" s="4"/>
      <c r="FI237" s="4"/>
      <c r="FJ237" s="8"/>
      <c r="FK237" s="5" t="str">
        <f t="shared" si="725"/>
        <v>NO APLICA</v>
      </c>
      <c r="FL237" s="3"/>
      <c r="FM237" s="39"/>
      <c r="FN237" s="4"/>
      <c r="FO237" s="8"/>
      <c r="FP237" s="5" t="str">
        <f t="shared" si="726"/>
        <v>NO APLICA</v>
      </c>
      <c r="FQ237" s="3"/>
      <c r="FR237" s="39"/>
      <c r="FS237" s="4"/>
      <c r="FT237" s="8"/>
      <c r="FU237" s="5" t="str">
        <f t="shared" si="727"/>
        <v>NO APLICA</v>
      </c>
      <c r="FV237" s="3"/>
      <c r="FW237" s="4"/>
      <c r="FX237" s="4"/>
      <c r="FY237" s="8"/>
      <c r="FZ237" s="5" t="str">
        <f t="shared" si="728"/>
        <v>NO APLICA</v>
      </c>
      <c r="GA237" s="3"/>
      <c r="GB237" s="4"/>
      <c r="GC237" s="4"/>
      <c r="GD237" s="8"/>
      <c r="GE237" s="5" t="str">
        <f t="shared" si="729"/>
        <v>NO APLICA</v>
      </c>
      <c r="GF237" s="3"/>
      <c r="GG237" s="4"/>
      <c r="GH237" s="4"/>
      <c r="GI237" s="8"/>
      <c r="GJ237" s="5" t="str">
        <f t="shared" si="730"/>
        <v>NO APLICA</v>
      </c>
      <c r="GK237" s="3"/>
      <c r="GL237" s="4"/>
      <c r="GM237" s="4"/>
      <c r="GN237" s="8"/>
      <c r="GO237" s="5" t="str">
        <f t="shared" si="731"/>
        <v>NO APLICA</v>
      </c>
      <c r="GP237" s="4"/>
      <c r="GQ237" s="4"/>
      <c r="GR237" s="4"/>
      <c r="GS237" s="8"/>
      <c r="GT237" s="5" t="str">
        <f t="shared" si="610"/>
        <v>NO APLICA</v>
      </c>
      <c r="GU237" s="3"/>
      <c r="GV237" s="4"/>
      <c r="GW237" s="4"/>
      <c r="GX237" s="8"/>
      <c r="GY237" s="5" t="str">
        <f t="shared" si="611"/>
        <v>NO APLICA</v>
      </c>
      <c r="GZ237" s="2"/>
      <c r="HA237" s="4"/>
      <c r="HB237" s="4"/>
      <c r="HC237" s="8"/>
      <c r="HD237" s="5" t="str">
        <f t="shared" si="612"/>
        <v>NO APLICA</v>
      </c>
      <c r="HE237" s="6"/>
      <c r="HF237" s="6"/>
      <c r="HG237" s="4"/>
      <c r="HH237" s="8"/>
      <c r="HI237" s="5" t="str">
        <f t="shared" si="698"/>
        <v>NO APLICA</v>
      </c>
      <c r="HJ237" s="2"/>
      <c r="HK237" s="6"/>
      <c r="HL237" s="4"/>
      <c r="HM237" s="8"/>
      <c r="HN237" s="5" t="str">
        <f t="shared" si="694"/>
        <v>NO APLICA</v>
      </c>
      <c r="HO237" s="2"/>
      <c r="HP237" s="2"/>
      <c r="HQ237" s="4"/>
      <c r="HR237" s="2"/>
      <c r="HS237" s="5" t="str">
        <f t="shared" si="732"/>
        <v>NO APLICA</v>
      </c>
      <c r="HT237" s="2"/>
      <c r="HU237" s="6"/>
      <c r="HV237" s="4"/>
      <c r="HW237" s="8"/>
      <c r="HX237" s="5" t="str">
        <f t="shared" si="733"/>
        <v>NO APLICA</v>
      </c>
      <c r="HY237" s="2"/>
      <c r="HZ237" s="6"/>
      <c r="IA237" s="4"/>
      <c r="IB237" s="8"/>
      <c r="IC237" s="5" t="str">
        <f t="shared" si="734"/>
        <v>NO APLICA</v>
      </c>
      <c r="ID237" s="2"/>
      <c r="IE237" s="6"/>
      <c r="IF237" s="4"/>
      <c r="IG237" s="8"/>
      <c r="IH237" s="5" t="str">
        <f t="shared" si="735"/>
        <v>NO APLICA</v>
      </c>
      <c r="II237" s="6"/>
      <c r="IJ237" s="6"/>
      <c r="IK237" s="4"/>
      <c r="IL237" s="8"/>
      <c r="IM237" s="5" t="str">
        <f t="shared" si="736"/>
        <v>NO APLICA</v>
      </c>
      <c r="IN237" s="2"/>
      <c r="IO237" s="6"/>
      <c r="IP237" s="4"/>
      <c r="IQ237" s="8"/>
      <c r="IR237" s="5" t="str">
        <f t="shared" si="737"/>
        <v>NO APLICA</v>
      </c>
      <c r="IS237" s="2"/>
      <c r="IT237" s="6"/>
      <c r="IU237" s="4"/>
      <c r="IV237" s="8"/>
      <c r="IW237" s="5" t="str">
        <f t="shared" si="738"/>
        <v>NO APLICA</v>
      </c>
      <c r="IX237" s="2"/>
      <c r="IY237" s="6"/>
      <c r="IZ237" s="4"/>
      <c r="JA237" s="8"/>
      <c r="JB237" s="5" t="str">
        <f t="shared" si="739"/>
        <v>NO APLICA</v>
      </c>
      <c r="JC237" s="3" t="s">
        <v>780</v>
      </c>
      <c r="JD237" s="3"/>
      <c r="JE237" s="4"/>
      <c r="JF237" s="8"/>
      <c r="JG237" s="5"/>
      <c r="JH237" s="3" t="s">
        <v>780</v>
      </c>
      <c r="JI237" s="6"/>
      <c r="JJ237" s="6"/>
      <c r="JK237" s="6"/>
      <c r="JL237" s="5"/>
      <c r="JM237" s="6" t="s">
        <v>780</v>
      </c>
      <c r="JN237" s="6"/>
      <c r="JO237" s="6"/>
      <c r="JP237" s="6"/>
      <c r="JQ237" s="5"/>
      <c r="JR237" s="6" t="s">
        <v>780</v>
      </c>
      <c r="JS237" s="6"/>
      <c r="JT237" s="6"/>
      <c r="JU237" s="6"/>
      <c r="JV237" s="5"/>
      <c r="JW237" s="6" t="s">
        <v>780</v>
      </c>
      <c r="JX237" s="3"/>
      <c r="JY237" s="4"/>
      <c r="JZ237" s="8"/>
      <c r="KA237" s="38"/>
      <c r="KB237" s="5"/>
      <c r="KC237" s="2"/>
      <c r="KD237" s="4"/>
      <c r="KE237" s="8"/>
      <c r="KF237" s="5" t="str">
        <f t="shared" si="740"/>
        <v>NO APLICA</v>
      </c>
      <c r="KG237" s="5"/>
      <c r="KH237" s="2"/>
      <c r="KI237" s="4"/>
      <c r="KJ237" s="8"/>
      <c r="KK237" s="5" t="str">
        <f t="shared" si="760"/>
        <v>NO APLICA</v>
      </c>
      <c r="KL237" s="5"/>
      <c r="KM237" s="2"/>
      <c r="KN237" s="4"/>
      <c r="KO237" s="8"/>
      <c r="KP237" s="5" t="str">
        <f t="shared" si="741"/>
        <v>NO APLICA</v>
      </c>
      <c r="KQ237" s="5"/>
      <c r="KR237" s="2"/>
      <c r="KS237" s="4"/>
      <c r="KT237" s="8"/>
      <c r="KU237" s="5" t="str">
        <f t="shared" si="761"/>
        <v>NO APLICA</v>
      </c>
      <c r="KV237" s="2"/>
      <c r="KW237" s="6"/>
      <c r="KX237" s="4"/>
      <c r="KY237" s="8"/>
      <c r="KZ237" s="5" t="str">
        <f t="shared" si="767"/>
        <v>NO APLICA</v>
      </c>
      <c r="LA237" s="5"/>
      <c r="LB237" s="6"/>
      <c r="LC237" s="4"/>
      <c r="LD237" s="8"/>
      <c r="LE237" s="5" t="str">
        <f t="shared" si="762"/>
        <v>NO APLICA</v>
      </c>
      <c r="LF237" s="6"/>
      <c r="LG237" s="6"/>
      <c r="LH237" s="4"/>
      <c r="LI237" s="8"/>
      <c r="LJ237" s="5" t="str">
        <f t="shared" si="773"/>
        <v>NO APLICA</v>
      </c>
      <c r="LK237" s="5"/>
      <c r="LL237" s="5"/>
      <c r="LM237" s="4"/>
      <c r="LN237" s="8"/>
      <c r="LO237" s="5" t="str">
        <f t="shared" si="768"/>
        <v>NO APLICA</v>
      </c>
      <c r="LP237" s="2"/>
      <c r="LQ237" s="6"/>
      <c r="LR237" s="4"/>
      <c r="LS237" s="8"/>
      <c r="LT237" s="5" t="str">
        <f t="shared" si="763"/>
        <v>NO APLICA</v>
      </c>
      <c r="LU237" s="6"/>
      <c r="LV237" s="6"/>
      <c r="LW237" s="4"/>
      <c r="LX237" s="8"/>
      <c r="LY237" s="5" t="str">
        <f t="shared" si="764"/>
        <v>NO APLICA</v>
      </c>
      <c r="LZ237" s="6"/>
      <c r="MA237" s="6"/>
      <c r="MB237" s="4"/>
      <c r="MC237" s="8"/>
      <c r="MD237" s="5" t="str">
        <f t="shared" si="765"/>
        <v>NO APLICA</v>
      </c>
      <c r="ME237" s="2"/>
      <c r="MF237" s="2"/>
      <c r="MG237" s="4"/>
      <c r="MH237" s="8"/>
      <c r="MI237" s="5" t="str">
        <f t="shared" si="742"/>
        <v>NO APLICA</v>
      </c>
      <c r="MJ237" s="2"/>
      <c r="MK237" s="2"/>
      <c r="ML237" s="4"/>
      <c r="MM237" s="8"/>
      <c r="MN237" s="5" t="str">
        <f t="shared" si="743"/>
        <v>NO APLICA</v>
      </c>
      <c r="MO237" s="5"/>
      <c r="MP237" s="2"/>
      <c r="MQ237" s="4"/>
      <c r="MR237" s="8"/>
      <c r="MS237" s="5" t="str">
        <f t="shared" si="744"/>
        <v>NO APLICA</v>
      </c>
      <c r="MT237" s="5"/>
      <c r="MU237" s="2"/>
      <c r="MV237" s="4"/>
      <c r="MW237" s="2"/>
      <c r="MX237" s="5" t="str">
        <f t="shared" si="745"/>
        <v>NO APLICA</v>
      </c>
      <c r="MY237" s="2"/>
      <c r="MZ237" s="6"/>
      <c r="NA237" s="4"/>
      <c r="NB237" s="8"/>
      <c r="NC237" s="5" t="str">
        <f t="shared" si="746"/>
        <v>NO APLICA</v>
      </c>
      <c r="ND237" s="2"/>
      <c r="NE237" s="6"/>
      <c r="NF237" s="4"/>
      <c r="NG237" s="8"/>
      <c r="NH237" s="5" t="str">
        <f t="shared" si="747"/>
        <v>NO APLICA</v>
      </c>
      <c r="NI237" s="2"/>
      <c r="NJ237" s="6"/>
      <c r="NK237" s="4"/>
      <c r="NL237" s="8"/>
      <c r="NM237" s="5" t="str">
        <f t="shared" si="748"/>
        <v>NO APLICA</v>
      </c>
      <c r="NN237" s="2"/>
      <c r="NO237" s="2"/>
      <c r="NP237" s="4"/>
      <c r="NQ237" s="8"/>
      <c r="NR237" s="5" t="str">
        <f t="shared" si="749"/>
        <v>NO APLICA</v>
      </c>
      <c r="NS237" s="2"/>
      <c r="NT237" s="2"/>
      <c r="NU237" s="4"/>
      <c r="NV237" s="2"/>
      <c r="NW237" s="5" t="str">
        <f t="shared" si="750"/>
        <v>NO APLICA</v>
      </c>
      <c r="NX237" s="6"/>
      <c r="NY237" s="6"/>
      <c r="NZ237" s="4"/>
      <c r="OA237" s="8"/>
      <c r="OB237" s="5" t="str">
        <f t="shared" si="751"/>
        <v>NO APLICA</v>
      </c>
      <c r="OC237" s="6"/>
      <c r="OD237" s="6"/>
      <c r="OE237" s="6"/>
      <c r="OF237" s="6"/>
      <c r="OG237" s="5" t="str">
        <f t="shared" si="752"/>
        <v>NO APLICA</v>
      </c>
      <c r="OH237" s="6"/>
      <c r="OI237" s="6"/>
      <c r="OJ237" s="4"/>
      <c r="OK237" s="8"/>
      <c r="OL237" s="5" t="str">
        <f t="shared" si="753"/>
        <v>NO APLICA</v>
      </c>
      <c r="OM237" s="6"/>
      <c r="ON237" s="6"/>
      <c r="OO237" s="6"/>
      <c r="OP237" s="6"/>
      <c r="OQ237" s="5" t="str">
        <f t="shared" si="754"/>
        <v>NO APLICA</v>
      </c>
      <c r="OR237" s="6"/>
      <c r="OS237" s="6"/>
      <c r="OT237" s="6"/>
      <c r="OU237" s="6"/>
      <c r="OV237" s="5" t="str">
        <f t="shared" si="755"/>
        <v>NO APLICA</v>
      </c>
      <c r="OW237" s="6"/>
      <c r="OX237" s="6"/>
      <c r="OY237" s="6"/>
      <c r="OZ237" s="6"/>
      <c r="PA237" s="5" t="str">
        <f t="shared" si="769"/>
        <v>NO APLICA</v>
      </c>
      <c r="PB237" s="6"/>
      <c r="PC237" s="6"/>
      <c r="PD237" s="6"/>
      <c r="PE237" s="6"/>
      <c r="PF237" s="5" t="str">
        <f t="shared" si="756"/>
        <v>NO APLICA</v>
      </c>
      <c r="PG237" s="6"/>
      <c r="PH237" s="6"/>
      <c r="PI237" s="6"/>
      <c r="PJ237" s="6"/>
      <c r="PK237" s="5" t="str">
        <f t="shared" si="757"/>
        <v>NO APLICA</v>
      </c>
      <c r="PL237" s="5"/>
      <c r="PM237" s="6"/>
      <c r="PN237" s="4"/>
      <c r="PO237" s="8"/>
      <c r="PP237" s="5" t="str">
        <f t="shared" si="766"/>
        <v>NO APLICA</v>
      </c>
      <c r="PQ237" s="6"/>
      <c r="PR237" s="6"/>
      <c r="PS237" s="6"/>
      <c r="PT237" s="6"/>
      <c r="PU237" s="5" t="str">
        <f t="shared" si="758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9"/>
        <v>VIGENTE</v>
      </c>
    </row>
    <row r="238" spans="1:442" ht="15.6" hidden="1" thickTop="1" thickBot="1" x14ac:dyDescent="0.35">
      <c r="A238" s="26">
        <v>235</v>
      </c>
      <c r="B238" s="31">
        <v>1206</v>
      </c>
      <c r="C238" s="28" t="s">
        <v>690</v>
      </c>
      <c r="D238" s="29" t="s">
        <v>113</v>
      </c>
      <c r="E238" s="30" t="s">
        <v>691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6"/>
        <v>VIGENTE</v>
      </c>
      <c r="K238" s="2"/>
      <c r="L238" s="2"/>
      <c r="M238" s="2"/>
      <c r="N238" s="2"/>
      <c r="O238" s="5" t="str">
        <f t="shared" si="699"/>
        <v>NO APLICA</v>
      </c>
      <c r="P238" s="6"/>
      <c r="Q238" s="6"/>
      <c r="R238" s="4"/>
      <c r="S238" s="8"/>
      <c r="T238" s="5" t="str">
        <f t="shared" si="697"/>
        <v>NO APLICA</v>
      </c>
      <c r="U238" s="5"/>
      <c r="V238" s="2" t="s">
        <v>692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00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39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46134</v>
      </c>
      <c r="CG238" s="4">
        <f>DATE(YEAR(CF238)+4,MONTH(CF238),DAY(CF238))</f>
        <v>47595</v>
      </c>
      <c r="CH238" s="8">
        <f ca="1">CG238-TODAY()</f>
        <v>1450</v>
      </c>
      <c r="CI238" s="5" t="str">
        <f ca="1">IF(CH238&gt;=90,"VIGENTE",IF(CH238&gt;=1,"POR VENCER",IF(CH238&lt;=-1,"VENCIDA",IF(CH238=0,"NO APLICA"))))</f>
        <v>VIGENTE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39">
        <v>46126</v>
      </c>
      <c r="DK238" s="4">
        <f>DATE(YEAR(DJ238)+2,MONTH(DJ238),DAY(DJ238))</f>
        <v>46857</v>
      </c>
      <c r="DL238" s="8">
        <f ca="1">DK238-TODAY()</f>
        <v>712</v>
      </c>
      <c r="DM238" s="5" t="str">
        <f ca="1">IF(DL238&gt;=91,"VIGENTE",IF(DL238&gt;=1,"POR VENCER",IF(DL238&lt;=-1,"VENCIDA",IF(DJ238=0,"NO APLICA"))))</f>
        <v>VIGENTE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39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1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39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39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39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10"/>
        <v>NO APLICA</v>
      </c>
      <c r="GU238" s="3"/>
      <c r="GV238" s="4"/>
      <c r="GW238" s="4"/>
      <c r="GX238" s="8"/>
      <c r="GY238" s="5" t="str">
        <f t="shared" si="611"/>
        <v>NO APLICA</v>
      </c>
      <c r="GZ238" s="2"/>
      <c r="HA238" s="4"/>
      <c r="HB238" s="4"/>
      <c r="HC238" s="8"/>
      <c r="HD238" s="5" t="str">
        <f t="shared" si="612"/>
        <v>NO APLICA</v>
      </c>
      <c r="HE238" s="6"/>
      <c r="HF238" s="6"/>
      <c r="HG238" s="4"/>
      <c r="HH238" s="8"/>
      <c r="HI238" s="5" t="str">
        <f t="shared" si="698"/>
        <v>NO APLICA</v>
      </c>
      <c r="HJ238" s="2"/>
      <c r="HK238" s="6"/>
      <c r="HL238" s="4"/>
      <c r="HM238" s="8"/>
      <c r="HN238" s="5" t="str">
        <f t="shared" si="694"/>
        <v>NO APLICA</v>
      </c>
      <c r="HO238" s="2"/>
      <c r="HP238" s="2"/>
      <c r="HQ238" s="4"/>
      <c r="HR238" s="2"/>
      <c r="HS238" s="5" t="str">
        <f t="shared" si="732"/>
        <v>NO APLICA</v>
      </c>
      <c r="HT238" s="2"/>
      <c r="HU238" s="6"/>
      <c r="HV238" s="4"/>
      <c r="HW238" s="8"/>
      <c r="HX238" s="5" t="str">
        <f t="shared" si="733"/>
        <v>NO APLICA</v>
      </c>
      <c r="HY238" s="2"/>
      <c r="HZ238" s="6"/>
      <c r="IA238" s="4"/>
      <c r="IB238" s="8"/>
      <c r="IC238" s="5" t="str">
        <f t="shared" si="734"/>
        <v>NO APLICA</v>
      </c>
      <c r="ID238" s="2"/>
      <c r="IE238" s="6"/>
      <c r="IF238" s="4"/>
      <c r="IG238" s="8"/>
      <c r="IH238" s="5" t="str">
        <f t="shared" si="735"/>
        <v>NO APLICA</v>
      </c>
      <c r="II238" s="6"/>
      <c r="IJ238" s="6"/>
      <c r="IK238" s="4"/>
      <c r="IL238" s="8"/>
      <c r="IM238" s="5" t="str">
        <f t="shared" si="736"/>
        <v>NO APLICA</v>
      </c>
      <c r="IN238" s="2"/>
      <c r="IO238" s="6"/>
      <c r="IP238" s="4"/>
      <c r="IQ238" s="8"/>
      <c r="IR238" s="5" t="str">
        <f t="shared" si="737"/>
        <v>NO APLICA</v>
      </c>
      <c r="IS238" s="2"/>
      <c r="IT238" s="6"/>
      <c r="IU238" s="4"/>
      <c r="IV238" s="8"/>
      <c r="IW238" s="5" t="str">
        <f t="shared" si="738"/>
        <v>NO APLICA</v>
      </c>
      <c r="IX238" s="2"/>
      <c r="IY238" s="6"/>
      <c r="IZ238" s="4"/>
      <c r="JA238" s="8"/>
      <c r="JB238" s="5" t="str">
        <f t="shared" si="739"/>
        <v>NO APLICA</v>
      </c>
      <c r="JC238" s="3" t="s">
        <v>780</v>
      </c>
      <c r="JD238" s="3"/>
      <c r="JE238" s="4"/>
      <c r="JF238" s="8"/>
      <c r="JG238" s="5"/>
      <c r="JH238" s="3" t="s">
        <v>780</v>
      </c>
      <c r="JI238" s="6"/>
      <c r="JJ238" s="6"/>
      <c r="JK238" s="6"/>
      <c r="JL238" s="5"/>
      <c r="JM238" s="6" t="s">
        <v>780</v>
      </c>
      <c r="JN238" s="6"/>
      <c r="JO238" s="6"/>
      <c r="JP238" s="6"/>
      <c r="JQ238" s="5"/>
      <c r="JR238" s="6" t="s">
        <v>780</v>
      </c>
      <c r="JS238" s="6"/>
      <c r="JT238" s="6"/>
      <c r="JU238" s="6"/>
      <c r="JV238" s="5"/>
      <c r="JW238" s="6" t="s">
        <v>780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40"/>
        <v>NO APLICA</v>
      </c>
      <c r="KG238" s="5"/>
      <c r="KH238" s="2"/>
      <c r="KI238" s="4"/>
      <c r="KJ238" s="8"/>
      <c r="KK238" s="5" t="str">
        <f t="shared" si="760"/>
        <v>NO APLICA</v>
      </c>
      <c r="KL238" s="5"/>
      <c r="KM238" s="2"/>
      <c r="KN238" s="4"/>
      <c r="KO238" s="8"/>
      <c r="KP238" s="5" t="str">
        <f t="shared" si="741"/>
        <v>NO APLICA</v>
      </c>
      <c r="KQ238" s="5"/>
      <c r="KR238" s="2"/>
      <c r="KS238" s="4"/>
      <c r="KT238" s="8"/>
      <c r="KU238" s="5" t="str">
        <f t="shared" si="761"/>
        <v>NO APLICA</v>
      </c>
      <c r="KV238" s="2"/>
      <c r="KW238" s="6"/>
      <c r="KX238" s="4"/>
      <c r="KY238" s="8"/>
      <c r="KZ238" s="5" t="str">
        <f t="shared" si="767"/>
        <v>NO APLICA</v>
      </c>
      <c r="LA238" s="5"/>
      <c r="LB238" s="6"/>
      <c r="LC238" s="4"/>
      <c r="LD238" s="8"/>
      <c r="LE238" s="5" t="str">
        <f t="shared" si="762"/>
        <v>NO APLICA</v>
      </c>
      <c r="LF238" s="6"/>
      <c r="LG238" s="6"/>
      <c r="LH238" s="4"/>
      <c r="LI238" s="8"/>
      <c r="LJ238" s="5" t="str">
        <f t="shared" si="773"/>
        <v>NO APLICA</v>
      </c>
      <c r="LK238" s="5"/>
      <c r="LL238" s="5"/>
      <c r="LM238" s="4"/>
      <c r="LN238" s="8"/>
      <c r="LO238" s="5" t="str">
        <f t="shared" si="768"/>
        <v>NO APLICA</v>
      </c>
      <c r="LP238" s="2"/>
      <c r="LQ238" s="6"/>
      <c r="LR238" s="4"/>
      <c r="LS238" s="8"/>
      <c r="LT238" s="5" t="str">
        <f t="shared" si="763"/>
        <v>NO APLICA</v>
      </c>
      <c r="LU238" s="6"/>
      <c r="LV238" s="6"/>
      <c r="LW238" s="4"/>
      <c r="LX238" s="8"/>
      <c r="LY238" s="5" t="str">
        <f t="shared" si="764"/>
        <v>NO APLICA</v>
      </c>
      <c r="LZ238" s="6"/>
      <c r="MA238" s="6"/>
      <c r="MB238" s="4"/>
      <c r="MC238" s="8"/>
      <c r="MD238" s="5" t="str">
        <f t="shared" si="765"/>
        <v>NO APLICA</v>
      </c>
      <c r="ME238" s="2"/>
      <c r="MF238" s="2"/>
      <c r="MG238" s="4"/>
      <c r="MH238" s="8"/>
      <c r="MI238" s="5" t="str">
        <f t="shared" si="742"/>
        <v>NO APLICA</v>
      </c>
      <c r="MJ238" s="2"/>
      <c r="MK238" s="2"/>
      <c r="ML238" s="4"/>
      <c r="MM238" s="8"/>
      <c r="MN238" s="5" t="str">
        <f t="shared" si="743"/>
        <v>NO APLICA</v>
      </c>
      <c r="MO238" s="5"/>
      <c r="MP238" s="2"/>
      <c r="MQ238" s="4"/>
      <c r="MR238" s="8"/>
      <c r="MS238" s="5" t="str">
        <f t="shared" si="744"/>
        <v>NO APLICA</v>
      </c>
      <c r="MT238" s="5"/>
      <c r="MU238" s="2"/>
      <c r="MV238" s="4"/>
      <c r="MW238" s="2"/>
      <c r="MX238" s="5" t="str">
        <f t="shared" si="745"/>
        <v>NO APLICA</v>
      </c>
      <c r="MY238" s="2"/>
      <c r="MZ238" s="6"/>
      <c r="NA238" s="4"/>
      <c r="NB238" s="8"/>
      <c r="NC238" s="5" t="str">
        <f t="shared" si="746"/>
        <v>NO APLICA</v>
      </c>
      <c r="ND238" s="2"/>
      <c r="NE238" s="6"/>
      <c r="NF238" s="4"/>
      <c r="NG238" s="8"/>
      <c r="NH238" s="5" t="str">
        <f t="shared" si="747"/>
        <v>NO APLICA</v>
      </c>
      <c r="NI238" s="2"/>
      <c r="NJ238" s="6"/>
      <c r="NK238" s="4"/>
      <c r="NL238" s="8"/>
      <c r="NM238" s="5" t="str">
        <f t="shared" si="748"/>
        <v>NO APLICA</v>
      </c>
      <c r="NN238" s="2"/>
      <c r="NO238" s="2"/>
      <c r="NP238" s="4"/>
      <c r="NQ238" s="8"/>
      <c r="NR238" s="5" t="str">
        <f t="shared" si="749"/>
        <v>NO APLICA</v>
      </c>
      <c r="NS238" s="2"/>
      <c r="NT238" s="2"/>
      <c r="NU238" s="4"/>
      <c r="NV238" s="2"/>
      <c r="NW238" s="5" t="str">
        <f t="shared" si="750"/>
        <v>NO APLICA</v>
      </c>
      <c r="NX238" s="6"/>
      <c r="NY238" s="6"/>
      <c r="NZ238" s="4"/>
      <c r="OA238" s="8"/>
      <c r="OB238" s="5" t="str">
        <f t="shared" si="751"/>
        <v>NO APLICA</v>
      </c>
      <c r="OC238" s="6"/>
      <c r="OD238" s="6"/>
      <c r="OE238" s="6"/>
      <c r="OF238" s="6"/>
      <c r="OG238" s="5" t="str">
        <f t="shared" si="752"/>
        <v>NO APLICA</v>
      </c>
      <c r="OH238" s="6"/>
      <c r="OI238" s="6"/>
      <c r="OJ238" s="4"/>
      <c r="OK238" s="8"/>
      <c r="OL238" s="5" t="str">
        <f t="shared" si="753"/>
        <v>NO APLICA</v>
      </c>
      <c r="OM238" s="6"/>
      <c r="ON238" s="6"/>
      <c r="OO238" s="6"/>
      <c r="OP238" s="6"/>
      <c r="OQ238" s="5" t="str">
        <f t="shared" si="754"/>
        <v>NO APLICA</v>
      </c>
      <c r="OR238" s="6"/>
      <c r="OS238" s="6"/>
      <c r="OT238" s="6"/>
      <c r="OU238" s="6"/>
      <c r="OV238" s="5" t="str">
        <f t="shared" si="755"/>
        <v>NO APLICA</v>
      </c>
      <c r="OW238" s="6"/>
      <c r="OX238" s="6"/>
      <c r="OY238" s="6"/>
      <c r="OZ238" s="6"/>
      <c r="PA238" s="5" t="str">
        <f t="shared" si="769"/>
        <v>NO APLICA</v>
      </c>
      <c r="PB238" s="6"/>
      <c r="PC238" s="6"/>
      <c r="PD238" s="6"/>
      <c r="PE238" s="6"/>
      <c r="PF238" s="5" t="str">
        <f t="shared" si="756"/>
        <v>NO APLICA</v>
      </c>
      <c r="PG238" s="6"/>
      <c r="PH238" s="6"/>
      <c r="PI238" s="6"/>
      <c r="PJ238" s="6"/>
      <c r="PK238" s="5" t="str">
        <f t="shared" si="757"/>
        <v>NO APLICA</v>
      </c>
      <c r="PL238" s="5"/>
      <c r="PM238" s="6"/>
      <c r="PN238" s="4"/>
      <c r="PO238" s="8"/>
      <c r="PP238" s="5" t="str">
        <f t="shared" si="766"/>
        <v>NO APLICA</v>
      </c>
      <c r="PQ238" s="6"/>
      <c r="PR238" s="6"/>
      <c r="PS238" s="6"/>
      <c r="PT238" s="6"/>
      <c r="PU238" s="5" t="str">
        <f t="shared" si="758"/>
        <v>NO APLICA</v>
      </c>
      <c r="PV238" s="5"/>
      <c r="PW238" s="6"/>
      <c r="PX238" s="6"/>
      <c r="PY238" s="6"/>
      <c r="PZ238" s="5" t="str">
        <f t="shared" si="759"/>
        <v>NO APLICA</v>
      </c>
    </row>
    <row r="239" spans="1:442" ht="15.6" hidden="1" thickTop="1" thickBot="1" x14ac:dyDescent="0.35">
      <c r="A239" s="26">
        <v>236</v>
      </c>
      <c r="B239" s="27">
        <v>1162</v>
      </c>
      <c r="C239" s="33" t="s">
        <v>693</v>
      </c>
      <c r="D239" s="29" t="s">
        <v>68</v>
      </c>
      <c r="E239" s="30" t="s">
        <v>73</v>
      </c>
      <c r="F239" s="6"/>
      <c r="G239" s="6"/>
      <c r="H239" s="4"/>
      <c r="I239" s="8"/>
      <c r="J239" s="5" t="str">
        <f t="shared" si="696"/>
        <v>NO APLICA</v>
      </c>
      <c r="K239" s="2"/>
      <c r="L239" s="3"/>
      <c r="M239" s="4"/>
      <c r="N239" s="4"/>
      <c r="O239" s="5" t="str">
        <f t="shared" si="699"/>
        <v>NO APLICA</v>
      </c>
      <c r="P239" s="5"/>
      <c r="Q239" s="2"/>
      <c r="R239" s="3"/>
      <c r="S239" s="4"/>
      <c r="T239" s="5" t="str">
        <f t="shared" si="69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4">IF(Y239&gt;=90,"VIGENTE",IF(Y239&gt;=1,"POR VENCER",IF(Y239&lt;=-1,"VENCIDA",IF(W239=0,"NO APLICA"))))</f>
        <v>VIGENTE</v>
      </c>
      <c r="AA239" s="5"/>
      <c r="AB239" s="5" t="s">
        <v>694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700"/>
        <v>VIGENTE</v>
      </c>
      <c r="AG239" s="3"/>
      <c r="AH239" s="4"/>
      <c r="AI239" s="4"/>
      <c r="AJ239" s="8"/>
      <c r="AK239" s="5" t="str">
        <f t="shared" si="772"/>
        <v>NO APLICA</v>
      </c>
      <c r="AL239" s="3"/>
      <c r="AM239" s="4"/>
      <c r="AN239" s="4"/>
      <c r="AO239" s="8"/>
      <c r="AP239" s="5" t="str">
        <f t="shared" si="701"/>
        <v>NO APLICA</v>
      </c>
      <c r="AQ239" s="3"/>
      <c r="AR239" s="4"/>
      <c r="AS239" s="4"/>
      <c r="AT239" s="8"/>
      <c r="AU239" s="5" t="str">
        <f t="shared" ref="AU239:AU240" si="775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6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7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8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9">IF(BN239&gt;=91,"VIGENTE",IF(BN239&gt;=1,"POR VENCER",IF(BN239&lt;=-1,"VENCIDA",IF(BL239=0,"NO APLICA"))))</f>
        <v>NO APLICA</v>
      </c>
      <c r="BP239" s="3"/>
      <c r="BQ239" s="39"/>
      <c r="BR239" s="4"/>
      <c r="BS239" s="8"/>
      <c r="BT239" s="5" t="str">
        <f t="shared" ref="BT239:BT240" si="780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1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2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3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4">IF(CM239&gt;=91,"VIGENTE",IF(CM239&gt;=1,"POR VENCER",IF(CM239&lt;=-1,"VENCIDA",IF(CK239=0,"NO APLICA"))))</f>
        <v>NO APLICA</v>
      </c>
      <c r="CO239" s="4"/>
      <c r="CP239" s="39"/>
      <c r="CQ239" s="8"/>
      <c r="CR239" s="5"/>
      <c r="CS239" s="5" t="str">
        <f t="shared" ref="CS239:CS240" si="785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6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7">IF(DB239&gt;=91,"VIGENTE",IF(DB239&gt;=1,"POR VENCER",IF(DB239&lt;=-1,"VENCIDA",IF(CZ239=0,"NO APLICA"))))</f>
        <v>NO APLICA</v>
      </c>
      <c r="DD239" s="4"/>
      <c r="DE239" s="39"/>
      <c r="DF239" s="8"/>
      <c r="DG239" s="5"/>
      <c r="DH239" s="5" t="str">
        <f t="shared" ref="DH239:DH240" si="788">IF(DG239&gt;=91,"VIGENTE",IF(DG239&gt;=1,"POR VENCER",IF(DG239&lt;=-1,"VENCIDA",IF(DE239=0,"NO APLICA"))))</f>
        <v>NO APLICA</v>
      </c>
      <c r="DI239" s="4"/>
      <c r="DJ239" s="39"/>
      <c r="DK239" s="8"/>
      <c r="DL239" s="5"/>
      <c r="DM239" s="5" t="str">
        <f t="shared" ref="DM239:DM240" si="789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90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1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2">IF(EA239&gt;=91,"VIGENTE",IF(EA239&gt;=1,"POR VENCER",IF(EA239&lt;=-1,"VENCIDA",IF(DY239=0,"NO APLICA"))))</f>
        <v>NO APLICA</v>
      </c>
      <c r="EC239" s="5"/>
      <c r="ED239" s="40"/>
      <c r="EE239" s="4"/>
      <c r="EF239" s="4"/>
      <c r="EG239" s="5" t="str">
        <f t="shared" ref="EG239:EG240" si="793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4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5">IF(EP239&gt;=91,"VIGENTE",IF(EP239&gt;=1,"POR VENCER",IF(EP239&lt;=-1,"VENCIDA",IF(EN239=0,"NO APLICA"))))</f>
        <v>NO APLICA</v>
      </c>
      <c r="ER239" s="4"/>
      <c r="ES239" s="39"/>
      <c r="ET239" s="8"/>
      <c r="EU239" s="5"/>
      <c r="EV239" s="5" t="str">
        <f t="shared" ref="EV239:EV240" si="796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7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8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9">IF(FJ239&gt;=91,"VIGENTE",IF(FJ239&gt;=1,"POR VENCER",IF(FJ239&lt;=-1,"VENCIDA",IF(FH239=0,"NO APLICA"))))</f>
        <v>NO APLICA</v>
      </c>
      <c r="FL239" s="4"/>
      <c r="FM239" s="39"/>
      <c r="FN239" s="8"/>
      <c r="FO239" s="5"/>
      <c r="FP239" s="5" t="str">
        <f t="shared" ref="FP239:FP240" si="800">IF(FO239&gt;=91,"VIGENTE",IF(FO239&gt;=1,"POR VENCER",IF(FO239&lt;=-1,"VENCIDA",IF(FM239=0,"NO APLICA"))))</f>
        <v>NO APLICA</v>
      </c>
      <c r="FQ239" s="4"/>
      <c r="FR239" s="39"/>
      <c r="FS239" s="8"/>
      <c r="FT239" s="5"/>
      <c r="FU239" s="5" t="str">
        <f t="shared" ref="FU239:FU240" si="801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2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3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4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5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10"/>
        <v>NO APLICA</v>
      </c>
      <c r="GU239" s="4"/>
      <c r="GV239" s="4"/>
      <c r="GW239" s="8"/>
      <c r="GX239" s="5"/>
      <c r="GY239" s="5" t="str">
        <f t="shared" si="611"/>
        <v>NO APLICA</v>
      </c>
      <c r="GZ239" s="6"/>
      <c r="HA239" s="4"/>
      <c r="HB239" s="8"/>
      <c r="HC239" s="5"/>
      <c r="HD239" s="5" t="str">
        <f t="shared" si="612"/>
        <v>NO APLICA</v>
      </c>
      <c r="HE239" s="2"/>
      <c r="HF239" s="4"/>
      <c r="HG239" s="2"/>
      <c r="HH239" s="5"/>
      <c r="HI239" s="5" t="str">
        <f t="shared" si="698"/>
        <v>NO APLICA</v>
      </c>
      <c r="HJ239" s="4"/>
      <c r="HK239" s="4"/>
      <c r="HL239" s="8"/>
      <c r="HM239" s="5"/>
      <c r="HN239" s="5" t="str">
        <f t="shared" si="694"/>
        <v>NO APLICA</v>
      </c>
      <c r="HO239" s="4"/>
      <c r="HP239" s="4"/>
      <c r="HQ239" s="8"/>
      <c r="HR239" s="5"/>
      <c r="HS239" s="5" t="str">
        <f t="shared" si="732"/>
        <v>NO APLICA</v>
      </c>
      <c r="HT239" s="4"/>
      <c r="HU239" s="4"/>
      <c r="HV239" s="8"/>
      <c r="HW239" s="5"/>
      <c r="HX239" s="5" t="str">
        <f t="shared" si="733"/>
        <v>NO APLICA</v>
      </c>
      <c r="HY239" s="4"/>
      <c r="HZ239" s="4"/>
      <c r="IA239" s="8"/>
      <c r="IB239" s="5"/>
      <c r="IC239" s="5" t="str">
        <f t="shared" si="734"/>
        <v>NO APLICA</v>
      </c>
      <c r="ID239" s="4"/>
      <c r="IE239" s="4"/>
      <c r="IF239" s="8"/>
      <c r="IG239" s="5"/>
      <c r="IH239" s="5" t="str">
        <f t="shared" si="735"/>
        <v>NO APLICA</v>
      </c>
      <c r="II239" s="4"/>
      <c r="IJ239" s="4"/>
      <c r="IK239" s="8"/>
      <c r="IL239" s="5"/>
      <c r="IM239" s="5" t="str">
        <f t="shared" si="736"/>
        <v>NO APLICA</v>
      </c>
      <c r="IN239" s="4"/>
      <c r="IO239" s="4"/>
      <c r="IP239" s="8"/>
      <c r="IQ239" s="5"/>
      <c r="IR239" s="5" t="str">
        <f t="shared" si="737"/>
        <v>NO APLICA</v>
      </c>
      <c r="IS239" s="3"/>
      <c r="IT239" s="4"/>
      <c r="IU239" s="8"/>
      <c r="IV239" s="5"/>
      <c r="IW239" s="5" t="str">
        <f t="shared" si="738"/>
        <v>NO APLICA</v>
      </c>
      <c r="IX239" s="6"/>
      <c r="IY239" s="6"/>
      <c r="IZ239" s="5"/>
      <c r="JA239" s="6"/>
      <c r="JB239" s="5" t="str">
        <f t="shared" si="739"/>
        <v>NO APLICA</v>
      </c>
      <c r="JC239" s="3" t="s">
        <v>780</v>
      </c>
      <c r="JD239" s="5"/>
      <c r="JE239" s="6"/>
      <c r="JF239" s="6"/>
      <c r="JG239" s="5"/>
      <c r="JH239" s="3" t="s">
        <v>780</v>
      </c>
      <c r="JI239" s="6"/>
      <c r="JJ239" s="5"/>
      <c r="JK239" s="2"/>
      <c r="JL239" s="5"/>
      <c r="JM239" s="6" t="s">
        <v>780</v>
      </c>
      <c r="JN239" s="8"/>
      <c r="JO239" s="5"/>
      <c r="JP239" s="2"/>
      <c r="JQ239" s="5"/>
      <c r="JR239" s="6" t="s">
        <v>780</v>
      </c>
      <c r="JS239" s="5"/>
      <c r="JT239" s="2"/>
      <c r="JU239" s="4"/>
      <c r="JV239" s="5"/>
      <c r="JW239" s="6" t="s">
        <v>780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40"/>
        <v>NO APLICA</v>
      </c>
      <c r="KG239" s="5"/>
      <c r="KH239" s="5"/>
      <c r="KI239" s="4"/>
      <c r="KJ239" s="4"/>
      <c r="KK239" s="5" t="str">
        <f t="shared" si="760"/>
        <v>NO APLICA</v>
      </c>
      <c r="KL239" s="5"/>
      <c r="KM239" s="5"/>
      <c r="KN239" s="6"/>
      <c r="KO239" s="6"/>
      <c r="KP239" s="5" t="str">
        <f t="shared" si="741"/>
        <v>NO APLICA</v>
      </c>
      <c r="KQ239" s="5"/>
      <c r="KR239" s="8"/>
      <c r="KS239" s="5"/>
      <c r="KT239" s="5"/>
      <c r="KU239" s="5" t="str">
        <f t="shared" si="761"/>
        <v>NO APLICA</v>
      </c>
      <c r="KV239" s="5"/>
      <c r="KW239" s="5"/>
      <c r="KX239" s="5"/>
      <c r="KY239" s="2"/>
      <c r="KZ239" s="5" t="str">
        <f t="shared" si="767"/>
        <v>NO APLICA</v>
      </c>
      <c r="LA239" s="5"/>
      <c r="LB239" s="4"/>
      <c r="LC239" s="8"/>
      <c r="LD239" s="5"/>
      <c r="LE239" s="5" t="str">
        <f t="shared" si="762"/>
        <v>NO APLICA</v>
      </c>
      <c r="LF239" s="6"/>
      <c r="LG239" s="4"/>
      <c r="LH239" s="8"/>
      <c r="LI239" s="5"/>
      <c r="LJ239" s="5" t="str">
        <f t="shared" si="773"/>
        <v>NO APLICA</v>
      </c>
      <c r="LK239" s="6"/>
      <c r="LL239" s="4"/>
      <c r="LM239" s="8"/>
      <c r="LN239" s="5"/>
      <c r="LO239" s="5" t="str">
        <f t="shared" si="768"/>
        <v>NO APLICA</v>
      </c>
      <c r="LP239" s="2"/>
      <c r="LQ239" s="4"/>
      <c r="LR239" s="8"/>
      <c r="LS239" s="5"/>
      <c r="LT239" s="5" t="str">
        <f t="shared" si="763"/>
        <v>NO APLICA</v>
      </c>
      <c r="LU239" s="2"/>
      <c r="LV239" s="4"/>
      <c r="LW239" s="8"/>
      <c r="LX239" s="5"/>
      <c r="LY239" s="5" t="str">
        <f t="shared" si="764"/>
        <v>NO APLICA</v>
      </c>
      <c r="LZ239" s="4"/>
      <c r="MA239" s="8"/>
      <c r="MB239" s="5"/>
      <c r="MC239" s="2"/>
      <c r="MD239" s="5" t="str">
        <f t="shared" si="765"/>
        <v>NO APLICA</v>
      </c>
      <c r="ME239" s="2"/>
      <c r="MF239" s="5"/>
      <c r="MG239" s="2"/>
      <c r="MH239" s="6"/>
      <c r="MI239" s="5" t="str">
        <f t="shared" si="742"/>
        <v>NO APLICA</v>
      </c>
      <c r="MJ239" s="8"/>
      <c r="MK239" s="5"/>
      <c r="ML239" s="2"/>
      <c r="MM239" s="6"/>
      <c r="MN239" s="5" t="str">
        <f t="shared" si="743"/>
        <v>NO APLICA</v>
      </c>
      <c r="MO239" s="5"/>
      <c r="MP239" s="8"/>
      <c r="MQ239" s="5"/>
      <c r="MR239" s="2"/>
      <c r="MS239" s="5" t="str">
        <f t="shared" si="744"/>
        <v>NO APLICA</v>
      </c>
      <c r="MT239" s="5"/>
      <c r="MU239" s="4"/>
      <c r="MV239" s="8"/>
      <c r="MW239" s="5"/>
      <c r="MX239" s="5" t="str">
        <f t="shared" si="745"/>
        <v>NO APLICA</v>
      </c>
      <c r="MY239" s="2"/>
      <c r="MZ239" s="4"/>
      <c r="NA239" s="2"/>
      <c r="NB239" s="5"/>
      <c r="NC239" s="5" t="str">
        <f t="shared" si="746"/>
        <v>NO APLICA</v>
      </c>
      <c r="ND239" s="2"/>
      <c r="NE239" s="4"/>
      <c r="NF239" s="2"/>
      <c r="NG239" s="5"/>
      <c r="NH239" s="5" t="str">
        <f t="shared" si="747"/>
        <v>NO APLICA</v>
      </c>
      <c r="NI239" s="6"/>
      <c r="NJ239" s="4"/>
      <c r="NK239" s="8"/>
      <c r="NL239" s="5"/>
      <c r="NM239" s="5" t="str">
        <f t="shared" si="748"/>
        <v>NO APLICA</v>
      </c>
      <c r="NN239" s="6"/>
      <c r="NO239" s="6"/>
      <c r="NP239" s="6"/>
      <c r="NQ239" s="5"/>
      <c r="NR239" s="5" t="str">
        <f t="shared" si="749"/>
        <v>NO APLICA</v>
      </c>
      <c r="NS239" s="6"/>
      <c r="NT239" s="4"/>
      <c r="NU239" s="8"/>
      <c r="NV239" s="5"/>
      <c r="NW239" s="5" t="str">
        <f t="shared" si="750"/>
        <v>NO APLICA</v>
      </c>
      <c r="NX239" s="6"/>
      <c r="NY239" s="6"/>
      <c r="NZ239" s="6"/>
      <c r="OA239" s="5"/>
      <c r="OB239" s="5" t="str">
        <f t="shared" si="751"/>
        <v>NO APLICA</v>
      </c>
      <c r="OC239" s="6"/>
      <c r="OD239" s="6"/>
      <c r="OE239" s="6"/>
      <c r="OF239" s="5"/>
      <c r="OG239" s="5" t="str">
        <f t="shared" si="752"/>
        <v>NO APLICA</v>
      </c>
      <c r="OH239" s="6"/>
      <c r="OI239" s="6"/>
      <c r="OJ239" s="6"/>
      <c r="OK239" s="5"/>
      <c r="OL239" s="5" t="str">
        <f t="shared" si="753"/>
        <v>NO APLICA</v>
      </c>
      <c r="OM239" s="6"/>
      <c r="ON239" s="6"/>
      <c r="OO239" s="6"/>
      <c r="OP239" s="5"/>
      <c r="OQ239" s="5" t="str">
        <f t="shared" si="754"/>
        <v>NO APLICA</v>
      </c>
      <c r="OR239" s="6"/>
      <c r="OS239" s="6"/>
      <c r="OT239" s="6"/>
      <c r="OU239" s="5"/>
      <c r="OV239" s="5" t="str">
        <f t="shared" si="755"/>
        <v>NO APLICA</v>
      </c>
      <c r="OW239" s="4"/>
      <c r="OX239" s="8"/>
      <c r="OY239" s="5"/>
      <c r="OZ239" s="6"/>
      <c r="PA239" s="5" t="str">
        <f t="shared" si="769"/>
        <v>NO APLICA</v>
      </c>
      <c r="PB239" s="6"/>
      <c r="PC239" s="6"/>
      <c r="PD239" s="5"/>
      <c r="PE239" s="6"/>
      <c r="PF239" s="5" t="str">
        <f t="shared" si="756"/>
        <v>NO APLICA</v>
      </c>
      <c r="PG239" s="6"/>
      <c r="PH239" s="5"/>
      <c r="PI239" s="6"/>
      <c r="PJ239" s="4"/>
      <c r="PK239" s="5" t="str">
        <f t="shared" si="757"/>
        <v>NO APLICA</v>
      </c>
      <c r="PL239" s="5"/>
      <c r="PM239" s="6"/>
      <c r="PN239" s="6"/>
      <c r="PO239" s="6"/>
      <c r="PP239" s="5" t="str">
        <f t="shared" si="766"/>
        <v>NO APLICA</v>
      </c>
      <c r="PQ239" s="6"/>
      <c r="PR239" s="6"/>
      <c r="PS239" s="6"/>
      <c r="PT239" s="6"/>
      <c r="PU239" s="5" t="str">
        <f t="shared" si="758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9"/>
        <v>VIGENTE</v>
      </c>
    </row>
    <row r="240" spans="1:442" ht="15.6" hidden="1" thickTop="1" thickBot="1" x14ac:dyDescent="0.35">
      <c r="A240" s="26">
        <v>237</v>
      </c>
      <c r="B240" s="27">
        <v>914</v>
      </c>
      <c r="C240" s="33" t="s">
        <v>695</v>
      </c>
      <c r="D240" s="29" t="s">
        <v>113</v>
      </c>
      <c r="E240" s="30" t="s">
        <v>696</v>
      </c>
      <c r="F240" s="6"/>
      <c r="G240" s="6"/>
      <c r="H240" s="4"/>
      <c r="I240" s="8"/>
      <c r="J240" s="5" t="str">
        <f t="shared" si="696"/>
        <v>NO APLICA</v>
      </c>
      <c r="K240" s="2"/>
      <c r="L240" s="3"/>
      <c r="M240" s="4"/>
      <c r="N240" s="4"/>
      <c r="O240" s="5" t="str">
        <f t="shared" si="699"/>
        <v>NO APLICA</v>
      </c>
      <c r="P240" s="5"/>
      <c r="Q240" s="2"/>
      <c r="R240" s="3"/>
      <c r="S240" s="4"/>
      <c r="T240" s="5" t="str">
        <f t="shared" si="697"/>
        <v>NO APLICA</v>
      </c>
      <c r="U240" s="5"/>
      <c r="V240" s="8"/>
      <c r="W240" s="4"/>
      <c r="X240" s="4"/>
      <c r="Y240" s="4"/>
      <c r="Z240" s="5" t="str">
        <f t="shared" si="774"/>
        <v>NO APLICA</v>
      </c>
      <c r="AA240" s="5"/>
      <c r="AB240" s="5"/>
      <c r="AC240" s="4"/>
      <c r="AD240" s="4"/>
      <c r="AE240" s="8"/>
      <c r="AF240" s="5" t="str">
        <f t="shared" si="700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5"/>
        <v>NO APLICA</v>
      </c>
      <c r="AV240" s="3"/>
      <c r="AW240" s="4"/>
      <c r="AX240" s="4"/>
      <c r="AY240" s="8"/>
      <c r="AZ240" s="5" t="str">
        <f t="shared" si="776"/>
        <v>NO APLICA</v>
      </c>
      <c r="BA240" s="3"/>
      <c r="BB240" s="4"/>
      <c r="BC240" s="4"/>
      <c r="BD240" s="8"/>
      <c r="BE240" s="5" t="str">
        <f t="shared" si="777"/>
        <v>NO APLICA</v>
      </c>
      <c r="BF240" s="3"/>
      <c r="BG240" s="4"/>
      <c r="BH240" s="4"/>
      <c r="BI240" s="8"/>
      <c r="BJ240" s="5" t="str">
        <f t="shared" si="778"/>
        <v>NO APLICA</v>
      </c>
      <c r="BK240" s="3"/>
      <c r="BL240" s="4"/>
      <c r="BM240" s="4"/>
      <c r="BN240" s="8"/>
      <c r="BO240" s="5" t="str">
        <f t="shared" si="779"/>
        <v>NO APLICA</v>
      </c>
      <c r="BP240" s="3"/>
      <c r="BQ240" s="39"/>
      <c r="BR240" s="4"/>
      <c r="BS240" s="8"/>
      <c r="BT240" s="5" t="str">
        <f t="shared" si="780"/>
        <v>NO APLICA</v>
      </c>
      <c r="BU240" s="4"/>
      <c r="BV240" s="4"/>
      <c r="BW240" s="4"/>
      <c r="BX240" s="8"/>
      <c r="BY240" s="5" t="str">
        <f t="shared" si="781"/>
        <v>NO APLICA</v>
      </c>
      <c r="BZ240" s="4"/>
      <c r="CA240" s="4"/>
      <c r="CB240" s="4"/>
      <c r="CC240" s="8"/>
      <c r="CD240" s="5" t="str">
        <f t="shared" si="782"/>
        <v>NO APLICA</v>
      </c>
      <c r="CE240" s="3"/>
      <c r="CF240" s="4"/>
      <c r="CG240" s="8"/>
      <c r="CH240" s="5"/>
      <c r="CI240" s="5" t="str">
        <f t="shared" si="783"/>
        <v>NO APLICA</v>
      </c>
      <c r="CJ240" s="4"/>
      <c r="CK240" s="4"/>
      <c r="CL240" s="8"/>
      <c r="CM240" s="5"/>
      <c r="CN240" s="5" t="str">
        <f t="shared" si="784"/>
        <v>NO APLICA</v>
      </c>
      <c r="CO240" s="4"/>
      <c r="CP240" s="39"/>
      <c r="CQ240" s="8"/>
      <c r="CR240" s="5"/>
      <c r="CS240" s="5" t="str">
        <f t="shared" si="785"/>
        <v>NO APLICA</v>
      </c>
      <c r="CT240" s="4"/>
      <c r="CU240" s="4"/>
      <c r="CV240" s="8"/>
      <c r="CW240" s="5"/>
      <c r="CX240" s="5" t="str">
        <f t="shared" si="786"/>
        <v>NO APLICA</v>
      </c>
      <c r="CY240" s="4"/>
      <c r="CZ240" s="4"/>
      <c r="DA240" s="8"/>
      <c r="DB240" s="5"/>
      <c r="DC240" s="5" t="str">
        <f t="shared" si="787"/>
        <v>NO APLICA</v>
      </c>
      <c r="DD240" s="4"/>
      <c r="DE240" s="39"/>
      <c r="DF240" s="8"/>
      <c r="DG240" s="5"/>
      <c r="DH240" s="5" t="str">
        <f t="shared" si="788"/>
        <v>NO APLICA</v>
      </c>
      <c r="DI240" s="4"/>
      <c r="DJ240" s="39"/>
      <c r="DK240" s="8"/>
      <c r="DL240" s="5"/>
      <c r="DM240" s="5" t="str">
        <f t="shared" si="789"/>
        <v>NO APLICA</v>
      </c>
      <c r="DN240" s="4"/>
      <c r="DO240" s="4"/>
      <c r="DP240" s="8"/>
      <c r="DQ240" s="5"/>
      <c r="DR240" s="5" t="str">
        <f t="shared" si="790"/>
        <v>NO APLICA</v>
      </c>
      <c r="DS240" s="4"/>
      <c r="DT240" s="4"/>
      <c r="DU240" s="8"/>
      <c r="DV240" s="5"/>
      <c r="DW240" s="5" t="str">
        <f t="shared" si="791"/>
        <v>NO APLICA</v>
      </c>
      <c r="DX240" s="3"/>
      <c r="DY240" s="3"/>
      <c r="DZ240" s="4"/>
      <c r="EA240" s="4"/>
      <c r="EB240" s="5" t="str">
        <f t="shared" si="792"/>
        <v>NO APLICA</v>
      </c>
      <c r="EC240" s="5"/>
      <c r="ED240" s="40"/>
      <c r="EE240" s="4"/>
      <c r="EF240" s="4"/>
      <c r="EG240" s="5" t="str">
        <f t="shared" si="793"/>
        <v>NO APLICA</v>
      </c>
      <c r="EH240" s="4"/>
      <c r="EI240" s="4"/>
      <c r="EJ240" s="8"/>
      <c r="EK240" s="5"/>
      <c r="EL240" s="5" t="str">
        <f t="shared" si="794"/>
        <v>NO APLICA</v>
      </c>
      <c r="EM240" s="4"/>
      <c r="EN240" s="4"/>
      <c r="EO240" s="8"/>
      <c r="EP240" s="5"/>
      <c r="EQ240" s="5" t="str">
        <f t="shared" si="795"/>
        <v>NO APLICA</v>
      </c>
      <c r="ER240" s="4"/>
      <c r="ES240" s="39"/>
      <c r="ET240" s="8"/>
      <c r="EU240" s="5"/>
      <c r="EV240" s="5" t="str">
        <f t="shared" si="796"/>
        <v>NO APLICA</v>
      </c>
      <c r="EW240" s="4"/>
      <c r="EX240" s="4"/>
      <c r="EY240" s="8"/>
      <c r="EZ240" s="5"/>
      <c r="FA240" s="5" t="str">
        <f t="shared" si="797"/>
        <v>NO APLICA</v>
      </c>
      <c r="FB240" s="4"/>
      <c r="FC240" s="4"/>
      <c r="FD240" s="8"/>
      <c r="FE240" s="5"/>
      <c r="FF240" s="5" t="str">
        <f t="shared" si="798"/>
        <v>NO APLICA</v>
      </c>
      <c r="FG240" s="4"/>
      <c r="FH240" s="4"/>
      <c r="FI240" s="8"/>
      <c r="FJ240" s="5"/>
      <c r="FK240" s="5" t="str">
        <f t="shared" si="799"/>
        <v>NO APLICA</v>
      </c>
      <c r="FL240" s="4"/>
      <c r="FM240" s="39"/>
      <c r="FN240" s="8"/>
      <c r="FO240" s="5"/>
      <c r="FP240" s="5" t="str">
        <f t="shared" si="800"/>
        <v>NO APLICA</v>
      </c>
      <c r="FQ240" s="4"/>
      <c r="FR240" s="39"/>
      <c r="FS240" s="8"/>
      <c r="FT240" s="5"/>
      <c r="FU240" s="5" t="str">
        <f t="shared" si="801"/>
        <v>NO APLICA</v>
      </c>
      <c r="FV240" s="4"/>
      <c r="FW240" s="4"/>
      <c r="FX240" s="8"/>
      <c r="FY240" s="5"/>
      <c r="FZ240" s="5" t="str">
        <f t="shared" si="802"/>
        <v>NO APLICA</v>
      </c>
      <c r="GA240" s="4"/>
      <c r="GB240" s="4"/>
      <c r="GC240" s="8"/>
      <c r="GD240" s="5"/>
      <c r="GE240" s="5" t="str">
        <f t="shared" si="803"/>
        <v>NO APLICA</v>
      </c>
      <c r="GF240" s="4"/>
      <c r="GG240" s="4"/>
      <c r="GH240" s="8"/>
      <c r="GI240" s="5"/>
      <c r="GJ240" s="5" t="str">
        <f t="shared" si="804"/>
        <v>NO APLICA</v>
      </c>
      <c r="GK240" s="4"/>
      <c r="GL240" s="4"/>
      <c r="GM240" s="8"/>
      <c r="GN240" s="5"/>
      <c r="GO240" s="5" t="str">
        <f t="shared" si="805"/>
        <v>NO APLICA</v>
      </c>
      <c r="GP240" s="4"/>
      <c r="GQ240" s="4"/>
      <c r="GR240" s="8"/>
      <c r="GS240" s="5"/>
      <c r="GT240" s="5" t="str">
        <f t="shared" si="610"/>
        <v>NO APLICA</v>
      </c>
      <c r="GU240" s="4"/>
      <c r="GV240" s="4"/>
      <c r="GW240" s="8"/>
      <c r="GX240" s="5"/>
      <c r="GY240" s="5" t="str">
        <f t="shared" si="611"/>
        <v>NO APLICA</v>
      </c>
      <c r="GZ240" s="6"/>
      <c r="HA240" s="4"/>
      <c r="HB240" s="8"/>
      <c r="HC240" s="5"/>
      <c r="HD240" s="5" t="str">
        <f t="shared" si="612"/>
        <v>NO APLICA</v>
      </c>
      <c r="HE240" s="2"/>
      <c r="HF240" s="4"/>
      <c r="HG240" s="2"/>
      <c r="HH240" s="5"/>
      <c r="HI240" s="5" t="str">
        <f t="shared" si="698"/>
        <v>NO APLICA</v>
      </c>
      <c r="HJ240" s="4"/>
      <c r="HK240" s="4"/>
      <c r="HL240" s="8"/>
      <c r="HM240" s="5"/>
      <c r="HN240" s="5" t="str">
        <f t="shared" si="694"/>
        <v>NO APLICA</v>
      </c>
      <c r="HO240" s="4"/>
      <c r="HP240" s="4"/>
      <c r="HQ240" s="8"/>
      <c r="HR240" s="5"/>
      <c r="HS240" s="5" t="str">
        <f t="shared" si="732"/>
        <v>NO APLICA</v>
      </c>
      <c r="HT240" s="4"/>
      <c r="HU240" s="4"/>
      <c r="HV240" s="8"/>
      <c r="HW240" s="5"/>
      <c r="HX240" s="5" t="str">
        <f t="shared" si="733"/>
        <v>NO APLICA</v>
      </c>
      <c r="HY240" s="4"/>
      <c r="HZ240" s="4"/>
      <c r="IA240" s="8"/>
      <c r="IB240" s="5"/>
      <c r="IC240" s="5" t="str">
        <f t="shared" si="734"/>
        <v>NO APLICA</v>
      </c>
      <c r="ID240" s="4"/>
      <c r="IE240" s="4"/>
      <c r="IF240" s="8"/>
      <c r="IG240" s="5"/>
      <c r="IH240" s="5" t="str">
        <f t="shared" si="735"/>
        <v>NO APLICA</v>
      </c>
      <c r="II240" s="4"/>
      <c r="IJ240" s="4"/>
      <c r="IK240" s="8"/>
      <c r="IL240" s="5"/>
      <c r="IM240" s="5" t="str">
        <f t="shared" si="736"/>
        <v>NO APLICA</v>
      </c>
      <c r="IN240" s="4"/>
      <c r="IO240" s="4"/>
      <c r="IP240" s="8"/>
      <c r="IQ240" s="5"/>
      <c r="IR240" s="5" t="str">
        <f t="shared" si="737"/>
        <v>NO APLICA</v>
      </c>
      <c r="IS240" s="3"/>
      <c r="IT240" s="4"/>
      <c r="IU240" s="8"/>
      <c r="IV240" s="5"/>
      <c r="IW240" s="5" t="str">
        <f t="shared" si="738"/>
        <v>NO APLICA</v>
      </c>
      <c r="IX240" s="6"/>
      <c r="IY240" s="6"/>
      <c r="IZ240" s="5"/>
      <c r="JA240" s="6"/>
      <c r="JB240" s="5" t="str">
        <f t="shared" si="739"/>
        <v>NO APLICA</v>
      </c>
      <c r="JC240" s="3" t="s">
        <v>780</v>
      </c>
      <c r="JD240" s="5"/>
      <c r="JE240" s="6"/>
      <c r="JF240" s="6"/>
      <c r="JG240" s="5"/>
      <c r="JH240" s="3" t="s">
        <v>780</v>
      </c>
      <c r="JI240" s="6"/>
      <c r="JJ240" s="5"/>
      <c r="JK240" s="2"/>
      <c r="JL240" s="5"/>
      <c r="JM240" s="6" t="s">
        <v>780</v>
      </c>
      <c r="JN240" s="8"/>
      <c r="JO240" s="5"/>
      <c r="JP240" s="2"/>
      <c r="JQ240" s="5"/>
      <c r="JR240" s="6" t="s">
        <v>780</v>
      </c>
      <c r="JS240" s="5"/>
      <c r="JT240" s="2"/>
      <c r="JU240" s="4"/>
      <c r="JV240" s="5"/>
      <c r="JW240" s="6" t="s">
        <v>780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40"/>
        <v>NO APLICA</v>
      </c>
      <c r="KG240" s="5"/>
      <c r="KH240" s="5"/>
      <c r="KI240" s="4"/>
      <c r="KJ240" s="4"/>
      <c r="KK240" s="5" t="str">
        <f t="shared" si="760"/>
        <v>NO APLICA</v>
      </c>
      <c r="KL240" s="5"/>
      <c r="KM240" s="5"/>
      <c r="KN240" s="6"/>
      <c r="KO240" s="6"/>
      <c r="KP240" s="5" t="str">
        <f t="shared" si="741"/>
        <v>NO APLICA</v>
      </c>
      <c r="KQ240" s="5"/>
      <c r="KR240" s="8"/>
      <c r="KS240" s="5"/>
      <c r="KT240" s="5"/>
      <c r="KU240" s="5" t="str">
        <f t="shared" si="761"/>
        <v>NO APLICA</v>
      </c>
      <c r="KV240" s="5"/>
      <c r="KW240" s="5"/>
      <c r="KX240" s="5"/>
      <c r="KY240" s="2"/>
      <c r="KZ240" s="5" t="str">
        <f t="shared" si="767"/>
        <v>NO APLICA</v>
      </c>
      <c r="LA240" s="5"/>
      <c r="LB240" s="4"/>
      <c r="LC240" s="8"/>
      <c r="LD240" s="5"/>
      <c r="LE240" s="5" t="str">
        <f t="shared" si="762"/>
        <v>NO APLICA</v>
      </c>
      <c r="LF240" s="6"/>
      <c r="LG240" s="4"/>
      <c r="LH240" s="8"/>
      <c r="LI240" s="5"/>
      <c r="LJ240" s="5" t="str">
        <f t="shared" si="773"/>
        <v>NO APLICA</v>
      </c>
      <c r="LK240" s="6"/>
      <c r="LL240" s="4"/>
      <c r="LM240" s="8"/>
      <c r="LN240" s="5"/>
      <c r="LO240" s="5" t="str">
        <f t="shared" si="768"/>
        <v>NO APLICA</v>
      </c>
      <c r="LP240" s="2"/>
      <c r="LQ240" s="4"/>
      <c r="LR240" s="8"/>
      <c r="LS240" s="5"/>
      <c r="LT240" s="5" t="str">
        <f t="shared" si="763"/>
        <v>NO APLICA</v>
      </c>
      <c r="LU240" s="2"/>
      <c r="LV240" s="4"/>
      <c r="LW240" s="8"/>
      <c r="LX240" s="5"/>
      <c r="LY240" s="5" t="str">
        <f t="shared" si="764"/>
        <v>NO APLICA</v>
      </c>
      <c r="LZ240" s="4"/>
      <c r="MA240" s="8"/>
      <c r="MB240" s="5"/>
      <c r="MC240" s="2"/>
      <c r="MD240" s="5" t="str">
        <f t="shared" si="765"/>
        <v>NO APLICA</v>
      </c>
      <c r="ME240" s="2"/>
      <c r="MF240" s="5"/>
      <c r="MG240" s="2"/>
      <c r="MH240" s="6"/>
      <c r="MI240" s="5" t="str">
        <f t="shared" si="742"/>
        <v>NO APLICA</v>
      </c>
      <c r="MJ240" s="8"/>
      <c r="MK240" s="5"/>
      <c r="ML240" s="2"/>
      <c r="MM240" s="6"/>
      <c r="MN240" s="5" t="str">
        <f t="shared" si="743"/>
        <v>NO APLICA</v>
      </c>
      <c r="MO240" s="5"/>
      <c r="MP240" s="8"/>
      <c r="MQ240" s="5"/>
      <c r="MR240" s="2"/>
      <c r="MS240" s="5" t="str">
        <f t="shared" si="744"/>
        <v>NO APLICA</v>
      </c>
      <c r="MT240" s="5"/>
      <c r="MU240" s="4"/>
      <c r="MV240" s="8"/>
      <c r="MW240" s="5"/>
      <c r="MX240" s="5" t="str">
        <f t="shared" si="745"/>
        <v>NO APLICA</v>
      </c>
      <c r="MY240" s="2"/>
      <c r="MZ240" s="4"/>
      <c r="NA240" s="2"/>
      <c r="NB240" s="5"/>
      <c r="NC240" s="5" t="str">
        <f t="shared" si="746"/>
        <v>NO APLICA</v>
      </c>
      <c r="ND240" s="2"/>
      <c r="NE240" s="4"/>
      <c r="NF240" s="2"/>
      <c r="NG240" s="5"/>
      <c r="NH240" s="5" t="str">
        <f t="shared" si="747"/>
        <v>NO APLICA</v>
      </c>
      <c r="NI240" s="6"/>
      <c r="NJ240" s="4"/>
      <c r="NK240" s="8"/>
      <c r="NL240" s="5"/>
      <c r="NM240" s="5" t="str">
        <f t="shared" si="748"/>
        <v>NO APLICA</v>
      </c>
      <c r="NN240" s="6"/>
      <c r="NO240" s="6"/>
      <c r="NP240" s="6"/>
      <c r="NQ240" s="5"/>
      <c r="NR240" s="5" t="str">
        <f t="shared" si="749"/>
        <v>NO APLICA</v>
      </c>
      <c r="NS240" s="6"/>
      <c r="NT240" s="4"/>
      <c r="NU240" s="8"/>
      <c r="NV240" s="5"/>
      <c r="NW240" s="5" t="str">
        <f t="shared" si="750"/>
        <v>NO APLICA</v>
      </c>
      <c r="NX240" s="6"/>
      <c r="NY240" s="6"/>
      <c r="NZ240" s="6"/>
      <c r="OA240" s="5"/>
      <c r="OB240" s="5" t="str">
        <f t="shared" si="751"/>
        <v>NO APLICA</v>
      </c>
      <c r="OC240" s="6"/>
      <c r="OD240" s="6"/>
      <c r="OE240" s="6"/>
      <c r="OF240" s="5"/>
      <c r="OG240" s="5" t="str">
        <f t="shared" si="752"/>
        <v>NO APLICA</v>
      </c>
      <c r="OH240" s="6"/>
      <c r="OI240" s="6"/>
      <c r="OJ240" s="6"/>
      <c r="OK240" s="5"/>
      <c r="OL240" s="5" t="str">
        <f t="shared" si="753"/>
        <v>NO APLICA</v>
      </c>
      <c r="OM240" s="6"/>
      <c r="ON240" s="6"/>
      <c r="OO240" s="6"/>
      <c r="OP240" s="5"/>
      <c r="OQ240" s="5" t="str">
        <f t="shared" si="754"/>
        <v>NO APLICA</v>
      </c>
      <c r="OR240" s="6"/>
      <c r="OS240" s="6"/>
      <c r="OT240" s="6"/>
      <c r="OU240" s="5"/>
      <c r="OV240" s="5" t="str">
        <f t="shared" si="755"/>
        <v>NO APLICA</v>
      </c>
      <c r="OW240" s="4"/>
      <c r="OX240" s="8"/>
      <c r="OY240" s="5"/>
      <c r="OZ240" s="6"/>
      <c r="PA240" s="5" t="str">
        <f t="shared" si="769"/>
        <v>NO APLICA</v>
      </c>
      <c r="PB240" s="6"/>
      <c r="PC240" s="6"/>
      <c r="PD240" s="5"/>
      <c r="PE240" s="6"/>
      <c r="PF240" s="5" t="str">
        <f t="shared" si="756"/>
        <v>NO APLICA</v>
      </c>
      <c r="PG240" s="6"/>
      <c r="PH240" s="5"/>
      <c r="PI240" s="6"/>
      <c r="PJ240" s="4"/>
      <c r="PK240" s="5" t="str">
        <f t="shared" si="757"/>
        <v>NO APLICA</v>
      </c>
      <c r="PL240" s="5"/>
      <c r="PM240" s="6"/>
      <c r="PN240" s="6"/>
      <c r="PO240" s="6"/>
      <c r="PP240" s="5" t="str">
        <f t="shared" si="766"/>
        <v>NO APLICA</v>
      </c>
      <c r="PQ240" s="6"/>
      <c r="PR240" s="6"/>
      <c r="PS240" s="6"/>
      <c r="PT240" s="6"/>
      <c r="PU240" s="5" t="str">
        <f t="shared" si="758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9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7">
        <v>5</v>
      </c>
      <c r="G245" s="37">
        <v>6</v>
      </c>
      <c r="H245" s="37">
        <v>7</v>
      </c>
      <c r="I245" s="37">
        <v>8</v>
      </c>
      <c r="J245" s="37">
        <v>9</v>
      </c>
      <c r="K245" s="37">
        <v>10</v>
      </c>
      <c r="L245" s="37">
        <v>11</v>
      </c>
      <c r="M245" s="37">
        <v>12</v>
      </c>
      <c r="N245" s="37">
        <v>13</v>
      </c>
      <c r="O245" s="37">
        <v>14</v>
      </c>
      <c r="P245" s="37">
        <v>15</v>
      </c>
      <c r="Q245" s="37">
        <v>16</v>
      </c>
      <c r="R245" s="37">
        <v>17</v>
      </c>
      <c r="S245" s="37">
        <v>18</v>
      </c>
      <c r="T245" s="37">
        <v>19</v>
      </c>
      <c r="U245" s="37">
        <v>20</v>
      </c>
      <c r="V245" s="37">
        <v>21</v>
      </c>
      <c r="W245" s="37">
        <v>22</v>
      </c>
      <c r="X245" s="37">
        <v>23</v>
      </c>
      <c r="Y245" s="37">
        <v>24</v>
      </c>
      <c r="Z245" s="37">
        <v>25</v>
      </c>
      <c r="AA245" s="37">
        <v>26</v>
      </c>
      <c r="AB245" s="37">
        <v>27</v>
      </c>
      <c r="AC245" s="37">
        <v>28</v>
      </c>
      <c r="AD245" s="37">
        <v>29</v>
      </c>
      <c r="AE245" s="37">
        <v>30</v>
      </c>
      <c r="AF245" s="37">
        <v>31</v>
      </c>
      <c r="AG245" s="37">
        <v>32</v>
      </c>
      <c r="AH245" s="37">
        <v>33</v>
      </c>
      <c r="AI245" s="37">
        <v>34</v>
      </c>
      <c r="AJ245" s="37">
        <v>35</v>
      </c>
      <c r="AK245" s="37">
        <v>36</v>
      </c>
      <c r="AL245" s="37">
        <v>37</v>
      </c>
      <c r="AM245" s="37">
        <v>38</v>
      </c>
      <c r="AN245" s="37">
        <v>39</v>
      </c>
      <c r="AO245" s="37">
        <v>40</v>
      </c>
      <c r="AP245" s="37">
        <v>41</v>
      </c>
      <c r="AQ245" s="37">
        <v>42</v>
      </c>
      <c r="AR245" s="37">
        <v>43</v>
      </c>
      <c r="AS245" s="37">
        <v>44</v>
      </c>
      <c r="AT245" s="37">
        <v>45</v>
      </c>
      <c r="AU245" s="37">
        <v>46</v>
      </c>
      <c r="AV245" s="37">
        <v>47</v>
      </c>
      <c r="AW245" s="37">
        <v>48</v>
      </c>
      <c r="AX245" s="37">
        <v>49</v>
      </c>
      <c r="AY245" s="37">
        <v>50</v>
      </c>
      <c r="AZ245" s="37">
        <v>51</v>
      </c>
      <c r="BA245" s="37">
        <v>52</v>
      </c>
      <c r="BB245" s="37">
        <v>53</v>
      </c>
      <c r="BC245" s="37">
        <v>54</v>
      </c>
      <c r="BD245" s="37">
        <v>55</v>
      </c>
      <c r="BE245" s="37">
        <v>56</v>
      </c>
      <c r="BF245" s="37">
        <v>57</v>
      </c>
      <c r="BG245" s="37">
        <v>58</v>
      </c>
      <c r="BH245" s="37">
        <v>59</v>
      </c>
      <c r="BI245" s="37">
        <v>60</v>
      </c>
      <c r="BJ245" s="37">
        <v>61</v>
      </c>
      <c r="BK245" s="37">
        <v>62</v>
      </c>
      <c r="BL245" s="37">
        <v>63</v>
      </c>
      <c r="BM245" s="37">
        <v>64</v>
      </c>
      <c r="BN245" s="37">
        <v>65</v>
      </c>
      <c r="BO245" s="37">
        <v>66</v>
      </c>
      <c r="BP245" s="37">
        <v>67</v>
      </c>
      <c r="BQ245" s="37">
        <v>68</v>
      </c>
      <c r="BR245" s="37">
        <v>69</v>
      </c>
      <c r="BS245" s="37">
        <v>70</v>
      </c>
      <c r="BT245" s="37">
        <v>71</v>
      </c>
      <c r="BU245" s="37">
        <v>72</v>
      </c>
      <c r="BV245" s="37">
        <v>73</v>
      </c>
      <c r="BW245" s="37">
        <v>74</v>
      </c>
      <c r="BX245" s="37">
        <v>75</v>
      </c>
      <c r="BY245" s="37">
        <v>76</v>
      </c>
      <c r="BZ245" s="37">
        <v>77</v>
      </c>
      <c r="CA245" s="37">
        <v>78</v>
      </c>
      <c r="CB245" s="37">
        <v>79</v>
      </c>
      <c r="CC245" s="37">
        <v>80</v>
      </c>
      <c r="CD245" s="37">
        <v>81</v>
      </c>
      <c r="CE245" s="37">
        <v>82</v>
      </c>
      <c r="CF245" s="37">
        <v>83</v>
      </c>
      <c r="CG245" s="37">
        <v>84</v>
      </c>
      <c r="CH245" s="37">
        <v>85</v>
      </c>
      <c r="CI245" s="37">
        <v>86</v>
      </c>
      <c r="CJ245" s="37">
        <v>87</v>
      </c>
      <c r="CK245" s="37">
        <v>88</v>
      </c>
      <c r="CL245" s="37">
        <v>89</v>
      </c>
      <c r="CM245" s="37">
        <v>90</v>
      </c>
      <c r="CN245" s="37">
        <v>91</v>
      </c>
      <c r="CO245" s="37">
        <v>92</v>
      </c>
      <c r="CP245" s="37">
        <v>93</v>
      </c>
      <c r="CQ245" s="37">
        <v>94</v>
      </c>
      <c r="CR245" s="37">
        <v>95</v>
      </c>
      <c r="CS245" s="37">
        <v>96</v>
      </c>
      <c r="CT245" s="37">
        <v>97</v>
      </c>
      <c r="CU245" s="37">
        <v>98</v>
      </c>
      <c r="CV245" s="37">
        <v>99</v>
      </c>
      <c r="CW245" s="37">
        <v>100</v>
      </c>
      <c r="CX245" s="37">
        <v>101</v>
      </c>
      <c r="CY245" s="37">
        <v>102</v>
      </c>
      <c r="CZ245" s="37">
        <v>103</v>
      </c>
      <c r="DA245" s="37">
        <v>104</v>
      </c>
      <c r="DB245" s="37">
        <v>105</v>
      </c>
      <c r="DC245" s="37">
        <v>106</v>
      </c>
      <c r="DD245" s="37">
        <v>107</v>
      </c>
      <c r="DE245" s="37">
        <v>108</v>
      </c>
      <c r="DF245" s="37">
        <v>109</v>
      </c>
      <c r="DG245" s="37">
        <v>110</v>
      </c>
      <c r="DH245" s="37">
        <v>111</v>
      </c>
      <c r="DI245" s="37">
        <v>112</v>
      </c>
      <c r="DJ245" s="37">
        <v>113</v>
      </c>
      <c r="DK245" s="37">
        <v>114</v>
      </c>
      <c r="DL245" s="37">
        <v>115</v>
      </c>
      <c r="DM245" s="37">
        <v>116</v>
      </c>
      <c r="DN245" s="37">
        <v>117</v>
      </c>
      <c r="DO245" s="37">
        <v>118</v>
      </c>
      <c r="DP245" s="37">
        <v>119</v>
      </c>
      <c r="DQ245" s="37">
        <v>120</v>
      </c>
      <c r="DR245" s="37">
        <v>121</v>
      </c>
      <c r="DS245" s="37">
        <v>122</v>
      </c>
      <c r="DT245" s="37">
        <v>123</v>
      </c>
      <c r="DU245" s="37">
        <v>124</v>
      </c>
      <c r="DV245" s="37">
        <v>125</v>
      </c>
      <c r="DW245" s="37">
        <v>126</v>
      </c>
      <c r="DX245" s="37">
        <v>127</v>
      </c>
      <c r="DY245" s="37">
        <v>128</v>
      </c>
      <c r="DZ245" s="37">
        <v>129</v>
      </c>
      <c r="EA245" s="37">
        <v>130</v>
      </c>
      <c r="EB245" s="37">
        <v>131</v>
      </c>
      <c r="EC245" s="37">
        <v>132</v>
      </c>
      <c r="ED245" s="37">
        <v>133</v>
      </c>
      <c r="EE245" s="37">
        <v>134</v>
      </c>
      <c r="EF245" s="37">
        <v>135</v>
      </c>
      <c r="EG245" s="37">
        <v>136</v>
      </c>
      <c r="EH245" s="37">
        <v>137</v>
      </c>
      <c r="EI245" s="37">
        <v>138</v>
      </c>
      <c r="EJ245" s="37">
        <v>139</v>
      </c>
      <c r="EK245" s="37">
        <v>140</v>
      </c>
      <c r="EL245" s="37">
        <v>141</v>
      </c>
      <c r="EM245" s="37">
        <v>142</v>
      </c>
      <c r="EN245" s="37">
        <v>143</v>
      </c>
      <c r="EO245" s="37">
        <v>144</v>
      </c>
      <c r="EP245" s="37">
        <v>145</v>
      </c>
      <c r="EQ245" s="37">
        <v>146</v>
      </c>
      <c r="ER245" s="37">
        <v>147</v>
      </c>
      <c r="ES245" s="37">
        <v>148</v>
      </c>
      <c r="ET245" s="37">
        <v>149</v>
      </c>
      <c r="EU245" s="37">
        <v>150</v>
      </c>
      <c r="EV245" s="37">
        <v>151</v>
      </c>
      <c r="EW245" s="37">
        <v>152</v>
      </c>
      <c r="EX245" s="37">
        <v>153</v>
      </c>
      <c r="EY245" s="37">
        <v>154</v>
      </c>
      <c r="EZ245" s="37">
        <v>155</v>
      </c>
      <c r="FA245" s="37">
        <v>156</v>
      </c>
      <c r="FB245" s="37">
        <v>157</v>
      </c>
      <c r="FC245" s="37">
        <v>158</v>
      </c>
      <c r="FD245" s="37">
        <v>159</v>
      </c>
      <c r="FE245" s="37">
        <v>160</v>
      </c>
      <c r="FF245" s="37">
        <v>161</v>
      </c>
      <c r="FG245" s="37">
        <v>162</v>
      </c>
      <c r="FH245" s="37">
        <v>163</v>
      </c>
      <c r="FI245" s="37">
        <v>164</v>
      </c>
      <c r="FJ245" s="37">
        <v>165</v>
      </c>
      <c r="FK245" s="37">
        <v>166</v>
      </c>
      <c r="FL245" s="37">
        <v>167</v>
      </c>
      <c r="FM245" s="37">
        <v>168</v>
      </c>
      <c r="FN245" s="37">
        <v>169</v>
      </c>
      <c r="FO245" s="37">
        <v>170</v>
      </c>
      <c r="FP245" s="37">
        <v>171</v>
      </c>
      <c r="FQ245" s="37">
        <v>172</v>
      </c>
      <c r="FR245" s="37">
        <v>173</v>
      </c>
      <c r="FS245" s="37">
        <v>174</v>
      </c>
      <c r="FT245" s="37">
        <v>175</v>
      </c>
      <c r="FU245" s="37">
        <v>176</v>
      </c>
      <c r="FV245" s="37">
        <v>177</v>
      </c>
      <c r="FW245" s="37">
        <v>178</v>
      </c>
      <c r="FX245" s="37">
        <v>179</v>
      </c>
      <c r="FY245" s="37">
        <v>180</v>
      </c>
      <c r="FZ245" s="37">
        <v>181</v>
      </c>
      <c r="GA245" s="37">
        <v>182</v>
      </c>
      <c r="GB245" s="37">
        <v>183</v>
      </c>
      <c r="GC245" s="37">
        <v>184</v>
      </c>
      <c r="GD245" s="37">
        <v>185</v>
      </c>
      <c r="GE245" s="37">
        <v>186</v>
      </c>
      <c r="GF245" s="37">
        <v>187</v>
      </c>
      <c r="GG245" s="37">
        <v>188</v>
      </c>
      <c r="GH245" s="37">
        <v>189</v>
      </c>
      <c r="GI245" s="37">
        <v>190</v>
      </c>
      <c r="GJ245" s="37">
        <v>191</v>
      </c>
      <c r="GK245" s="37">
        <v>192</v>
      </c>
      <c r="GL245" s="37">
        <v>193</v>
      </c>
      <c r="GM245" s="37">
        <v>194</v>
      </c>
      <c r="GN245" s="37">
        <v>195</v>
      </c>
      <c r="GO245" s="37">
        <v>196</v>
      </c>
      <c r="GP245" s="37">
        <v>197</v>
      </c>
      <c r="GQ245" s="37">
        <v>198</v>
      </c>
      <c r="GR245" s="37">
        <v>199</v>
      </c>
      <c r="GS245" s="37">
        <v>200</v>
      </c>
      <c r="GT245" s="37">
        <v>201</v>
      </c>
      <c r="GU245" s="37">
        <v>202</v>
      </c>
      <c r="GV245" s="37">
        <v>203</v>
      </c>
      <c r="GW245" s="37">
        <v>204</v>
      </c>
      <c r="GX245" s="37">
        <v>205</v>
      </c>
      <c r="GY245" s="37">
        <v>206</v>
      </c>
      <c r="GZ245" s="37">
        <v>207</v>
      </c>
      <c r="HA245" s="37">
        <v>208</v>
      </c>
      <c r="HB245" s="37">
        <v>209</v>
      </c>
      <c r="HC245" s="37">
        <v>210</v>
      </c>
      <c r="HD245" s="37">
        <v>211</v>
      </c>
      <c r="HE245" s="37">
        <v>212</v>
      </c>
      <c r="HF245" s="37">
        <v>213</v>
      </c>
      <c r="HG245" s="37">
        <v>214</v>
      </c>
      <c r="HH245" s="37">
        <v>215</v>
      </c>
      <c r="HI245" s="37">
        <v>216</v>
      </c>
      <c r="HJ245" s="37">
        <v>217</v>
      </c>
      <c r="HK245" s="37">
        <v>218</v>
      </c>
      <c r="HL245" s="37">
        <v>219</v>
      </c>
      <c r="HM245" s="37">
        <v>220</v>
      </c>
      <c r="HN245" s="37">
        <v>221</v>
      </c>
      <c r="HO245" s="37">
        <v>222</v>
      </c>
      <c r="HP245" s="37">
        <v>223</v>
      </c>
      <c r="HQ245" s="37">
        <v>224</v>
      </c>
      <c r="HR245" s="37">
        <v>225</v>
      </c>
      <c r="HS245" s="37">
        <v>226</v>
      </c>
      <c r="HT245" s="37">
        <v>227</v>
      </c>
      <c r="HU245" s="37">
        <v>228</v>
      </c>
      <c r="HV245" s="37">
        <v>229</v>
      </c>
      <c r="HW245" s="37">
        <v>230</v>
      </c>
      <c r="HX245" s="37">
        <v>231</v>
      </c>
      <c r="HY245" s="37">
        <v>232</v>
      </c>
      <c r="HZ245" s="37">
        <v>233</v>
      </c>
      <c r="IA245" s="37">
        <v>234</v>
      </c>
      <c r="IB245" s="37">
        <v>235</v>
      </c>
      <c r="IC245" s="37">
        <v>236</v>
      </c>
      <c r="ID245" s="37">
        <v>237</v>
      </c>
      <c r="IE245" s="37">
        <v>238</v>
      </c>
      <c r="IF245" s="37">
        <v>239</v>
      </c>
      <c r="IG245" s="37">
        <v>240</v>
      </c>
      <c r="IH245" s="37">
        <v>241</v>
      </c>
      <c r="II245" s="37">
        <v>242</v>
      </c>
      <c r="IJ245" s="37">
        <v>243</v>
      </c>
      <c r="IK245" s="37">
        <v>244</v>
      </c>
      <c r="IL245" s="37">
        <v>245</v>
      </c>
      <c r="IM245" s="37">
        <v>246</v>
      </c>
      <c r="IN245" s="37">
        <v>247</v>
      </c>
      <c r="IO245" s="37">
        <v>248</v>
      </c>
      <c r="IP245" s="37">
        <v>249</v>
      </c>
      <c r="IQ245" s="37">
        <v>250</v>
      </c>
      <c r="IR245" s="37">
        <v>251</v>
      </c>
      <c r="IS245" s="37">
        <v>252</v>
      </c>
      <c r="IT245" s="37">
        <v>253</v>
      </c>
      <c r="IU245" s="37">
        <v>254</v>
      </c>
      <c r="IV245" s="37">
        <v>255</v>
      </c>
      <c r="IW245" s="37">
        <v>256</v>
      </c>
      <c r="IX245" s="37">
        <v>257</v>
      </c>
      <c r="IY245" s="37">
        <v>258</v>
      </c>
      <c r="IZ245" s="37">
        <v>259</v>
      </c>
      <c r="JA245" s="37">
        <v>260</v>
      </c>
      <c r="JB245" s="37">
        <v>261</v>
      </c>
      <c r="JC245" s="37">
        <v>262</v>
      </c>
      <c r="JD245" s="37">
        <v>263</v>
      </c>
      <c r="JE245" s="37">
        <v>264</v>
      </c>
      <c r="JF245" s="37">
        <v>265</v>
      </c>
      <c r="JG245" s="37">
        <v>266</v>
      </c>
      <c r="JH245" s="37">
        <v>267</v>
      </c>
      <c r="JI245" s="37">
        <v>268</v>
      </c>
      <c r="JJ245" s="37">
        <v>269</v>
      </c>
      <c r="JK245" s="37">
        <v>270</v>
      </c>
      <c r="JL245" s="37">
        <v>271</v>
      </c>
      <c r="JM245" s="37">
        <v>272</v>
      </c>
      <c r="JN245" s="37">
        <v>273</v>
      </c>
      <c r="JO245" s="37">
        <v>274</v>
      </c>
      <c r="JP245" s="37">
        <v>275</v>
      </c>
      <c r="JQ245" s="37">
        <v>276</v>
      </c>
      <c r="JR245" s="37">
        <v>277</v>
      </c>
      <c r="JS245" s="37">
        <v>278</v>
      </c>
      <c r="JT245" s="37">
        <v>279</v>
      </c>
      <c r="JU245" s="37">
        <v>280</v>
      </c>
      <c r="JV245" s="37">
        <v>281</v>
      </c>
      <c r="JW245" s="37">
        <v>282</v>
      </c>
      <c r="JX245" s="37">
        <v>283</v>
      </c>
      <c r="JY245" s="37">
        <v>284</v>
      </c>
      <c r="JZ245" s="37">
        <v>285</v>
      </c>
      <c r="KA245" s="37">
        <v>286</v>
      </c>
      <c r="KB245" s="37">
        <v>287</v>
      </c>
      <c r="KC245" s="37">
        <v>288</v>
      </c>
      <c r="KD245" s="37">
        <v>289</v>
      </c>
      <c r="KE245" s="37">
        <v>290</v>
      </c>
      <c r="KF245" s="37">
        <v>291</v>
      </c>
      <c r="KG245" s="37">
        <v>292</v>
      </c>
      <c r="KH245" s="37">
        <v>293</v>
      </c>
      <c r="KI245" s="37">
        <v>294</v>
      </c>
      <c r="KJ245" s="37">
        <v>295</v>
      </c>
      <c r="KK245" s="37">
        <v>296</v>
      </c>
      <c r="KL245" s="37">
        <v>297</v>
      </c>
      <c r="KM245" s="37">
        <v>298</v>
      </c>
      <c r="KN245" s="37">
        <v>299</v>
      </c>
      <c r="KO245" s="37">
        <v>300</v>
      </c>
      <c r="KP245" s="37">
        <v>301</v>
      </c>
      <c r="KQ245" s="37">
        <v>302</v>
      </c>
      <c r="KR245" s="37">
        <v>303</v>
      </c>
      <c r="KS245" s="37">
        <v>304</v>
      </c>
      <c r="KT245" s="37">
        <v>305</v>
      </c>
      <c r="KU245" s="37">
        <v>306</v>
      </c>
      <c r="KV245" s="37">
        <v>307</v>
      </c>
      <c r="KW245" s="37">
        <v>308</v>
      </c>
      <c r="KX245" s="37">
        <v>309</v>
      </c>
      <c r="KY245" s="37">
        <v>310</v>
      </c>
      <c r="KZ245" s="37">
        <v>311</v>
      </c>
      <c r="LA245" s="37">
        <v>312</v>
      </c>
      <c r="LB245" s="37">
        <v>313</v>
      </c>
      <c r="LC245" s="37">
        <v>314</v>
      </c>
      <c r="LD245" s="37">
        <v>315</v>
      </c>
      <c r="LE245" s="37">
        <v>316</v>
      </c>
      <c r="LF245" s="37">
        <v>317</v>
      </c>
      <c r="LG245" s="37">
        <v>318</v>
      </c>
      <c r="LH245" s="37">
        <v>319</v>
      </c>
      <c r="LI245" s="37">
        <v>320</v>
      </c>
      <c r="LJ245" s="37">
        <v>321</v>
      </c>
      <c r="LK245" s="37">
        <v>322</v>
      </c>
      <c r="LL245" s="37">
        <v>323</v>
      </c>
      <c r="LM245" s="37">
        <v>324</v>
      </c>
      <c r="LN245" s="37">
        <v>325</v>
      </c>
      <c r="LO245" s="37">
        <v>326</v>
      </c>
      <c r="LP245" s="37">
        <v>327</v>
      </c>
      <c r="LQ245" s="37">
        <v>328</v>
      </c>
      <c r="LR245" s="37">
        <v>329</v>
      </c>
      <c r="LS245" s="37">
        <v>330</v>
      </c>
      <c r="LT245" s="37">
        <v>331</v>
      </c>
      <c r="LU245" s="37">
        <v>332</v>
      </c>
      <c r="LV245" s="37">
        <v>333</v>
      </c>
      <c r="LW245" s="37">
        <v>334</v>
      </c>
      <c r="LX245" s="37">
        <v>335</v>
      </c>
      <c r="LY245" s="37">
        <v>336</v>
      </c>
      <c r="LZ245" s="37">
        <v>337</v>
      </c>
      <c r="MA245" s="37">
        <v>338</v>
      </c>
      <c r="MB245" s="37">
        <v>339</v>
      </c>
      <c r="MC245" s="37">
        <v>340</v>
      </c>
      <c r="MD245" s="37">
        <v>341</v>
      </c>
      <c r="ME245" s="37">
        <v>342</v>
      </c>
      <c r="MF245" s="37">
        <v>343</v>
      </c>
      <c r="MG245" s="37">
        <v>344</v>
      </c>
      <c r="MH245" s="37">
        <v>345</v>
      </c>
      <c r="MI245" s="37">
        <v>346</v>
      </c>
      <c r="MJ245" s="37">
        <v>347</v>
      </c>
      <c r="MK245" s="37">
        <v>348</v>
      </c>
      <c r="ML245" s="37">
        <v>349</v>
      </c>
      <c r="MM245" s="37">
        <v>350</v>
      </c>
      <c r="MN245" s="37">
        <v>351</v>
      </c>
      <c r="MO245" s="37">
        <v>352</v>
      </c>
      <c r="MP245" s="37">
        <v>353</v>
      </c>
      <c r="MQ245" s="37">
        <v>354</v>
      </c>
      <c r="MR245" s="37">
        <v>355</v>
      </c>
      <c r="MS245" s="37">
        <v>356</v>
      </c>
      <c r="MT245" s="37">
        <v>357</v>
      </c>
      <c r="MU245" s="37">
        <v>358</v>
      </c>
      <c r="MV245" s="37">
        <v>359</v>
      </c>
      <c r="MW245" s="37">
        <v>360</v>
      </c>
      <c r="MX245" s="37">
        <v>361</v>
      </c>
      <c r="MY245" s="37">
        <v>362</v>
      </c>
      <c r="MZ245" s="37">
        <v>363</v>
      </c>
      <c r="NA245" s="37">
        <v>364</v>
      </c>
      <c r="NB245" s="37">
        <v>365</v>
      </c>
      <c r="NC245" s="37">
        <v>366</v>
      </c>
      <c r="ND245" s="37">
        <v>367</v>
      </c>
      <c r="NE245" s="37">
        <v>368</v>
      </c>
      <c r="NF245" s="37">
        <v>369</v>
      </c>
      <c r="NG245" s="37">
        <v>370</v>
      </c>
      <c r="NH245" s="37">
        <v>371</v>
      </c>
      <c r="NI245" s="37">
        <v>372</v>
      </c>
      <c r="NJ245" s="37">
        <v>373</v>
      </c>
      <c r="NK245" s="37">
        <v>374</v>
      </c>
      <c r="NL245" s="37">
        <v>375</v>
      </c>
      <c r="NM245" s="37">
        <v>376</v>
      </c>
      <c r="NN245" s="37">
        <v>377</v>
      </c>
      <c r="NO245" s="37">
        <v>378</v>
      </c>
      <c r="NP245" s="37">
        <v>379</v>
      </c>
      <c r="NQ245" s="37">
        <v>380</v>
      </c>
      <c r="NR245" s="37">
        <v>381</v>
      </c>
      <c r="NS245" s="37">
        <v>382</v>
      </c>
      <c r="NT245" s="37">
        <v>383</v>
      </c>
      <c r="NU245" s="37">
        <v>384</v>
      </c>
      <c r="NV245" s="37">
        <v>385</v>
      </c>
      <c r="NW245" s="37">
        <v>386</v>
      </c>
      <c r="NX245" s="37">
        <v>387</v>
      </c>
      <c r="NY245" s="37">
        <v>388</v>
      </c>
      <c r="NZ245" s="37">
        <v>389</v>
      </c>
      <c r="OA245" s="37">
        <v>390</v>
      </c>
      <c r="OB245" s="37">
        <v>391</v>
      </c>
      <c r="OC245" s="37">
        <v>392</v>
      </c>
      <c r="OD245" s="37">
        <v>393</v>
      </c>
      <c r="OE245" s="37">
        <v>394</v>
      </c>
      <c r="OF245" s="37">
        <v>395</v>
      </c>
      <c r="OG245" s="37">
        <v>396</v>
      </c>
      <c r="OH245" s="37">
        <v>397</v>
      </c>
      <c r="OI245" s="37">
        <v>398</v>
      </c>
      <c r="OJ245" s="37">
        <v>399</v>
      </c>
      <c r="OK245" s="37">
        <v>400</v>
      </c>
      <c r="OL245" s="37">
        <v>401</v>
      </c>
      <c r="OM245" s="37">
        <v>402</v>
      </c>
      <c r="ON245" s="37">
        <v>403</v>
      </c>
      <c r="OO245" s="37">
        <v>404</v>
      </c>
      <c r="OP245" s="37">
        <v>405</v>
      </c>
      <c r="OQ245" s="37">
        <v>406</v>
      </c>
      <c r="OR245" s="37">
        <v>407</v>
      </c>
      <c r="OS245" s="37">
        <v>408</v>
      </c>
      <c r="OT245" s="37">
        <v>409</v>
      </c>
      <c r="OU245" s="37">
        <v>410</v>
      </c>
      <c r="OV245" s="37">
        <v>411</v>
      </c>
      <c r="OW245" s="37">
        <v>412</v>
      </c>
      <c r="OX245" s="37">
        <v>413</v>
      </c>
      <c r="OY245" s="37">
        <v>414</v>
      </c>
      <c r="OZ245" s="37">
        <v>415</v>
      </c>
      <c r="PA245" s="37">
        <v>416</v>
      </c>
      <c r="PB245" s="37">
        <v>417</v>
      </c>
      <c r="PC245" s="37">
        <v>418</v>
      </c>
      <c r="PD245" s="37">
        <v>419</v>
      </c>
      <c r="PE245" s="37">
        <v>420</v>
      </c>
      <c r="PF245" s="37">
        <v>421</v>
      </c>
      <c r="PG245" s="37">
        <v>422</v>
      </c>
      <c r="PH245" s="37">
        <v>423</v>
      </c>
      <c r="PI245" s="37">
        <v>424</v>
      </c>
      <c r="PJ245" s="37">
        <v>425</v>
      </c>
      <c r="PK245" s="37">
        <v>426</v>
      </c>
      <c r="PL245" s="37">
        <v>427</v>
      </c>
      <c r="PM245" s="37">
        <v>428</v>
      </c>
      <c r="PN245" s="37">
        <v>429</v>
      </c>
      <c r="PO245" s="37">
        <v>430</v>
      </c>
      <c r="PP245" s="37">
        <v>431</v>
      </c>
      <c r="PQ245" s="37">
        <v>432</v>
      </c>
      <c r="PR245" s="37">
        <v>433</v>
      </c>
      <c r="PS245" s="37">
        <v>434</v>
      </c>
      <c r="PT245" s="37">
        <v>435</v>
      </c>
      <c r="PU245" s="37">
        <v>436</v>
      </c>
      <c r="PV245" s="37">
        <v>437</v>
      </c>
      <c r="PW245" s="37">
        <v>438</v>
      </c>
      <c r="PX245" s="37">
        <v>439</v>
      </c>
      <c r="PY245" s="37">
        <v>440</v>
      </c>
      <c r="PZ245" s="37">
        <v>441</v>
      </c>
      <c r="QA245" s="37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>
    <filterColumn colId="287">
      <customFilters>
        <customFilter operator="notEqual" val=" "/>
      </customFilters>
    </filterColumn>
  </autoFilter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63" priority="1088"/>
  </conditionalFormatting>
  <conditionalFormatting sqref="B175">
    <cfRule type="duplicateValues" dxfId="862" priority="1087"/>
  </conditionalFormatting>
  <conditionalFormatting sqref="B188:B214">
    <cfRule type="duplicateValues" dxfId="861" priority="1086"/>
  </conditionalFormatting>
  <conditionalFormatting sqref="B215:B237">
    <cfRule type="duplicateValues" dxfId="860" priority="564"/>
  </conditionalFormatting>
  <conditionalFormatting sqref="B238">
    <cfRule type="duplicateValues" dxfId="859" priority="422"/>
  </conditionalFormatting>
  <conditionalFormatting sqref="E2:E3">
    <cfRule type="duplicateValues" dxfId="858" priority="1089"/>
  </conditionalFormatting>
  <conditionalFormatting sqref="F4:F134">
    <cfRule type="containsText" dxfId="857" priority="1070" operator="containsText" text="NO APLICA">
      <formula>NOT(ISERROR(SEARCH("NO APLICA",F4)))</formula>
    </cfRule>
    <cfRule type="containsText" dxfId="856" priority="1069" operator="containsText" text="VENCIDA">
      <formula>NOT(ISERROR(SEARCH("VENCIDA",F4)))</formula>
    </cfRule>
    <cfRule type="containsText" dxfId="855" priority="1068" operator="containsText" text="POR VENCER">
      <formula>NOT(ISERROR(SEARCH("POR VENCER",F4)))</formula>
    </cfRule>
    <cfRule type="containsText" dxfId="854" priority="1067" operator="containsText" text="VIGENTE">
      <formula>NOT(ISERROR(SEARCH("VIGENTE",F4)))</formula>
    </cfRule>
  </conditionalFormatting>
  <conditionalFormatting sqref="F136">
    <cfRule type="containsText" dxfId="853" priority="153" operator="containsText" text="VIGENTE">
      <formula>NOT(ISERROR(SEARCH("VIGENTE",F136)))</formula>
    </cfRule>
    <cfRule type="containsText" dxfId="852" priority="154" operator="containsText" text="POR VENCER">
      <formula>NOT(ISERROR(SEARCH("POR VENCER",F136)))</formula>
    </cfRule>
    <cfRule type="containsText" dxfId="851" priority="155" operator="containsText" text="VENCIDA">
      <formula>NOT(ISERROR(SEARCH("VENCIDA",F136)))</formula>
    </cfRule>
    <cfRule type="containsText" dxfId="850" priority="156" operator="containsText" text="NO APLICA">
      <formula>NOT(ISERROR(SEARCH("NO APLICA",F136)))</formula>
    </cfRule>
  </conditionalFormatting>
  <conditionalFormatting sqref="F141">
    <cfRule type="containsText" dxfId="849" priority="180" operator="containsText" text="NO APLICA">
      <formula>NOT(ISERROR(SEARCH("NO APLICA",F141)))</formula>
    </cfRule>
    <cfRule type="containsText" dxfId="848" priority="177" operator="containsText" text="VIGENTE">
      <formula>NOT(ISERROR(SEARCH("VIGENTE",F141)))</formula>
    </cfRule>
    <cfRule type="containsText" dxfId="847" priority="179" operator="containsText" text="VENCIDA">
      <formula>NOT(ISERROR(SEARCH("VENCIDA",F141)))</formula>
    </cfRule>
    <cfRule type="containsText" dxfId="846" priority="178" operator="containsText" text="POR VENCER">
      <formula>NOT(ISERROR(SEARCH("POR VENCER",F141)))</formula>
    </cfRule>
  </conditionalFormatting>
  <conditionalFormatting sqref="F146">
    <cfRule type="containsText" dxfId="845" priority="157" operator="containsText" text="VIGENTE">
      <formula>NOT(ISERROR(SEARCH("VIGENTE",F146)))</formula>
    </cfRule>
    <cfRule type="containsText" dxfId="844" priority="158" operator="containsText" text="POR VENCER">
      <formula>NOT(ISERROR(SEARCH("POR VENCER",F146)))</formula>
    </cfRule>
    <cfRule type="containsText" dxfId="843" priority="159" operator="containsText" text="VENCIDA">
      <formula>NOT(ISERROR(SEARCH("VENCIDA",F146)))</formula>
    </cfRule>
    <cfRule type="containsText" dxfId="842" priority="160" operator="containsText" text="NO APLICA">
      <formula>NOT(ISERROR(SEARCH("NO APLICA",F146)))</formula>
    </cfRule>
  </conditionalFormatting>
  <conditionalFormatting sqref="F153">
    <cfRule type="containsText" dxfId="841" priority="31" operator="containsText" text="VIGENTE">
      <formula>NOT(ISERROR(SEARCH("VIGENTE",F153)))</formula>
    </cfRule>
    <cfRule type="containsText" dxfId="840" priority="32" operator="containsText" text="POR VENCER">
      <formula>NOT(ISERROR(SEARCH("POR VENCER",F153)))</formula>
    </cfRule>
    <cfRule type="containsText" dxfId="839" priority="33" operator="containsText" text="VENCIDA">
      <formula>NOT(ISERROR(SEARCH("VENCIDA",F153)))</formula>
    </cfRule>
    <cfRule type="containsText" dxfId="838" priority="34" operator="containsText" text="NO APLICA">
      <formula>NOT(ISERROR(SEARCH("NO APLICA",F153)))</formula>
    </cfRule>
  </conditionalFormatting>
  <conditionalFormatting sqref="F163">
    <cfRule type="containsText" dxfId="837" priority="176" operator="containsText" text="NO APLICA">
      <formula>NOT(ISERROR(SEARCH("NO APLICA",F163)))</formula>
    </cfRule>
    <cfRule type="containsText" dxfId="836" priority="175" operator="containsText" text="VENCIDA">
      <formula>NOT(ISERROR(SEARCH("VENCIDA",F163)))</formula>
    </cfRule>
    <cfRule type="containsText" dxfId="835" priority="174" operator="containsText" text="POR VENCER">
      <formula>NOT(ISERROR(SEARCH("POR VENCER",F163)))</formula>
    </cfRule>
    <cfRule type="containsText" dxfId="834" priority="173" operator="containsText" text="VIGENTE">
      <formula>NOT(ISERROR(SEARCH("VIGENTE",F163)))</formula>
    </cfRule>
  </conditionalFormatting>
  <conditionalFormatting sqref="F165">
    <cfRule type="containsText" dxfId="833" priority="170" operator="containsText" text="POR VENCER">
      <formula>NOT(ISERROR(SEARCH("POR VENCER",F165)))</formula>
    </cfRule>
    <cfRule type="containsText" dxfId="832" priority="171" operator="containsText" text="VENCIDA">
      <formula>NOT(ISERROR(SEARCH("VENCIDA",F165)))</formula>
    </cfRule>
    <cfRule type="containsText" dxfId="831" priority="169" operator="containsText" text="VIGENTE">
      <formula>NOT(ISERROR(SEARCH("VIGENTE",F165)))</formula>
    </cfRule>
    <cfRule type="containsText" dxfId="830" priority="172" operator="containsText" text="NO APLICA">
      <formula>NOT(ISERROR(SEARCH("NO APLICA",F165)))</formula>
    </cfRule>
  </conditionalFormatting>
  <conditionalFormatting sqref="F179">
    <cfRule type="containsText" dxfId="829" priority="168" operator="containsText" text="NO APLICA">
      <formula>NOT(ISERROR(SEARCH("NO APLICA",F179)))</formula>
    </cfRule>
    <cfRule type="containsText" dxfId="828" priority="166" operator="containsText" text="POR VENCER">
      <formula>NOT(ISERROR(SEARCH("POR VENCER",F179)))</formula>
    </cfRule>
    <cfRule type="containsText" dxfId="827" priority="165" operator="containsText" text="VIGENTE">
      <formula>NOT(ISERROR(SEARCH("VIGENTE",F179)))</formula>
    </cfRule>
    <cfRule type="containsText" dxfId="826" priority="167" operator="containsText" text="VENCIDA">
      <formula>NOT(ISERROR(SEARCH("VENCIDA",F179)))</formula>
    </cfRule>
  </conditionalFormatting>
  <conditionalFormatting sqref="F186">
    <cfRule type="containsText" dxfId="825" priority="1062" operator="containsText" text="VIGENTE">
      <formula>NOT(ISERROR(SEARCH("VIGENTE",F186)))</formula>
    </cfRule>
    <cfRule type="containsText" dxfId="824" priority="1063" operator="containsText" text="POR VENCER">
      <formula>NOT(ISERROR(SEARCH("POR VENCER",F186)))</formula>
    </cfRule>
    <cfRule type="containsText" dxfId="823" priority="1064" operator="containsText" text="VENCIDA">
      <formula>NOT(ISERROR(SEARCH("VENCIDA",F186)))</formula>
    </cfRule>
    <cfRule type="containsText" dxfId="822" priority="1065" operator="containsText" text="NO APLICA">
      <formula>NOT(ISERROR(SEARCH("NO APLICA",F186)))</formula>
    </cfRule>
  </conditionalFormatting>
  <conditionalFormatting sqref="F190">
    <cfRule type="containsText" dxfId="821" priority="161" operator="containsText" text="VIGENTE">
      <formula>NOT(ISERROR(SEARCH("VIGENTE",F190)))</formula>
    </cfRule>
    <cfRule type="containsText" dxfId="820" priority="164" operator="containsText" text="NO APLICA">
      <formula>NOT(ISERROR(SEARCH("NO APLICA",F190)))</formula>
    </cfRule>
    <cfRule type="containsText" dxfId="819" priority="163" operator="containsText" text="VENCIDA">
      <formula>NOT(ISERROR(SEARCH("VENCIDA",F190)))</formula>
    </cfRule>
    <cfRule type="containsText" dxfId="818" priority="162" operator="containsText" text="POR VENCER">
      <formula>NOT(ISERROR(SEARCH("POR VENCER",F190)))</formula>
    </cfRule>
  </conditionalFormatting>
  <conditionalFormatting sqref="G72">
    <cfRule type="containsText" dxfId="817" priority="1058" operator="containsText" text="VIGENTE">
      <formula>NOT(ISERROR(SEARCH("VIGENTE",G72)))</formula>
    </cfRule>
    <cfRule type="containsText" dxfId="816" priority="1059" operator="containsText" text="POR VENCER">
      <formula>NOT(ISERROR(SEARCH("POR VENCER",G72)))</formula>
    </cfRule>
    <cfRule type="containsText" dxfId="815" priority="1061" operator="containsText" text="NO APLICA">
      <formula>NOT(ISERROR(SEARCH("NO APLICA",G72)))</formula>
    </cfRule>
    <cfRule type="containsText" dxfId="814" priority="1060" operator="containsText" text="VENCIDA">
      <formula>NOT(ISERROR(SEARCH("VENCIDA",G72)))</formula>
    </cfRule>
  </conditionalFormatting>
  <conditionalFormatting sqref="J4:J240">
    <cfRule type="containsText" dxfId="813" priority="1057" operator="containsText" text="POR VENCER">
      <formula>NOT(ISERROR(SEARCH("POR VENCER",J4)))</formula>
    </cfRule>
    <cfRule type="containsText" dxfId="812" priority="1056" operator="containsText" text="VIGENTE">
      <formula>NOT(ISERROR(SEARCH("VIGENTE",J4)))</formula>
    </cfRule>
    <cfRule type="containsText" dxfId="811" priority="1055" operator="containsText" text="NO APLICA">
      <formula>NOT(ISERROR(SEARCH("NO APLICA",J4)))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10" priority="105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9" priority="1053" operator="containsText" text="VENCIDA">
      <formula>NOT(ISERROR(SEARCH("VENCIDA",J4)))</formula>
    </cfRule>
  </conditionalFormatting>
  <conditionalFormatting sqref="K4:K129">
    <cfRule type="containsText" dxfId="808" priority="1052" operator="containsText" text="NO APLICA">
      <formula>NOT(ISERROR(SEARCH("NO APLICA",K4)))</formula>
    </cfRule>
    <cfRule type="containsText" dxfId="807" priority="1051" operator="containsText" text="VIGENTE">
      <formula>NOT(ISERROR(SEARCH("VIGENTE",K4)))</formula>
    </cfRule>
    <cfRule type="containsText" dxfId="806" priority="1050" operator="containsText" text="POR VENCER">
      <formula>NOT(ISERROR(SEARCH("POR VENCER",K4)))</formula>
    </cfRule>
  </conditionalFormatting>
  <conditionalFormatting sqref="K141 K165 K221">
    <cfRule type="containsText" dxfId="805" priority="183" operator="containsText" text="VIGENTE">
      <formula>NOT(ISERROR(SEARCH("VIGENTE",K141)))</formula>
    </cfRule>
    <cfRule type="containsText" dxfId="804" priority="185" operator="containsText" text="VENCIDA">
      <formula>NOT(ISERROR(SEARCH("VENCIDA",K141)))</formula>
    </cfRule>
    <cfRule type="containsText" dxfId="803" priority="182" operator="containsText" text="POR VENCER">
      <formula>NOT(ISERROR(SEARCH("POR VENCER",K141)))</formula>
    </cfRule>
    <cfRule type="containsText" dxfId="802" priority="184" operator="containsText" text="NO APLICA">
      <formula>NOT(ISERROR(SEARCH("NO APLICA",K141)))</formula>
    </cfRule>
  </conditionalFormatting>
  <conditionalFormatting sqref="K180">
    <cfRule type="containsText" dxfId="801" priority="1047" operator="containsText" text="POR VENCER">
      <formula>NOT(ISERROR(SEARCH("POR VENCER",K180)))</formula>
    </cfRule>
    <cfRule type="containsText" dxfId="800" priority="1048" operator="containsText" text="VIGENTE">
      <formula>NOT(ISERROR(SEARCH("VIGENTE",K180)))</formula>
    </cfRule>
    <cfRule type="containsText" dxfId="799" priority="1049" operator="containsText" text="NO APLICA">
      <formula>NOT(ISERROR(SEARCH("NO APLICA",K180)))</formula>
    </cfRule>
  </conditionalFormatting>
  <conditionalFormatting sqref="K239:K240">
    <cfRule type="containsText" dxfId="798" priority="102" operator="containsText" text="NO APLICA">
      <formula>NOT(ISERROR(SEARCH("NO APLICA",K239)))</formula>
    </cfRule>
    <cfRule type="containsText" dxfId="797" priority="103" operator="containsText" text="POR VENCER">
      <formula>NOT(ISERROR(SEARCH("POR VENCER",K239)))</formula>
    </cfRule>
  </conditionalFormatting>
  <conditionalFormatting sqref="K239:L239">
    <cfRule type="containsText" dxfId="796" priority="101" operator="containsText" text="VENCIDA">
      <formula>NOT(ISERROR(SEARCH("VENCIDA",K239)))</formula>
    </cfRule>
    <cfRule type="containsText" dxfId="795" priority="100" operator="containsText" text="VIGENTE">
      <formula>NOT(ISERROR(SEARCH("VIGENTE",K239)))</formula>
    </cfRule>
  </conditionalFormatting>
  <conditionalFormatting sqref="K240:L240">
    <cfRule type="containsText" dxfId="794" priority="48" operator="containsText" text="VIGENTE">
      <formula>NOT(ISERROR(SEARCH("VIGENTE",K240)))</formula>
    </cfRule>
    <cfRule type="containsText" dxfId="793" priority="49" operator="containsText" text="VENCIDA">
      <formula>NOT(ISERROR(SEARCH("VENCIDA",K240)))</formula>
    </cfRule>
  </conditionalFormatting>
  <conditionalFormatting sqref="L239:L240">
    <cfRule type="containsText" dxfId="792" priority="99" operator="containsText" text="POR VENCER">
      <formula>NOT(ISERROR(SEARCH("POR VENCER",L239)))</formula>
    </cfRule>
    <cfRule type="containsText" dxfId="791" priority="98" operator="containsText" text="NO APLICA">
      <formula>NOT(ISERROR(SEARCH("NO APLICA",L239)))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0" priority="11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9" priority="111" operator="containsText" text="POR VENCER">
      <formula>NOT(ISERROR(SEARCH("POR VENCER",P239)))</formula>
    </cfRule>
  </conditionalFormatting>
  <conditionalFormatting sqref="Q239:R240 AB183:AF187 CD185:CH185">
    <cfRule type="containsText" dxfId="788" priority="47" operator="containsText" text="POR VENCER">
      <formula>NOT(ISERROR(SEARCH("POR VENCER",Q183)))</formula>
    </cfRule>
  </conditionalFormatting>
  <conditionalFormatting sqref="Q239:R240">
    <cfRule type="containsText" dxfId="787" priority="45" operator="containsText" text="VENCIDA">
      <formula>NOT(ISERROR(SEARCH("VENCIDA",Q239)))</formula>
    </cfRule>
    <cfRule type="containsText" dxfId="786" priority="46" operator="containsText" text="NO APLICA">
      <formula>NOT(ISERROR(SEARCH("NO APLICA",Q239)))</formula>
    </cfRule>
  </conditionalFormatting>
  <conditionalFormatting sqref="T4:U240">
    <cfRule type="containsText" dxfId="785" priority="1044" operator="containsText" text="VIGENTE">
      <formula>NOT(ISERROR(SEARCH("VIGENTE",T4)))</formula>
    </cfRule>
    <cfRule type="containsText" dxfId="784" priority="1046" operator="containsText" text="VENCIDA">
      <formula>NOT(ISERROR(SEARCH("VENCIDA",T4)))</formula>
    </cfRule>
    <cfRule type="containsText" dxfId="783" priority="1045" operator="containsText" text="NO APLICA">
      <formula>NOT(ISERROR(SEARCH("NO APLICA",T4)))</formula>
    </cfRule>
    <cfRule type="containsText" dxfId="782" priority="1043" operator="containsText" text="POR VENCER">
      <formula>NOT(ISERROR(SEARCH("POR VENCER",T4)))</formula>
    </cfRule>
  </conditionalFormatting>
  <conditionalFormatting sqref="V4:V96 O4:O240 V98:V158">
    <cfRule type="containsText" dxfId="781" priority="1038" operator="containsText" text="VENCIDA">
      <formula>NOT(ISERROR(SEARCH("VENCIDA",O4)))</formula>
    </cfRule>
    <cfRule type="containsText" dxfId="780" priority="1041" operator="containsText" text="NO APLICA">
      <formula>NOT(ISERROR(SEARCH("NO APLICA",O4)))</formula>
    </cfRule>
    <cfRule type="containsText" dxfId="779" priority="1042" operator="containsText" text="POR VENCER">
      <formula>NOT(ISERROR(SEARCH("POR VENCER",O4)))</formula>
    </cfRule>
  </conditionalFormatting>
  <conditionalFormatting sqref="V180">
    <cfRule type="containsText" dxfId="778" priority="1036" operator="containsText" text="VENCIDA">
      <formula>NOT(ISERROR(SEARCH("VENCIDA",V180)))</formula>
    </cfRule>
    <cfRule type="containsText" dxfId="777" priority="1035" operator="containsText" text="VIGENTE">
      <formula>NOT(ISERROR(SEARCH("VIGENTE",V180)))</formula>
    </cfRule>
    <cfRule type="containsText" dxfId="776" priority="1039" operator="containsText" text="NO APLICA">
      <formula>NOT(ISERROR(SEARCH("NO APLICA",V180)))</formula>
    </cfRule>
    <cfRule type="containsText" dxfId="775" priority="1040" operator="containsText" text="POR VENCER">
      <formula>NOT(ISERROR(SEARCH("POR VENCER",V180)))</formula>
    </cfRule>
  </conditionalFormatting>
  <conditionalFormatting sqref="W239">
    <cfRule type="containsText" dxfId="774" priority="87" operator="containsText" text="NO APLICA">
      <formula>NOT(ISERROR(SEARCH("NO APLICA",W239)))</formula>
    </cfRule>
    <cfRule type="containsText" dxfId="773" priority="89" operator="containsText" text="VIGENTE">
      <formula>NOT(ISERROR(SEARCH("VIGENTE",W239)))</formula>
    </cfRule>
    <cfRule type="containsText" dxfId="772" priority="88" operator="containsText" text="POR VENCER">
      <formula>NOT(ISERROR(SEARCH("POR VENCER",W239)))</formula>
    </cfRule>
  </conditionalFormatting>
  <conditionalFormatting sqref="W239:W240">
    <cfRule type="containsText" dxfId="771" priority="90" operator="containsText" text="VENCIDA">
      <formula>NOT(ISERROR(SEARCH("VENCIDA",W239)))</formula>
    </cfRule>
  </conditionalFormatting>
  <conditionalFormatting sqref="W240:X240">
    <cfRule type="containsText" dxfId="770" priority="44" operator="containsText" text="VIGENTE">
      <formula>NOT(ISERROR(SEARCH("VIGENTE",W240)))</formula>
    </cfRule>
    <cfRule type="containsText" dxfId="769" priority="42" operator="containsText" text="NO APLICA">
      <formula>NOT(ISERROR(SEARCH("NO APLICA",W240)))</formula>
    </cfRule>
    <cfRule type="containsText" dxfId="768" priority="43" operator="containsText" text="POR VENCER">
      <formula>NOT(ISERROR(SEARCH("POR VENCER",W240)))</formula>
    </cfRule>
  </conditionalFormatting>
  <conditionalFormatting sqref="X240">
    <cfRule type="containsText" dxfId="767" priority="8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6" priority="102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5" priority="1025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4" priority="103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3" priority="1029" operator="containsText" text="VENCIDA">
      <formula>NOT(ISERROR(SEARCH("VENCIDA",AB20)))</formula>
    </cfRule>
  </conditionalFormatting>
  <conditionalFormatting sqref="AB72">
    <cfRule type="containsText" dxfId="762" priority="1028" operator="containsText" text="POR VENCER">
      <formula>NOT(ISERROR(SEARCH("POR VENCER",AB72)))</formula>
    </cfRule>
  </conditionalFormatting>
  <conditionalFormatting sqref="AB180">
    <cfRule type="containsText" dxfId="761" priority="1020" operator="containsText" text="POR VENCER">
      <formula>NOT(ISERROR(SEARCH("POR VENCER",AB180)))</formula>
    </cfRule>
    <cfRule type="containsText" dxfId="760" priority="1021" operator="containsText" text="VIGENTE">
      <formula>NOT(ISERROR(SEARCH("VIGENTE",AB180)))</formula>
    </cfRule>
    <cfRule type="containsText" dxfId="759" priority="1022" operator="containsText" text="NO APLICA">
      <formula>NOT(ISERROR(SEARCH("NO APLICA",AB180)))</formula>
    </cfRule>
    <cfRule type="containsText" dxfId="758" priority="1023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7" priority="8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6" priority="84" operator="containsText" text="NO APLICA">
      <formula>NOT(ISERROR(SEARCH("NO APLICA",AB239)))</formula>
    </cfRule>
  </conditionalFormatting>
  <conditionalFormatting sqref="AB183:AF187 CD185:CH185 V4:V96 O4:O240 V98:V158">
    <cfRule type="containsText" dxfId="755" priority="1037" operator="containsText" text="VIGENTE">
      <formula>NOT(ISERROR(SEARCH("VIGENTE",O4)))</formula>
    </cfRule>
  </conditionalFormatting>
  <conditionalFormatting sqref="AG4:AG37 AG80:AG129">
    <cfRule type="containsText" dxfId="754" priority="1005" operator="containsText" text="POR VENCER">
      <formula>NOT(ISERROR(SEARCH("POR VENCER",AG4)))</formula>
    </cfRule>
    <cfRule type="containsText" dxfId="753" priority="1007" operator="containsText" text="VENCIDA">
      <formula>NOT(ISERROR(SEARCH("VENCIDA",AG4)))</formula>
    </cfRule>
    <cfRule type="containsText" dxfId="752" priority="1006" operator="containsText" text="VIGENTE">
      <formula>NOT(ISERROR(SEARCH("VIGENTE",AG4)))</formula>
    </cfRule>
  </conditionalFormatting>
  <conditionalFormatting sqref="AG180">
    <cfRule type="containsText" dxfId="751" priority="1003" operator="containsText" text="VENCIDA">
      <formula>NOT(ISERROR(SEARCH("VENCIDA",AG180)))</formula>
    </cfRule>
  </conditionalFormatting>
  <conditionalFormatting sqref="AH11:AH12">
    <cfRule type="containsText" dxfId="750" priority="1002" operator="containsText" text="VENCIDA">
      <formula>NOT(ISERROR(SEARCH("VENCIDA",AH11)))</formula>
    </cfRule>
    <cfRule type="containsText" dxfId="749" priority="1001" operator="containsText" text="VIGENTE">
      <formula>NOT(ISERROR(SEARCH("VIGENTE",AH11)))</formula>
    </cfRule>
    <cfRule type="containsText" dxfId="748" priority="1000" operator="containsText" text="POR VENCER">
      <formula>NOT(ISERROR(SEARCH("POR VENCER",AH11)))</formula>
    </cfRule>
    <cfRule type="containsText" dxfId="747" priority="999" operator="containsText" text="NO APLICA">
      <formula>NOT(ISERROR(SEARCH("NO APLICA",AH11)))</formula>
    </cfRule>
  </conditionalFormatting>
  <conditionalFormatting sqref="AH15">
    <cfRule type="containsText" dxfId="746" priority="998" operator="containsText" text="VENCIDA">
      <formula>NOT(ISERROR(SEARCH("VENCIDA",AH15)))</formula>
    </cfRule>
    <cfRule type="containsText" dxfId="745" priority="997" operator="containsText" text="VIGENTE">
      <formula>NOT(ISERROR(SEARCH("VIGENTE",AH15)))</formula>
    </cfRule>
    <cfRule type="containsText" dxfId="744" priority="996" operator="containsText" text="POR VENCER">
      <formula>NOT(ISERROR(SEARCH("POR VENCER",AH15)))</formula>
    </cfRule>
    <cfRule type="containsText" dxfId="743" priority="995" operator="containsText" text="NO APLICA">
      <formula>NOT(ISERROR(SEARCH("NO APLICA",AH15)))</formula>
    </cfRule>
  </conditionalFormatting>
  <conditionalFormatting sqref="AH19">
    <cfRule type="containsText" dxfId="742" priority="992" operator="containsText" text="POR VENCER">
      <formula>NOT(ISERROR(SEARCH("POR VENCER",AH19)))</formula>
    </cfRule>
    <cfRule type="containsText" dxfId="741" priority="991" operator="containsText" text="NO APLICA">
      <formula>NOT(ISERROR(SEARCH("NO APLICA",AH19)))</formula>
    </cfRule>
    <cfRule type="containsText" dxfId="740" priority="993" operator="containsText" text="VIGENTE">
      <formula>NOT(ISERROR(SEARCH("VIGENTE",AH19)))</formula>
    </cfRule>
    <cfRule type="containsText" dxfId="739" priority="994" operator="containsText" text="VENCIDA">
      <formula>NOT(ISERROR(SEARCH("VENCIDA",AH19)))</formula>
    </cfRule>
  </conditionalFormatting>
  <conditionalFormatting sqref="AH23">
    <cfRule type="containsText" dxfId="738" priority="987" operator="containsText" text="NO APLICA">
      <formula>NOT(ISERROR(SEARCH("NO APLICA",AH23)))</formula>
    </cfRule>
    <cfRule type="containsText" dxfId="737" priority="988" operator="containsText" text="POR VENCER">
      <formula>NOT(ISERROR(SEARCH("POR VENCER",AH23)))</formula>
    </cfRule>
    <cfRule type="containsText" dxfId="736" priority="989" operator="containsText" text="VIGENTE">
      <formula>NOT(ISERROR(SEARCH("VIGENTE",AH23)))</formula>
    </cfRule>
    <cfRule type="containsText" dxfId="735" priority="990" operator="containsText" text="VENCIDA">
      <formula>NOT(ISERROR(SEARCH("VENCIDA",AH23)))</formula>
    </cfRule>
  </conditionalFormatting>
  <conditionalFormatting sqref="AH25:AH26">
    <cfRule type="containsText" dxfId="734" priority="986" operator="containsText" text="VENCIDA">
      <formula>NOT(ISERROR(SEARCH("VENCIDA",AH25)))</formula>
    </cfRule>
    <cfRule type="containsText" dxfId="733" priority="985" operator="containsText" text="VIGENTE">
      <formula>NOT(ISERROR(SEARCH("VIGENTE",AH25)))</formula>
    </cfRule>
    <cfRule type="containsText" dxfId="732" priority="984" operator="containsText" text="POR VENCER">
      <formula>NOT(ISERROR(SEARCH("POR VENCER",AH25)))</formula>
    </cfRule>
    <cfRule type="containsText" dxfId="731" priority="983" operator="containsText" text="NO APLICA">
      <formula>NOT(ISERROR(SEARCH("NO APLICA",AH25)))</formula>
    </cfRule>
  </conditionalFormatting>
  <conditionalFormatting sqref="AH32">
    <cfRule type="containsText" dxfId="730" priority="980" operator="containsText" text="POR VENCER">
      <formula>NOT(ISERROR(SEARCH("POR VENCER",AH32)))</formula>
    </cfRule>
    <cfRule type="containsText" dxfId="729" priority="982" operator="containsText" text="VENCIDA">
      <formula>NOT(ISERROR(SEARCH("VENCIDA",AH32)))</formula>
    </cfRule>
    <cfRule type="containsText" dxfId="728" priority="979" operator="containsText" text="NO APLICA">
      <formula>NOT(ISERROR(SEARCH("NO APLICA",AH32)))</formula>
    </cfRule>
    <cfRule type="containsText" dxfId="727" priority="981" operator="containsText" text="VIGENTE">
      <formula>NOT(ISERROR(SEARCH("VIGENTE",AH32)))</formula>
    </cfRule>
  </conditionalFormatting>
  <conditionalFormatting sqref="AH36:AH37">
    <cfRule type="containsText" dxfId="726" priority="976" operator="containsText" text="POR VENCER">
      <formula>NOT(ISERROR(SEARCH("POR VENCER",AH36)))</formula>
    </cfRule>
    <cfRule type="containsText" dxfId="725" priority="975" operator="containsText" text="NO APLICA">
      <formula>NOT(ISERROR(SEARCH("NO APLICA",AH36)))</formula>
    </cfRule>
    <cfRule type="containsText" dxfId="724" priority="978" operator="containsText" text="VENCIDA">
      <formula>NOT(ISERROR(SEARCH("VENCIDA",AH36)))</formula>
    </cfRule>
    <cfRule type="containsText" dxfId="723" priority="977" operator="containsText" text="VIGENTE">
      <formula>NOT(ISERROR(SEARCH("VIGENTE",AH36)))</formula>
    </cfRule>
  </conditionalFormatting>
  <conditionalFormatting sqref="AH43">
    <cfRule type="containsText" dxfId="722" priority="972" operator="containsText" text="POR VENCER">
      <formula>NOT(ISERROR(SEARCH("POR VENCER",AH43)))</formula>
    </cfRule>
    <cfRule type="containsText" dxfId="721" priority="973" operator="containsText" text="VIGENTE">
      <formula>NOT(ISERROR(SEARCH("VIGENTE",AH43)))</formula>
    </cfRule>
    <cfRule type="containsText" dxfId="720" priority="974" operator="containsText" text="VENCIDA">
      <formula>NOT(ISERROR(SEARCH("VENCIDA",AH43)))</formula>
    </cfRule>
    <cfRule type="containsText" dxfId="719" priority="971" operator="containsText" text="NO APLICA">
      <formula>NOT(ISERROR(SEARCH("NO APLICA",AH43)))</formula>
    </cfRule>
  </conditionalFormatting>
  <conditionalFormatting sqref="AH48:AH49 AH144 AH147 AH196 AH233 AH238">
    <cfRule type="containsText" dxfId="718" priority="146" operator="containsText" text="NO APLICA">
      <formula>NOT(ISERROR(SEARCH("NO APLICA",AH48)))</formula>
    </cfRule>
    <cfRule type="containsText" dxfId="717" priority="147" operator="containsText" text="POR VENCER">
      <formula>NOT(ISERROR(SEARCH("POR VENCER",AH48)))</formula>
    </cfRule>
    <cfRule type="containsText" dxfId="716" priority="148" operator="containsText" text="VIGENTE">
      <formula>NOT(ISERROR(SEARCH("VIGENTE",AH48)))</formula>
    </cfRule>
    <cfRule type="containsText" dxfId="715" priority="149" operator="containsText" text="VENCIDA">
      <formula>NOT(ISERROR(SEARCH("VENCIDA",AH48)))</formula>
    </cfRule>
  </conditionalFormatting>
  <conditionalFormatting sqref="AH52">
    <cfRule type="containsText" dxfId="714" priority="963" operator="containsText" text="NO APLICA">
      <formula>NOT(ISERROR(SEARCH("NO APLICA",AH52)))</formula>
    </cfRule>
    <cfRule type="containsText" dxfId="713" priority="966" operator="containsText" text="VENCIDA">
      <formula>NOT(ISERROR(SEARCH("VENCIDA",AH52)))</formula>
    </cfRule>
    <cfRule type="containsText" dxfId="712" priority="964" operator="containsText" text="POR VENCER">
      <formula>NOT(ISERROR(SEARCH("POR VENCER",AH52)))</formula>
    </cfRule>
    <cfRule type="containsText" dxfId="711" priority="965" operator="containsText" text="VIGENTE">
      <formula>NOT(ISERROR(SEARCH("VIGENTE",AH52)))</formula>
    </cfRule>
  </conditionalFormatting>
  <conditionalFormatting sqref="AH64">
    <cfRule type="containsText" dxfId="710" priority="960" operator="containsText" text="POR VENCER">
      <formula>NOT(ISERROR(SEARCH("POR VENCER",AH64)))</formula>
    </cfRule>
    <cfRule type="containsText" dxfId="709" priority="959" operator="containsText" text="NO APLICA">
      <formula>NOT(ISERROR(SEARCH("NO APLICA",AH64)))</formula>
    </cfRule>
    <cfRule type="containsText" dxfId="708" priority="961" operator="containsText" text="VIGENTE">
      <formula>NOT(ISERROR(SEARCH("VIGENTE",AH64)))</formula>
    </cfRule>
    <cfRule type="containsText" dxfId="707" priority="962" operator="containsText" text="VENCIDA">
      <formula>NOT(ISERROR(SEARCH("VENCIDA",AH64)))</formula>
    </cfRule>
  </conditionalFormatting>
  <conditionalFormatting sqref="AH69">
    <cfRule type="containsText" dxfId="706" priority="955" operator="containsText" text="NO APLICA">
      <formula>NOT(ISERROR(SEARCH("NO APLICA",AH69)))</formula>
    </cfRule>
    <cfRule type="containsText" dxfId="705" priority="956" operator="containsText" text="POR VENCER">
      <formula>NOT(ISERROR(SEARCH("POR VENCER",AH69)))</formula>
    </cfRule>
    <cfRule type="containsText" dxfId="704" priority="957" operator="containsText" text="VIGENTE">
      <formula>NOT(ISERROR(SEARCH("VIGENTE",AH69)))</formula>
    </cfRule>
    <cfRule type="containsText" dxfId="703" priority="958" operator="containsText" text="VENCIDA">
      <formula>NOT(ISERROR(SEARCH("VENCIDA",AH69)))</formula>
    </cfRule>
  </conditionalFormatting>
  <conditionalFormatting sqref="AH77:AH78">
    <cfRule type="containsText" dxfId="702" priority="951" operator="containsText" text="NO APLICA">
      <formula>NOT(ISERROR(SEARCH("NO APLICA",AH77)))</formula>
    </cfRule>
    <cfRule type="containsText" dxfId="701" priority="952" operator="containsText" text="POR VENCER">
      <formula>NOT(ISERROR(SEARCH("POR VENCER",AH77)))</formula>
    </cfRule>
    <cfRule type="containsText" dxfId="700" priority="953" operator="containsText" text="VIGENTE">
      <formula>NOT(ISERROR(SEARCH("VIGENTE",AH77)))</formula>
    </cfRule>
    <cfRule type="containsText" dxfId="699" priority="954" operator="containsText" text="VENCIDA">
      <formula>NOT(ISERROR(SEARCH("VENCIDA",AH77)))</formula>
    </cfRule>
  </conditionalFormatting>
  <conditionalFormatting sqref="AH90">
    <cfRule type="containsText" dxfId="698" priority="950" operator="containsText" text="VENCIDA">
      <formula>NOT(ISERROR(SEARCH("VENCIDA",AH90)))</formula>
    </cfRule>
    <cfRule type="containsText" dxfId="697" priority="948" operator="containsText" text="POR VENCER">
      <formula>NOT(ISERROR(SEARCH("POR VENCER",AH90)))</formula>
    </cfRule>
    <cfRule type="containsText" dxfId="696" priority="947" operator="containsText" text="NO APLICA">
      <formula>NOT(ISERROR(SEARCH("NO APLICA",AH90)))</formula>
    </cfRule>
    <cfRule type="containsText" dxfId="695" priority="949" operator="containsText" text="VIGENTE">
      <formula>NOT(ISERROR(SEARCH("VIGENTE",AH90)))</formula>
    </cfRule>
  </conditionalFormatting>
  <conditionalFormatting sqref="AQ239:AQ240 BF239:BF240 BK239:BK240 CE239:CE240 DX239:DY240">
    <cfRule type="containsText" dxfId="694" priority="83" operator="containsText" text="NO APLICA">
      <formula>NOT(ISERROR(SEARCH("NO APLICA",AQ239)))</formula>
    </cfRule>
  </conditionalFormatting>
  <conditionalFormatting sqref="AQ239:AQ240">
    <cfRule type="containsText" dxfId="693" priority="82" operator="containsText" text="VIGENTE">
      <formula>NOT(ISERROR(SEARCH("VIGENTE",AQ239)))</formula>
    </cfRule>
    <cfRule type="containsText" dxfId="692" priority="81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1" priority="946" operator="containsText" text="VENCIDA">
      <formula>NOT(ISERROR(SEARCH("VENCIDA",AK4)))</formula>
    </cfRule>
  </conditionalFormatting>
  <conditionalFormatting sqref="AV36:AV37 AV4:AV6 BA4:BA6">
    <cfRule type="containsText" dxfId="690" priority="945" operator="containsText" text="VIGENTE">
      <formula>NOT(ISERROR(SEARCH("VIGENTE",AV4)))</formula>
    </cfRule>
  </conditionalFormatting>
  <conditionalFormatting sqref="AV36:AV37 DX52:DX73 GF52:GF73 EM65:EM73 FV69:FV72">
    <cfRule type="containsText" dxfId="689" priority="925" operator="containsText" text="POR VENCER">
      <formula>NOT(ISERROR(SEARCH("POR VENCER",AV36)))</formula>
    </cfRule>
  </conditionalFormatting>
  <conditionalFormatting sqref="BA90">
    <cfRule type="containsText" dxfId="688" priority="252" operator="containsText" text="NO APLICA">
      <formula>NOT(ISERROR(SEARCH("NO APLICA",BA90)))</formula>
    </cfRule>
    <cfRule type="containsText" dxfId="687" priority="254" operator="containsText" text="VENCIDA">
      <formula>NOT(ISERROR(SEARCH("VENCIDA",BA90)))</formula>
    </cfRule>
    <cfRule type="containsText" dxfId="686" priority="253" operator="containsText" text="POR VENCER">
      <formula>NOT(ISERROR(SEARCH("POR VENCER",BA90)))</formula>
    </cfRule>
  </conditionalFormatting>
  <conditionalFormatting sqref="BA123:BA125 BA127">
    <cfRule type="containsText" dxfId="685" priority="246" operator="containsText" text="NO APLICA">
      <formula>NOT(ISERROR(SEARCH("NO APLICA",BA123)))</formula>
    </cfRule>
    <cfRule type="containsText" dxfId="684" priority="247" operator="containsText" text="POR VENCER">
      <formula>NOT(ISERROR(SEARCH("POR VENCER",BA123)))</formula>
    </cfRule>
    <cfRule type="containsText" dxfId="683" priority="248" operator="containsText" text="VENCIDA">
      <formula>NOT(ISERROR(SEARCH("VENCIDA",BA123)))</formula>
    </cfRule>
  </conditionalFormatting>
  <conditionalFormatting sqref="BA133">
    <cfRule type="containsText" dxfId="682" priority="227" operator="containsText" text="POR VENCER">
      <formula>NOT(ISERROR(SEARCH("POR VENCER",BA133)))</formula>
    </cfRule>
    <cfRule type="containsText" dxfId="681" priority="229" operator="containsText" text="VENCIDA">
      <formula>NOT(ISERROR(SEARCH("VENCIDA",BA133)))</formula>
    </cfRule>
  </conditionalFormatting>
  <conditionalFormatting sqref="BA133:BA134">
    <cfRule type="containsText" dxfId="680" priority="226" operator="containsText" text="NO APLICA">
      <formula>NOT(ISERROR(SEARCH("NO APLICA",BA133)))</formula>
    </cfRule>
    <cfRule type="containsText" dxfId="679" priority="228" operator="containsText" text="VIGENTE">
      <formula>NOT(ISERROR(SEARCH("VIGENTE",BA133)))</formula>
    </cfRule>
  </conditionalFormatting>
  <conditionalFormatting sqref="BA134">
    <cfRule type="containsText" dxfId="678" priority="244" operator="containsText" text="POR VENCER">
      <formula>NOT(ISERROR(SEARCH("POR VENCER",BA134)))</formula>
    </cfRule>
    <cfRule type="containsText" dxfId="677" priority="245" operator="containsText" text="VENCIDA">
      <formula>NOT(ISERROR(SEARCH("VENCIDA",BA134)))</formula>
    </cfRule>
  </conditionalFormatting>
  <conditionalFormatting sqref="BA142">
    <cfRule type="containsText" dxfId="676" priority="225" operator="containsText" text="VENCIDA">
      <formula>NOT(ISERROR(SEARCH("VENCIDA",BA142)))</formula>
    </cfRule>
    <cfRule type="containsText" dxfId="675" priority="224" operator="containsText" text="VIGENTE">
      <formula>NOT(ISERROR(SEARCH("VIGENTE",BA142)))</formula>
    </cfRule>
    <cfRule type="containsText" dxfId="674" priority="223" operator="containsText" text="POR VENCER">
      <formula>NOT(ISERROR(SEARCH("POR VENCER",BA142)))</formula>
    </cfRule>
    <cfRule type="containsText" dxfId="673" priority="222" operator="containsText" text="NO APLICA">
      <formula>NOT(ISERROR(SEARCH("NO APLICA",BA142)))</formula>
    </cfRule>
  </conditionalFormatting>
  <conditionalFormatting sqref="BA147 BA150">
    <cfRule type="containsText" dxfId="672" priority="220" operator="containsText" text="VIGENTE">
      <formula>NOT(ISERROR(SEARCH("VIGENTE",BA147)))</formula>
    </cfRule>
    <cfRule type="containsText" dxfId="671" priority="221" operator="containsText" text="VENCIDA">
      <formula>NOT(ISERROR(SEARCH("VENCIDA",BA147)))</formula>
    </cfRule>
    <cfRule type="containsText" dxfId="670" priority="218" operator="containsText" text="NO APLICA">
      <formula>NOT(ISERROR(SEARCH("NO APLICA",BA147)))</formula>
    </cfRule>
    <cfRule type="containsText" dxfId="669" priority="219" operator="containsText" text="POR VENCER">
      <formula>NOT(ISERROR(SEARCH("POR VENCER",BA147)))</formula>
    </cfRule>
  </conditionalFormatting>
  <conditionalFormatting sqref="BA152">
    <cfRule type="containsText" dxfId="668" priority="239" operator="containsText" text="VIGENTE">
      <formula>NOT(ISERROR(SEARCH("VIGENTE",BA152)))</formula>
    </cfRule>
    <cfRule type="containsText" dxfId="667" priority="240" operator="containsText" text="POR VENCER">
      <formula>NOT(ISERROR(SEARCH("POR VENCER",BA152)))</formula>
    </cfRule>
    <cfRule type="containsText" dxfId="666" priority="241" operator="containsText" text="VENCIDA">
      <formula>NOT(ISERROR(SEARCH("VENCIDA",BA152)))</formula>
    </cfRule>
    <cfRule type="containsText" dxfId="665" priority="238" operator="containsText" text="NO APLICA">
      <formula>NOT(ISERROR(SEARCH("NO APLICA",BA152)))</formula>
    </cfRule>
  </conditionalFormatting>
  <conditionalFormatting sqref="BA155">
    <cfRule type="containsText" dxfId="664" priority="215" operator="containsText" text="POR VENCER">
      <formula>NOT(ISERROR(SEARCH("POR VENCER",BA155)))</formula>
    </cfRule>
    <cfRule type="containsText" dxfId="663" priority="216" operator="containsText" text="VIGENTE">
      <formula>NOT(ISERROR(SEARCH("VIGENTE",BA155)))</formula>
    </cfRule>
    <cfRule type="containsText" dxfId="662" priority="214" operator="containsText" text="NO APLICA">
      <formula>NOT(ISERROR(SEARCH("NO APLICA",BA155)))</formula>
    </cfRule>
    <cfRule type="containsText" dxfId="661" priority="217" operator="containsText" text="VENCIDA">
      <formula>NOT(ISERROR(SEARCH("VENCIDA",BA155)))</formula>
    </cfRule>
  </conditionalFormatting>
  <conditionalFormatting sqref="BA166">
    <cfRule type="containsText" dxfId="660" priority="237" operator="containsText" text="VENCIDA">
      <formula>NOT(ISERROR(SEARCH("VENCIDA",BA166)))</formula>
    </cfRule>
    <cfRule type="containsText" dxfId="659" priority="234" operator="containsText" text="NO APLICA">
      <formula>NOT(ISERROR(SEARCH("NO APLICA",BA166)))</formula>
    </cfRule>
    <cfRule type="containsText" dxfId="658" priority="235" operator="containsText" text="VIGENTE">
      <formula>NOT(ISERROR(SEARCH("VIGENTE",BA166)))</formula>
    </cfRule>
    <cfRule type="containsText" dxfId="657" priority="236" operator="containsText" text="POR VENCER">
      <formula>NOT(ISERROR(SEARCH("POR VENCER",BA166)))</formula>
    </cfRule>
  </conditionalFormatting>
  <conditionalFormatting sqref="BA177">
    <cfRule type="containsText" dxfId="656" priority="208" operator="containsText" text="VIGENTE">
      <formula>NOT(ISERROR(SEARCH("VIGENTE",BA177)))</formula>
    </cfRule>
    <cfRule type="containsText" dxfId="655" priority="206" operator="containsText" text="NO APLICA">
      <formula>NOT(ISERROR(SEARCH("NO APLICA",BA177)))</formula>
    </cfRule>
    <cfRule type="containsText" dxfId="654" priority="207" operator="containsText" text="POR VENCER">
      <formula>NOT(ISERROR(SEARCH("POR VENCER",BA177)))</formula>
    </cfRule>
    <cfRule type="containsText" dxfId="653" priority="209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52" priority="943" operator="containsText" text="POR VENCER">
      <formula>NOT(ISERROR(SEARCH("POR VENCER",BA180)))</formula>
    </cfRule>
  </conditionalFormatting>
  <conditionalFormatting sqref="BA180">
    <cfRule type="containsText" dxfId="651" priority="942" operator="containsText" text="VIGENTE">
      <formula>NOT(ISERROR(SEARCH("VIGENTE",BA180)))</formula>
    </cfRule>
  </conditionalFormatting>
  <conditionalFormatting sqref="BA182">
    <cfRule type="containsText" dxfId="650" priority="232" operator="containsText" text="POR VENCER">
      <formula>NOT(ISERROR(SEARCH("POR VENCER",BA182)))</formula>
    </cfRule>
    <cfRule type="containsText" dxfId="649" priority="230" operator="containsText" text="NO APLICA">
      <formula>NOT(ISERROR(SEARCH("NO APLICA",BA182)))</formula>
    </cfRule>
    <cfRule type="containsText" dxfId="648" priority="231" operator="containsText" text="VIGENTE">
      <formula>NOT(ISERROR(SEARCH("VIGENTE",BA182)))</formula>
    </cfRule>
    <cfRule type="containsText" dxfId="647" priority="233" operator="containsText" text="VENCIDA">
      <formula>NOT(ISERROR(SEARCH("VENCIDA",BA182)))</formula>
    </cfRule>
  </conditionalFormatting>
  <conditionalFormatting sqref="BA189 BA191 BA233">
    <cfRule type="containsText" dxfId="646" priority="211" operator="containsText" text="POR VENCER">
      <formula>NOT(ISERROR(SEARCH("POR VENCER",BA189)))</formula>
    </cfRule>
    <cfRule type="containsText" dxfId="645" priority="212" operator="containsText" text="VIGENTE">
      <formula>NOT(ISERROR(SEARCH("VIGENTE",BA189)))</formula>
    </cfRule>
    <cfRule type="containsText" dxfId="644" priority="213" operator="containsText" text="VENCIDA">
      <formula>NOT(ISERROR(SEARCH("VENCIDA",BA189)))</formula>
    </cfRule>
    <cfRule type="containsText" dxfId="643" priority="210" operator="containsText" text="NO APLICA">
      <formula>NOT(ISERROR(SEARCH("NO APLICA",BA189)))</formula>
    </cfRule>
  </conditionalFormatting>
  <conditionalFormatting sqref="BF180 BK180 BZ180 CT180 CY180 DN180 DS180 DX180 EC180 FB180 FG180">
    <cfRule type="containsText" dxfId="642" priority="941" operator="containsText" text="VIGENTE">
      <formula>NOT(ISERROR(SEARCH("VIGENTE",BF180)))</formula>
    </cfRule>
    <cfRule type="containsText" dxfId="641" priority="940" operator="containsText" text="POR VENCER">
      <formula>NOT(ISERROR(SEARCH("POR VENCER",BF180)))</formula>
    </cfRule>
  </conditionalFormatting>
  <conditionalFormatting sqref="BF239:BF240 BK239:BK240 CE239:CE240 DX239:DY240 KC239:KC240">
    <cfRule type="containsText" dxfId="640" priority="80" operator="containsText" text="VIGENTE">
      <formula>NOT(ISERROR(SEARCH("VIGENTE",BF239)))</formula>
    </cfRule>
  </conditionalFormatting>
  <conditionalFormatting sqref="BF239:BF240 BK239:BK240 CE239:CE240 DX239:DY240">
    <cfRule type="containsText" dxfId="639" priority="7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8" priority="356" operator="containsText" text="VENCIDA">
      <formula>NOT(ISERROR(SEARCH("VENCIDA",BK67)))</formula>
    </cfRule>
    <cfRule type="containsText" dxfId="637" priority="355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36" priority="354" operator="containsText" text="NO APLICA">
      <formula>NOT(ISERROR(SEARCH("NO APLICA",BK67)))</formula>
    </cfRule>
  </conditionalFormatting>
  <conditionalFormatting sqref="BK131:BK132 BK135 BK137 BK139 BK164 BK172">
    <cfRule type="containsText" dxfId="635" priority="35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4" priority="763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3" priority="939" operator="containsText" text="NO APLICA">
      <formula>NOT(ISERROR(SEARCH("NO APLICA",AK4)))</formula>
    </cfRule>
  </conditionalFormatting>
  <conditionalFormatting sqref="BP180 DI180 EM180 ER180">
    <cfRule type="containsText" dxfId="632" priority="938" operator="containsText" text="POR VENCER">
      <formula>NOT(ISERROR(SEARCH("POR VENCER",BP180)))</formula>
    </cfRule>
  </conditionalFormatting>
  <conditionalFormatting sqref="BU30:BU35">
    <cfRule type="containsText" dxfId="631" priority="269" operator="containsText" text="POR VENCER">
      <formula>NOT(ISERROR(SEARCH("POR VENCER",BU30)))</formula>
    </cfRule>
    <cfRule type="containsText" dxfId="630" priority="268" operator="containsText" text="NO APLICA">
      <formula>NOT(ISERROR(SEARCH("NO APLICA",BU30)))</formula>
    </cfRule>
  </conditionalFormatting>
  <conditionalFormatting sqref="BU35">
    <cfRule type="containsText" dxfId="629" priority="27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8" priority="93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7" priority="265" operator="containsText" text="NO APLICA">
      <formula>NOT(ISERROR(SEARCH("NO APLICA",BU65)))</formula>
    </cfRule>
    <cfRule type="containsText" dxfId="626" priority="26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5" priority="267" operator="containsText" text="VENCIDA">
      <formula>NOT(ISERROR(SEARCH("VENCIDA",BU83)))</formula>
    </cfRule>
    <cfRule type="containsText" dxfId="624" priority="264" operator="containsText" text="VIGENTE">
      <formula>NOT(ISERROR(SEARCH("VIGENTE",BU83)))</formula>
    </cfRule>
  </conditionalFormatting>
  <conditionalFormatting sqref="CI4:CI240">
    <cfRule type="containsText" dxfId="623" priority="927" operator="containsText" text="VENCIDA">
      <formula>NOT(ISERROR(SEARCH("VENCIDA",CI4)))</formula>
    </cfRule>
    <cfRule type="containsText" dxfId="622" priority="928" operator="containsText" text="VIGENTE">
      <formula>NOT(ISERROR(SEARCH("VIGENTE",CI4)))</formula>
    </cfRule>
  </conditionalFormatting>
  <conditionalFormatting sqref="CJ180">
    <cfRule type="expression" dxfId="621" priority="92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0" priority="110" operator="containsText" text="NO APLICA">
      <formula>NOT(ISERROR(SEARCH("NO APLICA",P183)))</formula>
    </cfRule>
  </conditionalFormatting>
  <conditionalFormatting sqref="CO8 BU8:BU19 CO10:CO19 IW4:IW42 AV36:AV37">
    <cfRule type="containsText" dxfId="619" priority="917" operator="containsText" text="NO APLICA">
      <formula>NOT(ISERROR(SEARCH("NO APLICA",AV4)))</formula>
    </cfRule>
  </conditionalFormatting>
  <conditionalFormatting sqref="CT47">
    <cfRule type="containsText" dxfId="618" priority="371" operator="containsText" text="VENCIDA">
      <formula>NOT(ISERROR(SEARCH("VENCIDA",CT47)))</formula>
    </cfRule>
    <cfRule type="containsText" dxfId="617" priority="369" operator="containsText" text="NO APLICA">
      <formula>NOT(ISERROR(SEARCH("NO APLICA",CT47)))</formula>
    </cfRule>
    <cfRule type="containsText" dxfId="616" priority="370" operator="containsText" text="POR VENCER">
      <formula>NOT(ISERROR(SEARCH("POR VENCER",CT47)))</formula>
    </cfRule>
  </conditionalFormatting>
  <conditionalFormatting sqref="CT164">
    <cfRule type="containsText" dxfId="615" priority="367" operator="containsText" text="VIGENTE">
      <formula>NOT(ISERROR(SEARCH("VIGENTE",CT164)))</formula>
    </cfRule>
    <cfRule type="containsText" dxfId="614" priority="365" operator="containsText" text="NO APLICA">
      <formula>NOT(ISERROR(SEARCH("NO APLICA",CT164)))</formula>
    </cfRule>
    <cfRule type="containsText" dxfId="613" priority="366" operator="containsText" text="POR VENCER">
      <formula>NOT(ISERROR(SEARCH("POR VENCER",CT164)))</formula>
    </cfRule>
    <cfRule type="containsText" dxfId="612" priority="368" operator="containsText" text="VENCIDA">
      <formula>NOT(ISERROR(SEARCH("VENCIDA",CT164)))</formula>
    </cfRule>
  </conditionalFormatting>
  <conditionalFormatting sqref="CT172">
    <cfRule type="containsText" dxfId="611" priority="361" operator="containsText" text="NO APLICA">
      <formula>NOT(ISERROR(SEARCH("NO APLICA",CT172)))</formula>
    </cfRule>
    <cfRule type="containsText" dxfId="610" priority="362" operator="containsText" text="POR VENCER">
      <formula>NOT(ISERROR(SEARCH("POR VENCER",CT172)))</formula>
    </cfRule>
    <cfRule type="containsText" dxfId="609" priority="363" operator="containsText" text="VIGENTE">
      <formula>NOT(ISERROR(SEARCH("VIGENTE",CT172)))</formula>
    </cfRule>
    <cfRule type="containsText" dxfId="608" priority="364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7" priority="92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6" priority="935" operator="containsText" text="POR VENCER">
      <formula>NOT(ISERROR(SEARCH("POR VENCER",AB4)))</formula>
    </cfRule>
  </conditionalFormatting>
  <conditionalFormatting sqref="DD131 DD133 DD135 DD150 DD155 DD172 DD191">
    <cfRule type="containsText" dxfId="605" priority="306" operator="containsText" text="NO APLICA">
      <formula>NOT(ISERROR(SEARCH("NO APLICA",DD131)))</formula>
    </cfRule>
    <cfRule type="containsText" dxfId="604" priority="308" operator="containsText" text="VIGENTE">
      <formula>NOT(ISERROR(SEARCH("VIGENTE",DD131)))</formula>
    </cfRule>
    <cfRule type="containsText" dxfId="603" priority="309" operator="containsText" text="VENCIDA">
      <formula>NOT(ISERROR(SEARCH("VENCIDA",DD131)))</formula>
    </cfRule>
    <cfRule type="containsText" dxfId="602" priority="307" operator="containsText" text="POR VENCER">
      <formula>NOT(ISERROR(SEARCH("POR VENCER",DD131)))</formula>
    </cfRule>
  </conditionalFormatting>
  <conditionalFormatting sqref="DI133 DI150 DI155">
    <cfRule type="containsText" dxfId="601" priority="351" operator="containsText" text="VIGENTE">
      <formula>NOT(ISERROR(SEARCH("VIGENTE",DI133)))</formula>
    </cfRule>
    <cfRule type="containsText" dxfId="600" priority="352" operator="containsText" text="VENCIDA">
      <formula>NOT(ISERROR(SEARCH("VENCIDA",DI133)))</formula>
    </cfRule>
    <cfRule type="containsText" dxfId="599" priority="350" operator="containsText" text="POR VENCER">
      <formula>NOT(ISERROR(SEARCH("POR VENCER",DI133)))</formula>
    </cfRule>
    <cfRule type="containsText" dxfId="598" priority="349" operator="containsText" text="NO APLICA">
      <formula>NOT(ISERROR(SEARCH("NO APLICA",DI133)))</formula>
    </cfRule>
  </conditionalFormatting>
  <conditionalFormatting sqref="DN38">
    <cfRule type="containsText" dxfId="597" priority="348" operator="containsText" text="VENCIDA">
      <formula>NOT(ISERROR(SEARCH("VENCIDA",DN38)))</formula>
    </cfRule>
    <cfRule type="containsText" dxfId="596" priority="347" operator="containsText" text="POR VENCER">
      <formula>NOT(ISERROR(SEARCH("POR VENCER",DN38)))</formula>
    </cfRule>
  </conditionalFormatting>
  <conditionalFormatting sqref="DN38:DN46">
    <cfRule type="containsText" dxfId="595" priority="346" operator="containsText" text="NO APLICA">
      <formula>NOT(ISERROR(SEARCH("NO APLICA",DN38)))</formula>
    </cfRule>
  </conditionalFormatting>
  <conditionalFormatting sqref="DN42">
    <cfRule type="containsText" dxfId="594" priority="331" operator="containsText" text="VENCIDA">
      <formula>NOT(ISERROR(SEARCH("VENCIDA",DN42)))</formula>
    </cfRule>
    <cfRule type="containsText" dxfId="593" priority="326" operator="containsText" text="NO APLICA">
      <formula>NOT(ISERROR(SEARCH("NO APLICA",DN42)))</formula>
    </cfRule>
    <cfRule type="containsText" dxfId="592" priority="328" operator="containsText" text="VENCIDA">
      <formula>NOT(ISERROR(SEARCH("VENCIDA",DN42)))</formula>
    </cfRule>
    <cfRule type="containsText" dxfId="591" priority="329" operator="containsText" text="NO APLICA">
      <formula>NOT(ISERROR(SEARCH("NO APLICA",DN42)))</formula>
    </cfRule>
    <cfRule type="containsText" dxfId="590" priority="327" operator="containsText" text="POR VENCER">
      <formula>NOT(ISERROR(SEARCH("POR VENCER",DN42)))</formula>
    </cfRule>
    <cfRule type="containsText" dxfId="589" priority="330" operator="containsText" text="POR VENCER">
      <formula>NOT(ISERROR(SEARCH("POR VENCER",DN42)))</formula>
    </cfRule>
  </conditionalFormatting>
  <conditionalFormatting sqref="DN64">
    <cfRule type="containsText" dxfId="588" priority="344" operator="containsText" text="POR VENCER">
      <formula>NOT(ISERROR(SEARCH("POR VENCER",DN64)))</formula>
    </cfRule>
    <cfRule type="containsText" dxfId="587" priority="345" operator="containsText" text="VENCIDA">
      <formula>NOT(ISERROR(SEARCH("VENCIDA",DN64)))</formula>
    </cfRule>
    <cfRule type="containsText" dxfId="586" priority="343" operator="containsText" text="NO APLICA">
      <formula>NOT(ISERROR(SEARCH("NO APLICA",DN64)))</formula>
    </cfRule>
  </conditionalFormatting>
  <conditionalFormatting sqref="DN72">
    <cfRule type="containsText" dxfId="585" priority="341" operator="containsText" text="POR VENCER">
      <formula>NOT(ISERROR(SEARCH("POR VENCER",DN72)))</formula>
    </cfRule>
    <cfRule type="containsText" dxfId="584" priority="340" operator="containsText" text="NO APLICA">
      <formula>NOT(ISERROR(SEARCH("NO APLICA",DN72)))</formula>
    </cfRule>
    <cfRule type="containsText" dxfId="583" priority="342" operator="containsText" text="VENCIDA">
      <formula>NOT(ISERROR(SEARCH("VENCIDA",DN72)))</formula>
    </cfRule>
  </conditionalFormatting>
  <conditionalFormatting sqref="DN152">
    <cfRule type="containsText" dxfId="582" priority="337" operator="containsText" text="POR VENCER">
      <formula>NOT(ISERROR(SEARCH("POR VENCER",DN152)))</formula>
    </cfRule>
    <cfRule type="containsText" dxfId="581" priority="336" operator="containsText" text="NO APLICA">
      <formula>NOT(ISERROR(SEARCH("NO APLICA",DN152)))</formula>
    </cfRule>
    <cfRule type="containsText" dxfId="580" priority="338" operator="containsText" text="VIGENTE">
      <formula>NOT(ISERROR(SEARCH("VIGENTE",DN152)))</formula>
    </cfRule>
    <cfRule type="containsText" dxfId="579" priority="339" operator="containsText" text="VENCIDA">
      <formula>NOT(ISERROR(SEARCH("VENCIDA",DN152)))</formula>
    </cfRule>
  </conditionalFormatting>
  <conditionalFormatting sqref="DN173">
    <cfRule type="containsText" dxfId="578" priority="334" operator="containsText" text="VIGENTE">
      <formula>NOT(ISERROR(SEARCH("VIGENTE",DN173)))</formula>
    </cfRule>
    <cfRule type="containsText" dxfId="577" priority="335" operator="containsText" text="VENCIDA">
      <formula>NOT(ISERROR(SEARCH("VENCIDA",DN173)))</formula>
    </cfRule>
    <cfRule type="containsText" dxfId="576" priority="333" operator="containsText" text="POR VENCER">
      <formula>NOT(ISERROR(SEARCH("POR VENCER",DN173)))</formula>
    </cfRule>
    <cfRule type="containsText" dxfId="575" priority="332" operator="containsText" text="NO APLICA">
      <formula>NOT(ISERROR(SEARCH("NO APLICA",DN173)))</formula>
    </cfRule>
  </conditionalFormatting>
  <conditionalFormatting sqref="DT9">
    <cfRule type="containsText" dxfId="574" priority="305" operator="containsText" text="VENCIDA">
      <formula>NOT(ISERROR(SEARCH("VENCIDA",DT9)))</formula>
    </cfRule>
    <cfRule type="containsText" dxfId="573" priority="304" operator="containsText" text="VIGENTE">
      <formula>NOT(ISERROR(SEARCH("VIGENTE",DT9)))</formula>
    </cfRule>
    <cfRule type="containsText" dxfId="572" priority="303" operator="containsText" text="POR VENCER">
      <formula>NOT(ISERROR(SEARCH("POR VENCER",DT9)))</formula>
    </cfRule>
    <cfRule type="containsText" dxfId="571" priority="302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70" priority="298" operator="containsText" text="NO APLICA">
      <formula>NOT(ISERROR(SEARCH("NO APLICA",DT35)))</formula>
    </cfRule>
    <cfRule type="containsText" dxfId="569" priority="300" operator="containsText" text="VIGENTE">
      <formula>NOT(ISERROR(SEARCH("VIGENTE",DT35)))</formula>
    </cfRule>
    <cfRule type="containsText" dxfId="568" priority="299" operator="containsText" text="POR VENCER">
      <formula>NOT(ISERROR(SEARCH("POR VENCER",DT35)))</formula>
    </cfRule>
    <cfRule type="containsText" dxfId="567" priority="301" operator="containsText" text="VENCIDA">
      <formula>NOT(ISERROR(SEARCH("VENCIDA",DT35)))</formula>
    </cfRule>
  </conditionalFormatting>
  <conditionalFormatting sqref="DX9 DX11 DX35">
    <cfRule type="expression" dxfId="566" priority="262">
      <formula>"O7&gt;=91"</formula>
    </cfRule>
  </conditionalFormatting>
  <conditionalFormatting sqref="DX82:DX83 DX94 DX99 DX104 DX107 DX112 DX115 DX120">
    <cfRule type="expression" dxfId="565" priority="261">
      <formula>"O7&gt;=91"</formula>
    </cfRule>
  </conditionalFormatting>
  <conditionalFormatting sqref="DX189 DX191">
    <cfRule type="expression" dxfId="564" priority="263">
      <formula>"O7&gt;=91"</formula>
    </cfRule>
  </conditionalFormatting>
  <conditionalFormatting sqref="DY53">
    <cfRule type="containsText" dxfId="563" priority="924" operator="containsText" text="VIGENTE">
      <formula>NOT(ISERROR(SEARCH("VIGENTE",DY53)))</formula>
    </cfRule>
    <cfRule type="containsText" dxfId="562" priority="922" operator="containsText" text="NO APLICA">
      <formula>NOT(ISERROR(SEARCH("NO APLICA",DY53)))</formula>
    </cfRule>
    <cfRule type="containsText" dxfId="561" priority="921" operator="containsText" text="VENCIDA">
      <formula>NOT(ISERROR(SEARCH("VENCIDA",DY53)))</formula>
    </cfRule>
    <cfRule type="containsText" dxfId="560" priority="923" operator="containsText" text="POR VENCER">
      <formula>NOT(ISERROR(SEARCH("POR VENCER",DY53)))</formula>
    </cfRule>
  </conditionalFormatting>
  <conditionalFormatting sqref="EC239:ED240">
    <cfRule type="containsText" dxfId="559" priority="4" operator="containsText" text="NO APLICA">
      <formula>NOT(ISERROR(SEARCH("NO APLICA",EC239)))</formula>
    </cfRule>
    <cfRule type="containsText" dxfId="558" priority="3" operator="containsText" text="VIGENTE">
      <formula>NOT(ISERROR(SEARCH("VIGENTE",EC239)))</formula>
    </cfRule>
  </conditionalFormatting>
  <conditionalFormatting sqref="ED239:ED240">
    <cfRule type="containsText" dxfId="557" priority="2" operator="containsText" text="POR VENCER">
      <formula>NOT(ISERROR(SEARCH("POR VENCER",ED239)))</formula>
    </cfRule>
    <cfRule type="containsText" dxfId="556" priority="1" operator="containsText" text="VENCIDA">
      <formula>NOT(ISERROR(SEARCH("VENCIDA",ED239)))</formula>
    </cfRule>
  </conditionalFormatting>
  <conditionalFormatting sqref="EH89 EH114 EH116 EH126">
    <cfRule type="containsText" dxfId="555" priority="93" operator="containsText" text="POR VENCER">
      <formula>NOT(ISERROR(SEARCH("POR VENCER",EH89)))</formula>
    </cfRule>
    <cfRule type="containsText" dxfId="554" priority="92" operator="containsText" text="NO APLICA">
      <formula>NOT(ISERROR(SEARCH("NO APLICA",EH89)))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4" operator="containsText" text="VIGENTE">
      <formula>NOT(ISERROR(SEARCH("VIGENTE",P4)))</formula>
    </cfRule>
  </conditionalFormatting>
  <conditionalFormatting sqref="EH95">
    <cfRule type="containsText" dxfId="552" priority="857" operator="containsText" text="POR VENCER">
      <formula>NOT(ISERROR(SEARCH("POR VENCER",EH95)))</formula>
    </cfRule>
    <cfRule type="containsText" dxfId="551" priority="856" operator="containsText" text="NO APLICA">
      <formula>NOT(ISERROR(SEARCH("NO APLICA",EH95)))</formula>
    </cfRule>
    <cfRule type="containsText" dxfId="550" priority="855" operator="containsText" text="POR VENCER">
      <formula>NOT(ISERROR(SEARCH("POR VENCER",EH95)))</formula>
    </cfRule>
  </conditionalFormatting>
  <conditionalFormatting sqref="EH101">
    <cfRule type="containsText" dxfId="549" priority="827" operator="containsText" text="VENCIDA">
      <formula>NOT(ISERROR(SEARCH("VENCIDA",EH101)))</formula>
    </cfRule>
    <cfRule type="containsText" dxfId="548" priority="828" operator="containsText" text="VIGENTE">
      <formula>NOT(ISERROR(SEARCH("VIGENTE",EH101)))</formula>
    </cfRule>
  </conditionalFormatting>
  <conditionalFormatting sqref="EH107 EH118">
    <cfRule type="containsText" dxfId="547" priority="826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30">
      <formula>"O7&gt;=91"</formula>
    </cfRule>
  </conditionalFormatting>
  <conditionalFormatting sqref="EH152">
    <cfRule type="containsText" dxfId="545" priority="822" operator="containsText" text="NO APLICA">
      <formula>NOT(ISERROR(SEARCH("NO APLICA",EH152)))</formula>
    </cfRule>
    <cfRule type="containsText" dxfId="544" priority="824" operator="containsText" text="VIGENTE">
      <formula>NOT(ISERROR(SEARCH("VIGENTE",EH152)))</formula>
    </cfRule>
    <cfRule type="containsText" dxfId="543" priority="823" operator="containsText" text="POR VENCER">
      <formula>NOT(ISERROR(SEARCH("POR VENCER",EH152)))</formula>
    </cfRule>
  </conditionalFormatting>
  <conditionalFormatting sqref="EH174">
    <cfRule type="containsText" dxfId="542" priority="819" operator="containsText" text="NO APLICA">
      <formula>NOT(ISERROR(SEARCH("NO APLICA",EH174)))</formula>
    </cfRule>
    <cfRule type="containsText" dxfId="541" priority="820" operator="containsText" text="POR VENCER">
      <formula>NOT(ISERROR(SEARCH("POR VENCER",EH174)))</formula>
    </cfRule>
    <cfRule type="containsText" dxfId="540" priority="821" operator="containsText" text="VIGENTE">
      <formula>NOT(ISERROR(SEARCH("VIGENTE",EH174)))</formula>
    </cfRule>
  </conditionalFormatting>
  <conditionalFormatting sqref="EH180:EH181">
    <cfRule type="containsText" dxfId="539" priority="816" operator="containsText" text="NO APLICA">
      <formula>NOT(ISERROR(SEARCH("NO APLICA",EH180)))</formula>
    </cfRule>
    <cfRule type="containsText" dxfId="538" priority="818" operator="containsText" text="POR VENCER">
      <formula>NOT(ISERROR(SEARCH("POR VENCER",EH180)))</formula>
    </cfRule>
  </conditionalFormatting>
  <conditionalFormatting sqref="EH181">
    <cfRule type="containsText" dxfId="537" priority="817" operator="containsText" text="VIGENTE">
      <formula>NOT(ISERROR(SEARCH("VIGENTE",EH181)))</formula>
    </cfRule>
  </conditionalFormatting>
  <conditionalFormatting sqref="EH188:EH189">
    <cfRule type="containsText" dxfId="536" priority="376" operator="containsText" text="POR VENCER">
      <formula>NOT(ISERROR(SEARCH("POR VENCER",EH188)))</formula>
    </cfRule>
    <cfRule type="containsText" dxfId="535" priority="375" operator="containsText" text="NO APLICA">
      <formula>NOT(ISERROR(SEARCH("NO APLICA",EH188)))</formula>
    </cfRule>
  </conditionalFormatting>
  <conditionalFormatting sqref="EH189">
    <cfRule type="containsText" dxfId="534" priority="815" operator="containsText" text="VIGENTE">
      <formula>NOT(ISERROR(SEARCH("VIGENTE",EH189)))</formula>
    </cfRule>
  </conditionalFormatting>
  <conditionalFormatting sqref="EH193">
    <cfRule type="containsText" dxfId="533" priority="811" operator="containsText" text="POR VENCER">
      <formula>NOT(ISERROR(SEARCH("POR VENCER",EH193)))</formula>
    </cfRule>
    <cfRule type="containsText" dxfId="532" priority="810" operator="containsText" text="NO APLICA">
      <formula>NOT(ISERROR(SEARCH("NO APLICA",EH193)))</formula>
    </cfRule>
    <cfRule type="containsText" dxfId="531" priority="812" operator="containsText" text="VIGENTE">
      <formula>NOT(ISERROR(SEARCH("VIGENTE",EH193)))</formula>
    </cfRule>
  </conditionalFormatting>
  <conditionalFormatting sqref="EH202">
    <cfRule type="containsText" dxfId="530" priority="809" operator="containsText" text="VIGENTE">
      <formula>NOT(ISERROR(SEARCH("VIGENTE",EH202)))</formula>
    </cfRule>
    <cfRule type="containsText" dxfId="529" priority="807" operator="containsText" text="NO APLICA">
      <formula>NOT(ISERROR(SEARCH("NO APLICA",EH202)))</formula>
    </cfRule>
    <cfRule type="containsText" dxfId="528" priority="808" operator="containsText" text="POR VENCER">
      <formula>NOT(ISERROR(SEARCH("POR VENCER",EH202)))</formula>
    </cfRule>
  </conditionalFormatting>
  <conditionalFormatting sqref="EH208">
    <cfRule type="containsText" dxfId="527" priority="806" operator="containsText" text="VIGENTE">
      <formula>NOT(ISERROR(SEARCH("VIGENTE",EH208)))</formula>
    </cfRule>
    <cfRule type="containsText" dxfId="526" priority="805" operator="containsText" text="POR VENCER">
      <formula>NOT(ISERROR(SEARCH("POR VENCER",EH208)))</formula>
    </cfRule>
    <cfRule type="containsText" dxfId="525" priority="804" operator="containsText" text="NO APLICA">
      <formula>NOT(ISERROR(SEARCH("NO APLICA",EH208)))</formula>
    </cfRule>
  </conditionalFormatting>
  <conditionalFormatting sqref="EH219">
    <cfRule type="containsText" dxfId="524" priority="803" operator="containsText" text="VIGENTE">
      <formula>NOT(ISERROR(SEARCH("VIGENTE",EH219)))</formula>
    </cfRule>
    <cfRule type="containsText" dxfId="523" priority="802" operator="containsText" text="POR VENCER">
      <formula>NOT(ISERROR(SEARCH("POR VENCER",EH219)))</formula>
    </cfRule>
    <cfRule type="containsText" dxfId="522" priority="801" operator="containsText" text="NO APLICA">
      <formula>NOT(ISERROR(SEARCH("NO APLICA",EH219)))</formula>
    </cfRule>
  </conditionalFormatting>
  <conditionalFormatting sqref="EH223">
    <cfRule type="containsText" dxfId="521" priority="800" operator="containsText" text="VIGENTE">
      <formula>NOT(ISERROR(SEARCH("VIGENTE",EH223)))</formula>
    </cfRule>
    <cfRule type="containsText" dxfId="520" priority="799" operator="containsText" text="POR VENCER">
      <formula>NOT(ISERROR(SEARCH("POR VENCER",EH223)))</formula>
    </cfRule>
    <cfRule type="containsText" dxfId="519" priority="798" operator="containsText" text="NO APLICA">
      <formula>NOT(ISERROR(SEARCH("NO APLICA",EH223)))</formula>
    </cfRule>
  </conditionalFormatting>
  <conditionalFormatting sqref="EH227">
    <cfRule type="containsText" dxfId="518" priority="797" operator="containsText" text="VIGENTE">
      <formula>NOT(ISERROR(SEARCH("VIGENTE",EH227)))</formula>
    </cfRule>
    <cfRule type="containsText" dxfId="517" priority="796" operator="containsText" text="POR VENCER">
      <formula>NOT(ISERROR(SEARCH("POR VENCER",EH227)))</formula>
    </cfRule>
    <cfRule type="containsText" dxfId="516" priority="795" operator="containsText" text="NO APLICA">
      <formula>NOT(ISERROR(SEARCH("NO APLICA",EH227)))</formula>
    </cfRule>
  </conditionalFormatting>
  <conditionalFormatting sqref="EH232">
    <cfRule type="containsText" dxfId="515" priority="792" operator="containsText" text="NO APLICA">
      <formula>NOT(ISERROR(SEARCH("NO APLICA",EH232)))</formula>
    </cfRule>
    <cfRule type="containsText" dxfId="514" priority="794" operator="containsText" text="VIGENTE">
      <formula>NOT(ISERROR(SEARCH("VIGENTE",EH232)))</formula>
    </cfRule>
    <cfRule type="containsText" dxfId="513" priority="793" operator="containsText" text="POR VENCER">
      <formula>NOT(ISERROR(SEARCH("POR VENCER",EH232)))</formula>
    </cfRule>
  </conditionalFormatting>
  <conditionalFormatting sqref="EH237">
    <cfRule type="containsText" dxfId="512" priority="791" operator="containsText" text="VIGENTE">
      <formula>NOT(ISERROR(SEARCH("VIGENTE",EH237)))</formula>
    </cfRule>
    <cfRule type="containsText" dxfId="511" priority="790" operator="containsText" text="POR VENCER">
      <formula>NOT(ISERROR(SEARCH("POR VENCER",EH237)))</formula>
    </cfRule>
    <cfRule type="containsText" dxfId="510" priority="789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9" operator="containsText" text="POR VENCER">
      <formula>NOT(ISERROR(SEARCH("POR VENCER",EH16)))</formula>
    </cfRule>
  </conditionalFormatting>
  <conditionalFormatting sqref="EH131:EI131 EH133:EI139 EH178:EI179">
    <cfRule type="containsText" dxfId="508" priority="315" operator="containsText" text="NO APLICA">
      <formula>NOT(ISERROR(SEARCH("NO APLICA",EH131)))</formula>
    </cfRule>
    <cfRule type="containsText" dxfId="507" priority="317" operator="containsText" text="POR VENCER">
      <formula>NOT(ISERROR(SEARCH("POR VENCER",EH131)))</formula>
    </cfRule>
  </conditionalFormatting>
  <conditionalFormatting sqref="EH131:EI131 EH135:EI135 EH139:EI139 EH178:EI178">
    <cfRule type="containsText" dxfId="506" priority="31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7" operator="containsText" text="VENCIDA">
      <formula>NOT(ISERROR(SEARCH("VENCIDA",EH31)))</formula>
    </cfRule>
  </conditionalFormatting>
  <conditionalFormatting sqref="EH141:EI141 EH160:EI160 EH182:EI182">
    <cfRule type="containsText" dxfId="503" priority="426" operator="containsText" text="VIGENTE">
      <formula>NOT(ISERROR(SEARCH("VIGENTE",EH141)))</formula>
    </cfRule>
  </conditionalFormatting>
  <conditionalFormatting sqref="EM133 EM144 EM150 EM155">
    <cfRule type="containsText" dxfId="502" priority="322" operator="containsText" text="NO APLICA">
      <formula>NOT(ISERROR(SEARCH("NO APLICA",EM133)))</formula>
    </cfRule>
    <cfRule type="containsText" dxfId="501" priority="323" operator="containsText" text="POR VENCER">
      <formula>NOT(ISERROR(SEARCH("POR VENCER",EM133)))</formula>
    </cfRule>
    <cfRule type="containsText" dxfId="500" priority="324" operator="containsText" text="VIGENTE">
      <formula>NOT(ISERROR(SEARCH("VIGENTE",EM133)))</formula>
    </cfRule>
    <cfRule type="containsText" dxfId="499" priority="325" operator="containsText" text="VENCIDA">
      <formula>NOT(ISERROR(SEARCH("VENCIDA",EM133)))</formula>
    </cfRule>
  </conditionalFormatting>
  <conditionalFormatting sqref="EM191 EM221">
    <cfRule type="containsText" dxfId="498" priority="320" operator="containsText" text="VIGENTE">
      <formula>NOT(ISERROR(SEARCH("VIGENTE",EM191)))</formula>
    </cfRule>
    <cfRule type="containsText" dxfId="497" priority="318" operator="containsText" text="NO APLICA">
      <formula>NOT(ISERROR(SEARCH("NO APLICA",EM191)))</formula>
    </cfRule>
    <cfRule type="containsText" dxfId="496" priority="319" operator="containsText" text="POR VENCER">
      <formula>NOT(ISERROR(SEARCH("POR VENCER",EM191)))</formula>
    </cfRule>
    <cfRule type="containsText" dxfId="495" priority="321" operator="containsText" text="VENCIDA">
      <formula>NOT(ISERROR(SEARCH("VENCIDA",EM191)))</formula>
    </cfRule>
  </conditionalFormatting>
  <conditionalFormatting sqref="EN93">
    <cfRule type="containsText" dxfId="494" priority="785" operator="containsText" text="VENCIDA">
      <formula>NOT(ISERROR(SEARCH("VENCIDA",EN93)))</formula>
    </cfRule>
    <cfRule type="containsText" dxfId="493" priority="786" operator="containsText" text="NO APLICA">
      <formula>NOT(ISERROR(SEARCH("NO APLICA",EN93)))</formula>
    </cfRule>
    <cfRule type="containsText" dxfId="492" priority="787" operator="containsText" text="POR VENCER">
      <formula>NOT(ISERROR(SEARCH("POR VENCER",EN93)))</formula>
    </cfRule>
    <cfRule type="containsText" dxfId="491" priority="788" operator="containsText" text="VIGENTE">
      <formula>NOT(ISERROR(SEARCH("VIGENTE",EN93)))</formula>
    </cfRule>
  </conditionalFormatting>
  <conditionalFormatting sqref="EN109:EN110">
    <cfRule type="containsText" dxfId="490" priority="784" operator="containsText" text="VIGENTE">
      <formula>NOT(ISERROR(SEARCH("VIGENTE",EN109)))</formula>
    </cfRule>
    <cfRule type="containsText" dxfId="489" priority="782" operator="containsText" text="NO APLICA">
      <formula>NOT(ISERROR(SEARCH("NO APLICA",EN109)))</formula>
    </cfRule>
    <cfRule type="containsText" dxfId="488" priority="781" operator="containsText" text="VENCIDA">
      <formula>NOT(ISERROR(SEARCH("VENCIDA",EN109)))</formula>
    </cfRule>
    <cfRule type="containsText" dxfId="487" priority="783" operator="containsText" text="POR VENCER">
      <formula>NOT(ISERROR(SEARCH("POR VENCER",EN109)))</formula>
    </cfRule>
  </conditionalFormatting>
  <conditionalFormatting sqref="EN113">
    <cfRule type="containsText" dxfId="486" priority="780" operator="containsText" text="VIGENTE">
      <formula>NOT(ISERROR(SEARCH("VIGENTE",EN113)))</formula>
    </cfRule>
    <cfRule type="containsText" dxfId="485" priority="779" operator="containsText" text="POR VENCER">
      <formula>NOT(ISERROR(SEARCH("POR VENCER",EN113)))</formula>
    </cfRule>
    <cfRule type="containsText" dxfId="484" priority="778" operator="containsText" text="NO APLICA">
      <formula>NOT(ISERROR(SEARCH("NO APLICA",EN113)))</formula>
    </cfRule>
    <cfRule type="containsText" dxfId="483" priority="777" operator="containsText" text="VENCIDA">
      <formula>NOT(ISERROR(SEARCH("VENCIDA",EN113)))</formula>
    </cfRule>
  </conditionalFormatting>
  <conditionalFormatting sqref="EN141">
    <cfRule type="expression" dxfId="482" priority="776">
      <formula>"O7&gt;=91"</formula>
    </cfRule>
  </conditionalFormatting>
  <conditionalFormatting sqref="ER152 ER166 ER174 ER182:ER183">
    <cfRule type="containsText" dxfId="481" priority="202" operator="containsText" text="NO APLICA">
      <formula>NOT(ISERROR(SEARCH("NO APLICA",ER152)))</formula>
    </cfRule>
    <cfRule type="containsText" dxfId="480" priority="204" operator="containsText" text="VIGENTE">
      <formula>NOT(ISERROR(SEARCH("VIGENTE",ER152)))</formula>
    </cfRule>
    <cfRule type="containsText" dxfId="479" priority="205" operator="containsText" text="VENCIDA">
      <formula>NOT(ISERROR(SEARCH("VENCIDA",ER152)))</formula>
    </cfRule>
    <cfRule type="containsText" dxfId="478" priority="203" operator="containsText" text="POR VENCER">
      <formula>NOT(ISERROR(SEARCH("POR VENCER",ER152)))</formula>
    </cfRule>
  </conditionalFormatting>
  <conditionalFormatting sqref="EW16">
    <cfRule type="containsText" dxfId="477" priority="415" operator="containsText" text="VIGENTE">
      <formula>NOT(ISERROR(SEARCH("VIGENTE",EW16)))</formula>
    </cfRule>
    <cfRule type="containsText" dxfId="476" priority="416" operator="containsText" text="VENCIDA">
      <formula>NOT(ISERROR(SEARCH("VENCIDA",EW16)))</formula>
    </cfRule>
  </conditionalFormatting>
  <conditionalFormatting sqref="EW23">
    <cfRule type="containsText" dxfId="475" priority="413" operator="containsText" text="VIGENTE">
      <formula>NOT(ISERROR(SEARCH("VIGENTE",EW23)))</formula>
    </cfRule>
    <cfRule type="containsText" dxfId="474" priority="414" operator="containsText" text="VENCIDA">
      <formula>NOT(ISERROR(SEARCH("VENCIDA",EW23)))</formula>
    </cfRule>
  </conditionalFormatting>
  <conditionalFormatting sqref="EW39:EW53">
    <cfRule type="containsText" dxfId="473" priority="410" operator="containsText" text="NO APLICA">
      <formula>NOT(ISERROR(SEARCH("NO APLICA",EW39)))</formula>
    </cfRule>
  </conditionalFormatting>
  <conditionalFormatting sqref="EW43">
    <cfRule type="containsText" dxfId="472" priority="411" operator="containsText" text="POR VENCER">
      <formula>NOT(ISERROR(SEARCH("POR VENCER",EW43)))</formula>
    </cfRule>
    <cfRule type="containsText" dxfId="471" priority="412" operator="containsText" text="VENCIDA">
      <formula>NOT(ISERROR(SEARCH("VENCIDA",EW43)))</formula>
    </cfRule>
    <cfRule type="containsText" dxfId="470" priority="409" operator="containsText" text="VIGENTE">
      <formula>NOT(ISERROR(SEARCH("VIGENTE",EW43)))</formula>
    </cfRule>
  </conditionalFormatting>
  <conditionalFormatting sqref="EW45 EW83 EW91">
    <cfRule type="containsText" dxfId="469" priority="258" operator="containsText" text="NO APLICA">
      <formula>NOT(ISERROR(SEARCH("NO APLICA",EW45)))</formula>
    </cfRule>
    <cfRule type="containsText" dxfId="468" priority="259" operator="containsText" text="POR VENCER">
      <formula>NOT(ISERROR(SEARCH("POR VENCER",EW45)))</formula>
    </cfRule>
    <cfRule type="containsText" dxfId="467" priority="260" operator="containsText" text="VENCIDA">
      <formula>NOT(ISERROR(SEARCH("VENCIDA",EW45)))</formula>
    </cfRule>
  </conditionalFormatting>
  <conditionalFormatting sqref="EW54">
    <cfRule type="containsText" dxfId="466" priority="405" operator="containsText" text="VIGENTE">
      <formula>NOT(ISERROR(SEARCH("VIGENTE",EW54)))</formula>
    </cfRule>
    <cfRule type="containsText" dxfId="465" priority="408" operator="containsText" text="VENCIDA">
      <formula>NOT(ISERROR(SEARCH("VENCIDA",EW54)))</formula>
    </cfRule>
    <cfRule type="containsText" dxfId="464" priority="407" operator="containsText" text="POR VENCER">
      <formula>NOT(ISERROR(SEARCH("POR VENCER",EW54)))</formula>
    </cfRule>
  </conditionalFormatting>
  <conditionalFormatting sqref="EW54:EW64">
    <cfRule type="containsText" dxfId="463" priority="406" operator="containsText" text="NO APLICA">
      <formula>NOT(ISERROR(SEARCH("NO APLICA",EW54)))</formula>
    </cfRule>
  </conditionalFormatting>
  <conditionalFormatting sqref="EW65">
    <cfRule type="containsText" dxfId="462" priority="403" operator="containsText" text="POR VENCER">
      <formula>NOT(ISERROR(SEARCH("POR VENCER",EW65)))</formula>
    </cfRule>
    <cfRule type="containsText" dxfId="461" priority="404" operator="containsText" text="VENCIDA">
      <formula>NOT(ISERROR(SEARCH("VENCIDA",EW65)))</formula>
    </cfRule>
    <cfRule type="containsText" dxfId="460" priority="401" operator="containsText" text="VIGENTE">
      <formula>NOT(ISERROR(SEARCH("VIGENTE",EW65)))</formula>
    </cfRule>
  </conditionalFormatting>
  <conditionalFormatting sqref="EW65:EW112">
    <cfRule type="containsText" dxfId="459" priority="402" operator="containsText" text="NO APLICA">
      <formula>NOT(ISERROR(SEARCH("NO APLICA",EW65)))</formula>
    </cfRule>
  </conditionalFormatting>
  <conditionalFormatting sqref="EW99 EW112 EW115">
    <cfRule type="containsText" dxfId="458" priority="255" operator="containsText" text="NO APLICA">
      <formula>NOT(ISERROR(SEARCH("NO APLICA",EW99)))</formula>
    </cfRule>
    <cfRule type="containsText" dxfId="457" priority="257" operator="containsText" text="VENCIDA">
      <formula>NOT(ISERROR(SEARCH("VENCIDA",EW99)))</formula>
    </cfRule>
    <cfRule type="containsText" dxfId="456" priority="256" operator="containsText" text="POR VENCER">
      <formula>NOT(ISERROR(SEARCH("POR VENCER",EW99)))</formula>
    </cfRule>
  </conditionalFormatting>
  <conditionalFormatting sqref="EW113:EW114">
    <cfRule type="containsText" dxfId="455" priority="395" operator="containsText" text="POR VENCER">
      <formula>NOT(ISERROR(SEARCH("POR VENCER",EW113)))</formula>
    </cfRule>
    <cfRule type="containsText" dxfId="454" priority="393" operator="containsText" text="VIGENTE">
      <formula>NOT(ISERROR(SEARCH("VIGENTE",EW113)))</formula>
    </cfRule>
    <cfRule type="containsText" dxfId="453" priority="396" operator="containsText" text="VENCIDA">
      <formula>NOT(ISERROR(SEARCH("VENCIDA",EW113)))</formula>
    </cfRule>
  </conditionalFormatting>
  <conditionalFormatting sqref="EW113:EW129">
    <cfRule type="containsText" dxfId="452" priority="394" operator="containsText" text="NO APLICA">
      <formula>NOT(ISERROR(SEARCH("NO APLICA",EW113)))</formula>
    </cfRule>
  </conditionalFormatting>
  <conditionalFormatting sqref="EW152">
    <cfRule type="containsText" dxfId="451" priority="389" operator="containsText" text="VIGENTE">
      <formula>NOT(ISERROR(SEARCH("VIGENTE",EW152)))</formula>
    </cfRule>
    <cfRule type="containsText" dxfId="450" priority="392" operator="containsText" text="VENCIDA">
      <formula>NOT(ISERROR(SEARCH("VENCIDA",EW152)))</formula>
    </cfRule>
    <cfRule type="containsText" dxfId="449" priority="391" operator="containsText" text="POR VENCER">
      <formula>NOT(ISERROR(SEARCH("POR VENCER",EW152)))</formula>
    </cfRule>
    <cfRule type="containsText" dxfId="448" priority="390" operator="containsText" text="NO APLICA">
      <formula>NOT(ISERROR(SEARCH("NO APLICA",EW152)))</formula>
    </cfRule>
  </conditionalFormatting>
  <conditionalFormatting sqref="EW159">
    <cfRule type="containsText" dxfId="447" priority="387" operator="containsText" text="POR VENCER">
      <formula>NOT(ISERROR(SEARCH("POR VENCER",EW159)))</formula>
    </cfRule>
    <cfRule type="containsText" dxfId="446" priority="388" operator="containsText" text="VENCIDA">
      <formula>NOT(ISERROR(SEARCH("VENCIDA",EW159)))</formula>
    </cfRule>
    <cfRule type="containsText" dxfId="445" priority="386" operator="containsText" text="NO APLICA">
      <formula>NOT(ISERROR(SEARCH("NO APLICA",EW159)))</formula>
    </cfRule>
    <cfRule type="containsText" dxfId="444" priority="385" operator="containsText" text="VIGENTE">
      <formula>NOT(ISERROR(SEARCH("VIGENTE",EW159)))</formula>
    </cfRule>
  </conditionalFormatting>
  <conditionalFormatting sqref="EW173">
    <cfRule type="containsText" dxfId="443" priority="383" operator="containsText" text="POR VENCER">
      <formula>NOT(ISERROR(SEARCH("POR VENCER",EW173)))</formula>
    </cfRule>
    <cfRule type="containsText" dxfId="442" priority="384" operator="containsText" text="VENCIDA">
      <formula>NOT(ISERROR(SEARCH("VENCIDA",EW173)))</formula>
    </cfRule>
    <cfRule type="containsText" dxfId="441" priority="381" operator="containsText" text="VIGENTE">
      <formula>NOT(ISERROR(SEARCH("VIGENTE",EW173)))</formula>
    </cfRule>
    <cfRule type="containsText" dxfId="440" priority="382" operator="containsText" text="NO APLICA">
      <formula>NOT(ISERROR(SEARCH("NO APLICA",EW173)))</formula>
    </cfRule>
  </conditionalFormatting>
  <conditionalFormatting sqref="FG39:FG54">
    <cfRule type="containsText" dxfId="439" priority="358" operator="containsText" text="NO APLICA">
      <formula>NOT(ISERROR(SEARCH("NO APLICA",FG39)))</formula>
    </cfRule>
  </conditionalFormatting>
  <conditionalFormatting sqref="FG54">
    <cfRule type="containsText" dxfId="438" priority="357" operator="containsText" text="VIGENTE">
      <formula>NOT(ISERROR(SEARCH("VIGENTE",FG54)))</formula>
    </cfRule>
    <cfRule type="containsText" dxfId="437" priority="360" operator="containsText" text="VENCIDA">
      <formula>NOT(ISERROR(SEARCH("VENCIDA",FG54)))</formula>
    </cfRule>
    <cfRule type="containsText" dxfId="436" priority="359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4" operator="containsText" text="VIGENTE">
      <formula>NOT(ISERROR(SEARCH("VIGENTE",AK4)))</formula>
    </cfRule>
  </conditionalFormatting>
  <conditionalFormatting sqref="FV48:FV62">
    <cfRule type="containsText" dxfId="432" priority="77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72">
      <formula>"O7&gt;=91"</formula>
    </cfRule>
  </conditionalFormatting>
  <conditionalFormatting sqref="FV115">
    <cfRule type="expression" dxfId="430" priority="771">
      <formula>"O7&gt;=91"</formula>
    </cfRule>
  </conditionalFormatting>
  <conditionalFormatting sqref="FV118">
    <cfRule type="expression" dxfId="429" priority="770">
      <formula>"O7&gt;=91"</formula>
    </cfRule>
  </conditionalFormatting>
  <conditionalFormatting sqref="FV126">
    <cfRule type="expression" dxfId="428" priority="769">
      <formula>"O7&gt;=91"</formula>
    </cfRule>
  </conditionalFormatting>
  <conditionalFormatting sqref="FV141 FV143">
    <cfRule type="containsText" dxfId="427" priority="562" operator="containsText" text="VIGENTE">
      <formula>NOT(ISERROR(SEARCH("VIGENTE",FV141)))</formula>
    </cfRule>
    <cfRule type="containsText" dxfId="426" priority="563" operator="containsText" text="VENCIDA">
      <formula>NOT(ISERROR(SEARCH("VENCIDA",FV141)))</formula>
    </cfRule>
    <cfRule type="containsText" dxfId="425" priority="561" operator="containsText" text="POR VENCER">
      <formula>NOT(ISERROR(SEARCH("POR VENCER",FV141)))</formula>
    </cfRule>
    <cfRule type="containsText" dxfId="424" priority="560" operator="containsText" text="NO APLICA">
      <formula>NOT(ISERROR(SEARCH("NO APLICA",FV141)))</formula>
    </cfRule>
  </conditionalFormatting>
  <conditionalFormatting sqref="FV180">
    <cfRule type="containsText" dxfId="423" priority="766" operator="containsText" text="VENCIDA">
      <formula>NOT(ISERROR(SEARCH("VENCIDA",FV180)))</formula>
    </cfRule>
    <cfRule type="containsText" dxfId="422" priority="768" operator="containsText" text="NO APLICA">
      <formula>NOT(ISERROR(SEARCH("NO APLICA",FV180)))</formula>
    </cfRule>
    <cfRule type="containsText" dxfId="421" priority="767" operator="containsText" text="VIGENTE">
      <formula>NOT(ISERROR(SEARCH("VIGENTE",FV180)))</formula>
    </cfRule>
  </conditionalFormatting>
  <conditionalFormatting sqref="FW103 FW106 FW113:FW114 FW127">
    <cfRule type="expression" dxfId="420" priority="765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4">
      <formula>"O7&gt;=91"</formula>
    </cfRule>
  </conditionalFormatting>
  <conditionalFormatting sqref="GA36:GA37 GA172">
    <cfRule type="containsText" dxfId="418" priority="558" operator="containsText" text="VIGENTE">
      <formula>NOT(ISERROR(SEARCH("VIGENTE",GA36)))</formula>
    </cfRule>
  </conditionalFormatting>
  <conditionalFormatting sqref="GA37 GA172">
    <cfRule type="containsText" dxfId="417" priority="559" operator="containsText" text="VENCIDA">
      <formula>NOT(ISERROR(SEARCH("VENCIDA",GA37)))</formula>
    </cfRule>
    <cfRule type="containsText" dxfId="416" priority="556" operator="containsText" text="NO APLICA">
      <formula>NOT(ISERROR(SEARCH("NO APLICA",GA37)))</formula>
    </cfRule>
    <cfRule type="containsText" dxfId="415" priority="557" operator="containsText" text="POR VENCER">
      <formula>NOT(ISERROR(SEARCH("POR VENCER",GA37)))</formula>
    </cfRule>
  </conditionalFormatting>
  <conditionalFormatting sqref="GA39:GA41">
    <cfRule type="containsText" dxfId="414" priority="288" operator="containsText" text="VIGENTE">
      <formula>NOT(ISERROR(SEARCH("VIGENTE",GA39)))</formula>
    </cfRule>
  </conditionalFormatting>
  <conditionalFormatting sqref="GA40:GA41">
    <cfRule type="containsText" dxfId="413" priority="289" operator="containsText" text="VENCIDA">
      <formula>NOT(ISERROR(SEARCH("VENCIDA",GA40)))</formula>
    </cfRule>
    <cfRule type="containsText" dxfId="412" priority="287" operator="containsText" text="POR VENCER">
      <formula>NOT(ISERROR(SEARCH("POR VENCER",GA40)))</formula>
    </cfRule>
    <cfRule type="containsText" dxfId="411" priority="286" operator="containsText" text="NO APLICA">
      <formula>NOT(ISERROR(SEARCH("NO APLICA",GA40)))</formula>
    </cfRule>
  </conditionalFormatting>
  <conditionalFormatting sqref="GA43:GA46">
    <cfRule type="containsText" dxfId="410" priority="283" operator="containsText" text="NO APLICA">
      <formula>NOT(ISERROR(SEARCH("NO APLICA",GA43)))</formula>
    </cfRule>
  </conditionalFormatting>
  <conditionalFormatting sqref="GA46">
    <cfRule type="containsText" dxfId="409" priority="285" operator="containsText" text="VENCIDA">
      <formula>NOT(ISERROR(SEARCH("VENCIDA",GA46)))</formula>
    </cfRule>
    <cfRule type="containsText" dxfId="408" priority="284" operator="containsText" text="POR VENCER">
      <formula>NOT(ISERROR(SEARCH("POR VENCER",GA46)))</formula>
    </cfRule>
  </conditionalFormatting>
  <conditionalFormatting sqref="GA134">
    <cfRule type="containsText" dxfId="407" priority="280" operator="containsText" text="POR VENCER">
      <formula>NOT(ISERROR(SEARCH("POR VENCER",GA134)))</formula>
    </cfRule>
    <cfRule type="containsText" dxfId="406" priority="279" operator="containsText" text="NO APLICA">
      <formula>NOT(ISERROR(SEARCH("NO APLICA",GA134)))</formula>
    </cfRule>
    <cfRule type="containsText" dxfId="405" priority="281" operator="containsText" text="VIGENTE">
      <formula>NOT(ISERROR(SEARCH("VIGENTE",GA134)))</formula>
    </cfRule>
    <cfRule type="containsText" dxfId="404" priority="282" operator="containsText" text="VENCIDA">
      <formula>NOT(ISERROR(SEARCH("VENCIDA",GA134)))</formula>
    </cfRule>
  </conditionalFormatting>
  <conditionalFormatting sqref="GA152">
    <cfRule type="containsText" dxfId="403" priority="275" operator="containsText" text="NO APLICA">
      <formula>NOT(ISERROR(SEARCH("NO APLICA",GA152)))</formula>
    </cfRule>
    <cfRule type="containsText" dxfId="402" priority="276" operator="containsText" text="POR VENCER">
      <formula>NOT(ISERROR(SEARCH("POR VENCER",GA152)))</formula>
    </cfRule>
    <cfRule type="containsText" dxfId="401" priority="277" operator="containsText" text="VIGENTE">
      <formula>NOT(ISERROR(SEARCH("VIGENTE",GA152)))</formula>
    </cfRule>
    <cfRule type="containsText" dxfId="400" priority="278" operator="containsText" text="VENCIDA">
      <formula>NOT(ISERROR(SEARCH("VENCIDA",GA152)))</formula>
    </cfRule>
  </conditionalFormatting>
  <conditionalFormatting sqref="GA182">
    <cfRule type="containsText" dxfId="399" priority="274" operator="containsText" text="VENCIDA">
      <formula>NOT(ISERROR(SEARCH("VENCIDA",GA182)))</formula>
    </cfRule>
    <cfRule type="containsText" dxfId="398" priority="271" operator="containsText" text="NO APLICA">
      <formula>NOT(ISERROR(SEARCH("NO APLICA",GA182)))</formula>
    </cfRule>
    <cfRule type="containsText" dxfId="397" priority="272" operator="containsText" text="POR VENCER">
      <formula>NOT(ISERROR(SEARCH("POR VENCER",GA182)))</formula>
    </cfRule>
    <cfRule type="containsText" dxfId="396" priority="273" operator="containsText" text="VIGENTE">
      <formula>NOT(ISERROR(SEARCH("VIGENTE",GA182)))</formula>
    </cfRule>
  </conditionalFormatting>
  <conditionalFormatting sqref="GA239:GA240">
    <cfRule type="expression" dxfId="395" priority="73">
      <formula>"O7&gt;=91"</formula>
    </cfRule>
  </conditionalFormatting>
  <conditionalFormatting sqref="GK4 GK6:GK22 GK30:GK31 GK33:GK37 GK80:GK85">
    <cfRule type="containsText" dxfId="394" priority="762" operator="containsText" text="VENCIDA">
      <formula>NOT(ISERROR(SEARCH("VENCIDA",GK4)))</formula>
    </cfRule>
  </conditionalFormatting>
  <conditionalFormatting sqref="GK4 GK30:GK31 GK33:GK37 GK80:GK85 GK6:GK22">
    <cfRule type="containsText" dxfId="393" priority="761" operator="containsText" text="VIGENTE">
      <formula>NOT(ISERROR(SEARCH("VIGENTE",GK4)))</formula>
    </cfRule>
  </conditionalFormatting>
  <conditionalFormatting sqref="GK4 GK30:GK31 GK33:GK37 GK80:GK85">
    <cfRule type="containsText" dxfId="392" priority="760" operator="containsText" text="POR VENCER">
      <formula>NOT(ISERROR(SEARCH("POR VENCER",GK4)))</formula>
    </cfRule>
    <cfRule type="containsText" dxfId="391" priority="759" operator="containsText" text="NO APLICA">
      <formula>NOT(ISERROR(SEARCH("NO APLICA",GK4)))</formula>
    </cfRule>
  </conditionalFormatting>
  <conditionalFormatting sqref="GK6:GK22">
    <cfRule type="containsText" dxfId="390" priority="758" operator="containsText" text="POR VENCER">
      <formula>NOT(ISERROR(SEARCH("POR VENCER",GK6)))</formula>
    </cfRule>
    <cfRule type="containsText" dxfId="389" priority="757" operator="containsText" text="NO APLICA">
      <formula>NOT(ISERROR(SEARCH("NO APLICA",GK6)))</formula>
    </cfRule>
  </conditionalFormatting>
  <conditionalFormatting sqref="GK23">
    <cfRule type="expression" dxfId="388" priority="756">
      <formula>"O7&gt;=91"</formula>
    </cfRule>
  </conditionalFormatting>
  <conditionalFormatting sqref="GK29 GK79 GK143:GL143 GK145:GK150 GK151:GL156 GK158:GL158">
    <cfRule type="expression" dxfId="387" priority="755">
      <formula>"O7&gt;=91"</formula>
    </cfRule>
  </conditionalFormatting>
  <conditionalFormatting sqref="GK32">
    <cfRule type="expression" dxfId="386" priority="754">
      <formula>"O7&gt;=91"</formula>
    </cfRule>
  </conditionalFormatting>
  <conditionalFormatting sqref="GK39:GK78">
    <cfRule type="containsText" dxfId="385" priority="200" operator="containsText" text="VIGENTE">
      <formula>NOT(ISERROR(SEARCH("VIGENTE",GK39)))</formula>
    </cfRule>
    <cfRule type="containsText" dxfId="384" priority="198" operator="containsText" text="NO APLICA">
      <formula>NOT(ISERROR(SEARCH("NO APLICA",GK39)))</formula>
    </cfRule>
  </conditionalFormatting>
  <conditionalFormatting sqref="GK45">
    <cfRule type="containsText" dxfId="383" priority="201" operator="containsText" text="VENCIDA">
      <formula>NOT(ISERROR(SEARCH("VENCIDA",GK45)))</formula>
    </cfRule>
    <cfRule type="containsText" dxfId="382" priority="199" operator="containsText" text="POR VENCER">
      <formula>NOT(ISERROR(SEARCH("POR VENCER",GK45)))</formula>
    </cfRule>
  </conditionalFormatting>
  <conditionalFormatting sqref="GK86">
    <cfRule type="expression" dxfId="381" priority="753">
      <formula>"O7&gt;=91"</formula>
    </cfRule>
  </conditionalFormatting>
  <conditionalFormatting sqref="GK87:GK129">
    <cfRule type="containsText" dxfId="380" priority="194" operator="containsText" text="NO APLICA">
      <formula>NOT(ISERROR(SEARCH("NO APLICA",GK87)))</formula>
    </cfRule>
    <cfRule type="containsText" dxfId="379" priority="195" operator="containsText" text="POR VENCER">
      <formula>NOT(ISERROR(SEARCH("POR VENCER",GK87)))</formula>
    </cfRule>
    <cfRule type="containsText" dxfId="378" priority="196" operator="containsText" text="VIGENTE">
      <formula>NOT(ISERROR(SEARCH("VIGENTE",GK87)))</formula>
    </cfRule>
    <cfRule type="containsText" dxfId="377" priority="197" operator="containsText" text="VENCIDA">
      <formula>NOT(ISERROR(SEARCH("VENCIDA",GK87)))</formula>
    </cfRule>
  </conditionalFormatting>
  <conditionalFormatting sqref="GK142 GK144">
    <cfRule type="containsText" dxfId="376" priority="191" operator="containsText" text="POR VENCER">
      <formula>NOT(ISERROR(SEARCH("POR VENCER",GK142)))</formula>
    </cfRule>
    <cfRule type="containsText" dxfId="375" priority="192" operator="containsText" text="VIGENTE">
      <formula>NOT(ISERROR(SEARCH("VIGENTE",GK142)))</formula>
    </cfRule>
    <cfRule type="containsText" dxfId="374" priority="193" operator="containsText" text="VENCIDA">
      <formula>NOT(ISERROR(SEARCH("VENCIDA",GK142)))</formula>
    </cfRule>
    <cfRule type="containsText" dxfId="373" priority="190" operator="containsText" text="NO APLICA">
      <formula>NOT(ISERROR(SEARCH("NO APLICA",GK142)))</formula>
    </cfRule>
  </conditionalFormatting>
  <conditionalFormatting sqref="GK157 GK175 GK191">
    <cfRule type="containsText" dxfId="372" priority="189" operator="containsText" text="VENCIDA">
      <formula>NOT(ISERROR(SEARCH("VENCIDA",GK157)))</formula>
    </cfRule>
    <cfRule type="containsText" dxfId="371" priority="188" operator="containsText" text="VIGENTE">
      <formula>NOT(ISERROR(SEARCH("VIGENTE",GK157)))</formula>
    </cfRule>
    <cfRule type="containsText" dxfId="370" priority="187" operator="containsText" text="POR VENCER">
      <formula>NOT(ISERROR(SEARCH("POR VENCER",GK157)))</formula>
    </cfRule>
    <cfRule type="containsText" dxfId="369" priority="186" operator="containsText" text="NO APLICA">
      <formula>NOT(ISERROR(SEARCH("NO APLICA",GK157)))</formula>
    </cfRule>
  </conditionalFormatting>
  <conditionalFormatting sqref="GK180">
    <cfRule type="containsText" dxfId="368" priority="752" operator="containsText" text="VIGENTE">
      <formula>NOT(ISERROR(SEARCH("VIGENTE",GK180)))</formula>
    </cfRule>
    <cfRule type="containsText" dxfId="367" priority="751" operator="containsText" text="POR VENCER">
      <formula>NOT(ISERROR(SEARCH("POR VENCER",GK180)))</formula>
    </cfRule>
  </conditionalFormatting>
  <conditionalFormatting sqref="GL13:GL14 GK130:GK133">
    <cfRule type="expression" dxfId="366" priority="750">
      <formula>"O7&gt;=91"</formula>
    </cfRule>
  </conditionalFormatting>
  <conditionalFormatting sqref="GL16:GL24 GL26:GL37 GL52:GL96 CJ57:CJ158 GL98 GL101 GL103:GL106 GL108:GL109 GL111 GL113:GL115">
    <cfRule type="expression" dxfId="365" priority="749">
      <formula>"O7&gt;=91"</formula>
    </cfRule>
  </conditionalFormatting>
  <conditionalFormatting sqref="GL39:GL44 GL117:GL127 GL131:GL132 GK134:GL141 GL145 GL172:GL173 GL178 GL182 GL186">
    <cfRule type="expression" dxfId="364" priority="372">
      <formula>"O7&gt;=91"</formula>
    </cfRule>
  </conditionalFormatting>
  <conditionalFormatting sqref="GL46 GL48:GL50 F135 F137:F140 F142:F145 F147:F152 F154:F162">
    <cfRule type="expression" dxfId="363" priority="1066">
      <formula>"O7&gt;=91"</formula>
    </cfRule>
  </conditionalFormatting>
  <conditionalFormatting sqref="GL129">
    <cfRule type="expression" dxfId="362" priority="748">
      <formula>"O7&gt;=91"</formula>
    </cfRule>
  </conditionalFormatting>
  <conditionalFormatting sqref="GL147 GL180">
    <cfRule type="expression" dxfId="361" priority="129">
      <formula>"O7&gt;=91"</formula>
    </cfRule>
  </conditionalFormatting>
  <conditionalFormatting sqref="GL149:GL150 GL238">
    <cfRule type="expression" dxfId="360" priority="181">
      <formula>"O7&gt;=91"</formula>
    </cfRule>
  </conditionalFormatting>
  <conditionalFormatting sqref="GO4:GO240">
    <cfRule type="containsText" dxfId="359" priority="747" operator="containsText" text="NO APLICA">
      <formula>NOT(ISERROR(SEARCH("NO APLICA",GO4)))</formula>
    </cfRule>
  </conditionalFormatting>
  <conditionalFormatting sqref="GP132:GP133">
    <cfRule type="expression" dxfId="358" priority="746">
      <formula>"O7&gt;=91"</formula>
    </cfRule>
  </conditionalFormatting>
  <conditionalFormatting sqref="GT73">
    <cfRule type="containsText" dxfId="357" priority="455" operator="containsText" text="VIGENTE">
      <formula>NOT(ISERROR(SEARCH("VIGENTE",GT73)))</formula>
    </cfRule>
    <cfRule type="containsText" dxfId="356" priority="454" operator="containsText" text="PROGRAMAR">
      <formula>NOT(ISERROR(SEARCH("PROGRAMAR",GT73)))</formula>
    </cfRule>
    <cfRule type="containsText" dxfId="355" priority="453" operator="containsText" text="VENCIDA">
      <formula>NOT(ISERROR(SEARCH("VENCIDA",GT73)))</formula>
    </cfRule>
    <cfRule type="containsText" dxfId="354" priority="458" operator="containsText" text="VENCIDA">
      <formula>NOT(ISERROR(SEARCH("VENCIDA",GT73)))</formula>
    </cfRule>
    <cfRule type="containsText" dxfId="353" priority="456" operator="containsText" text="NO APLICA">
      <formula>NOT(ISERROR(SEARCH("NO APLICA",GT73)))</formula>
    </cfRule>
    <cfRule type="containsText" dxfId="352" priority="457" operator="containsText" text="POR VENCER">
      <formula>NOT(ISERROR(SEARCH("POR VENCER",GT73)))</formula>
    </cfRule>
    <cfRule type="containsText" dxfId="351" priority="452" operator="containsText" text="POR VENCER">
      <formula>NOT(ISERROR(SEARCH("POR VENCER",GT73)))</formula>
    </cfRule>
    <cfRule type="containsText" dxfId="350" priority="451" operator="containsText" text="NO APLICA">
      <formula>NOT(ISERROR(SEARCH("NO APLICA",GT73)))</formula>
    </cfRule>
    <cfRule type="containsText" dxfId="349" priority="450" operator="containsText" text="VIGENTE">
      <formula>NOT(ISERROR(SEARCH("VIGENTE",GT73)))</formula>
    </cfRule>
    <cfRule type="containsText" dxfId="348" priority="459" operator="containsText" text="PROGRAMAR">
      <formula>NOT(ISERROR(SEARCH("PROGRAMAR",GT73)))</formula>
    </cfRule>
  </conditionalFormatting>
  <conditionalFormatting sqref="GT109 GT176">
    <cfRule type="containsText" dxfId="347" priority="431" operator="containsText" text="NO APLICA">
      <formula>NOT(ISERROR(SEARCH("NO APLICA",GT109)))</formula>
    </cfRule>
    <cfRule type="containsText" dxfId="346" priority="432" operator="containsText" text="POR VENCER">
      <formula>NOT(ISERROR(SEARCH("POR VENCER",GT109)))</formula>
    </cfRule>
    <cfRule type="containsText" dxfId="345" priority="433" operator="containsText" text="VENCIDA">
      <formula>NOT(ISERROR(SEARCH("VENCIDA",GT109)))</formula>
    </cfRule>
    <cfRule type="containsText" dxfId="344" priority="434" operator="containsText" text="PROGRAMAR">
      <formula>NOT(ISERROR(SEARCH("PROGRAMAR",GT109)))</formula>
    </cfRule>
    <cfRule type="containsText" dxfId="343" priority="435" operator="containsText" text="VIGENTE">
      <formula>NOT(ISERROR(SEARCH("VIGENTE",GT109)))</formula>
    </cfRule>
    <cfRule type="containsText" dxfId="342" priority="436" operator="containsText" text="NO APLICA">
      <formula>NOT(ISERROR(SEARCH("NO APLICA",GT109)))</formula>
    </cfRule>
    <cfRule type="containsText" dxfId="341" priority="437" operator="containsText" text="POR VENCER">
      <formula>NOT(ISERROR(SEARCH("POR VENCER",GT109)))</formula>
    </cfRule>
    <cfRule type="containsText" dxfId="340" priority="438" operator="containsText" text="VENCIDA">
      <formula>NOT(ISERROR(SEARCH("VENCIDA",GT109)))</formula>
    </cfRule>
    <cfRule type="containsText" dxfId="339" priority="439" operator="containsText" text="PROGRAMAR">
      <formula>NOT(ISERROR(SEARCH("PROGRAMAR",GT109)))</formula>
    </cfRule>
    <cfRule type="containsText" dxfId="338" priority="440" operator="containsText" text="VIGENTE">
      <formula>NOT(ISERROR(SEARCH("VIGENTE",GT109)))</formula>
    </cfRule>
    <cfRule type="containsText" dxfId="337" priority="441" operator="containsText" text="NO APLICA">
      <formula>NOT(ISERROR(SEARCH("NO APLICA",GT109)))</formula>
    </cfRule>
    <cfRule type="containsText" dxfId="336" priority="443" operator="containsText" text="VENCIDA">
      <formula>NOT(ISERROR(SEARCH("VENCIDA",GT109)))</formula>
    </cfRule>
    <cfRule type="containsText" dxfId="335" priority="444" operator="containsText" text="PROGRAMAR">
      <formula>NOT(ISERROR(SEARCH("PROGRAMAR",GT109)))</formula>
    </cfRule>
    <cfRule type="containsText" dxfId="334" priority="445" operator="containsText" text="VIGENTE">
      <formula>NOT(ISERROR(SEARCH("VIGENTE",GT109)))</formula>
    </cfRule>
    <cfRule type="containsText" dxfId="333" priority="447" operator="containsText" text="POR VENCER">
      <formula>NOT(ISERROR(SEARCH("POR VENCER",GT109)))</formula>
    </cfRule>
    <cfRule type="containsText" dxfId="332" priority="446" operator="containsText" text="NO APLICA">
      <formula>NOT(ISERROR(SEARCH("NO APLICA",GT109)))</formula>
    </cfRule>
    <cfRule type="containsText" dxfId="331" priority="430" operator="containsText" text="VIGENTE">
      <formula>NOT(ISERROR(SEARCH("VIGENTE",GT109)))</formula>
    </cfRule>
    <cfRule type="containsText" dxfId="330" priority="449" operator="containsText" text="PROGRAMAR">
      <formula>NOT(ISERROR(SEARCH("PROGRAMAR",GT109)))</formula>
    </cfRule>
    <cfRule type="containsText" dxfId="329" priority="448" operator="containsText" text="VENCIDA">
      <formula>NOT(ISERROR(SEARCH("VENCIDA",GT109)))</formula>
    </cfRule>
    <cfRule type="containsText" dxfId="328" priority="442" operator="containsText" text="POR VENCER">
      <formula>NOT(ISERROR(SEARCH("POR VENCER",GT109)))</formula>
    </cfRule>
  </conditionalFormatting>
  <conditionalFormatting sqref="GY73">
    <cfRule type="containsText" dxfId="327" priority="484" operator="containsText" text="PROGRAMAR">
      <formula>NOT(ISERROR(SEARCH("PROGRAMAR",GY73)))</formula>
    </cfRule>
    <cfRule type="containsText" dxfId="326" priority="489" operator="containsText" text="PROGRAMAR">
      <formula>NOT(ISERROR(SEARCH("PROGRAMAR",GY73)))</formula>
    </cfRule>
    <cfRule type="containsText" dxfId="325" priority="488" operator="containsText" text="VENCIDA">
      <formula>NOT(ISERROR(SEARCH("VENCIDA",GY73)))</formula>
    </cfRule>
    <cfRule type="containsText" dxfId="324" priority="487" operator="containsText" text="POR VENCER">
      <formula>NOT(ISERROR(SEARCH("POR VENCER",GY73)))</formula>
    </cfRule>
    <cfRule type="containsText" dxfId="323" priority="486" operator="containsText" text="NO APLICA">
      <formula>NOT(ISERROR(SEARCH("NO APLICA",GY73)))</formula>
    </cfRule>
    <cfRule type="containsText" dxfId="322" priority="483" operator="containsText" text="VENCIDA">
      <formula>NOT(ISERROR(SEARCH("VENCIDA",GY73)))</formula>
    </cfRule>
    <cfRule type="containsText" dxfId="321" priority="482" operator="containsText" text="POR VENCER">
      <formula>NOT(ISERROR(SEARCH("POR VENCER",GY73)))</formula>
    </cfRule>
    <cfRule type="containsText" dxfId="320" priority="481" operator="containsText" text="NO APLICA">
      <formula>NOT(ISERROR(SEARCH("NO APLICA",GY73)))</formula>
    </cfRule>
    <cfRule type="containsText" dxfId="319" priority="480" operator="containsText" text="VIGENTE">
      <formula>NOT(ISERROR(SEARCH("VIGENTE",GY73)))</formula>
    </cfRule>
    <cfRule type="containsText" dxfId="318" priority="485" operator="containsText" text="VIGENTE">
      <formula>NOT(ISERROR(SEARCH("VIGENTE",GY73)))</formula>
    </cfRule>
  </conditionalFormatting>
  <conditionalFormatting sqref="GY106 GY109 GY116 GY176">
    <cfRule type="containsText" dxfId="317" priority="463" operator="containsText" text="VENCIDA">
      <formula>NOT(ISERROR(SEARCH("VENCIDA",GY106)))</formula>
    </cfRule>
    <cfRule type="containsText" dxfId="316" priority="467" operator="containsText" text="POR VENCER">
      <formula>NOT(ISERROR(SEARCH("POR VENCER",GY106)))</formula>
    </cfRule>
    <cfRule type="containsText" dxfId="315" priority="478" operator="containsText" text="VENCIDA">
      <formula>NOT(ISERROR(SEARCH("VENCIDA",GY106)))</formula>
    </cfRule>
    <cfRule type="containsText" dxfId="314" priority="464" operator="containsText" text="PROGRAMAR">
      <formula>NOT(ISERROR(SEARCH("PROGRAMAR",GY106)))</formula>
    </cfRule>
    <cfRule type="containsText" dxfId="313" priority="479" operator="containsText" text="PROGRAMAR">
      <formula>NOT(ISERROR(SEARCH("PROGRAMAR",GY106)))</formula>
    </cfRule>
    <cfRule type="containsText" dxfId="312" priority="465" operator="containsText" text="VIGENTE">
      <formula>NOT(ISERROR(SEARCH("VIGENTE",GY106)))</formula>
    </cfRule>
    <cfRule type="containsText" dxfId="311" priority="477" operator="containsText" text="POR VENCER">
      <formula>NOT(ISERROR(SEARCH("POR VENCER",GY106)))</formula>
    </cfRule>
    <cfRule type="containsText" dxfId="310" priority="476" operator="containsText" text="NO APLICA">
      <formula>NOT(ISERROR(SEARCH("NO APLICA",GY106)))</formula>
    </cfRule>
    <cfRule type="containsText" dxfId="309" priority="475" operator="containsText" text="VIGENTE">
      <formula>NOT(ISERROR(SEARCH("VIGENTE",GY106)))</formula>
    </cfRule>
    <cfRule type="containsText" dxfId="308" priority="474" operator="containsText" text="PROGRAMAR">
      <formula>NOT(ISERROR(SEARCH("PROGRAMAR",GY106)))</formula>
    </cfRule>
    <cfRule type="containsText" dxfId="307" priority="473" operator="containsText" text="VENCIDA">
      <formula>NOT(ISERROR(SEARCH("VENCIDA",GY106)))</formula>
    </cfRule>
    <cfRule type="containsText" dxfId="306" priority="472" operator="containsText" text="POR VENCER">
      <formula>NOT(ISERROR(SEARCH("POR VENCER",GY106)))</formula>
    </cfRule>
    <cfRule type="containsText" dxfId="305" priority="471" operator="containsText" text="NO APLICA">
      <formula>NOT(ISERROR(SEARCH("NO APLICA",GY106)))</formula>
    </cfRule>
    <cfRule type="containsText" dxfId="304" priority="470" operator="containsText" text="VIGENTE">
      <formula>NOT(ISERROR(SEARCH("VIGENTE",GY106)))</formula>
    </cfRule>
    <cfRule type="containsText" dxfId="303" priority="460" operator="containsText" text="VIGENTE">
      <formula>NOT(ISERROR(SEARCH("VIGENTE",GY106)))</formula>
    </cfRule>
    <cfRule type="containsText" dxfId="302" priority="461" operator="containsText" text="NO APLICA">
      <formula>NOT(ISERROR(SEARCH("NO APLICA",GY106)))</formula>
    </cfRule>
    <cfRule type="containsText" dxfId="301" priority="462" operator="containsText" text="POR VENCER">
      <formula>NOT(ISERROR(SEARCH("POR VENCER",GY106)))</formula>
    </cfRule>
    <cfRule type="containsText" dxfId="300" priority="466" operator="containsText" text="NO APLICA">
      <formula>NOT(ISERROR(SEARCH("NO APLICA",GY106)))</formula>
    </cfRule>
    <cfRule type="containsText" dxfId="299" priority="468" operator="containsText" text="VENCIDA">
      <formula>NOT(ISERROR(SEARCH("VENCIDA",GY106)))</formula>
    </cfRule>
    <cfRule type="containsText" dxfId="298" priority="469" operator="containsText" text="PROGRAMAR">
      <formula>NOT(ISERROR(SEARCH("PROGRAMAR",GY106)))</formula>
    </cfRule>
  </conditionalFormatting>
  <conditionalFormatting sqref="HD73 HD99 HD106 HD109 HD176">
    <cfRule type="containsText" dxfId="297" priority="499" operator="containsText" text="PROGRAMAR">
      <formula>NOT(ISERROR(SEARCH("PROGRAMAR",HD73)))</formula>
    </cfRule>
    <cfRule type="containsText" dxfId="296" priority="490" operator="containsText" text="VIGENTE">
      <formula>NOT(ISERROR(SEARCH("VIGENTE",HD73)))</formula>
    </cfRule>
    <cfRule type="containsText" dxfId="295" priority="492" operator="containsText" text="POR VENCER">
      <formula>NOT(ISERROR(SEARCH("POR VENCER",HD73)))</formula>
    </cfRule>
    <cfRule type="containsText" dxfId="294" priority="498" operator="containsText" text="VENCIDA">
      <formula>NOT(ISERROR(SEARCH("VENCIDA",HD73)))</formula>
    </cfRule>
    <cfRule type="containsText" dxfId="293" priority="497" operator="containsText" text="POR VENCER">
      <formula>NOT(ISERROR(SEARCH("POR VENCER",HD73)))</formula>
    </cfRule>
    <cfRule type="containsText" dxfId="292" priority="496" operator="containsText" text="NO APLICA">
      <formula>NOT(ISERROR(SEARCH("NO APLICA",HD73)))</formula>
    </cfRule>
    <cfRule type="containsText" dxfId="291" priority="495" operator="containsText" text="VIGENTE">
      <formula>NOT(ISERROR(SEARCH("VIGENTE",HD73)))</formula>
    </cfRule>
    <cfRule type="containsText" dxfId="290" priority="494" operator="containsText" text="PROGRAMAR">
      <formula>NOT(ISERROR(SEARCH("PROGRAMAR",HD73)))</formula>
    </cfRule>
    <cfRule type="containsText" dxfId="289" priority="491" operator="containsText" text="NO APLICA">
      <formula>NOT(ISERROR(SEARCH("NO APLICA",HD73)))</formula>
    </cfRule>
    <cfRule type="containsText" dxfId="288" priority="493" operator="containsText" text="VENCIDA">
      <formula>NOT(ISERROR(SEARCH("VENCIDA",HD73)))</formula>
    </cfRule>
  </conditionalFormatting>
  <conditionalFormatting sqref="HG239:HG240">
    <cfRule type="containsText" dxfId="287" priority="69" operator="containsText" text="POR VENCER">
      <formula>NOT(ISERROR(SEARCH("POR VENCER",HG239)))</formula>
    </cfRule>
  </conditionalFormatting>
  <conditionalFormatting sqref="HG239:HH240">
    <cfRule type="containsText" dxfId="286" priority="70" operator="containsText" text="VENCIDA">
      <formula>NOT(ISERROR(SEARCH("VENCIDA",HG239)))</formula>
    </cfRule>
    <cfRule type="containsText" dxfId="285" priority="71" operator="containsText" text="NO APLICA">
      <formula>NOT(ISERROR(SEARCH("NO APLICA",HG239)))</formula>
    </cfRule>
    <cfRule type="containsText" dxfId="284" priority="41" operator="containsText" text="VIGENTE">
      <formula>NOT(ISERROR(SEARCH("VIGENTE",HG239)))</formula>
    </cfRule>
  </conditionalFormatting>
  <conditionalFormatting sqref="HI4:HI240 HI1:HI2">
    <cfRule type="containsText" dxfId="283" priority="555" operator="containsText" text="PROGRAMAR">
      <formula>NOT(ISERROR(SEARCH("PROGRAMAR",HI1)))</formula>
    </cfRule>
  </conditionalFormatting>
  <conditionalFormatting sqref="HI23">
    <cfRule type="containsText" dxfId="282" priority="551" operator="containsText" text="VIGENTE">
      <formula>NOT(ISERROR(SEARCH("VIGENTE",HI23)))</formula>
    </cfRule>
    <cfRule type="containsText" dxfId="281" priority="552" operator="containsText" text="NO APLICA">
      <formula>NOT(ISERROR(SEARCH("NO APLICA",HI23)))</formula>
    </cfRule>
    <cfRule type="containsText" dxfId="280" priority="553" operator="containsText" text="POR VENCER">
      <formula>NOT(ISERROR(SEARCH("POR VENCER",HI23)))</formula>
    </cfRule>
    <cfRule type="containsText" dxfId="279" priority="554" operator="containsText" text="VENCIDA">
      <formula>NOT(ISERROR(SEARCH("VENCIDA",HI23)))</formula>
    </cfRule>
  </conditionalFormatting>
  <conditionalFormatting sqref="HI45">
    <cfRule type="containsText" dxfId="278" priority="550" operator="containsText" text="VENCIDA">
      <formula>NOT(ISERROR(SEARCH("VENCIDA",HI45)))</formula>
    </cfRule>
    <cfRule type="containsText" dxfId="277" priority="548" operator="containsText" text="NO APLICA">
      <formula>NOT(ISERROR(SEARCH("NO APLICA",HI45)))</formula>
    </cfRule>
    <cfRule type="containsText" dxfId="276" priority="547" operator="containsText" text="VIGENTE">
      <formula>NOT(ISERROR(SEARCH("VIGENTE",HI45)))</formula>
    </cfRule>
    <cfRule type="containsText" dxfId="275" priority="549" operator="containsText" text="POR VENCER">
      <formula>NOT(ISERROR(SEARCH("POR VENCER",HI45)))</formula>
    </cfRule>
  </conditionalFormatting>
  <conditionalFormatting sqref="HI73">
    <cfRule type="containsText" dxfId="274" priority="543" operator="containsText" text="VIGENTE">
      <formula>NOT(ISERROR(SEARCH("VIGENTE",HI73)))</formula>
    </cfRule>
    <cfRule type="containsText" dxfId="273" priority="546" operator="containsText" text="VENCIDA">
      <formula>NOT(ISERROR(SEARCH("VENCIDA",HI73)))</formula>
    </cfRule>
    <cfRule type="containsText" dxfId="272" priority="545" operator="containsText" text="POR VENCER">
      <formula>NOT(ISERROR(SEARCH("POR VENCER",HI73)))</formula>
    </cfRule>
    <cfRule type="containsText" dxfId="271" priority="544" operator="containsText" text="NO APLICA">
      <formula>NOT(ISERROR(SEARCH("NO APLICA",HI73)))</formula>
    </cfRule>
  </conditionalFormatting>
  <conditionalFormatting sqref="HI85">
    <cfRule type="containsText" dxfId="270" priority="539" operator="containsText" text="VIGENTE">
      <formula>NOT(ISERROR(SEARCH("VIGENTE",HI85)))</formula>
    </cfRule>
    <cfRule type="containsText" dxfId="269" priority="540" operator="containsText" text="NO APLICA">
      <formula>NOT(ISERROR(SEARCH("NO APLICA",HI85)))</formula>
    </cfRule>
    <cfRule type="containsText" dxfId="268" priority="541" operator="containsText" text="POR VENCER">
      <formula>NOT(ISERROR(SEARCH("POR VENCER",HI85)))</formula>
    </cfRule>
    <cfRule type="containsText" dxfId="267" priority="542" operator="containsText" text="VENCIDA">
      <formula>NOT(ISERROR(SEARCH("VENCIDA",HI85)))</formula>
    </cfRule>
  </conditionalFormatting>
  <conditionalFormatting sqref="HI99">
    <cfRule type="containsText" dxfId="266" priority="538" operator="containsText" text="VENCIDA">
      <formula>NOT(ISERROR(SEARCH("VENCIDA",HI99)))</formula>
    </cfRule>
    <cfRule type="containsText" dxfId="265" priority="537" operator="containsText" text="POR VENCER">
      <formula>NOT(ISERROR(SEARCH("POR VENCER",HI99)))</formula>
    </cfRule>
    <cfRule type="containsText" dxfId="264" priority="535" operator="containsText" text="VIGENTE">
      <formula>NOT(ISERROR(SEARCH("VIGENTE",HI99)))</formula>
    </cfRule>
    <cfRule type="containsText" dxfId="263" priority="536" operator="containsText" text="NO APLICA">
      <formula>NOT(ISERROR(SEARCH("NO APLICA",HI99)))</formula>
    </cfRule>
  </conditionalFormatting>
  <conditionalFormatting sqref="HI106">
    <cfRule type="containsText" dxfId="262" priority="534" operator="containsText" text="VENCIDA">
      <formula>NOT(ISERROR(SEARCH("VENCIDA",HI106)))</formula>
    </cfRule>
    <cfRule type="containsText" dxfId="261" priority="533" operator="containsText" text="POR VENCER">
      <formula>NOT(ISERROR(SEARCH("POR VENCER",HI106)))</formula>
    </cfRule>
    <cfRule type="containsText" dxfId="260" priority="532" operator="containsText" text="NO APLICA">
      <formula>NOT(ISERROR(SEARCH("NO APLICA",HI106)))</formula>
    </cfRule>
    <cfRule type="containsText" dxfId="259" priority="531" operator="containsText" text="VIGENTE">
      <formula>NOT(ISERROR(SEARCH("VIGENTE",HI106)))</formula>
    </cfRule>
  </conditionalFormatting>
  <conditionalFormatting sqref="HI109">
    <cfRule type="containsText" dxfId="258" priority="530" operator="containsText" text="VENCIDA">
      <formula>NOT(ISERROR(SEARCH("VENCIDA",HI109)))</formula>
    </cfRule>
    <cfRule type="containsText" dxfId="257" priority="529" operator="containsText" text="POR VENCER">
      <formula>NOT(ISERROR(SEARCH("POR VENCER",HI109)))</formula>
    </cfRule>
    <cfRule type="containsText" dxfId="256" priority="528" operator="containsText" text="NO APLICA">
      <formula>NOT(ISERROR(SEARCH("NO APLICA",HI109)))</formula>
    </cfRule>
    <cfRule type="containsText" dxfId="255" priority="527" operator="containsText" text="VIGENTE">
      <formula>NOT(ISERROR(SEARCH("VIGENTE",HI109)))</formula>
    </cfRule>
  </conditionalFormatting>
  <conditionalFormatting sqref="HI116">
    <cfRule type="containsText" dxfId="254" priority="524" operator="containsText" text="NO APLICA">
      <formula>NOT(ISERROR(SEARCH("NO APLICA",HI116)))</formula>
    </cfRule>
    <cfRule type="containsText" dxfId="253" priority="526" operator="containsText" text="VENCIDA">
      <formula>NOT(ISERROR(SEARCH("VENCIDA",HI116)))</formula>
    </cfRule>
    <cfRule type="containsText" dxfId="252" priority="523" operator="containsText" text="VIGENTE">
      <formula>NOT(ISERROR(SEARCH("VIGENTE",HI116)))</formula>
    </cfRule>
    <cfRule type="containsText" dxfId="251" priority="525" operator="containsText" text="POR VENCER">
      <formula>NOT(ISERROR(SEARCH("POR VENCER",HI116)))</formula>
    </cfRule>
  </conditionalFormatting>
  <conditionalFormatting sqref="HI176">
    <cfRule type="containsText" dxfId="250" priority="515" operator="containsText" text="VIGENTE">
      <formula>NOT(ISERROR(SEARCH("VIGENTE",HI176)))</formula>
    </cfRule>
    <cfRule type="containsText" dxfId="249" priority="518" operator="containsText" text="VENCIDA">
      <formula>NOT(ISERROR(SEARCH("VENCIDA",HI176)))</formula>
    </cfRule>
    <cfRule type="containsText" dxfId="248" priority="521" operator="containsText" text="POR VENCER">
      <formula>NOT(ISERROR(SEARCH("POR VENCER",HI176)))</formula>
    </cfRule>
    <cfRule type="containsText" dxfId="247" priority="519" operator="containsText" text="VIGENTE">
      <formula>NOT(ISERROR(SEARCH("VIGENTE",HI176)))</formula>
    </cfRule>
    <cfRule type="containsText" dxfId="246" priority="517" operator="containsText" text="POR VENCER">
      <formula>NOT(ISERROR(SEARCH("POR VENCER",HI176)))</formula>
    </cfRule>
    <cfRule type="containsText" dxfId="245" priority="522" operator="containsText" text="VENCIDA">
      <formula>NOT(ISERROR(SEARCH("VENCIDA",HI176)))</formula>
    </cfRule>
    <cfRule type="containsText" dxfId="244" priority="516" operator="containsText" text="NO APLICA">
      <formula>NOT(ISERROR(SEARCH("NO APLICA",HI176)))</formula>
    </cfRule>
    <cfRule type="containsText" dxfId="243" priority="520" operator="containsText" text="NO APLICA">
      <formula>NOT(ISERROR(SEARCH("NO APLICA",HI176)))</formula>
    </cfRule>
  </conditionalFormatting>
  <conditionalFormatting sqref="HN31">
    <cfRule type="containsText" dxfId="242" priority="511" operator="containsText" text="NO APLICA">
      <formula>NOT(ISERROR(SEARCH("NO APLICA",HN31)))</formula>
    </cfRule>
    <cfRule type="containsText" dxfId="241" priority="513" operator="containsText" text="VENCIDA">
      <formula>NOT(ISERROR(SEARCH("VENCIDA",HN31)))</formula>
    </cfRule>
    <cfRule type="containsText" dxfId="240" priority="512" operator="containsText" text="POR VENCER">
      <formula>NOT(ISERROR(SEARCH("POR VENCER",HN31)))</formula>
    </cfRule>
    <cfRule type="containsText" dxfId="239" priority="510" operator="containsText" text="VIGENTE">
      <formula>NOT(ISERROR(SEARCH("VIGENTE",HN31)))</formula>
    </cfRule>
    <cfRule type="containsText" dxfId="238" priority="514" operator="containsText" text="PROGRAMAR">
      <formula>NOT(ISERROR(SEARCH("PROGRAMAR",HN31)))</formula>
    </cfRule>
  </conditionalFormatting>
  <conditionalFormatting sqref="HN49 HN80 HN82 HN106 HN108 HN124">
    <cfRule type="containsText" dxfId="237" priority="504" operator="containsText" text="PROGRAMAR">
      <formula>NOT(ISERROR(SEARCH("PROGRAMAR",HN49)))</formula>
    </cfRule>
    <cfRule type="containsText" dxfId="236" priority="503" operator="containsText" text="VENCIDA">
      <formula>NOT(ISERROR(SEARCH("VENCIDA",HN49)))</formula>
    </cfRule>
    <cfRule type="containsText" dxfId="235" priority="502" operator="containsText" text="POR VENCER">
      <formula>NOT(ISERROR(SEARCH("POR VENCER",HN49)))</formula>
    </cfRule>
    <cfRule type="containsText" dxfId="234" priority="501" operator="containsText" text="NO APLICA">
      <formula>NOT(ISERROR(SEARCH("NO APLICA",HN49)))</formula>
    </cfRule>
    <cfRule type="containsText" dxfId="233" priority="500" operator="containsText" text="VIGENTE">
      <formula>NOT(ISERROR(SEARCH("VIGENTE",HN49)))</formula>
    </cfRule>
    <cfRule type="containsText" dxfId="232" priority="509" operator="containsText" text="PROGRAMAR">
      <formula>NOT(ISERROR(SEARCH("PROGRAMAR",HN49)))</formula>
    </cfRule>
    <cfRule type="containsText" dxfId="231" priority="508" operator="containsText" text="VENCIDA">
      <formula>NOT(ISERROR(SEARCH("VENCIDA",HN49)))</formula>
    </cfRule>
    <cfRule type="containsText" dxfId="230" priority="507" operator="containsText" text="POR VENCER">
      <formula>NOT(ISERROR(SEARCH("POR VENCER",HN49)))</formula>
    </cfRule>
    <cfRule type="containsText" dxfId="229" priority="505" operator="containsText" text="VIGENTE">
      <formula>NOT(ISERROR(SEARCH("VIGENTE",HN49)))</formula>
    </cfRule>
    <cfRule type="containsText" dxfId="228" priority="506" operator="containsText" text="NO APLICA">
      <formula>NOT(ISERROR(SEARCH("NO APLICA",HN49)))</formula>
    </cfRule>
  </conditionalFormatting>
  <conditionalFormatting sqref="HN238:HN240">
    <cfRule type="containsText" dxfId="227" priority="152" operator="containsText" text="PROGRAMAR">
      <formula>NOT(ISERROR(SEARCH("PROGRAMAR",HN238)))</formula>
    </cfRule>
  </conditionalFormatting>
  <conditionalFormatting sqref="HO180:HP180">
    <cfRule type="containsText" dxfId="226" priority="741" operator="containsText" text="POR VENCER">
      <formula>NOT(ISERROR(SEARCH("POR VENCER",HO180)))</formula>
    </cfRule>
    <cfRule type="containsText" dxfId="225" priority="742" operator="containsText" text="VIGENTE">
      <formula>NOT(ISERROR(SEARCH("VIGENTE",HO180)))</formula>
    </cfRule>
    <cfRule type="containsText" dxfId="224" priority="743" operator="containsText" text="NO APLICA">
      <formula>NOT(ISERROR(SEARCH("NO APLICA",HO180)))</formula>
    </cfRule>
    <cfRule type="containsText" dxfId="223" priority="74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4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9" operator="containsText" text="NO APLICA">
      <formula>NOT(ISERROR(SEARCH("NO APLICA",HO4)))</formula>
    </cfRule>
  </conditionalFormatting>
  <conditionalFormatting sqref="HR13:HR18 HO11:HP172">
    <cfRule type="containsText" dxfId="219" priority="73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7" operator="containsText" text="VENCIDA">
      <formula>NOT(ISERROR(SEARCH("VENCIDA",HO4)))</formula>
    </cfRule>
  </conditionalFormatting>
  <conditionalFormatting sqref="HR15:HR18">
    <cfRule type="containsText" dxfId="217" priority="735" operator="containsText" text="POR VENCER">
      <formula>NOT(ISERROR(SEARCH("POR VENCER",HR15)))</formula>
    </cfRule>
  </conditionalFormatting>
  <conditionalFormatting sqref="HR18">
    <cfRule type="containsText" dxfId="216" priority="733" operator="containsText" text="POR VENCER">
      <formula>NOT(ISERROR(SEARCH("POR VENCER",HR18)))</formula>
    </cfRule>
    <cfRule type="containsText" dxfId="215" priority="732" operator="containsText" text="NO APLICA">
      <formula>NOT(ISERROR(SEARCH("NO APLICA",HR18)))</formula>
    </cfRule>
    <cfRule type="containsText" dxfId="214" priority="734" operator="containsText" text="NO APLICA">
      <formula>NOT(ISERROR(SEARCH("NO APLICA",HR18)))</formula>
    </cfRule>
  </conditionalFormatting>
  <conditionalFormatting sqref="HR68:HR72 HO68:HP172">
    <cfRule type="containsText" dxfId="213" priority="731" operator="containsText" text="POR VENCER">
      <formula>NOT(ISERROR(SEARCH("POR VENCER",HO68)))</formula>
    </cfRule>
  </conditionalFormatting>
  <conditionalFormatting sqref="HS238:HS240">
    <cfRule type="containsText" dxfId="212" priority="150" operator="containsText" text="PROGRAMAR">
      <formula>NOT(ISERROR(SEARCH("PROGRAMAR",HS238)))</formula>
    </cfRule>
  </conditionalFormatting>
  <conditionalFormatting sqref="HT4:HT37 HX38">
    <cfRule type="containsText" dxfId="211" priority="730" operator="containsText" text="POR VENCER">
      <formula>NOT(ISERROR(SEARCH("POR VENCER",HT4)))</formula>
    </cfRule>
  </conditionalFormatting>
  <conditionalFormatting sqref="HT4:HT37">
    <cfRule type="containsText" dxfId="210" priority="729" operator="containsText" text="NO APLICA">
      <formula>NOT(ISERROR(SEARCH("NO APLICA",HT4)))</formula>
    </cfRule>
  </conditionalFormatting>
  <conditionalFormatting sqref="HT130:HT158">
    <cfRule type="expression" dxfId="209" priority="728">
      <formula>"O7&gt;=91"</formula>
    </cfRule>
  </conditionalFormatting>
  <conditionalFormatting sqref="HT180">
    <cfRule type="containsText" dxfId="208" priority="727" operator="containsText" text="VIGENTE">
      <formula>NOT(ISERROR(SEARCH("VIGENTE",HT180)))</formula>
    </cfRule>
    <cfRule type="containsText" dxfId="207" priority="726" operator="containsText" text="POR VENCER">
      <formula>NOT(ISERROR(SEARCH("POR VENCER",HT180)))</formula>
    </cfRule>
  </conditionalFormatting>
  <conditionalFormatting sqref="HX130:HX137">
    <cfRule type="containsText" dxfId="206" priority="725" operator="containsText" text="POR VENCER">
      <formula>NOT(ISERROR(SEARCH("POR VENCER",HX130)))</formula>
    </cfRule>
  </conditionalFormatting>
  <conditionalFormatting sqref="HX130:HX240">
    <cfRule type="containsText" dxfId="205" priority="724" operator="containsText" text="NO APLICA">
      <formula>NOT(ISERROR(SEARCH("NO APLICA",HX130)))</formula>
    </cfRule>
  </conditionalFormatting>
  <conditionalFormatting sqref="HY130:HY158">
    <cfRule type="expression" dxfId="204" priority="723">
      <formula>"O7&gt;=91"</formula>
    </cfRule>
  </conditionalFormatting>
  <conditionalFormatting sqref="HY180">
    <cfRule type="containsText" dxfId="203" priority="721" operator="containsText" text="POR VENCER">
      <formula>NOT(ISERROR(SEARCH("POR VENCER",HY180)))</formula>
    </cfRule>
    <cfRule type="containsText" dxfId="202" priority="722" operator="containsText" text="VIGENTE">
      <formula>NOT(ISERROR(SEARCH("VIGENTE",HY180)))</formula>
    </cfRule>
  </conditionalFormatting>
  <conditionalFormatting sqref="IC38">
    <cfRule type="containsText" dxfId="201" priority="720" operator="containsText" text="POR VENCER">
      <formula>NOT(ISERROR(SEARCH("POR VENCER",IC38)))</formula>
    </cfRule>
  </conditionalFormatting>
  <conditionalFormatting sqref="IC130:IC137">
    <cfRule type="containsText" dxfId="200" priority="719" operator="containsText" text="POR VENCER">
      <formula>NOT(ISERROR(SEARCH("POR VENCER",IC130)))</formula>
    </cfRule>
  </conditionalFormatting>
  <conditionalFormatting sqref="IC130:IC240">
    <cfRule type="containsText" dxfId="199" priority="718" operator="containsText" text="NO APLICA">
      <formula>NOT(ISERROR(SEARCH("NO APLICA",IC130)))</formula>
    </cfRule>
  </conditionalFormatting>
  <conditionalFormatting sqref="ID4:ID22">
    <cfRule type="containsText" dxfId="198" priority="714" operator="containsText" text="VENCIDA">
      <formula>NOT(ISERROR(SEARCH("VENCIDA",ID4)))</formula>
    </cfRule>
    <cfRule type="containsText" dxfId="197" priority="716" operator="containsText" text="VIGENTE">
      <formula>NOT(ISERROR(SEARCH("VIGENTE",ID4)))</formula>
    </cfRule>
    <cfRule type="containsText" dxfId="196" priority="715" operator="containsText" text="NO APLICA">
      <formula>NOT(ISERROR(SEARCH("NO APLICA",ID4)))</formula>
    </cfRule>
    <cfRule type="containsText" dxfId="195" priority="717" operator="containsText" text="POR VENCER">
      <formula>NOT(ISERROR(SEARCH("POR VENCER",ID4)))</formula>
    </cfRule>
  </conditionalFormatting>
  <conditionalFormatting sqref="ID130:ID158">
    <cfRule type="expression" dxfId="194" priority="713">
      <formula>"O7&gt;=91"</formula>
    </cfRule>
  </conditionalFormatting>
  <conditionalFormatting sqref="ID180">
    <cfRule type="containsText" dxfId="193" priority="711" operator="containsText" text="POR VENCER">
      <formula>NOT(ISERROR(SEARCH("POR VENCER",ID180)))</formula>
    </cfRule>
    <cfRule type="containsText" dxfId="192" priority="712" operator="containsText" text="VIGENTE">
      <formula>NOT(ISERROR(SEARCH("VIGENTE",ID180)))</formula>
    </cfRule>
  </conditionalFormatting>
  <conditionalFormatting sqref="IH4:IH38">
    <cfRule type="containsText" dxfId="191" priority="710" operator="containsText" text="POR VENCER">
      <formula>NOT(ISERROR(SEARCH("POR VENCER",IH4)))</formula>
    </cfRule>
  </conditionalFormatting>
  <conditionalFormatting sqref="IH130:IH137">
    <cfRule type="containsText" dxfId="190" priority="709" operator="containsText" text="POR VENCER">
      <formula>NOT(ISERROR(SEARCH("POR VENCER",IH130)))</formula>
    </cfRule>
  </conditionalFormatting>
  <conditionalFormatting sqref="IH130:IH240">
    <cfRule type="containsText" dxfId="189" priority="708" operator="containsText" text="NO APLICA">
      <formula>NOT(ISERROR(SEARCH("NO APLICA",IH130)))</formula>
    </cfRule>
  </conditionalFormatting>
  <conditionalFormatting sqref="II132:II133">
    <cfRule type="expression" dxfId="188" priority="707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7" operator="containsText" text="VIGENTE">
      <formula>NOT(ISERROR(SEARCH("VIGENTE",Z4)))</formula>
    </cfRule>
  </conditionalFormatting>
  <conditionalFormatting sqref="IT73">
    <cfRule type="containsText" dxfId="186" priority="703" operator="containsText" text="VENCIDA">
      <formula>NOT(ISERROR(SEARCH("VENCIDA",IT73)))</formula>
    </cfRule>
    <cfRule type="containsText" dxfId="185" priority="704" operator="containsText" text="NO APLICA">
      <formula>NOT(ISERROR(SEARCH("NO APLICA",IT73)))</formula>
    </cfRule>
    <cfRule type="containsText" dxfId="184" priority="705" operator="containsText" text="POR VENCER">
      <formula>NOT(ISERROR(SEARCH("POR VENCER",IT73)))</formula>
    </cfRule>
    <cfRule type="containsText" dxfId="183" priority="706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8" operator="containsText" text="POR VENCER">
      <formula>NOT(ISERROR(SEARCH("POR VENCER",AV4)))</formula>
    </cfRule>
  </conditionalFormatting>
  <conditionalFormatting sqref="IW130:IW137">
    <cfRule type="containsText" dxfId="181" priority="701" operator="containsText" text="POR VENCER">
      <formula>NOT(ISERROR(SEARCH("POR VENCER",IW130)))</formula>
    </cfRule>
  </conditionalFormatting>
  <conditionalFormatting sqref="IW130:IW240">
    <cfRule type="containsText" dxfId="180" priority="702" operator="containsText" text="VIGENTE">
      <formula>NOT(ISERROR(SEARCH("VIGENTE",IW130)))</formula>
    </cfRule>
    <cfRule type="containsText" dxfId="179" priority="700" operator="containsText" text="NO APLICA">
      <formula>NOT(ISERROR(SEARCH("NO APLICA",IW130)))</formula>
    </cfRule>
  </conditionalFormatting>
  <conditionalFormatting sqref="JB4:JB240 KM125:KM170">
    <cfRule type="containsText" dxfId="178" priority="699" operator="containsText" text="VIGENTE">
      <formula>NOT(ISERROR(SEARCH("VIGENTE",JB4)))</formula>
    </cfRule>
  </conditionalFormatting>
  <conditionalFormatting sqref="JB133:JB137 KM133:KM170">
    <cfRule type="containsText" dxfId="177" priority="698" operator="containsText" text="POR VENCER">
      <formula>NOT(ISERROR(SEARCH("POR VENCER",JB133)))</formula>
    </cfRule>
  </conditionalFormatting>
  <conditionalFormatting sqref="JD4">
    <cfRule type="containsText" dxfId="176" priority="696" operator="containsText" text="VIGENTE">
      <formula>NOT(ISERROR(SEARCH("VIGENTE",JD4)))</formula>
    </cfRule>
    <cfRule type="containsText" dxfId="175" priority="693" operator="containsText" text="VENCIDA">
      <formula>NOT(ISERROR(SEARCH("VENCIDA",JD4)))</formula>
    </cfRule>
    <cfRule type="containsText" dxfId="174" priority="694" operator="containsText" text="NO APLICA">
      <formula>NOT(ISERROR(SEARCH("NO APLICA",JD4)))</formula>
    </cfRule>
    <cfRule type="containsText" dxfId="173" priority="695" operator="containsText" text="POR VENCER">
      <formula>NOT(ISERROR(SEARCH("POR VENCER",JD4)))</formula>
    </cfRule>
  </conditionalFormatting>
  <conditionalFormatting sqref="JI4 JL4">
    <cfRule type="containsText" dxfId="172" priority="692" operator="containsText" text="POR VENCER">
      <formula>NOT(ISERROR(SEARCH("POR VENCER",JI4)))</formula>
    </cfRule>
  </conditionalFormatting>
  <conditionalFormatting sqref="JI4">
    <cfRule type="containsText" dxfId="171" priority="690" operator="containsText" text="NO APLICA">
      <formula>NOT(ISERROR(SEARCH("NO APLICA",JI4)))</formula>
    </cfRule>
    <cfRule type="containsText" dxfId="170" priority="691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72" operator="containsText" text="VENCIDA">
      <formula>NOT(ISERROR(SEARCH("VENCIDA",AB239)))</formula>
    </cfRule>
  </conditionalFormatting>
  <conditionalFormatting sqref="JK239:JK240">
    <cfRule type="containsText" dxfId="167" priority="67" operator="containsText" text="VIGENTE">
      <formula>NOT(ISERROR(SEARCH("VIGENTE",JK239)))</formula>
    </cfRule>
  </conditionalFormatting>
  <conditionalFormatting sqref="JL4:JL240">
    <cfRule type="containsText" dxfId="166" priority="689" operator="containsText" text="NO APLICA">
      <formula>NOT(ISERROR(SEARCH("NO APLICA",JL4)))</formula>
    </cfRule>
  </conditionalFormatting>
  <conditionalFormatting sqref="JL199">
    <cfRule type="containsText" dxfId="165" priority="30" operator="containsText" text="NO APLICA">
      <formula>NOT(ISERROR(SEARCH("NO APLICA",JL199)))</formula>
    </cfRule>
  </conditionalFormatting>
  <conditionalFormatting sqref="JL202 JL204 JL209 JL228 JL235 JL237">
    <cfRule type="containsText" dxfId="164" priority="29" operator="containsText" text="NO APLICA">
      <formula>NOT(ISERROR(SEARCH("NO APLICA",JL202)))</formula>
    </cfRule>
  </conditionalFormatting>
  <conditionalFormatting sqref="JL207">
    <cfRule type="containsText" dxfId="163" priority="9" operator="containsText" text="NO APLICA">
      <formula>NOT(ISERROR(SEARCH("NO APLICA",JL207)))</formula>
    </cfRule>
  </conditionalFormatting>
  <conditionalFormatting sqref="JL4:JN4 JM5:JM240 JI4">
    <cfRule type="containsText" dxfId="162" priority="688" operator="containsText" text="VENCIDA">
      <formula>NOT(ISERROR(SEARCH("VENCIDA",JI4)))</formula>
    </cfRule>
  </conditionalFormatting>
  <conditionalFormatting sqref="JM4:JN4 JM5:JM240">
    <cfRule type="containsText" dxfId="161" priority="685" operator="containsText" text="POR VENCER">
      <formula>NOT(ISERROR(SEARCH("POR VENCER",JM4)))</formula>
    </cfRule>
    <cfRule type="containsText" dxfId="160" priority="686" operator="containsText" text="VIGENTE">
      <formula>NOT(ISERROR(SEARCH("VIGENTE",JM4)))</formula>
    </cfRule>
    <cfRule type="containsText" dxfId="159" priority="687" operator="containsText" text="NO APLICA">
      <formula>NOT(ISERROR(SEARCH("NO APLICA",JM4)))</formula>
    </cfRule>
  </conditionalFormatting>
  <conditionalFormatting sqref="JQ4:JR240">
    <cfRule type="containsText" dxfId="158" priority="17" operator="containsText" text="NO APLICA">
      <formula>NOT(ISERROR(SEARCH("NO APLICA",JQ4)))</formula>
    </cfRule>
  </conditionalFormatting>
  <conditionalFormatting sqref="JR4:JR240">
    <cfRule type="containsText" dxfId="157" priority="16" operator="containsText" text="VIGENTE">
      <formula>NOT(ISERROR(SEARCH("VIGENTE",JR4)))</formula>
    </cfRule>
    <cfRule type="containsText" dxfId="156" priority="15" operator="containsText" text="POR VENCER">
      <formula>NOT(ISERROR(SEARCH("POR VENCER",JR4)))</formula>
    </cfRule>
  </conditionalFormatting>
  <conditionalFormatting sqref="JR4:JS4 JR5:JR240">
    <cfRule type="containsText" dxfId="155" priority="18" operator="containsText" text="VENCIDA">
      <formula>NOT(ISERROR(SEARCH("VENCIDA",JR4)))</formula>
    </cfRule>
  </conditionalFormatting>
  <conditionalFormatting sqref="JS4">
    <cfRule type="containsText" dxfId="154" priority="683" operator="containsText" text="VIGENTE">
      <formula>NOT(ISERROR(SEARCH("VIGENTE",JS4)))</formula>
    </cfRule>
    <cfRule type="containsText" dxfId="153" priority="681" operator="containsText" text="NO APLICA">
      <formula>NOT(ISERROR(SEARCH("NO APLICA",JS4)))</formula>
    </cfRule>
    <cfRule type="containsText" dxfId="152" priority="682" operator="containsText" text="POR VENCER">
      <formula>NOT(ISERROR(SEARCH("POR VENCER",JS4)))</formula>
    </cfRule>
  </conditionalFormatting>
  <conditionalFormatting sqref="JV4:KC4">
    <cfRule type="containsText" dxfId="151" priority="13" operator="containsText" text="NO APLICA">
      <formula>NOT(ISERROR(SEARCH("NO APLICA",JV4)))</formula>
    </cfRule>
    <cfRule type="containsText" dxfId="150" priority="12" operator="containsText" text="VIGENTE">
      <formula>NOT(ISERROR(SEARCH("VIGENTE",JV4)))</formula>
    </cfRule>
  </conditionalFormatting>
  <conditionalFormatting sqref="JW4:JW240">
    <cfRule type="containsText" dxfId="149" priority="14" operator="containsText" text="VENCIDA">
      <formula>NOT(ISERROR(SEARCH("VENCIDA",JW4)))</formula>
    </cfRule>
    <cfRule type="containsText" dxfId="148" priority="11" operator="containsText" text="POR VENCER">
      <formula>NOT(ISERROR(SEARCH("POR VENCER",JW4)))</formula>
    </cfRule>
  </conditionalFormatting>
  <conditionalFormatting sqref="JW5:JW240">
    <cfRule type="containsText" dxfId="147" priority="6" operator="containsText" text="NO APLICA">
      <formula>NOT(ISERROR(SEARCH("NO APLICA",JW5)))</formula>
    </cfRule>
    <cfRule type="containsText" dxfId="146" priority="5" operator="containsText" text="VIGENTE">
      <formula>NOT(ISERROR(SEARCH("VIGENTE",JW5)))</formula>
    </cfRule>
  </conditionalFormatting>
  <conditionalFormatting sqref="KA209 KA228 KA235 KA237">
    <cfRule type="containsText" dxfId="145" priority="23" operator="containsText" text="VIGENTE">
      <formula>NOT(ISERROR(SEARCH("VIGENTE",KA209)))</formula>
    </cfRule>
  </conditionalFormatting>
  <conditionalFormatting sqref="KC5:KC170">
    <cfRule type="containsText" dxfId="144" priority="678" operator="containsText" text="NO APLICA">
      <formula>NOT(ISERROR(SEARCH("NO APLICA",KC5)))</formula>
    </cfRule>
  </conditionalFormatting>
  <conditionalFormatting sqref="KC81:KC170">
    <cfRule type="containsText" dxfId="143" priority="679" operator="containsText" text="POR VENCER">
      <formula>NOT(ISERROR(SEARCH("POR VENCER",KC81)))</formula>
    </cfRule>
  </conditionalFormatting>
  <conditionalFormatting sqref="KC180">
    <cfRule type="containsText" dxfId="142" priority="675" operator="containsText" text="POR VENCER">
      <formula>NOT(ISERROR(SEARCH("POR VENCER",KC180)))</formula>
    </cfRule>
    <cfRule type="containsText" dxfId="141" priority="676" operator="containsText" text="VIGENTE">
      <formula>NOT(ISERROR(SEARCH("VIGENTE",KC180)))</formula>
    </cfRule>
  </conditionalFormatting>
  <conditionalFormatting sqref="KC239:KC240 AQ239:AQ240 BF239:BF240 BK239:BK240 CE239:CE240 DX239:DY240">
    <cfRule type="containsText" dxfId="140" priority="78" operator="containsText" text="VENCIDA">
      <formula>NOT(ISERROR(SEARCH("VENCIDA",AQ239)))</formula>
    </cfRule>
  </conditionalFormatting>
  <conditionalFormatting sqref="KC239:KC240">
    <cfRule type="containsText" dxfId="139" priority="62" operator="containsText" text="POR VENCER">
      <formula>NOT(ISERROR(SEARCH("POR VENCER",KC239)))</formula>
    </cfRule>
    <cfRule type="containsText" dxfId="138" priority="61" operator="containsText" text="NO APLICA">
      <formula>NOT(ISERROR(SEARCH("NO APLICA",KC239)))</formula>
    </cfRule>
  </conditionalFormatting>
  <conditionalFormatting sqref="KF4:KG7">
    <cfRule type="containsText" dxfId="137" priority="674" operator="containsText" text="VENCIDA">
      <formula>NOT(ISERROR(SEARCH("VENCIDA",KF4)))</formula>
    </cfRule>
  </conditionalFormatting>
  <conditionalFormatting sqref="KH180">
    <cfRule type="containsText" dxfId="136" priority="671" operator="containsText" text="POR VENCER">
      <formula>NOT(ISERROR(SEARCH("POR VENCER",KH180)))</formula>
    </cfRule>
    <cfRule type="containsText" dxfId="135" priority="672" operator="containsText" text="VIGENTE">
      <formula>NOT(ISERROR(SEARCH("VIGENTE",KH180)))</formula>
    </cfRule>
    <cfRule type="containsText" dxfId="134" priority="673" operator="containsText" text="NO APLICA">
      <formula>NOT(ISERROR(SEARCH("NO APLICA",KH180)))</formula>
    </cfRule>
  </conditionalFormatting>
  <conditionalFormatting sqref="KK4:KL18">
    <cfRule type="containsText" dxfId="133" priority="670" operator="containsText" text="POR VENCER">
      <formula>NOT(ISERROR(SEARCH("POR VENCER",KK4)))</formula>
    </cfRule>
  </conditionalFormatting>
  <conditionalFormatting sqref="KK4:KL240">
    <cfRule type="containsText" dxfId="132" priority="669" operator="containsText" text="NO APLICA">
      <formula>NOT(ISERROR(SEARCH("NO APLICA",KK4)))</formula>
    </cfRule>
  </conditionalFormatting>
  <conditionalFormatting sqref="KK68:KL72">
    <cfRule type="containsText" dxfId="131" priority="668" operator="containsText" text="POR VENCER">
      <formula>NOT(ISERROR(SEARCH("POR VENCER",KK68)))</formula>
    </cfRule>
  </conditionalFormatting>
  <conditionalFormatting sqref="KM4:KM170 JB4:JB240">
    <cfRule type="containsText" dxfId="130" priority="697" operator="containsText" text="NO APLICA">
      <formula>NOT(ISERROR(SEARCH("NO APLICA",JB4)))</formula>
    </cfRule>
  </conditionalFormatting>
  <conditionalFormatting sqref="KR130">
    <cfRule type="containsText" dxfId="129" priority="667" operator="containsText" text="NO APLICA">
      <formula>NOT(ISERROR(SEARCH("NO APLICA",KR130)))</formula>
    </cfRule>
  </conditionalFormatting>
  <conditionalFormatting sqref="KR140">
    <cfRule type="containsText" dxfId="128" priority="666" operator="containsText" text="NO APLICA">
      <formula>NOT(ISERROR(SEARCH("NO APLICA",KR140)))</formula>
    </cfRule>
  </conditionalFormatting>
  <conditionalFormatting sqref="KR145">
    <cfRule type="containsText" dxfId="127" priority="665" operator="containsText" text="NO APLICA">
      <formula>NOT(ISERROR(SEARCH("NO APLICA",KR145)))</formula>
    </cfRule>
  </conditionalFormatting>
  <conditionalFormatting sqref="KR151">
    <cfRule type="containsText" dxfId="126" priority="664" operator="containsText" text="NO APLICA">
      <formula>NOT(ISERROR(SEARCH("NO APLICA",KR151)))</formula>
    </cfRule>
  </conditionalFormatting>
  <conditionalFormatting sqref="KR154">
    <cfRule type="containsText" dxfId="125" priority="663" operator="containsText" text="NO APLICA">
      <formula>NOT(ISERROR(SEARCH("NO APLICA",KR154)))</formula>
    </cfRule>
  </conditionalFormatting>
  <conditionalFormatting sqref="KR161">
    <cfRule type="containsText" dxfId="124" priority="662" operator="containsText" text="NO APLICA">
      <formula>NOT(ISERROR(SEARCH("NO APLICA",KR161)))</formula>
    </cfRule>
  </conditionalFormatting>
  <conditionalFormatting sqref="KR165:KR172">
    <cfRule type="containsText" dxfId="123" priority="661" operator="containsText" text="NO APLICA">
      <formula>NOT(ISERROR(SEARCH("NO APLICA",KR165)))</formula>
    </cfRule>
  </conditionalFormatting>
  <conditionalFormatting sqref="KR175 KR177">
    <cfRule type="containsText" dxfId="122" priority="297" operator="containsText" text="VENCIDA">
      <formula>NOT(ISERROR(SEARCH("VENCIDA",KR175)))</formula>
    </cfRule>
    <cfRule type="containsText" dxfId="121" priority="296" operator="containsText" text="POR VENCER">
      <formula>NOT(ISERROR(SEARCH("POR VENCER",KR175)))</formula>
    </cfRule>
    <cfRule type="containsText" dxfId="120" priority="294" operator="containsText" text="NO APLICA">
      <formula>NOT(ISERROR(SEARCH("NO APLICA",KR175)))</formula>
    </cfRule>
    <cfRule type="containsText" dxfId="119" priority="295" operator="containsText" text="VIGENTE">
      <formula>NOT(ISERROR(SEARCH("VIGENTE",KR175)))</formula>
    </cfRule>
  </conditionalFormatting>
  <conditionalFormatting sqref="KS209">
    <cfRule type="containsText" dxfId="118" priority="660" operator="containsText" text="VENCIDA">
      <formula>NOT(ISERROR(SEARCH("VENCIDA",KS209)))</formula>
    </cfRule>
  </conditionalFormatting>
  <conditionalFormatting sqref="KS213">
    <cfRule type="containsText" dxfId="117" priority="659" operator="containsText" text="VENCIDA">
      <formula>NOT(ISERROR(SEARCH("VENCIDA",KS213)))</formula>
    </cfRule>
  </conditionalFormatting>
  <conditionalFormatting sqref="KS220">
    <cfRule type="containsText" dxfId="116" priority="658" operator="containsText" text="VENCIDA">
      <formula>NOT(ISERROR(SEARCH("VENCIDA",KS220)))</formula>
    </cfRule>
  </conditionalFormatting>
  <conditionalFormatting sqref="KS237:KS238">
    <cfRule type="containsText" dxfId="115" priority="657" operator="containsText" text="VENCIDA">
      <formula>NOT(ISERROR(SEARCH("VENCIDA",KS237)))</formula>
    </cfRule>
  </conditionalFormatting>
  <conditionalFormatting sqref="KS209:KT209">
    <cfRule type="containsText" dxfId="114" priority="655" operator="containsText" text="NO APLICA">
      <formula>NOT(ISERROR(SEARCH("NO APLICA",KS209)))</formula>
    </cfRule>
    <cfRule type="containsText" dxfId="113" priority="656" operator="containsText" text="POR VENCER">
      <formula>NOT(ISERROR(SEARCH("POR VENCER",KS209)))</formula>
    </cfRule>
    <cfRule type="containsText" dxfId="112" priority="654" operator="containsText" text="VIGENTE">
      <formula>NOT(ISERROR(SEARCH("VIGENTE",KS209)))</formula>
    </cfRule>
  </conditionalFormatting>
  <conditionalFormatting sqref="KS213:KT213">
    <cfRule type="containsText" dxfId="111" priority="653" operator="containsText" text="POR VENCER">
      <formula>NOT(ISERROR(SEARCH("POR VENCER",KS213)))</formula>
    </cfRule>
    <cfRule type="containsText" dxfId="110" priority="652" operator="containsText" text="NO APLICA">
      <formula>NOT(ISERROR(SEARCH("NO APLICA",KS213)))</formula>
    </cfRule>
    <cfRule type="containsText" dxfId="109" priority="651" operator="containsText" text="VIGENTE">
      <formula>NOT(ISERROR(SEARCH("VIGENTE",KS213)))</formula>
    </cfRule>
  </conditionalFormatting>
  <conditionalFormatting sqref="KS220:KT220">
    <cfRule type="containsText" dxfId="108" priority="650" operator="containsText" text="POR VENCER">
      <formula>NOT(ISERROR(SEARCH("POR VENCER",KS220)))</formula>
    </cfRule>
    <cfRule type="containsText" dxfId="107" priority="649" operator="containsText" text="NO APLICA">
      <formula>NOT(ISERROR(SEARCH("NO APLICA",KS220)))</formula>
    </cfRule>
    <cfRule type="containsText" dxfId="106" priority="648" operator="containsText" text="VIGENTE">
      <formula>NOT(ISERROR(SEARCH("VIGENTE",KS220)))</formula>
    </cfRule>
  </conditionalFormatting>
  <conditionalFormatting sqref="KS237:KT237">
    <cfRule type="containsText" dxfId="105" priority="647" operator="containsText" text="POR VENCER">
      <formula>NOT(ISERROR(SEARCH("POR VENCER",KS237)))</formula>
    </cfRule>
    <cfRule type="containsText" dxfId="104" priority="646" operator="containsText" text="NO APLICA">
      <formula>NOT(ISERROR(SEARCH("NO APLICA",KS237)))</formula>
    </cfRule>
    <cfRule type="containsText" dxfId="103" priority="645" operator="containsText" text="VIGENTE">
      <formula>NOT(ISERROR(SEARCH("VIGENTE",KS237)))</formula>
    </cfRule>
  </conditionalFormatting>
  <conditionalFormatting sqref="KS238:KT238">
    <cfRule type="containsText" dxfId="102" priority="424" operator="containsText" text="NO APLICA">
      <formula>NOT(ISERROR(SEARCH("NO APLICA",KS238)))</formula>
    </cfRule>
    <cfRule type="containsText" dxfId="101" priority="425" operator="containsText" text="POR VENCER">
      <formula>NOT(ISERROR(SEARCH("POR VENCER",KS238)))</formula>
    </cfRule>
  </conditionalFormatting>
  <conditionalFormatting sqref="KT209">
    <cfRule type="containsText" dxfId="100" priority="644" operator="containsText" text="VENCIDA">
      <formula>NOT(ISERROR(SEARCH("VENCIDA",KT209)))</formula>
    </cfRule>
  </conditionalFormatting>
  <conditionalFormatting sqref="KT213">
    <cfRule type="containsText" dxfId="99" priority="643" operator="containsText" text="VENCIDA">
      <formula>NOT(ISERROR(SEARCH("VENCIDA",KT213)))</formula>
    </cfRule>
  </conditionalFormatting>
  <conditionalFormatting sqref="KT220">
    <cfRule type="containsText" dxfId="98" priority="642" operator="containsText" text="VENCIDA">
      <formula>NOT(ISERROR(SEARCH("VENCIDA",KT220)))</formula>
    </cfRule>
  </conditionalFormatting>
  <conditionalFormatting sqref="KT237:KT238">
    <cfRule type="containsText" dxfId="97" priority="641" operator="containsText" text="VENCIDA">
      <formula>NOT(ISERROR(SEARCH("VENCIDA",KT237)))</formula>
    </cfRule>
  </conditionalFormatting>
  <conditionalFormatting sqref="KV4:KV34 GO4:GO38 KZ4:LA38 AB8:AB19">
    <cfRule type="containsText" dxfId="96" priority="634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40" operator="containsText" text="NO APLICA">
      <formula>NOT(ISERROR(SEARCH("NO APLICA",KV4)))</formula>
    </cfRule>
  </conditionalFormatting>
  <conditionalFormatting sqref="KV36:KV37 KV129 KV39:KV41 KV61:KV71">
    <cfRule type="containsText" dxfId="94" priority="639" operator="containsText" text="POR VENCER">
      <formula>NOT(ISERROR(SEARCH("POR VENCER",KV36)))</formula>
    </cfRule>
  </conditionalFormatting>
  <conditionalFormatting sqref="KV36:KV37 KV129">
    <cfRule type="containsText" dxfId="93" priority="638" operator="containsText" text="VENCIDA">
      <formula>NOT(ISERROR(SEARCH("VENCIDA",KV36)))</formula>
    </cfRule>
  </conditionalFormatting>
  <conditionalFormatting sqref="KV130:KV158">
    <cfRule type="expression" dxfId="92" priority="637">
      <formula>"O7&gt;=91"</formula>
    </cfRule>
  </conditionalFormatting>
  <conditionalFormatting sqref="KV180">
    <cfRule type="containsText" dxfId="91" priority="636" operator="containsText" text="VIGENTE">
      <formula>NOT(ISERROR(SEARCH("VIGENTE",KV180)))</formula>
    </cfRule>
    <cfRule type="containsText" dxfId="90" priority="635" operator="containsText" text="POR VENCER">
      <formula>NOT(ISERROR(SEARCH("POR VENCER",KV180)))</formula>
    </cfRule>
  </conditionalFormatting>
  <conditionalFormatting sqref="KV239:KY240">
    <cfRule type="containsText" dxfId="89" priority="59" operator="containsText" text="VENCIDA">
      <formula>NOT(ISERROR(SEARCH("VENCIDA",KV239)))</formula>
    </cfRule>
  </conditionalFormatting>
  <conditionalFormatting sqref="KX239:KX240">
    <cfRule type="containsText" dxfId="88" priority="60" operator="containsText" text="VIGENTE">
      <formula>NOT(ISERROR(SEARCH("VIGENTE",KX239)))</formula>
    </cfRule>
    <cfRule type="containsText" dxfId="87" priority="58" operator="containsText" text="POR VENCER">
      <formula>NOT(ISERROR(SEARCH("POR VENCER",KX239)))</formula>
    </cfRule>
    <cfRule type="containsText" dxfId="86" priority="57" operator="containsText" text="NO APLICA">
      <formula>NOT(ISERROR(SEARCH("NO APLICA",KX239)))</formula>
    </cfRule>
  </conditionalFormatting>
  <conditionalFormatting sqref="KZ4:LA240">
    <cfRule type="containsText" dxfId="85" priority="1024" operator="containsText" text="NO APLICA">
      <formula>NOT(ISERROR(SEARCH("NO APLICA",KZ4)))</formula>
    </cfRule>
  </conditionalFormatting>
  <conditionalFormatting sqref="LF175:LI175">
    <cfRule type="containsText" dxfId="84" priority="633" operator="containsText" text="POR VENCER">
      <formula>NOT(ISERROR(SEARCH("POR VENCER",LF175)))</formula>
    </cfRule>
    <cfRule type="containsText" dxfId="83" priority="632" operator="containsText" text="VIGENTE">
      <formula>NOT(ISERROR(SEARCH("VIGENTE",LF175)))</formula>
    </cfRule>
    <cfRule type="containsText" dxfId="82" priority="631" operator="containsText" text="NO APLICA">
      <formula>NOT(ISERROR(SEARCH("NO APLICA",LF175)))</formula>
    </cfRule>
    <cfRule type="containsText" dxfId="81" priority="630" operator="containsText" text="VENCIDA">
      <formula>NOT(ISERROR(SEARCH("VENCIDA",LF175)))</formula>
    </cfRule>
  </conditionalFormatting>
  <conditionalFormatting sqref="LO4:LO240">
    <cfRule type="containsText" dxfId="80" priority="629" operator="containsText" text="VIGENTE">
      <formula>NOT(ISERROR(SEARCH("VIGENTE",LO4)))</formula>
    </cfRule>
    <cfRule type="containsText" dxfId="79" priority="627" operator="containsText" text="POR VENCER">
      <formula>NOT(ISERROR(SEARCH("POR VENCER",LO4)))</formula>
    </cfRule>
    <cfRule type="containsText" dxfId="78" priority="626" operator="containsText" text="NO APLICA">
      <formula>NOT(ISERROR(SEARCH("NO APLICA",LO4)))</formula>
    </cfRule>
    <cfRule type="containsText" dxfId="77" priority="628" operator="containsText" text="VENCIDA">
      <formula>NOT(ISERROR(SEARCH("VENCIDA",LO4)))</formula>
    </cfRule>
  </conditionalFormatting>
  <conditionalFormatting sqref="LP130:LP158">
    <cfRule type="expression" dxfId="76" priority="625">
      <formula>"O7&gt;=91"</formula>
    </cfRule>
  </conditionalFormatting>
  <conditionalFormatting sqref="LP180">
    <cfRule type="containsText" dxfId="75" priority="624" operator="containsText" text="VIGENTE">
      <formula>NOT(ISERROR(SEARCH("VIGENTE",LP180)))</formula>
    </cfRule>
    <cfRule type="containsText" dxfId="74" priority="623" operator="containsText" text="POR VENCER">
      <formula>NOT(ISERROR(SEARCH("POR VENCER",LP180)))</formula>
    </cfRule>
  </conditionalFormatting>
  <conditionalFormatting sqref="LP239:LP240">
    <cfRule type="containsText" dxfId="73" priority="39" operator="containsText" text="VIGENTE">
      <formula>NOT(ISERROR(SEARCH("VIGENTE",LP239)))</formula>
    </cfRule>
    <cfRule type="containsText" dxfId="72" priority="40" operator="containsText" text="NO APLICA">
      <formula>NOT(ISERROR(SEARCH("NO APLICA",LP239)))</formula>
    </cfRule>
  </conditionalFormatting>
  <conditionalFormatting sqref="LT4:LT14">
    <cfRule type="containsText" dxfId="71" priority="622" operator="containsText" text="POR VENCER">
      <formula>NOT(ISERROR(SEARCH("POR VENCER",LT4)))</formula>
    </cfRule>
  </conditionalFormatting>
  <conditionalFormatting sqref="LT4:LT240">
    <cfRule type="containsText" dxfId="70" priority="621" operator="containsText" text="NO APLICA">
      <formula>NOT(ISERROR(SEARCH("NO APLICA",LT4)))</formula>
    </cfRule>
  </conditionalFormatting>
  <conditionalFormatting sqref="ME180:MF180 MJ180:MK180">
    <cfRule type="containsText" dxfId="69" priority="619" operator="containsText" text="POR VENCER">
      <formula>NOT(ISERROR(SEARCH("POR VENCER",ME180)))</formula>
    </cfRule>
    <cfRule type="containsText" dxfId="68" priority="62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8" operator="containsText" text="NO APLICA">
      <formula>NOT(ISERROR(SEARCH("NO APLICA",ME4)))</formula>
    </cfRule>
  </conditionalFormatting>
  <conditionalFormatting sqref="MP180 MU180:MW180">
    <cfRule type="containsText" dxfId="65" priority="616" operator="containsText" text="VIGENTE">
      <formula>NOT(ISERROR(SEARCH("VIGENTE",MP180)))</formula>
    </cfRule>
  </conditionalFormatting>
  <conditionalFormatting sqref="MP180">
    <cfRule type="containsText" dxfId="64" priority="615" operator="containsText" text="POR VENCER">
      <formula>NOT(ISERROR(SEARCH("POR VENCER",MP180)))</formula>
    </cfRule>
  </conditionalFormatting>
  <conditionalFormatting sqref="MU180:MW180">
    <cfRule type="containsText" dxfId="63" priority="614" operator="containsText" text="POR VENCER">
      <formula>NOT(ISERROR(SEARCH("POR VENCER",MU180)))</formula>
    </cfRule>
  </conditionalFormatting>
  <conditionalFormatting sqref="MW15:MW18">
    <cfRule type="containsText" dxfId="62" priority="613" operator="containsText" text="POR VENCER">
      <formula>NOT(ISERROR(SEARCH("POR VENCER",MW15)))</formula>
    </cfRule>
    <cfRule type="containsText" dxfId="61" priority="612" operator="containsText" text="NO APLICA">
      <formula>NOT(ISERROR(SEARCH("NO APLICA",MW15)))</formula>
    </cfRule>
  </conditionalFormatting>
  <conditionalFormatting sqref="MW239:MW240 MY239:MY240 NA239:NB240 ND239:NF240">
    <cfRule type="containsText" dxfId="60" priority="35" operator="containsText" text="VENCIDA">
      <formula>NOT(ISERROR(SEARCH("VENCIDA",MW239)))</formula>
    </cfRule>
    <cfRule type="containsText" dxfId="59" priority="37" operator="containsText" text="POR VENCER">
      <formula>NOT(ISERROR(SEARCH("POR VENCER",MW239)))</formula>
    </cfRule>
  </conditionalFormatting>
  <conditionalFormatting sqref="MW239:MW240 MY239:MY240 NA239:NB240 ND239:NG240">
    <cfRule type="containsText" dxfId="58" priority="36" operator="containsText" text="NO APLICA">
      <formula>NOT(ISERROR(SEARCH("NO APLICA",MW239)))</formula>
    </cfRule>
  </conditionalFormatting>
  <conditionalFormatting sqref="MW239:MW240 MY239:NB240 ND239:NF240">
    <cfRule type="containsText" dxfId="57" priority="3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1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11" operator="containsText" text="VENCIDA">
      <formula>NOT(ISERROR(SEARCH("VENCIDA",MS5)))</formula>
    </cfRule>
    <cfRule type="containsText" dxfId="53" priority="609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7" operator="containsText" text="VIGENTE">
      <formula>NOT(ISERROR(SEARCH("VIGENTE",AG4)))</formula>
    </cfRule>
  </conditionalFormatting>
  <conditionalFormatting sqref="MY130:MY158 ND130:ND158 NI130:NI158">
    <cfRule type="expression" dxfId="51" priority="606">
      <formula>"O7&gt;=91"</formula>
    </cfRule>
  </conditionalFormatting>
  <conditionalFormatting sqref="MY180 ND180 NI180">
    <cfRule type="containsText" dxfId="50" priority="605" operator="containsText" text="VIGENTE">
      <formula>NOT(ISERROR(SEARCH("VIGENTE",MY180)))</formula>
    </cfRule>
    <cfRule type="containsText" dxfId="49" priority="604" operator="containsText" text="POR VENCER">
      <formula>NOT(ISERROR(SEARCH("POR VENCER",MY180)))</formula>
    </cfRule>
  </conditionalFormatting>
  <conditionalFormatting sqref="NC130:NC240">
    <cfRule type="containsText" dxfId="48" priority="603" operator="containsText" text="NO APLICA">
      <formula>NOT(ISERROR(SEARCH("NO APLICA",NC130)))</formula>
    </cfRule>
  </conditionalFormatting>
  <conditionalFormatting sqref="NG239:NG240">
    <cfRule type="containsText" dxfId="47" priority="66" operator="containsText" text="VIGENTE">
      <formula>NOT(ISERROR(SEARCH("VIGENTE",NG239)))</formula>
    </cfRule>
    <cfRule type="containsText" dxfId="46" priority="65" operator="containsText" text="POR VENCER">
      <formula>NOT(ISERROR(SEARCH("POR VENCER",NG239)))</formula>
    </cfRule>
    <cfRule type="containsText" dxfId="45" priority="64" operator="containsText" text="VENCIDA">
      <formula>NOT(ISERROR(SEARCH("VENCIDA",NG239)))</formula>
    </cfRule>
  </conditionalFormatting>
  <conditionalFormatting sqref="NI4:NI37">
    <cfRule type="containsText" dxfId="44" priority="601" operator="containsText" text="VIGENTE">
      <formula>NOT(ISERROR(SEARCH("VIGENTE",NI4)))</formula>
    </cfRule>
    <cfRule type="containsText" dxfId="43" priority="60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4" operator="containsText" text="VENCIDA">
      <formula>NOT(ISERROR(SEARCH("VENCIDA",NL239)))</formula>
    </cfRule>
    <cfRule type="containsText" dxfId="41" priority="75" operator="containsText" text="NO APLICA">
      <formula>NOT(ISERROR(SEARCH("NO APLICA",NL239)))</formula>
    </cfRule>
    <cfRule type="containsText" dxfId="40" priority="76" operator="containsText" text="POR VENCER">
      <formula>NOT(ISERROR(SEARCH("POR VENCER",NL239)))</formula>
    </cfRule>
    <cfRule type="containsText" dxfId="39" priority="77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600" operator="containsText" text="POR VENCER">
      <formula>NOT(ISERROR(SEARCH("POR VENCER",NC4)))</formula>
    </cfRule>
  </conditionalFormatting>
  <conditionalFormatting sqref="NM67 NM77:NN77">
    <cfRule type="containsText" dxfId="37" priority="599" operator="containsText" text="VENCIDA">
      <formula>NOT(ISERROR(SEARCH("VENCIDA",NM67)))</formula>
    </cfRule>
    <cfRule type="containsText" dxfId="36" priority="598" operator="containsText" text="NO APLICA">
      <formula>NOT(ISERROR(SEARCH("NO APLICA",NM67)))</formula>
    </cfRule>
  </conditionalFormatting>
  <conditionalFormatting sqref="NM91:NO158">
    <cfRule type="containsText" dxfId="35" priority="59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5" operator="containsText" text="NO APLICA">
      <formula>NOT(ISERROR(SEARCH("NO APLICA",NC4)))</formula>
    </cfRule>
  </conditionalFormatting>
  <conditionalFormatting sqref="NN180:NQ180 NS180:NT180 NV180">
    <cfRule type="containsText" dxfId="31" priority="593" operator="containsText" text="VIGENTE">
      <formula>NOT(ISERROR(SEARCH("VIGENTE",NN180)))</formula>
    </cfRule>
    <cfRule type="containsText" dxfId="30" priority="592" operator="containsText" text="POR VENCER">
      <formula>NOT(ISERROR(SEARCH("POR VENCER",NN180)))</formula>
    </cfRule>
  </conditionalFormatting>
  <conditionalFormatting sqref="NP200">
    <cfRule type="containsText" dxfId="29" priority="591" operator="containsText" text="VENCIDA">
      <formula>NOT(ISERROR(SEARCH("VENCIDA",NP200)))</formula>
    </cfRule>
    <cfRule type="containsText" dxfId="28" priority="588" operator="containsText" text="VIGENTE">
      <formula>NOT(ISERROR(SEARCH("VIGENTE",NP200)))</formula>
    </cfRule>
    <cfRule type="containsText" dxfId="27" priority="589" operator="containsText" text="NO APLICA">
      <formula>NOT(ISERROR(SEARCH("NO APLICA",NP200)))</formula>
    </cfRule>
    <cfRule type="containsText" dxfId="26" priority="590" operator="containsText" text="POR VENCER">
      <formula>NOT(ISERROR(SEARCH("POR VENCER",NP200)))</formula>
    </cfRule>
  </conditionalFormatting>
  <conditionalFormatting sqref="NP213">
    <cfRule type="containsText" dxfId="25" priority="585" operator="containsText" text="NO APLICA">
      <formula>NOT(ISERROR(SEARCH("NO APLICA",NP213)))</formula>
    </cfRule>
    <cfRule type="containsText" dxfId="24" priority="584" operator="containsText" text="VIGENTE">
      <formula>NOT(ISERROR(SEARCH("VIGENTE",NP213)))</formula>
    </cfRule>
    <cfRule type="containsText" dxfId="23" priority="586" operator="containsText" text="POR VENCER">
      <formula>NOT(ISERROR(SEARCH("POR VENCER",NP213)))</formula>
    </cfRule>
    <cfRule type="containsText" dxfId="22" priority="587" operator="containsText" text="VENCIDA">
      <formula>NOT(ISERROR(SEARCH("VENCIDA",NP213)))</formula>
    </cfRule>
  </conditionalFormatting>
  <conditionalFormatting sqref="NW4:NW240 AC36">
    <cfRule type="containsText" dxfId="21" priority="581" operator="containsText" text="VENCIDA">
      <formula>NOT(ISERROR(SEARCH("VENCIDA",AC4)))</formula>
    </cfRule>
    <cfRule type="containsText" dxfId="20" priority="582" operator="containsText" text="POR VENCER">
      <formula>NOT(ISERROR(SEARCH("POR VENCER",AC4)))</formula>
    </cfRule>
    <cfRule type="containsText" dxfId="19" priority="583" operator="containsText" text="VIGENTE">
      <formula>NOT(ISERROR(SEARCH("VIGENTE",AC4)))</formula>
    </cfRule>
    <cfRule type="containsText" dxfId="18" priority="580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9" operator="containsText" text="VIGENTE">
      <formula>NOT(ISERROR(SEARCH("VIGENTE",OB4)))</formula>
    </cfRule>
    <cfRule type="containsText" dxfId="16" priority="1018" operator="containsText" text="POR VENCER">
      <formula>NOT(ISERROR(SEARCH("POR VENCER",OB4)))</formula>
    </cfRule>
    <cfRule type="containsText" dxfId="15" priority="1017" operator="containsText" text="NO APLICA">
      <formula>NOT(ISERROR(SEARCH("NO APLICA",OB4)))</formula>
    </cfRule>
    <cfRule type="containsText" dxfId="14" priority="1016" operator="containsText" text="VENCIDA">
      <formula>NOT(ISERROR(SEARCH("VENCIDA",OB4)))</formula>
    </cfRule>
  </conditionalFormatting>
  <conditionalFormatting sqref="OH54">
    <cfRule type="containsText" dxfId="13" priority="574" operator="containsText" text="POR VENCER">
      <formula>NOT(ISERROR(SEARCH("POR VENCER",OH54)))</formula>
    </cfRule>
    <cfRule type="containsText" dxfId="12" priority="575" operator="containsText" text="VIGENTE">
      <formula>NOT(ISERROR(SEARCH("VIGENTE",OH54)))</formula>
    </cfRule>
    <cfRule type="containsText" dxfId="11" priority="572" operator="containsText" text="VENCIDA">
      <formula>NOT(ISERROR(SEARCH("VENCIDA",OH54)))</formula>
    </cfRule>
    <cfRule type="containsText" dxfId="10" priority="573" operator="containsText" text="NO APLICA">
      <formula>NOT(ISERROR(SEARCH("NO APLICA",OH54)))</formula>
    </cfRule>
  </conditionalFormatting>
  <conditionalFormatting sqref="OH180:OI180">
    <cfRule type="containsText" dxfId="9" priority="569" operator="containsText" text="VIGENTE">
      <formula>NOT(ISERROR(SEARCH("VIGENTE",OH180)))</formula>
    </cfRule>
    <cfRule type="containsText" dxfId="8" priority="571" operator="containsText" text="VENCIDA">
      <formula>NOT(ISERROR(SEARCH("VENCIDA",OH180)))</formula>
    </cfRule>
    <cfRule type="containsText" dxfId="7" priority="570" operator="containsText" text="NO APLICA">
      <formula>NOT(ISERROR(SEARCH("NO APLICA",OH180)))</formula>
    </cfRule>
    <cfRule type="containsText" dxfId="6" priority="568" operator="containsText" text="POR VENCER">
      <formula>NOT(ISERROR(SEARCH("POR VENCER",OH180)))</formula>
    </cfRule>
  </conditionalFormatting>
  <conditionalFormatting sqref="OY239:OY240">
    <cfRule type="containsText" dxfId="5" priority="95" operator="containsText" text="VENCIDA">
      <formula>NOT(ISERROR(SEARCH("VENCIDA",OY239)))</formula>
    </cfRule>
    <cfRule type="containsText" dxfId="4" priority="96" operator="containsText" text="POR VENCER">
      <formula>NOT(ISERROR(SEARCH("POR VENCER",OY239)))</formula>
    </cfRule>
    <cfRule type="containsText" dxfId="3" priority="97" operator="containsText" text="VIGENTE">
      <formula>NOT(ISERROR(SEARCH("VIGENTE",OY239)))</formula>
    </cfRule>
  </conditionalFormatting>
  <conditionalFormatting sqref="PP4:PP240">
    <cfRule type="containsText" dxfId="2" priority="567" operator="containsText" text="VIGENTE">
      <formula>NOT(ISERROR(SEARCH("VIGENTE",PP4)))</formula>
    </cfRule>
    <cfRule type="containsText" dxfId="1" priority="566" operator="containsText" text="POR VENCER">
      <formula>NOT(ISERROR(SEARCH("POR VENCER",PP4)))</formula>
    </cfRule>
    <cfRule type="containsText" dxfId="0" priority="565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2026-05-04T02:29:24Z</dcterms:modified>
</cp:coreProperties>
</file>